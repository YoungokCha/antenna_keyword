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https://qmulprod-my.sharepoint.com/personal/eex760_qmul_ac_uk/Documents/1MyProject/0LSTM_keyword_predict/3.Antenna/antenna_new/"/>
    </mc:Choice>
  </mc:AlternateContent>
  <xr:revisionPtr revIDLastSave="1" documentId="8_{11D49F2F-A8B2-FB4E-80A2-48DAC25CBDBB}" xr6:coauthVersionLast="47" xr6:coauthVersionMax="47" xr10:uidLastSave="{078AD709-E98E-3348-A715-3F8065E1B0CE}"/>
  <bookViews>
    <workbookView xWindow="17220" yWindow="3040" windowWidth="22460" windowHeight="23740" xr2:uid="{38A65C66-423B-B247-B439-EE14AF909634}"/>
  </bookViews>
  <sheets>
    <sheet name="1995" sheetId="1" r:id="rId1"/>
  </sheets>
  <externalReferences>
    <externalReference r:id="rId2"/>
  </externalReferences>
  <definedNames>
    <definedName name="s0">[1]antenna_all!#REF!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 i="1" l="1"/>
  <c r="U2" i="1"/>
  <c r="AM2" i="1" s="1"/>
  <c r="AN2" i="1" s="1"/>
  <c r="Y2" i="1"/>
  <c r="S3" i="1"/>
  <c r="U3" i="1"/>
  <c r="AM3" i="1" s="1"/>
  <c r="AN3" i="1" s="1"/>
  <c r="Y3" i="1"/>
  <c r="S4" i="1"/>
  <c r="U4" i="1"/>
  <c r="Y4" i="1"/>
  <c r="AM4" i="1"/>
  <c r="AN4" i="1" s="1"/>
  <c r="S5" i="1"/>
  <c r="U5" i="1"/>
  <c r="Y5" i="1"/>
  <c r="AM5" i="1"/>
  <c r="AN5" i="1" s="1"/>
  <c r="S6" i="1"/>
  <c r="U6" i="1"/>
  <c r="Y6" i="1"/>
  <c r="AM6" i="1"/>
  <c r="AN6" i="1"/>
  <c r="AU6" i="1" s="1"/>
  <c r="S7" i="1"/>
  <c r="U7" i="1"/>
  <c r="AM7" i="1" s="1"/>
  <c r="AN7" i="1" s="1"/>
  <c r="Y7" i="1"/>
  <c r="S8" i="1"/>
  <c r="U8" i="1"/>
  <c r="AM8" i="1" s="1"/>
  <c r="AN8" i="1" s="1"/>
  <c r="Y8" i="1"/>
  <c r="S9" i="1"/>
  <c r="U9" i="1"/>
  <c r="AM9" i="1" s="1"/>
  <c r="AN9" i="1" s="1"/>
  <c r="Y9" i="1"/>
  <c r="S10" i="1"/>
  <c r="U10" i="1"/>
  <c r="AM10" i="1" s="1"/>
  <c r="AN10" i="1" s="1"/>
  <c r="AV10" i="1" s="1"/>
  <c r="Y10" i="1"/>
  <c r="S11" i="1"/>
  <c r="U11" i="1"/>
  <c r="Y11" i="1"/>
  <c r="AM11" i="1"/>
  <c r="AN11" i="1" s="1"/>
  <c r="S12" i="1"/>
  <c r="U12" i="1"/>
  <c r="AM12" i="1" s="1"/>
  <c r="AN12" i="1" s="1"/>
  <c r="Y12" i="1"/>
  <c r="S13" i="1"/>
  <c r="U13" i="1"/>
  <c r="AM13" i="1" s="1"/>
  <c r="AN13" i="1" s="1"/>
  <c r="Y13" i="1"/>
  <c r="AU13" i="1" s="1"/>
  <c r="S14" i="1"/>
  <c r="U14" i="1"/>
  <c r="AM14" i="1" s="1"/>
  <c r="AN14" i="1" s="1"/>
  <c r="Y14" i="1"/>
  <c r="S15" i="1"/>
  <c r="U15" i="1"/>
  <c r="AM15" i="1" s="1"/>
  <c r="AN15" i="1" s="1"/>
  <c r="Y15" i="1"/>
  <c r="S16" i="1"/>
  <c r="U16" i="1"/>
  <c r="Y16" i="1"/>
  <c r="AM16" i="1"/>
  <c r="AN16" i="1"/>
  <c r="AV16" i="1" s="1"/>
  <c r="AU16" i="1"/>
  <c r="S17" i="1"/>
  <c r="U17" i="1"/>
  <c r="AM17" i="1" s="1"/>
  <c r="AN17" i="1" s="1"/>
  <c r="Y17" i="1"/>
  <c r="S18" i="1"/>
  <c r="U18" i="1"/>
  <c r="AM18" i="1" s="1"/>
  <c r="AN18" i="1" s="1"/>
  <c r="Y18" i="1"/>
  <c r="S19" i="1"/>
  <c r="U19" i="1"/>
  <c r="AM19" i="1" s="1"/>
  <c r="AN19" i="1" s="1"/>
  <c r="Y19" i="1"/>
  <c r="S20" i="1"/>
  <c r="U20" i="1"/>
  <c r="Y20" i="1"/>
  <c r="AM20" i="1"/>
  <c r="AN20" i="1" s="1"/>
  <c r="S21" i="1"/>
  <c r="U21" i="1"/>
  <c r="Y21" i="1"/>
  <c r="AM21" i="1"/>
  <c r="AN21" i="1" s="1"/>
  <c r="S22" i="1"/>
  <c r="U22" i="1"/>
  <c r="AM22" i="1" s="1"/>
  <c r="AN22" i="1" s="1"/>
  <c r="Y22" i="1"/>
  <c r="S23" i="1"/>
  <c r="U23" i="1"/>
  <c r="AM23" i="1" s="1"/>
  <c r="AN23" i="1" s="1"/>
  <c r="Y23" i="1"/>
  <c r="S24" i="1"/>
  <c r="U24" i="1"/>
  <c r="AM24" i="1" s="1"/>
  <c r="AN24" i="1" s="1"/>
  <c r="Y24" i="1"/>
  <c r="S25" i="1"/>
  <c r="U25" i="1"/>
  <c r="AM25" i="1" s="1"/>
  <c r="AN25" i="1" s="1"/>
  <c r="Y25" i="1"/>
  <c r="S26" i="1"/>
  <c r="U26" i="1"/>
  <c r="AM26" i="1" s="1"/>
  <c r="AN26" i="1" s="1"/>
  <c r="AV26" i="1" s="1"/>
  <c r="Y26" i="1"/>
  <c r="AU26" i="1" s="1"/>
  <c r="S27" i="1"/>
  <c r="U27" i="1"/>
  <c r="AM27" i="1" s="1"/>
  <c r="AN27" i="1" s="1"/>
  <c r="Y27" i="1"/>
  <c r="S28" i="1"/>
  <c r="U28" i="1"/>
  <c r="AM28" i="1" s="1"/>
  <c r="AN28" i="1" s="1"/>
  <c r="Y28" i="1"/>
  <c r="S29" i="1"/>
  <c r="U29" i="1"/>
  <c r="AM29" i="1" s="1"/>
  <c r="AN29" i="1" s="1"/>
  <c r="Y29" i="1"/>
  <c r="AU29" i="1" s="1"/>
  <c r="S30" i="1"/>
  <c r="U30" i="1"/>
  <c r="Y30" i="1"/>
  <c r="AM30" i="1"/>
  <c r="AN30" i="1" s="1"/>
  <c r="S31" i="1"/>
  <c r="U31" i="1"/>
  <c r="Y31" i="1"/>
  <c r="AM31" i="1"/>
  <c r="AN31" i="1"/>
  <c r="AU31" i="1" s="1"/>
  <c r="S32" i="1"/>
  <c r="U32" i="1"/>
  <c r="Y32" i="1"/>
  <c r="AM32" i="1"/>
  <c r="AN32" i="1" s="1"/>
  <c r="S33" i="1"/>
  <c r="U33" i="1"/>
  <c r="AM33" i="1" s="1"/>
  <c r="AN33" i="1" s="1"/>
  <c r="Y33" i="1"/>
  <c r="S34" i="1"/>
  <c r="U34" i="1"/>
  <c r="AM34" i="1" s="1"/>
  <c r="AN34" i="1" s="1"/>
  <c r="Y34" i="1"/>
  <c r="S35" i="1"/>
  <c r="U35" i="1"/>
  <c r="AM35" i="1" s="1"/>
  <c r="AN35" i="1" s="1"/>
  <c r="Y35" i="1"/>
  <c r="S36" i="1"/>
  <c r="U36" i="1"/>
  <c r="Y36" i="1"/>
  <c r="AM36" i="1"/>
  <c r="AN36" i="1"/>
  <c r="AU36" i="1" s="1"/>
  <c r="S37" i="1"/>
  <c r="U37" i="1"/>
  <c r="AM37" i="1" s="1"/>
  <c r="AN37" i="1" s="1"/>
  <c r="Y37" i="1"/>
  <c r="S38" i="1"/>
  <c r="U38" i="1"/>
  <c r="AM38" i="1" s="1"/>
  <c r="AN38" i="1" s="1"/>
  <c r="Y38" i="1"/>
  <c r="S39" i="1"/>
  <c r="U39" i="1"/>
  <c r="AM39" i="1" s="1"/>
  <c r="AN39" i="1" s="1"/>
  <c r="Y39" i="1"/>
  <c r="S40" i="1"/>
  <c r="U40" i="1"/>
  <c r="Y40" i="1"/>
  <c r="AM40" i="1"/>
  <c r="AN40" i="1" s="1"/>
  <c r="S41" i="1"/>
  <c r="U41" i="1"/>
  <c r="AM41" i="1" s="1"/>
  <c r="AN41" i="1" s="1"/>
  <c r="AU41" i="1" s="1"/>
  <c r="Y41" i="1"/>
  <c r="S42" i="1"/>
  <c r="U42" i="1"/>
  <c r="AM42" i="1" s="1"/>
  <c r="AN42" i="1" s="1"/>
  <c r="Y42" i="1"/>
  <c r="S43" i="1"/>
  <c r="U43" i="1"/>
  <c r="AM43" i="1" s="1"/>
  <c r="AN43" i="1" s="1"/>
  <c r="Y43" i="1"/>
  <c r="S44" i="1"/>
  <c r="U44" i="1"/>
  <c r="AM44" i="1" s="1"/>
  <c r="AN44" i="1" s="1"/>
  <c r="Y44" i="1"/>
  <c r="S45" i="1"/>
  <c r="U45" i="1"/>
  <c r="Y45" i="1"/>
  <c r="AM45" i="1"/>
  <c r="AN45" i="1" s="1"/>
  <c r="S46" i="1"/>
  <c r="U46" i="1"/>
  <c r="AM46" i="1" s="1"/>
  <c r="Y46" i="1"/>
  <c r="AN46" i="1"/>
  <c r="AU46" i="1" s="1"/>
  <c r="S47" i="1"/>
  <c r="U47" i="1"/>
  <c r="AM47" i="1" s="1"/>
  <c r="AN47" i="1" s="1"/>
  <c r="Y47" i="1"/>
  <c r="S48" i="1"/>
  <c r="U48" i="1"/>
  <c r="AM48" i="1" s="1"/>
  <c r="AN48" i="1" s="1"/>
  <c r="Y48" i="1"/>
  <c r="S49" i="1"/>
  <c r="U49" i="1"/>
  <c r="AM49" i="1" s="1"/>
  <c r="AN49" i="1" s="1"/>
  <c r="Y49" i="1"/>
  <c r="AU49" i="1" s="1"/>
  <c r="S50" i="1"/>
  <c r="U50" i="1"/>
  <c r="Y50" i="1"/>
  <c r="AM50" i="1"/>
  <c r="AN50" i="1" s="1"/>
  <c r="S51" i="1"/>
  <c r="U51" i="1"/>
  <c r="Y51" i="1"/>
  <c r="AM51" i="1"/>
  <c r="AN51" i="1" s="1"/>
  <c r="AU51" i="1" s="1"/>
  <c r="S52" i="1"/>
  <c r="U52" i="1"/>
  <c r="Y52" i="1"/>
  <c r="AM52" i="1"/>
  <c r="AN52" i="1" s="1"/>
  <c r="S53" i="1"/>
  <c r="U53" i="1"/>
  <c r="AM53" i="1" s="1"/>
  <c r="AN53" i="1" s="1"/>
  <c r="Y53" i="1"/>
  <c r="AU53" i="1" s="1"/>
  <c r="S54" i="1"/>
  <c r="U54" i="1"/>
  <c r="AM54" i="1" s="1"/>
  <c r="AN54" i="1" s="1"/>
  <c r="Y54" i="1"/>
  <c r="S55" i="1"/>
  <c r="U55" i="1"/>
  <c r="Y55" i="1"/>
  <c r="AM55" i="1"/>
  <c r="AN55" i="1" s="1"/>
  <c r="S56" i="1"/>
  <c r="U56" i="1"/>
  <c r="AM56" i="1" s="1"/>
  <c r="Y56" i="1"/>
  <c r="AN56" i="1"/>
  <c r="AU56" i="1" s="1"/>
  <c r="S57" i="1"/>
  <c r="U57" i="1"/>
  <c r="AM57" i="1" s="1"/>
  <c r="AN57" i="1" s="1"/>
  <c r="Y57" i="1"/>
  <c r="S58" i="1"/>
  <c r="U58" i="1"/>
  <c r="AM58" i="1" s="1"/>
  <c r="AN58" i="1" s="1"/>
  <c r="Y58" i="1"/>
  <c r="S59" i="1"/>
  <c r="U59" i="1"/>
  <c r="AM59" i="1" s="1"/>
  <c r="AN59" i="1" s="1"/>
  <c r="Y59" i="1"/>
  <c r="S60" i="1"/>
  <c r="U60" i="1"/>
  <c r="Y60" i="1"/>
  <c r="AM60" i="1"/>
  <c r="AN60" i="1" s="1"/>
  <c r="S61" i="1"/>
  <c r="U61" i="1"/>
  <c r="AM61" i="1" s="1"/>
  <c r="AN61" i="1" s="1"/>
  <c r="Y61" i="1"/>
  <c r="S62" i="1"/>
  <c r="U62" i="1"/>
  <c r="AM62" i="1" s="1"/>
  <c r="AN62" i="1" s="1"/>
  <c r="Y62" i="1"/>
  <c r="S63" i="1"/>
  <c r="U63" i="1"/>
  <c r="AM63" i="1" s="1"/>
  <c r="AN63" i="1" s="1"/>
  <c r="Y63" i="1"/>
  <c r="S64" i="1"/>
  <c r="U64" i="1"/>
  <c r="AM64" i="1" s="1"/>
  <c r="AN64" i="1" s="1"/>
  <c r="Y64" i="1"/>
  <c r="S65" i="1"/>
  <c r="U65" i="1"/>
  <c r="Y65" i="1"/>
  <c r="AM65" i="1"/>
  <c r="AN65" i="1" s="1"/>
  <c r="S66" i="1"/>
  <c r="U66" i="1"/>
  <c r="Y66" i="1"/>
  <c r="AM66" i="1"/>
  <c r="AN66" i="1" s="1"/>
  <c r="AU66" i="1" s="1"/>
  <c r="S67" i="1"/>
  <c r="U67" i="1"/>
  <c r="Y67" i="1"/>
  <c r="AM67" i="1"/>
  <c r="AN67" i="1"/>
  <c r="AW67" i="1" s="1"/>
  <c r="S68" i="1"/>
  <c r="U68" i="1"/>
  <c r="AM68" i="1" s="1"/>
  <c r="AN68" i="1" s="1"/>
  <c r="Y68" i="1"/>
  <c r="S69" i="1"/>
  <c r="U69" i="1"/>
  <c r="AM69" i="1" s="1"/>
  <c r="AN69" i="1" s="1"/>
  <c r="Y69" i="1"/>
  <c r="S70" i="1"/>
  <c r="U70" i="1"/>
  <c r="AM70" i="1" s="1"/>
  <c r="AN70" i="1" s="1"/>
  <c r="Y70" i="1"/>
  <c r="S71" i="1"/>
  <c r="U71" i="1"/>
  <c r="Y71" i="1"/>
  <c r="AM71" i="1"/>
  <c r="AN71" i="1" s="1"/>
  <c r="S72" i="1"/>
  <c r="U72" i="1"/>
  <c r="AM72" i="1" s="1"/>
  <c r="AN72" i="1" s="1"/>
  <c r="Y72" i="1"/>
  <c r="S73" i="1"/>
  <c r="U73" i="1"/>
  <c r="AM73" i="1" s="1"/>
  <c r="AN73" i="1" s="1"/>
  <c r="Y73" i="1"/>
  <c r="S74" i="1"/>
  <c r="U74" i="1"/>
  <c r="AM74" i="1" s="1"/>
  <c r="AN74" i="1" s="1"/>
  <c r="Y74" i="1"/>
  <c r="S75" i="1"/>
  <c r="U75" i="1"/>
  <c r="Y75" i="1"/>
  <c r="AM75" i="1"/>
  <c r="AN75" i="1" s="1"/>
  <c r="S76" i="1"/>
  <c r="U76" i="1"/>
  <c r="AM76" i="1" s="1"/>
  <c r="AN76" i="1" s="1"/>
  <c r="Y76" i="1"/>
  <c r="S77" i="1"/>
  <c r="U77" i="1"/>
  <c r="AM77" i="1" s="1"/>
  <c r="AN77" i="1" s="1"/>
  <c r="Y77" i="1"/>
  <c r="S78" i="1"/>
  <c r="U78" i="1"/>
  <c r="AM78" i="1" s="1"/>
  <c r="AN78" i="1" s="1"/>
  <c r="Y78" i="1"/>
  <c r="S79" i="1"/>
  <c r="U79" i="1"/>
  <c r="AM79" i="1" s="1"/>
  <c r="AN79" i="1" s="1"/>
  <c r="Y79" i="1"/>
  <c r="S80" i="1"/>
  <c r="U80" i="1"/>
  <c r="Y80" i="1"/>
  <c r="AM80" i="1"/>
  <c r="AN80" i="1"/>
  <c r="S81" i="1"/>
  <c r="U81" i="1"/>
  <c r="Y81" i="1"/>
  <c r="AM81" i="1"/>
  <c r="AN81" i="1" s="1"/>
  <c r="S82" i="1"/>
  <c r="U82" i="1"/>
  <c r="AM82" i="1" s="1"/>
  <c r="AN82" i="1" s="1"/>
  <c r="Y82" i="1"/>
  <c r="S83" i="1"/>
  <c r="U83" i="1"/>
  <c r="AM83" i="1" s="1"/>
  <c r="AN83" i="1" s="1"/>
  <c r="Y83" i="1"/>
  <c r="S84" i="1"/>
  <c r="U84" i="1"/>
  <c r="AM84" i="1" s="1"/>
  <c r="AN84" i="1" s="1"/>
  <c r="Y84" i="1"/>
  <c r="S85" i="1"/>
  <c r="U85" i="1"/>
  <c r="Y85" i="1"/>
  <c r="AM85" i="1"/>
  <c r="AN85" i="1"/>
  <c r="S86" i="1"/>
  <c r="U86" i="1"/>
  <c r="AM86" i="1" s="1"/>
  <c r="AN86" i="1" s="1"/>
  <c r="Y86" i="1"/>
  <c r="S87" i="1"/>
  <c r="U87" i="1"/>
  <c r="AM87" i="1" s="1"/>
  <c r="AN87" i="1" s="1"/>
  <c r="AW87" i="1" s="1"/>
  <c r="Y87" i="1"/>
  <c r="S88" i="1"/>
  <c r="U88" i="1"/>
  <c r="AM88" i="1" s="1"/>
  <c r="AN88" i="1" s="1"/>
  <c r="Y88" i="1"/>
  <c r="S89" i="1"/>
  <c r="U89" i="1"/>
  <c r="AM89" i="1" s="1"/>
  <c r="AN89" i="1" s="1"/>
  <c r="Y89" i="1"/>
  <c r="AU89" i="1" s="1"/>
  <c r="S90" i="1"/>
  <c r="U90" i="1"/>
  <c r="AM90" i="1" s="1"/>
  <c r="AN90" i="1" s="1"/>
  <c r="Y90" i="1"/>
  <c r="S91" i="1"/>
  <c r="U91" i="1"/>
  <c r="AM91" i="1" s="1"/>
  <c r="AN91" i="1" s="1"/>
  <c r="Y91" i="1"/>
  <c r="AV91" i="1" s="1"/>
  <c r="S92" i="1"/>
  <c r="U92" i="1"/>
  <c r="AM92" i="1" s="1"/>
  <c r="AN92" i="1" s="1"/>
  <c r="AW92" i="1" s="1"/>
  <c r="Y92" i="1"/>
  <c r="S93" i="1"/>
  <c r="U93" i="1"/>
  <c r="AM93" i="1" s="1"/>
  <c r="AN93" i="1" s="1"/>
  <c r="Y93" i="1"/>
  <c r="S94" i="1"/>
  <c r="U94" i="1"/>
  <c r="AM94" i="1" s="1"/>
  <c r="AN94" i="1" s="1"/>
  <c r="Y94" i="1"/>
  <c r="S95" i="1"/>
  <c r="U95" i="1"/>
  <c r="Y95" i="1"/>
  <c r="AM95" i="1"/>
  <c r="AN95" i="1"/>
  <c r="S96" i="1"/>
  <c r="U96" i="1"/>
  <c r="Y96" i="1"/>
  <c r="AM96" i="1"/>
  <c r="AN96" i="1"/>
  <c r="AU96" i="1" s="1"/>
  <c r="S97" i="1"/>
  <c r="U97" i="1"/>
  <c r="AM97" i="1" s="1"/>
  <c r="AN97" i="1" s="1"/>
  <c r="Y97" i="1"/>
  <c r="S98" i="1"/>
  <c r="U98" i="1"/>
  <c r="AM98" i="1" s="1"/>
  <c r="AN98" i="1" s="1"/>
  <c r="Y98" i="1"/>
  <c r="AU98" i="1" s="1"/>
  <c r="S99" i="1"/>
  <c r="U99" i="1"/>
  <c r="AM99" i="1" s="1"/>
  <c r="AN99" i="1" s="1"/>
  <c r="Y99" i="1"/>
  <c r="S100" i="1"/>
  <c r="U100" i="1"/>
  <c r="Y100" i="1"/>
  <c r="AM100" i="1"/>
  <c r="AN100" i="1"/>
  <c r="S101" i="1"/>
  <c r="U101" i="1"/>
  <c r="Y101" i="1"/>
  <c r="AM101" i="1"/>
  <c r="AN101" i="1"/>
  <c r="AU101" i="1" s="1"/>
  <c r="S102" i="1"/>
  <c r="U102" i="1"/>
  <c r="AM102" i="1" s="1"/>
  <c r="AN102" i="1" s="1"/>
  <c r="Y102" i="1"/>
  <c r="S103" i="1"/>
  <c r="U103" i="1"/>
  <c r="AM103" i="1" s="1"/>
  <c r="AN103" i="1" s="1"/>
  <c r="Y103" i="1"/>
  <c r="AU103" i="1" s="1"/>
  <c r="S104" i="1"/>
  <c r="U104" i="1"/>
  <c r="AM104" i="1" s="1"/>
  <c r="AN104" i="1" s="1"/>
  <c r="Y104" i="1"/>
  <c r="S105" i="1"/>
  <c r="U105" i="1"/>
  <c r="Y105" i="1"/>
  <c r="AM105" i="1"/>
  <c r="AN105" i="1"/>
  <c r="S106" i="1"/>
  <c r="U106" i="1"/>
  <c r="Y106" i="1"/>
  <c r="AM106" i="1"/>
  <c r="AN106" i="1"/>
  <c r="AU106" i="1" s="1"/>
  <c r="S107" i="1"/>
  <c r="U107" i="1"/>
  <c r="AM107" i="1" s="1"/>
  <c r="AN107" i="1" s="1"/>
  <c r="Y107" i="1"/>
  <c r="S108" i="1"/>
  <c r="U108" i="1"/>
  <c r="AM108" i="1" s="1"/>
  <c r="AN108" i="1" s="1"/>
  <c r="Y108" i="1"/>
  <c r="AU108" i="1" s="1"/>
  <c r="S109" i="1"/>
  <c r="U109" i="1"/>
  <c r="AM109" i="1" s="1"/>
  <c r="AN109" i="1" s="1"/>
  <c r="Y109" i="1"/>
  <c r="S110" i="1"/>
  <c r="U110" i="1"/>
  <c r="AM110" i="1" s="1"/>
  <c r="AN110" i="1" s="1"/>
  <c r="Y110" i="1"/>
  <c r="S111" i="1"/>
  <c r="U111" i="1"/>
  <c r="Y111" i="1"/>
  <c r="AM111" i="1"/>
  <c r="AN111" i="1"/>
  <c r="AU111" i="1" s="1"/>
  <c r="S112" i="1"/>
  <c r="U112" i="1"/>
  <c r="AM112" i="1" s="1"/>
  <c r="AN112" i="1" s="1"/>
  <c r="Y112" i="1"/>
  <c r="S113" i="1"/>
  <c r="U113" i="1"/>
  <c r="AM113" i="1" s="1"/>
  <c r="AN113" i="1" s="1"/>
  <c r="Y113" i="1"/>
  <c r="S114" i="1"/>
  <c r="U114" i="1"/>
  <c r="AM114" i="1" s="1"/>
  <c r="AN114" i="1" s="1"/>
  <c r="Y114" i="1"/>
  <c r="S115" i="1"/>
  <c r="U115" i="1"/>
  <c r="Y115" i="1"/>
  <c r="AM115" i="1"/>
  <c r="AN115" i="1" s="1"/>
  <c r="S116" i="1"/>
  <c r="U116" i="1"/>
  <c r="Y116" i="1"/>
  <c r="AM116" i="1"/>
  <c r="AN116" i="1"/>
  <c r="AU116" i="1" s="1"/>
  <c r="S117" i="1"/>
  <c r="U117" i="1"/>
  <c r="AM117" i="1" s="1"/>
  <c r="AN117" i="1" s="1"/>
  <c r="Y117" i="1"/>
  <c r="S118" i="1"/>
  <c r="U118" i="1"/>
  <c r="AM118" i="1" s="1"/>
  <c r="AN118" i="1" s="1"/>
  <c r="Y118" i="1"/>
  <c r="S119" i="1"/>
  <c r="U119" i="1"/>
  <c r="AM119" i="1" s="1"/>
  <c r="AN119" i="1" s="1"/>
  <c r="Y119" i="1"/>
  <c r="AU119" i="1" s="1"/>
  <c r="S120" i="1"/>
  <c r="U120" i="1"/>
  <c r="Y120" i="1"/>
  <c r="AM120" i="1"/>
  <c r="AN120" i="1"/>
  <c r="S121" i="1"/>
  <c r="U121" i="1"/>
  <c r="Y121" i="1"/>
  <c r="AM121" i="1"/>
  <c r="AN121" i="1"/>
  <c r="AU121" i="1" s="1"/>
  <c r="S122" i="1"/>
  <c r="U122" i="1"/>
  <c r="AM122" i="1" s="1"/>
  <c r="AN122" i="1" s="1"/>
  <c r="Y122" i="1"/>
  <c r="AU122" i="1" s="1"/>
  <c r="S123" i="1"/>
  <c r="U123" i="1"/>
  <c r="AM123" i="1" s="1"/>
  <c r="AN123" i="1" s="1"/>
  <c r="Y123" i="1"/>
  <c r="S124" i="1"/>
  <c r="U124" i="1"/>
  <c r="AM124" i="1" s="1"/>
  <c r="AN124" i="1" s="1"/>
  <c r="Y124" i="1"/>
  <c r="S125" i="1"/>
  <c r="U125" i="1"/>
  <c r="AM125" i="1" s="1"/>
  <c r="AN125" i="1" s="1"/>
  <c r="Y125" i="1"/>
  <c r="S126" i="1"/>
  <c r="U126" i="1"/>
  <c r="AM126" i="1" s="1"/>
  <c r="AN126" i="1" s="1"/>
  <c r="AU126" i="1" s="1"/>
  <c r="Y126" i="1"/>
  <c r="S127" i="1"/>
  <c r="U127" i="1"/>
  <c r="AM127" i="1" s="1"/>
  <c r="AN127" i="1" s="1"/>
  <c r="Y127" i="1"/>
  <c r="AU127" i="1" s="1"/>
  <c r="S128" i="1"/>
  <c r="U128" i="1"/>
  <c r="Y128" i="1"/>
  <c r="AM128" i="1"/>
  <c r="AN128" i="1" s="1"/>
  <c r="S129" i="1"/>
  <c r="U129" i="1"/>
  <c r="AM129" i="1" s="1"/>
  <c r="AN129" i="1" s="1"/>
  <c r="Y129" i="1"/>
  <c r="S130" i="1"/>
  <c r="U130" i="1"/>
  <c r="Y130" i="1"/>
  <c r="AM130" i="1"/>
  <c r="AN130" i="1" s="1"/>
  <c r="S131" i="1"/>
  <c r="U131" i="1"/>
  <c r="Y131" i="1"/>
  <c r="AM131" i="1"/>
  <c r="AN131" i="1" s="1"/>
  <c r="S132" i="1"/>
  <c r="U132" i="1"/>
  <c r="AM132" i="1" s="1"/>
  <c r="AN132" i="1" s="1"/>
  <c r="Y132" i="1"/>
  <c r="AV132" i="1"/>
  <c r="S133" i="1"/>
  <c r="U133" i="1"/>
  <c r="AM133" i="1" s="1"/>
  <c r="AN133" i="1" s="1"/>
  <c r="Y133" i="1"/>
  <c r="S134" i="1"/>
  <c r="U134" i="1"/>
  <c r="AM134" i="1" s="1"/>
  <c r="AN134" i="1" s="1"/>
  <c r="Y134" i="1"/>
  <c r="S135" i="1"/>
  <c r="U135" i="1"/>
  <c r="AM135" i="1" s="1"/>
  <c r="AN135" i="1" s="1"/>
  <c r="Y135" i="1"/>
  <c r="S136" i="1"/>
  <c r="U136" i="1"/>
  <c r="AM136" i="1" s="1"/>
  <c r="AN136" i="1" s="1"/>
  <c r="AU136" i="1" s="1"/>
  <c r="Y136" i="1"/>
  <c r="S137" i="1"/>
  <c r="U137" i="1"/>
  <c r="AM137" i="1" s="1"/>
  <c r="AN137" i="1" s="1"/>
  <c r="Y137" i="1"/>
  <c r="AV137" i="1" s="1"/>
  <c r="S138" i="1"/>
  <c r="U138" i="1"/>
  <c r="AM138" i="1" s="1"/>
  <c r="AN138" i="1" s="1"/>
  <c r="Y138" i="1"/>
  <c r="S139" i="1"/>
  <c r="U139" i="1"/>
  <c r="AM139" i="1" s="1"/>
  <c r="AN139" i="1" s="1"/>
  <c r="Y139" i="1"/>
  <c r="S140" i="1"/>
  <c r="U140" i="1"/>
  <c r="Y140" i="1"/>
  <c r="AM140" i="1"/>
  <c r="AN140" i="1"/>
  <c r="S141" i="1"/>
  <c r="U141" i="1"/>
  <c r="Y141" i="1"/>
  <c r="AM141" i="1"/>
  <c r="AN141" i="1" s="1"/>
  <c r="AU141" i="1" s="1"/>
  <c r="S142" i="1"/>
  <c r="U142" i="1"/>
  <c r="Y142" i="1"/>
  <c r="AM142" i="1"/>
  <c r="AN142" i="1" s="1"/>
  <c r="S143" i="1"/>
  <c r="U143" i="1"/>
  <c r="AM143" i="1" s="1"/>
  <c r="AN143" i="1" s="1"/>
  <c r="Y143" i="1"/>
  <c r="S144" i="1"/>
  <c r="U144" i="1"/>
  <c r="AM144" i="1" s="1"/>
  <c r="AN144" i="1" s="1"/>
  <c r="Y144" i="1"/>
  <c r="S145" i="1"/>
  <c r="U145" i="1"/>
  <c r="Y145" i="1"/>
  <c r="AM145" i="1"/>
  <c r="AN145" i="1" s="1"/>
  <c r="AV145" i="1" s="1"/>
  <c r="S146" i="1"/>
  <c r="U146" i="1"/>
  <c r="Y146" i="1"/>
  <c r="AM146" i="1"/>
  <c r="AN146" i="1" s="1"/>
  <c r="S147" i="1"/>
  <c r="U147" i="1"/>
  <c r="AM147" i="1" s="1"/>
  <c r="AN147" i="1" s="1"/>
  <c r="AV147" i="1" s="1"/>
  <c r="Y147" i="1"/>
  <c r="S148" i="1"/>
  <c r="U148" i="1"/>
  <c r="AM148" i="1" s="1"/>
  <c r="AN148" i="1" s="1"/>
  <c r="Y148" i="1"/>
  <c r="S149" i="1"/>
  <c r="U149" i="1"/>
  <c r="AM149" i="1" s="1"/>
  <c r="AN149" i="1" s="1"/>
  <c r="Y149" i="1"/>
  <c r="S150" i="1"/>
  <c r="U150" i="1"/>
  <c r="Y150" i="1"/>
  <c r="AM150" i="1"/>
  <c r="AN150" i="1" s="1"/>
  <c r="S151" i="1"/>
  <c r="U151" i="1"/>
  <c r="Y151" i="1"/>
  <c r="AM151" i="1"/>
  <c r="AN151" i="1" s="1"/>
  <c r="AW151" i="1" s="1"/>
  <c r="S152" i="1"/>
  <c r="U152" i="1"/>
  <c r="AM152" i="1" s="1"/>
  <c r="AN152" i="1" s="1"/>
  <c r="Y152" i="1"/>
  <c r="S153" i="1"/>
  <c r="U153" i="1"/>
  <c r="Y153" i="1"/>
  <c r="AM153" i="1"/>
  <c r="AN153" i="1"/>
  <c r="S154" i="1"/>
  <c r="U154" i="1"/>
  <c r="AM154" i="1" s="1"/>
  <c r="AN154" i="1" s="1"/>
  <c r="Y154" i="1"/>
  <c r="S155" i="1"/>
  <c r="U155" i="1"/>
  <c r="AM155" i="1" s="1"/>
  <c r="AN155" i="1" s="1"/>
  <c r="Y155" i="1"/>
  <c r="S156" i="1"/>
  <c r="U156" i="1"/>
  <c r="AM156" i="1" s="1"/>
  <c r="AN156" i="1" s="1"/>
  <c r="Y156" i="1"/>
  <c r="S157" i="1"/>
  <c r="U157" i="1"/>
  <c r="AM157" i="1" s="1"/>
  <c r="AN157" i="1" s="1"/>
  <c r="Y157" i="1"/>
  <c r="AV157" i="1" s="1"/>
  <c r="S158" i="1"/>
  <c r="U158" i="1"/>
  <c r="AM158" i="1" s="1"/>
  <c r="AN158" i="1" s="1"/>
  <c r="Y158" i="1"/>
  <c r="S159" i="1"/>
  <c r="U159" i="1"/>
  <c r="AM159" i="1" s="1"/>
  <c r="AN159" i="1" s="1"/>
  <c r="Y159" i="1"/>
  <c r="S160" i="1"/>
  <c r="U160" i="1"/>
  <c r="Y160" i="1"/>
  <c r="AM160" i="1"/>
  <c r="AN160" i="1"/>
  <c r="AV160" i="1" s="1"/>
  <c r="S161" i="1"/>
  <c r="U161" i="1"/>
  <c r="AM161" i="1" s="1"/>
  <c r="AN161" i="1" s="1"/>
  <c r="AU161" i="1" s="1"/>
  <c r="Y161" i="1"/>
  <c r="S162" i="1"/>
  <c r="U162" i="1"/>
  <c r="AM162" i="1" s="1"/>
  <c r="AN162" i="1" s="1"/>
  <c r="Y162" i="1"/>
  <c r="AV162" i="1" s="1"/>
  <c r="S163" i="1"/>
  <c r="U163" i="1"/>
  <c r="AM163" i="1" s="1"/>
  <c r="AN163" i="1" s="1"/>
  <c r="Y163" i="1"/>
  <c r="S164" i="1"/>
  <c r="U164" i="1"/>
  <c r="Y164" i="1"/>
  <c r="AM164" i="1"/>
  <c r="AN164" i="1" s="1"/>
  <c r="S165" i="1"/>
  <c r="U165" i="1"/>
  <c r="AM165" i="1" s="1"/>
  <c r="AN165" i="1" s="1"/>
  <c r="Y165" i="1"/>
  <c r="AV165" i="1" s="1"/>
  <c r="S166" i="1"/>
  <c r="U166" i="1"/>
  <c r="AM166" i="1" s="1"/>
  <c r="AN166" i="1" s="1"/>
  <c r="Y166" i="1"/>
  <c r="S167" i="1"/>
  <c r="U167" i="1"/>
  <c r="AM167" i="1" s="1"/>
  <c r="AN167" i="1" s="1"/>
  <c r="Y167" i="1"/>
  <c r="S168" i="1"/>
  <c r="U168" i="1"/>
  <c r="AM168" i="1" s="1"/>
  <c r="AN168" i="1" s="1"/>
  <c r="Y168" i="1"/>
  <c r="S169" i="1"/>
  <c r="U169" i="1"/>
  <c r="AM169" i="1" s="1"/>
  <c r="AN169" i="1" s="1"/>
  <c r="Y169" i="1"/>
  <c r="S170" i="1"/>
  <c r="U170" i="1"/>
  <c r="AM170" i="1" s="1"/>
  <c r="AN170" i="1" s="1"/>
  <c r="Y170" i="1"/>
  <c r="S171" i="1"/>
  <c r="U171" i="1"/>
  <c r="AM171" i="1" s="1"/>
  <c r="AN171" i="1" s="1"/>
  <c r="Y171" i="1"/>
  <c r="AU171" i="1" s="1"/>
  <c r="S172" i="1"/>
  <c r="U172" i="1"/>
  <c r="Y172" i="1"/>
  <c r="AM172" i="1"/>
  <c r="AN172" i="1" s="1"/>
  <c r="AV172" i="1" s="1"/>
  <c r="S173" i="1"/>
  <c r="U173" i="1"/>
  <c r="AM173" i="1" s="1"/>
  <c r="AN173" i="1" s="1"/>
  <c r="Y173" i="1"/>
  <c r="S174" i="1"/>
  <c r="U174" i="1"/>
  <c r="AM174" i="1" s="1"/>
  <c r="AN174" i="1" s="1"/>
  <c r="Y174" i="1"/>
  <c r="S175" i="1"/>
  <c r="U175" i="1"/>
  <c r="AM175" i="1" s="1"/>
  <c r="AN175" i="1" s="1"/>
  <c r="Y175" i="1"/>
  <c r="AV175" i="1" s="1"/>
  <c r="S176" i="1"/>
  <c r="U176" i="1"/>
  <c r="Y176" i="1"/>
  <c r="AM176" i="1"/>
  <c r="AN176" i="1" s="1"/>
  <c r="S177" i="1"/>
  <c r="U177" i="1"/>
  <c r="AM177" i="1" s="1"/>
  <c r="AN177" i="1" s="1"/>
  <c r="Y177" i="1"/>
  <c r="S178" i="1"/>
  <c r="U178" i="1"/>
  <c r="AM178" i="1" s="1"/>
  <c r="AN178" i="1" s="1"/>
  <c r="Y178" i="1"/>
  <c r="S179" i="1"/>
  <c r="U179" i="1"/>
  <c r="AM179" i="1" s="1"/>
  <c r="AN179" i="1" s="1"/>
  <c r="Y179" i="1"/>
  <c r="S180" i="1"/>
  <c r="U180" i="1"/>
  <c r="AM180" i="1" s="1"/>
  <c r="AN180" i="1" s="1"/>
  <c r="Y180" i="1"/>
  <c r="S181" i="1"/>
  <c r="U181" i="1"/>
  <c r="AM181" i="1" s="1"/>
  <c r="AN181" i="1" s="1"/>
  <c r="Y181" i="1"/>
  <c r="S182" i="1"/>
  <c r="U182" i="1"/>
  <c r="AM182" i="1" s="1"/>
  <c r="AN182" i="1" s="1"/>
  <c r="AV182" i="1" s="1"/>
  <c r="Y182" i="1"/>
  <c r="S183" i="1"/>
  <c r="U183" i="1"/>
  <c r="AM183" i="1" s="1"/>
  <c r="Y183" i="1"/>
  <c r="AN183" i="1"/>
  <c r="AV183" i="1"/>
  <c r="S184" i="1"/>
  <c r="U184" i="1"/>
  <c r="AM184" i="1" s="1"/>
  <c r="AN184" i="1" s="1"/>
  <c r="Y184" i="1"/>
  <c r="S185" i="1"/>
  <c r="U185" i="1"/>
  <c r="AM185" i="1" s="1"/>
  <c r="AN185" i="1" s="1"/>
  <c r="Y185" i="1"/>
  <c r="AV185" i="1" s="1"/>
  <c r="S186" i="1"/>
  <c r="U186" i="1"/>
  <c r="AM186" i="1" s="1"/>
  <c r="AN186" i="1" s="1"/>
  <c r="Y186" i="1"/>
  <c r="S187" i="1"/>
  <c r="U187" i="1"/>
  <c r="AM187" i="1" s="1"/>
  <c r="AN187" i="1" s="1"/>
  <c r="AV187" i="1" s="1"/>
  <c r="Y187" i="1"/>
  <c r="S188" i="1"/>
  <c r="U188" i="1"/>
  <c r="AM188" i="1" s="1"/>
  <c r="AN188" i="1" s="1"/>
  <c r="Y188" i="1"/>
  <c r="S189" i="1"/>
  <c r="U189" i="1"/>
  <c r="Y189" i="1"/>
  <c r="AM189" i="1"/>
  <c r="AN189" i="1" s="1"/>
  <c r="S190" i="1"/>
  <c r="U190" i="1"/>
  <c r="AM190" i="1" s="1"/>
  <c r="AN190" i="1" s="1"/>
  <c r="Y190" i="1"/>
  <c r="AV190" i="1"/>
  <c r="S191" i="1"/>
  <c r="U191" i="1"/>
  <c r="AM191" i="1" s="1"/>
  <c r="AN191" i="1" s="1"/>
  <c r="Y191" i="1"/>
  <c r="AW191" i="1" s="1"/>
  <c r="AU191" i="1"/>
  <c r="S192" i="1"/>
  <c r="U192" i="1"/>
  <c r="AM192" i="1" s="1"/>
  <c r="AN192" i="1" s="1"/>
  <c r="Y192" i="1"/>
  <c r="S193" i="1"/>
  <c r="U193" i="1"/>
  <c r="Y193" i="1"/>
  <c r="AM193" i="1"/>
  <c r="AN193" i="1" s="1"/>
  <c r="S194" i="1"/>
  <c r="U194" i="1"/>
  <c r="Y194" i="1"/>
  <c r="AM194" i="1"/>
  <c r="AN194" i="1" s="1"/>
  <c r="S195" i="1"/>
  <c r="U195" i="1"/>
  <c r="AM195" i="1" s="1"/>
  <c r="AN195" i="1" s="1"/>
  <c r="Y195" i="1"/>
  <c r="AV195" i="1" s="1"/>
  <c r="S196" i="1"/>
  <c r="U196" i="1"/>
  <c r="Y196" i="1"/>
  <c r="AM196" i="1"/>
  <c r="AN196" i="1" s="1"/>
  <c r="S197" i="1"/>
  <c r="U197" i="1"/>
  <c r="AM197" i="1" s="1"/>
  <c r="AN197" i="1" s="1"/>
  <c r="AV197" i="1" s="1"/>
  <c r="Y197" i="1"/>
  <c r="S198" i="1"/>
  <c r="U198" i="1"/>
  <c r="AM198" i="1" s="1"/>
  <c r="AN198" i="1" s="1"/>
  <c r="Y198" i="1"/>
  <c r="S199" i="1"/>
  <c r="U199" i="1"/>
  <c r="Y199" i="1"/>
  <c r="AM199" i="1"/>
  <c r="AN199" i="1" s="1"/>
  <c r="S200" i="1"/>
  <c r="U200" i="1"/>
  <c r="AM200" i="1" s="1"/>
  <c r="AN200" i="1" s="1"/>
  <c r="Y200" i="1"/>
  <c r="S201" i="1"/>
  <c r="U201" i="1"/>
  <c r="Y201" i="1"/>
  <c r="AM201" i="1"/>
  <c r="AN201" i="1" s="1"/>
  <c r="AW201" i="1" s="1"/>
  <c r="S202" i="1"/>
  <c r="U202" i="1"/>
  <c r="AM202" i="1" s="1"/>
  <c r="AN202" i="1" s="1"/>
  <c r="AV202" i="1" s="1"/>
  <c r="Y202" i="1"/>
  <c r="S203" i="1"/>
  <c r="U203" i="1"/>
  <c r="AM203" i="1" s="1"/>
  <c r="AN203" i="1" s="1"/>
  <c r="Y203" i="1"/>
  <c r="S204" i="1"/>
  <c r="U204" i="1"/>
  <c r="Y204" i="1"/>
  <c r="AM204" i="1"/>
  <c r="AN204" i="1" s="1"/>
  <c r="S205" i="1"/>
  <c r="U205" i="1"/>
  <c r="AM205" i="1" s="1"/>
  <c r="Y205" i="1"/>
  <c r="AN205" i="1"/>
  <c r="AV205" i="1"/>
  <c r="S206" i="1"/>
  <c r="U206" i="1"/>
  <c r="AM206" i="1" s="1"/>
  <c r="AN206" i="1" s="1"/>
  <c r="AU206" i="1" s="1"/>
  <c r="Y206" i="1"/>
  <c r="S207" i="1"/>
  <c r="U207" i="1"/>
  <c r="AM207" i="1" s="1"/>
  <c r="AN207" i="1" s="1"/>
  <c r="Y207" i="1"/>
  <c r="S208" i="1"/>
  <c r="U208" i="1"/>
  <c r="AM208" i="1" s="1"/>
  <c r="AN208" i="1" s="1"/>
  <c r="Y208" i="1"/>
  <c r="S209" i="1"/>
  <c r="U209" i="1"/>
  <c r="AM209" i="1" s="1"/>
  <c r="AN209" i="1" s="1"/>
  <c r="Y209" i="1"/>
  <c r="S210" i="1"/>
  <c r="U210" i="1"/>
  <c r="AM210" i="1" s="1"/>
  <c r="Y210" i="1"/>
  <c r="AN210" i="1"/>
  <c r="AV210" i="1"/>
  <c r="S211" i="1"/>
  <c r="U211" i="1"/>
  <c r="AM211" i="1" s="1"/>
  <c r="AN211" i="1" s="1"/>
  <c r="Y211" i="1"/>
  <c r="S212" i="1"/>
  <c r="U212" i="1"/>
  <c r="AM212" i="1" s="1"/>
  <c r="AN212" i="1" s="1"/>
  <c r="Y212" i="1"/>
  <c r="S213" i="1"/>
  <c r="U213" i="1"/>
  <c r="AM213" i="1" s="1"/>
  <c r="AN213" i="1" s="1"/>
  <c r="AW213" i="1" s="1"/>
  <c r="Y213" i="1"/>
  <c r="S214" i="1"/>
  <c r="U214" i="1"/>
  <c r="AM214" i="1" s="1"/>
  <c r="AN214" i="1" s="1"/>
  <c r="Y214" i="1"/>
  <c r="S215" i="1"/>
  <c r="U215" i="1"/>
  <c r="AM215" i="1" s="1"/>
  <c r="AN215" i="1" s="1"/>
  <c r="Y215" i="1"/>
  <c r="S216" i="1"/>
  <c r="U216" i="1"/>
  <c r="Y216" i="1"/>
  <c r="AM216" i="1"/>
  <c r="AN216" i="1" s="1"/>
  <c r="S217" i="1"/>
  <c r="U217" i="1"/>
  <c r="AM217" i="1" s="1"/>
  <c r="Y217" i="1"/>
  <c r="AN217" i="1"/>
  <c r="S218" i="1"/>
  <c r="U218" i="1"/>
  <c r="AM218" i="1" s="1"/>
  <c r="AN218" i="1" s="1"/>
  <c r="Y218" i="1"/>
  <c r="S219" i="1"/>
  <c r="U219" i="1"/>
  <c r="AM219" i="1" s="1"/>
  <c r="AN219" i="1" s="1"/>
  <c r="Y219" i="1"/>
  <c r="S220" i="1"/>
  <c r="U220" i="1"/>
  <c r="AM220" i="1" s="1"/>
  <c r="AN220" i="1" s="1"/>
  <c r="Y220" i="1"/>
  <c r="S221" i="1"/>
  <c r="U221" i="1"/>
  <c r="AM221" i="1" s="1"/>
  <c r="AN221" i="1" s="1"/>
  <c r="Y221" i="1"/>
  <c r="S222" i="1"/>
  <c r="U222" i="1"/>
  <c r="AM222" i="1" s="1"/>
  <c r="AN222" i="1" s="1"/>
  <c r="Y222" i="1"/>
  <c r="S223" i="1"/>
  <c r="U223" i="1"/>
  <c r="AM223" i="1" s="1"/>
  <c r="AN223" i="1" s="1"/>
  <c r="Y223" i="1"/>
  <c r="S224" i="1"/>
  <c r="U224" i="1"/>
  <c r="AM224" i="1" s="1"/>
  <c r="AN224" i="1" s="1"/>
  <c r="Y224" i="1"/>
  <c r="S225" i="1"/>
  <c r="U225" i="1"/>
  <c r="AM225" i="1" s="1"/>
  <c r="AN225" i="1" s="1"/>
  <c r="Y225" i="1"/>
  <c r="S226" i="1"/>
  <c r="U226" i="1"/>
  <c r="AM226" i="1" s="1"/>
  <c r="AN226" i="1" s="1"/>
  <c r="Y226" i="1"/>
  <c r="S227" i="1"/>
  <c r="U227" i="1"/>
  <c r="AM227" i="1" s="1"/>
  <c r="AN227" i="1" s="1"/>
  <c r="Y227" i="1"/>
  <c r="S228" i="1"/>
  <c r="U228" i="1"/>
  <c r="AM228" i="1" s="1"/>
  <c r="AN228" i="1" s="1"/>
  <c r="Y228" i="1"/>
  <c r="S229" i="1"/>
  <c r="U229" i="1"/>
  <c r="AM229" i="1" s="1"/>
  <c r="AN229" i="1" s="1"/>
  <c r="Y229" i="1"/>
  <c r="S230" i="1"/>
  <c r="U230" i="1"/>
  <c r="AM230" i="1" s="1"/>
  <c r="AN230" i="1" s="1"/>
  <c r="Y230" i="1"/>
  <c r="AU230" i="1" s="1"/>
  <c r="S231" i="1"/>
  <c r="U231" i="1"/>
  <c r="AM231" i="1" s="1"/>
  <c r="AN231" i="1" s="1"/>
  <c r="Y231" i="1"/>
  <c r="S232" i="1"/>
  <c r="U232" i="1"/>
  <c r="AM232" i="1" s="1"/>
  <c r="AN232" i="1" s="1"/>
  <c r="AV232" i="1" s="1"/>
  <c r="Y232" i="1"/>
  <c r="S233" i="1"/>
  <c r="U233" i="1"/>
  <c r="AM233" i="1" s="1"/>
  <c r="AN233" i="1" s="1"/>
  <c r="Y233" i="1"/>
  <c r="S234" i="1"/>
  <c r="U234" i="1"/>
  <c r="Y234" i="1"/>
  <c r="AM234" i="1"/>
  <c r="AN234" i="1" s="1"/>
  <c r="S235" i="1"/>
  <c r="U235" i="1"/>
  <c r="AM235" i="1" s="1"/>
  <c r="AN235" i="1" s="1"/>
  <c r="Y235" i="1"/>
  <c r="S236" i="1"/>
  <c r="U236" i="1"/>
  <c r="Y236" i="1"/>
  <c r="AM236" i="1"/>
  <c r="AN236" i="1" s="1"/>
  <c r="AW236" i="1" s="1"/>
  <c r="S237" i="1"/>
  <c r="U237" i="1"/>
  <c r="AM237" i="1" s="1"/>
  <c r="AN237" i="1" s="1"/>
  <c r="Y237" i="1"/>
  <c r="S238" i="1"/>
  <c r="U238" i="1"/>
  <c r="AM238" i="1" s="1"/>
  <c r="AN238" i="1" s="1"/>
  <c r="Y238" i="1"/>
  <c r="S239" i="1"/>
  <c r="U239" i="1"/>
  <c r="AM239" i="1" s="1"/>
  <c r="AN239" i="1" s="1"/>
  <c r="Y239" i="1"/>
  <c r="S240" i="1"/>
  <c r="U240" i="1"/>
  <c r="Y240" i="1"/>
  <c r="AM240" i="1"/>
  <c r="AN240" i="1" s="1"/>
  <c r="AU240" i="1" s="1"/>
  <c r="S241" i="1"/>
  <c r="U241" i="1"/>
  <c r="AM241" i="1" s="1"/>
  <c r="Y241" i="1"/>
  <c r="AN241" i="1"/>
  <c r="AU241" i="1"/>
  <c r="AV241" i="1"/>
  <c r="AW241" i="1"/>
  <c r="S242" i="1"/>
  <c r="U242" i="1"/>
  <c r="AM242" i="1" s="1"/>
  <c r="AN242" i="1" s="1"/>
  <c r="Y242" i="1"/>
  <c r="S243" i="1"/>
  <c r="U243" i="1"/>
  <c r="AM243" i="1" s="1"/>
  <c r="AN243" i="1" s="1"/>
  <c r="Y243" i="1"/>
  <c r="S244" i="1"/>
  <c r="U244" i="1"/>
  <c r="AM244" i="1" s="1"/>
  <c r="AN244" i="1" s="1"/>
  <c r="Y244" i="1"/>
  <c r="S245" i="1"/>
  <c r="U245" i="1"/>
  <c r="Y245" i="1"/>
  <c r="AM245" i="1"/>
  <c r="AN245" i="1" s="1"/>
  <c r="AU245" i="1" s="1"/>
  <c r="S246" i="1"/>
  <c r="U246" i="1"/>
  <c r="Y246" i="1"/>
  <c r="AM246" i="1"/>
  <c r="AN246" i="1" s="1"/>
  <c r="AV246" i="1" s="1"/>
  <c r="AU246" i="1"/>
  <c r="AW246" i="1"/>
  <c r="S247" i="1"/>
  <c r="U247" i="1"/>
  <c r="AM247" i="1" s="1"/>
  <c r="AN247" i="1" s="1"/>
  <c r="Y247" i="1"/>
  <c r="S248" i="1"/>
  <c r="U248" i="1"/>
  <c r="AM248" i="1" s="1"/>
  <c r="AN248" i="1" s="1"/>
  <c r="Y248" i="1"/>
  <c r="S249" i="1"/>
  <c r="U249" i="1"/>
  <c r="AM249" i="1" s="1"/>
  <c r="AN249" i="1" s="1"/>
  <c r="Y249" i="1"/>
  <c r="S250" i="1"/>
  <c r="U250" i="1"/>
  <c r="Y250" i="1"/>
  <c r="AM250" i="1"/>
  <c r="AN250" i="1" s="1"/>
  <c r="AU250" i="1" s="1"/>
  <c r="S251" i="1"/>
  <c r="U251" i="1"/>
  <c r="Y251" i="1"/>
  <c r="AM251" i="1"/>
  <c r="AN251" i="1" s="1"/>
  <c r="S252" i="1"/>
  <c r="U252" i="1"/>
  <c r="AM252" i="1" s="1"/>
  <c r="AN252" i="1" s="1"/>
  <c r="Y252" i="1"/>
  <c r="S253" i="1"/>
  <c r="U253" i="1"/>
  <c r="Y253" i="1"/>
  <c r="AM253" i="1"/>
  <c r="AN253" i="1" s="1"/>
  <c r="S254" i="1"/>
  <c r="U254" i="1"/>
  <c r="AM254" i="1" s="1"/>
  <c r="AN254" i="1" s="1"/>
  <c r="Y254" i="1"/>
  <c r="S255" i="1"/>
  <c r="U255" i="1"/>
  <c r="Y255" i="1"/>
  <c r="AM255" i="1"/>
  <c r="AN255" i="1"/>
  <c r="AU255" i="1" s="1"/>
  <c r="S256" i="1"/>
  <c r="U256" i="1"/>
  <c r="Y256" i="1"/>
  <c r="AM256" i="1"/>
  <c r="AN256" i="1"/>
  <c r="AW256" i="1" s="1"/>
  <c r="AU256" i="1"/>
  <c r="S257" i="1"/>
  <c r="U257" i="1"/>
  <c r="AM257" i="1" s="1"/>
  <c r="AN257" i="1" s="1"/>
  <c r="Y257" i="1"/>
  <c r="S258" i="1"/>
  <c r="U258" i="1"/>
  <c r="AM258" i="1" s="1"/>
  <c r="AN258" i="1" s="1"/>
  <c r="Y258" i="1"/>
  <c r="S259" i="1"/>
  <c r="U259" i="1"/>
  <c r="AM259" i="1" s="1"/>
  <c r="AN259" i="1" s="1"/>
  <c r="Y259" i="1"/>
  <c r="S260" i="1"/>
  <c r="U260" i="1"/>
  <c r="Y260" i="1"/>
  <c r="AM260" i="1"/>
  <c r="AN260" i="1"/>
  <c r="AU260" i="1" s="1"/>
  <c r="S261" i="1"/>
  <c r="U261" i="1"/>
  <c r="Y261" i="1"/>
  <c r="AM261" i="1"/>
  <c r="AN261" i="1" s="1"/>
  <c r="AU261" i="1" s="1"/>
  <c r="S262" i="1"/>
  <c r="U262" i="1"/>
  <c r="AM262" i="1" s="1"/>
  <c r="AN262" i="1" s="1"/>
  <c r="Y262" i="1"/>
  <c r="S263" i="1"/>
  <c r="U263" i="1"/>
  <c r="AM263" i="1" s="1"/>
  <c r="AN263" i="1" s="1"/>
  <c r="Y263" i="1"/>
  <c r="S264" i="1"/>
  <c r="U264" i="1"/>
  <c r="AM264" i="1" s="1"/>
  <c r="AN264" i="1" s="1"/>
  <c r="Y264" i="1"/>
  <c r="S265" i="1"/>
  <c r="U265" i="1"/>
  <c r="Y265" i="1"/>
  <c r="AM265" i="1"/>
  <c r="AN265" i="1"/>
  <c r="AU265" i="1" s="1"/>
  <c r="S266" i="1"/>
  <c r="U266" i="1"/>
  <c r="AM266" i="1" s="1"/>
  <c r="AN266" i="1" s="1"/>
  <c r="Y266" i="1"/>
  <c r="S267" i="1"/>
  <c r="U267" i="1"/>
  <c r="AM267" i="1" s="1"/>
  <c r="AN267" i="1" s="1"/>
  <c r="Y267" i="1"/>
  <c r="AU267" i="1" s="1"/>
  <c r="S268" i="1"/>
  <c r="U268" i="1"/>
  <c r="Y268" i="1"/>
  <c r="AM268" i="1"/>
  <c r="AN268" i="1" s="1"/>
  <c r="S269" i="1"/>
  <c r="U269" i="1"/>
  <c r="AM269" i="1" s="1"/>
  <c r="AN269" i="1" s="1"/>
  <c r="Y269" i="1"/>
  <c r="S270" i="1"/>
  <c r="U270" i="1"/>
  <c r="AM270" i="1" s="1"/>
  <c r="AN270" i="1" s="1"/>
  <c r="AU270" i="1" s="1"/>
  <c r="Y270" i="1"/>
  <c r="S271" i="1"/>
  <c r="U271" i="1"/>
  <c r="AM271" i="1" s="1"/>
  <c r="AN271" i="1" s="1"/>
  <c r="Y271" i="1"/>
  <c r="S272" i="1"/>
  <c r="U272" i="1"/>
  <c r="AM272" i="1" s="1"/>
  <c r="AN272" i="1" s="1"/>
  <c r="Y272" i="1"/>
  <c r="S273" i="1"/>
  <c r="U273" i="1"/>
  <c r="Y273" i="1"/>
  <c r="AM273" i="1"/>
  <c r="AN273" i="1" s="1"/>
  <c r="S274" i="1"/>
  <c r="U274" i="1"/>
  <c r="AM274" i="1" s="1"/>
  <c r="AN274" i="1" s="1"/>
  <c r="Y274" i="1"/>
  <c r="AU274" i="1" s="1"/>
  <c r="S275" i="1"/>
  <c r="U275" i="1"/>
  <c r="Y275" i="1"/>
  <c r="AM275" i="1"/>
  <c r="AN275" i="1" s="1"/>
  <c r="AU275" i="1" s="1"/>
  <c r="S276" i="1"/>
  <c r="U276" i="1"/>
  <c r="Y276" i="1"/>
  <c r="AM276" i="1"/>
  <c r="AN276" i="1"/>
  <c r="AU276" i="1" s="1"/>
  <c r="S277" i="1"/>
  <c r="U277" i="1"/>
  <c r="AM277" i="1" s="1"/>
  <c r="AN277" i="1" s="1"/>
  <c r="Y277" i="1"/>
  <c r="S278" i="1"/>
  <c r="U278" i="1"/>
  <c r="Y278" i="1"/>
  <c r="AM278" i="1"/>
  <c r="AN278" i="1" s="1"/>
  <c r="S279" i="1"/>
  <c r="U279" i="1"/>
  <c r="AM279" i="1" s="1"/>
  <c r="AN279" i="1" s="1"/>
  <c r="Y279" i="1"/>
  <c r="S280" i="1"/>
  <c r="U280" i="1"/>
  <c r="AM280" i="1" s="1"/>
  <c r="AN280" i="1" s="1"/>
  <c r="AU280" i="1" s="1"/>
  <c r="Y280" i="1"/>
  <c r="S281" i="1"/>
  <c r="U281" i="1"/>
  <c r="AM281" i="1" s="1"/>
  <c r="AN281" i="1" s="1"/>
  <c r="Y281" i="1"/>
  <c r="S282" i="1"/>
  <c r="U282" i="1"/>
  <c r="AM282" i="1" s="1"/>
  <c r="AN282" i="1" s="1"/>
  <c r="AV282" i="1" s="1"/>
  <c r="Y282" i="1"/>
  <c r="S283" i="1"/>
  <c r="U283" i="1"/>
  <c r="Y283" i="1"/>
  <c r="AM283" i="1"/>
  <c r="AN283" i="1" s="1"/>
  <c r="S284" i="1"/>
  <c r="U284" i="1"/>
  <c r="Y284" i="1"/>
  <c r="AM284" i="1"/>
  <c r="AN284" i="1"/>
  <c r="AV284" i="1" s="1"/>
  <c r="S285" i="1"/>
  <c r="U285" i="1"/>
  <c r="AM285" i="1" s="1"/>
  <c r="AN285" i="1" s="1"/>
  <c r="AU285" i="1" s="1"/>
  <c r="Y285" i="1"/>
  <c r="S286" i="1"/>
  <c r="U286" i="1"/>
  <c r="AM286" i="1" s="1"/>
  <c r="AN286" i="1" s="1"/>
  <c r="AU286" i="1" s="1"/>
  <c r="Y286" i="1"/>
  <c r="AV286" i="1"/>
  <c r="S287" i="1"/>
  <c r="U287" i="1"/>
  <c r="AM287" i="1" s="1"/>
  <c r="AN287" i="1" s="1"/>
  <c r="Y287" i="1"/>
  <c r="AU287" i="1" s="1"/>
  <c r="S288" i="1"/>
  <c r="U288" i="1"/>
  <c r="AM288" i="1" s="1"/>
  <c r="AN288" i="1" s="1"/>
  <c r="Y288" i="1"/>
  <c r="S289" i="1"/>
  <c r="U289" i="1"/>
  <c r="AM289" i="1" s="1"/>
  <c r="AN289" i="1" s="1"/>
  <c r="Y289" i="1"/>
  <c r="S290" i="1"/>
  <c r="U290" i="1"/>
  <c r="Y290" i="1"/>
  <c r="AM290" i="1"/>
  <c r="AN290" i="1" s="1"/>
  <c r="AU290" i="1" s="1"/>
  <c r="S291" i="1"/>
  <c r="U291" i="1"/>
  <c r="Y291" i="1"/>
  <c r="AM291" i="1"/>
  <c r="AN291" i="1" s="1"/>
  <c r="AU291" i="1" s="1"/>
  <c r="S292" i="1"/>
  <c r="U292" i="1"/>
  <c r="AM292" i="1" s="1"/>
  <c r="AN292" i="1" s="1"/>
  <c r="Y292" i="1"/>
  <c r="AU292" i="1" s="1"/>
  <c r="S293" i="1"/>
  <c r="U293" i="1"/>
  <c r="AM293" i="1" s="1"/>
  <c r="AN293" i="1" s="1"/>
  <c r="Y293" i="1"/>
  <c r="S294" i="1"/>
  <c r="U294" i="1"/>
  <c r="Y294" i="1"/>
  <c r="AM294" i="1"/>
  <c r="AN294" i="1"/>
  <c r="S295" i="1"/>
  <c r="U295" i="1"/>
  <c r="Y295" i="1"/>
  <c r="AM295" i="1"/>
  <c r="AN295" i="1" s="1"/>
  <c r="AU295" i="1" s="1"/>
  <c r="S296" i="1"/>
  <c r="U296" i="1"/>
  <c r="Y296" i="1"/>
  <c r="AM296" i="1"/>
  <c r="AN296" i="1" s="1"/>
  <c r="AU296" i="1" s="1"/>
  <c r="S297" i="1"/>
  <c r="U297" i="1"/>
  <c r="AM297" i="1" s="1"/>
  <c r="AN297" i="1" s="1"/>
  <c r="Y297" i="1"/>
  <c r="S298" i="1"/>
  <c r="U298" i="1"/>
  <c r="Y298" i="1"/>
  <c r="AM298" i="1"/>
  <c r="AN298" i="1" s="1"/>
  <c r="S299" i="1"/>
  <c r="U299" i="1"/>
  <c r="AM299" i="1" s="1"/>
  <c r="Y299" i="1"/>
  <c r="AN299" i="1"/>
  <c r="AV299" i="1" s="1"/>
  <c r="S300" i="1"/>
  <c r="U300" i="1"/>
  <c r="AM300" i="1" s="1"/>
  <c r="AN300" i="1" s="1"/>
  <c r="AV300" i="1" s="1"/>
  <c r="Y300" i="1"/>
  <c r="S301" i="1"/>
  <c r="U301" i="1"/>
  <c r="Y301" i="1"/>
  <c r="AM301" i="1"/>
  <c r="AN301" i="1" s="1"/>
  <c r="S302" i="1"/>
  <c r="U302" i="1"/>
  <c r="AM302" i="1" s="1"/>
  <c r="AN302" i="1" s="1"/>
  <c r="Y302" i="1"/>
  <c r="S303" i="1"/>
  <c r="U303" i="1"/>
  <c r="AM303" i="1" s="1"/>
  <c r="AN303" i="1" s="1"/>
  <c r="Y303" i="1"/>
  <c r="S304" i="1"/>
  <c r="U304" i="1"/>
  <c r="Y304" i="1"/>
  <c r="AM304" i="1"/>
  <c r="AN304" i="1" s="1"/>
  <c r="S305" i="1"/>
  <c r="U305" i="1"/>
  <c r="Y305" i="1"/>
  <c r="AM305" i="1"/>
  <c r="AN305" i="1"/>
  <c r="AV305" i="1" s="1"/>
  <c r="S306" i="1"/>
  <c r="U306" i="1"/>
  <c r="Y306" i="1"/>
  <c r="AM306" i="1"/>
  <c r="AN306" i="1" s="1"/>
  <c r="S307" i="1"/>
  <c r="U307" i="1"/>
  <c r="AM307" i="1" s="1"/>
  <c r="AN307" i="1" s="1"/>
  <c r="Y307" i="1"/>
  <c r="S308" i="1"/>
  <c r="U308" i="1"/>
  <c r="Y308" i="1"/>
  <c r="AM308" i="1"/>
  <c r="AN308" i="1" s="1"/>
  <c r="S309" i="1"/>
  <c r="U309" i="1"/>
  <c r="AM309" i="1" s="1"/>
  <c r="AN309" i="1" s="1"/>
  <c r="Y309" i="1"/>
  <c r="S310" i="1"/>
  <c r="U310" i="1"/>
  <c r="Y310" i="1"/>
  <c r="AM310" i="1"/>
  <c r="AN310" i="1"/>
  <c r="AV310" i="1" s="1"/>
  <c r="S311" i="1"/>
  <c r="U311" i="1"/>
  <c r="AM311" i="1" s="1"/>
  <c r="AN311" i="1" s="1"/>
  <c r="Y311" i="1"/>
  <c r="AV311" i="1"/>
  <c r="S312" i="1"/>
  <c r="U312" i="1"/>
  <c r="AM312" i="1" s="1"/>
  <c r="AN312" i="1" s="1"/>
  <c r="Y312" i="1"/>
  <c r="S313" i="1"/>
  <c r="U313" i="1"/>
  <c r="Y313" i="1"/>
  <c r="AM313" i="1"/>
  <c r="AN313" i="1" s="1"/>
  <c r="S314" i="1"/>
  <c r="U314" i="1"/>
  <c r="AM314" i="1" s="1"/>
  <c r="AN314" i="1" s="1"/>
  <c r="Y314" i="1"/>
  <c r="S315" i="1"/>
  <c r="U315" i="1"/>
  <c r="Y315" i="1"/>
  <c r="AM315" i="1"/>
  <c r="AN315" i="1"/>
  <c r="S316" i="1"/>
  <c r="U316" i="1"/>
  <c r="AM316" i="1" s="1"/>
  <c r="AN316" i="1" s="1"/>
  <c r="AU316" i="1" s="1"/>
  <c r="Y316" i="1"/>
  <c r="S317" i="1"/>
  <c r="U317" i="1"/>
  <c r="AM317" i="1" s="1"/>
  <c r="AN317" i="1" s="1"/>
  <c r="Y317" i="1"/>
  <c r="S318" i="1"/>
  <c r="U318" i="1"/>
  <c r="AM318" i="1" s="1"/>
  <c r="AN318" i="1" s="1"/>
  <c r="Y318" i="1"/>
  <c r="S319" i="1"/>
  <c r="U319" i="1"/>
  <c r="Y319" i="1"/>
  <c r="AM319" i="1"/>
  <c r="AN319" i="1"/>
  <c r="S320" i="1"/>
  <c r="U320" i="1"/>
  <c r="AM320" i="1" s="1"/>
  <c r="AN320" i="1" s="1"/>
  <c r="Y320" i="1"/>
  <c r="S321" i="1"/>
  <c r="U321" i="1"/>
  <c r="AM321" i="1" s="1"/>
  <c r="AN321" i="1" s="1"/>
  <c r="AU321" i="1" s="1"/>
  <c r="Y321" i="1"/>
  <c r="S322" i="1"/>
  <c r="U322" i="1"/>
  <c r="AM322" i="1" s="1"/>
  <c r="AN322" i="1" s="1"/>
  <c r="Y322" i="1"/>
  <c r="S323" i="1"/>
  <c r="U323" i="1"/>
  <c r="Y323" i="1"/>
  <c r="AM323" i="1"/>
  <c r="AN323" i="1" s="1"/>
  <c r="S324" i="1"/>
  <c r="U324" i="1"/>
  <c r="Y324" i="1"/>
  <c r="AM324" i="1"/>
  <c r="AN324" i="1"/>
  <c r="S325" i="1"/>
  <c r="U325" i="1"/>
  <c r="AM325" i="1" s="1"/>
  <c r="AN325" i="1" s="1"/>
  <c r="Y325" i="1"/>
  <c r="S326" i="1"/>
  <c r="U326" i="1"/>
  <c r="AM326" i="1" s="1"/>
  <c r="AN326" i="1" s="1"/>
  <c r="AU326" i="1" s="1"/>
  <c r="Y326" i="1"/>
  <c r="S327" i="1"/>
  <c r="U327" i="1"/>
  <c r="AM327" i="1" s="1"/>
  <c r="AN327" i="1" s="1"/>
  <c r="Y327" i="1"/>
  <c r="S328" i="1"/>
  <c r="U328" i="1"/>
  <c r="Y328" i="1"/>
  <c r="AM328" i="1"/>
  <c r="AN328" i="1" s="1"/>
  <c r="S329" i="1"/>
  <c r="U329" i="1"/>
  <c r="AM329" i="1" s="1"/>
  <c r="Y329" i="1"/>
  <c r="AN329" i="1"/>
  <c r="AV329" i="1"/>
  <c r="S330" i="1"/>
  <c r="U330" i="1"/>
  <c r="AM330" i="1" s="1"/>
  <c r="AN330" i="1" s="1"/>
  <c r="Y330" i="1"/>
  <c r="AU330" i="1" s="1"/>
  <c r="S331" i="1"/>
  <c r="U331" i="1"/>
  <c r="AM331" i="1" s="1"/>
  <c r="AN331" i="1" s="1"/>
  <c r="Y331" i="1"/>
  <c r="AV331" i="1" s="1"/>
  <c r="S332" i="1"/>
  <c r="U332" i="1"/>
  <c r="AM332" i="1" s="1"/>
  <c r="AN332" i="1" s="1"/>
  <c r="Y332" i="1"/>
  <c r="S333" i="1"/>
  <c r="U333" i="1"/>
  <c r="AM333" i="1" s="1"/>
  <c r="AN333" i="1" s="1"/>
  <c r="Y333" i="1"/>
  <c r="S334" i="1"/>
  <c r="U334" i="1"/>
  <c r="Y334" i="1"/>
  <c r="AM334" i="1"/>
  <c r="AN334" i="1"/>
  <c r="AV334" i="1" s="1"/>
  <c r="S335" i="1"/>
  <c r="U335" i="1"/>
  <c r="AM335" i="1" s="1"/>
  <c r="AN335" i="1" s="1"/>
  <c r="Y335" i="1"/>
  <c r="AU335" i="1" s="1"/>
  <c r="S336" i="1"/>
  <c r="U336" i="1"/>
  <c r="Y336" i="1"/>
  <c r="AM336" i="1"/>
  <c r="AN336" i="1" s="1"/>
  <c r="AU336" i="1" s="1"/>
  <c r="S337" i="1"/>
  <c r="U337" i="1"/>
  <c r="AM337" i="1" s="1"/>
  <c r="AN337" i="1" s="1"/>
  <c r="Y337" i="1"/>
  <c r="S338" i="1"/>
  <c r="U338" i="1"/>
  <c r="AM338" i="1" s="1"/>
  <c r="AN338" i="1" s="1"/>
  <c r="Y338" i="1"/>
  <c r="S339" i="1"/>
  <c r="U339" i="1"/>
  <c r="Y339" i="1"/>
  <c r="AM339" i="1"/>
  <c r="AN339" i="1" s="1"/>
  <c r="AV339" i="1" s="1"/>
  <c r="S340" i="1"/>
  <c r="U340" i="1"/>
  <c r="AM340" i="1" s="1"/>
  <c r="AN340" i="1" s="1"/>
  <c r="Y340" i="1"/>
  <c r="S341" i="1"/>
  <c r="U341" i="1"/>
  <c r="AM341" i="1" s="1"/>
  <c r="AN341" i="1" s="1"/>
  <c r="Y341" i="1"/>
  <c r="S342" i="1"/>
  <c r="U342" i="1"/>
  <c r="AM342" i="1" s="1"/>
  <c r="AN342" i="1" s="1"/>
  <c r="Y342" i="1"/>
  <c r="S343" i="1"/>
  <c r="U343" i="1"/>
  <c r="Y343" i="1"/>
  <c r="AM343" i="1"/>
  <c r="AN343" i="1" s="1"/>
  <c r="S344" i="1"/>
  <c r="U344" i="1"/>
  <c r="AM344" i="1" s="1"/>
  <c r="AN344" i="1" s="1"/>
  <c r="AV344" i="1" s="1"/>
  <c r="Y344" i="1"/>
  <c r="S345" i="1"/>
  <c r="U345" i="1"/>
  <c r="AM345" i="1" s="1"/>
  <c r="AN345" i="1" s="1"/>
  <c r="Y345" i="1"/>
  <c r="S346" i="1"/>
  <c r="U346" i="1"/>
  <c r="AM346" i="1" s="1"/>
  <c r="AN346" i="1" s="1"/>
  <c r="Y346" i="1"/>
  <c r="AV346" i="1" s="1"/>
  <c r="S347" i="1"/>
  <c r="U347" i="1"/>
  <c r="Y347" i="1"/>
  <c r="AM347" i="1"/>
  <c r="AN347" i="1"/>
  <c r="S348" i="1"/>
  <c r="U348" i="1"/>
  <c r="AM348" i="1" s="1"/>
  <c r="AN348" i="1" s="1"/>
  <c r="Y348" i="1"/>
  <c r="S349" i="1"/>
  <c r="U349" i="1"/>
  <c r="AM349" i="1" s="1"/>
  <c r="AN349" i="1" s="1"/>
  <c r="Y349" i="1"/>
  <c r="S350" i="1"/>
  <c r="U350" i="1"/>
  <c r="AM350" i="1" s="1"/>
  <c r="AN350" i="1" s="1"/>
  <c r="Y350" i="1"/>
  <c r="S351" i="1"/>
  <c r="U351" i="1"/>
  <c r="AM351" i="1" s="1"/>
  <c r="AN351" i="1" s="1"/>
  <c r="Y351" i="1"/>
  <c r="S352" i="1"/>
  <c r="U352" i="1"/>
  <c r="AM352" i="1" s="1"/>
  <c r="AN352" i="1" s="1"/>
  <c r="Y352" i="1"/>
  <c r="S353" i="1"/>
  <c r="U353" i="1"/>
  <c r="AM353" i="1" s="1"/>
  <c r="AN353" i="1" s="1"/>
  <c r="Y353" i="1"/>
  <c r="S354" i="1"/>
  <c r="U354" i="1"/>
  <c r="Y354" i="1"/>
  <c r="AM354" i="1"/>
  <c r="AN354" i="1" s="1"/>
  <c r="AV354" i="1" s="1"/>
  <c r="S355" i="1"/>
  <c r="U355" i="1"/>
  <c r="AM355" i="1" s="1"/>
  <c r="AN355" i="1" s="1"/>
  <c r="Y355" i="1"/>
  <c r="AU355" i="1" s="1"/>
  <c r="S356" i="1"/>
  <c r="U356" i="1"/>
  <c r="Y356" i="1"/>
  <c r="AM356" i="1"/>
  <c r="AN356" i="1" s="1"/>
  <c r="S357" i="1"/>
  <c r="U357" i="1"/>
  <c r="Y357" i="1"/>
  <c r="AM357" i="1"/>
  <c r="AN357" i="1"/>
  <c r="S358" i="1"/>
  <c r="U358" i="1"/>
  <c r="Y358" i="1"/>
  <c r="AM358" i="1"/>
  <c r="AN358" i="1" s="1"/>
  <c r="S359" i="1"/>
  <c r="U359" i="1"/>
  <c r="AM359" i="1" s="1"/>
  <c r="AN359" i="1" s="1"/>
  <c r="Y359" i="1"/>
  <c r="AU359" i="1" s="1"/>
  <c r="S360" i="1"/>
  <c r="U360" i="1"/>
  <c r="AM360" i="1" s="1"/>
  <c r="AN360" i="1" s="1"/>
  <c r="Y360" i="1"/>
  <c r="S361" i="1"/>
  <c r="U361" i="1"/>
  <c r="AM361" i="1" s="1"/>
  <c r="AN361" i="1" s="1"/>
  <c r="AU361" i="1" s="1"/>
  <c r="Y361" i="1"/>
  <c r="S362" i="1"/>
  <c r="U362" i="1"/>
  <c r="Y362" i="1"/>
  <c r="AM362" i="1"/>
  <c r="AN362" i="1" s="1"/>
  <c r="S363" i="1"/>
  <c r="U363" i="1"/>
  <c r="AM363" i="1" s="1"/>
  <c r="AN363" i="1" s="1"/>
  <c r="Y363" i="1"/>
  <c r="S364" i="1"/>
  <c r="U364" i="1"/>
  <c r="AM364" i="1" s="1"/>
  <c r="AN364" i="1" s="1"/>
  <c r="Y364" i="1"/>
  <c r="S365" i="1"/>
  <c r="U365" i="1"/>
  <c r="AM365" i="1" s="1"/>
  <c r="Y365" i="1"/>
  <c r="AN365" i="1"/>
  <c r="AV146" i="1" l="1"/>
  <c r="AV141" i="1"/>
  <c r="AV11" i="1"/>
  <c r="AU11" i="1"/>
  <c r="AV201" i="1"/>
  <c r="AV21" i="1"/>
  <c r="AU21" i="1"/>
  <c r="AU32" i="1"/>
  <c r="AV32" i="1"/>
  <c r="AU80" i="1"/>
  <c r="AV200" i="1"/>
  <c r="AV272" i="1"/>
  <c r="AU234" i="1"/>
  <c r="AV209" i="1"/>
  <c r="AU50" i="1"/>
  <c r="AU365" i="1"/>
  <c r="AU166" i="1"/>
  <c r="AU75" i="1"/>
  <c r="AU40" i="1"/>
  <c r="AU235" i="1"/>
  <c r="AU298" i="1"/>
  <c r="AU345" i="1"/>
  <c r="AU318" i="1"/>
  <c r="AV249" i="1"/>
  <c r="AV227" i="1"/>
  <c r="AV203" i="1"/>
  <c r="AV163" i="1"/>
  <c r="AU347" i="1"/>
  <c r="AU85" i="1"/>
  <c r="AU315" i="1"/>
  <c r="AV364" i="1"/>
  <c r="AU328" i="1"/>
  <c r="AV192" i="1"/>
  <c r="AV112" i="1"/>
  <c r="AV261" i="1"/>
  <c r="AU324" i="1"/>
  <c r="AU312" i="1"/>
  <c r="AU254" i="1"/>
  <c r="AU243" i="1"/>
  <c r="AV152" i="1"/>
  <c r="AV117" i="1"/>
  <c r="AV229" i="1"/>
  <c r="AU333" i="1"/>
  <c r="AU322" i="1"/>
  <c r="AU301" i="1"/>
  <c r="AV291" i="1"/>
  <c r="AV219" i="1"/>
  <c r="AV168" i="1"/>
  <c r="AU93" i="1"/>
  <c r="AU48" i="1"/>
  <c r="AV277" i="1"/>
  <c r="AV294" i="1"/>
  <c r="AU266" i="1"/>
  <c r="AV224" i="1"/>
  <c r="AW171" i="1"/>
  <c r="AV309" i="1"/>
  <c r="AU319" i="1"/>
  <c r="AV349" i="1"/>
  <c r="AV269" i="1"/>
  <c r="AV191" i="1"/>
  <c r="AV107" i="1"/>
  <c r="AU311" i="1"/>
  <c r="AU257" i="1"/>
  <c r="AV173" i="1"/>
  <c r="AU113" i="1"/>
  <c r="AU14" i="1"/>
  <c r="AU251" i="1"/>
  <c r="AV251" i="1"/>
  <c r="AW251" i="1"/>
  <c r="AU331" i="1"/>
  <c r="AU115" i="1"/>
  <c r="AU71" i="1"/>
  <c r="AV71" i="1"/>
  <c r="AU196" i="1"/>
  <c r="AV196" i="1"/>
  <c r="AW196" i="1"/>
  <c r="AU120" i="1"/>
  <c r="AV66" i="1"/>
  <c r="AU95" i="1"/>
  <c r="AV142" i="1"/>
  <c r="AU105" i="1"/>
  <c r="AU341" i="1"/>
  <c r="AV341" i="1"/>
  <c r="AV136" i="1"/>
  <c r="AU76" i="1"/>
  <c r="AV76" i="1"/>
  <c r="AV301" i="1"/>
  <c r="AU110" i="1"/>
  <c r="AU167" i="1"/>
  <c r="AV167" i="1"/>
  <c r="AV316" i="1"/>
  <c r="AU61" i="1"/>
  <c r="AV61" i="1"/>
  <c r="AV304" i="1"/>
  <c r="AV256" i="1"/>
  <c r="AU81" i="1"/>
  <c r="AV81" i="1"/>
  <c r="AU278" i="1"/>
  <c r="AU211" i="1"/>
  <c r="AU100" i="1"/>
  <c r="AU357" i="1"/>
  <c r="AU346" i="1"/>
  <c r="AV266" i="1"/>
  <c r="AU86" i="1"/>
  <c r="AV86" i="1"/>
  <c r="AV178" i="1"/>
  <c r="AV150" i="1"/>
  <c r="AW52" i="1"/>
  <c r="AV52" i="1"/>
  <c r="AU306" i="1"/>
  <c r="AV306" i="1"/>
  <c r="AV321" i="1"/>
  <c r="AU362" i="1"/>
  <c r="AU351" i="1"/>
  <c r="AV351" i="1"/>
  <c r="AU293" i="1"/>
  <c r="AU356" i="1"/>
  <c r="AV356" i="1"/>
  <c r="AU91" i="1"/>
  <c r="AV326" i="1"/>
  <c r="AV296" i="1"/>
  <c r="AV361" i="1"/>
  <c r="AU334" i="1"/>
  <c r="AV212" i="1"/>
  <c r="AV207" i="1"/>
  <c r="AV177" i="1"/>
  <c r="AU339" i="1"/>
  <c r="AU305" i="1"/>
  <c r="AU281" i="1"/>
  <c r="AV281" i="1"/>
  <c r="AU271" i="1"/>
  <c r="AV271" i="1"/>
  <c r="AU236" i="1"/>
  <c r="AV236" i="1"/>
  <c r="AU344" i="1"/>
  <c r="AU300" i="1"/>
  <c r="AV171" i="1"/>
  <c r="AU64" i="1"/>
  <c r="AU58" i="1"/>
  <c r="AU10" i="1"/>
  <c r="AU314" i="1"/>
  <c r="AV314" i="1"/>
  <c r="AW161" i="1"/>
  <c r="AW259" i="1"/>
  <c r="AV217" i="1"/>
  <c r="AU176" i="1"/>
  <c r="AV176" i="1"/>
  <c r="AW176" i="1"/>
  <c r="AV161" i="1"/>
  <c r="AU309" i="1"/>
  <c r="AV166" i="1"/>
  <c r="AU133" i="1"/>
  <c r="AV87" i="1"/>
  <c r="AU83" i="1"/>
  <c r="AU78" i="1"/>
  <c r="AU73" i="1"/>
  <c r="AU68" i="1"/>
  <c r="AU63" i="1"/>
  <c r="AU57" i="1"/>
  <c r="AV211" i="1"/>
  <c r="AU128" i="1"/>
  <c r="AU52" i="1"/>
  <c r="AV359" i="1"/>
  <c r="AU304" i="1"/>
  <c r="AW156" i="1"/>
  <c r="AU156" i="1"/>
  <c r="AV156" i="1"/>
  <c r="AU142" i="1"/>
  <c r="AU92" i="1"/>
  <c r="AV92" i="1"/>
  <c r="AU354" i="1"/>
  <c r="AU269" i="1"/>
  <c r="AW234" i="1"/>
  <c r="AV186" i="1"/>
  <c r="AW186" i="1"/>
  <c r="AU151" i="1"/>
  <c r="AV151" i="1"/>
  <c r="AV116" i="1"/>
  <c r="AV111" i="1"/>
  <c r="AV106" i="1"/>
  <c r="AV101" i="1"/>
  <c r="AV96" i="1"/>
  <c r="AU87" i="1"/>
  <c r="AV67" i="1"/>
  <c r="AV56" i="1"/>
  <c r="AU289" i="1"/>
  <c r="AV289" i="1"/>
  <c r="AU201" i="1"/>
  <c r="AU181" i="1"/>
  <c r="AV181" i="1"/>
  <c r="AW181" i="1"/>
  <c r="AV170" i="1"/>
  <c r="AV51" i="1"/>
  <c r="AV336" i="1"/>
  <c r="AU284" i="1"/>
  <c r="AV279" i="1"/>
  <c r="AV274" i="1"/>
  <c r="AU239" i="1"/>
  <c r="AV121" i="1"/>
  <c r="AU67" i="1"/>
  <c r="AU363" i="1"/>
  <c r="AU233" i="1"/>
  <c r="AV180" i="1"/>
  <c r="AU131" i="1"/>
  <c r="AV131" i="1"/>
  <c r="AV126" i="1"/>
  <c r="AV324" i="1"/>
  <c r="AU132" i="1"/>
  <c r="AU338" i="1"/>
  <c r="AU329" i="1"/>
  <c r="AV315" i="1"/>
  <c r="AU303" i="1"/>
  <c r="AU299" i="1"/>
  <c r="AU277" i="1"/>
  <c r="AU263" i="1"/>
  <c r="AV214" i="1"/>
  <c r="AU352" i="1"/>
  <c r="AV319" i="1"/>
  <c r="AU177" i="1"/>
  <c r="AV127" i="1"/>
  <c r="AU123" i="1"/>
  <c r="AU90" i="1"/>
  <c r="AU30" i="1"/>
  <c r="AV365" i="1"/>
  <c r="AV276" i="1"/>
  <c r="AU249" i="1"/>
  <c r="AU186" i="1"/>
  <c r="AU34" i="1"/>
  <c r="AU24" i="1"/>
  <c r="AU8" i="1"/>
  <c r="AU294" i="1"/>
  <c r="AV140" i="1"/>
  <c r="AU70" i="1"/>
  <c r="AW230" i="1"/>
  <c r="AU172" i="1"/>
  <c r="AV122" i="1"/>
  <c r="AU323" i="1"/>
  <c r="AU310" i="1"/>
  <c r="AU248" i="1"/>
  <c r="AU244" i="1"/>
  <c r="AU147" i="1"/>
  <c r="AV135" i="1"/>
  <c r="AU117" i="1"/>
  <c r="AV239" i="1"/>
  <c r="AV198" i="1"/>
  <c r="AU350" i="1"/>
  <c r="AU340" i="1"/>
  <c r="AU247" i="1"/>
  <c r="AV247" i="1"/>
  <c r="AW247" i="1"/>
  <c r="AV350" i="1"/>
  <c r="AW350" i="1"/>
  <c r="AV340" i="1"/>
  <c r="AW340" i="1"/>
  <c r="AU317" i="1"/>
  <c r="AU223" i="1"/>
  <c r="AV223" i="1"/>
  <c r="AW223" i="1"/>
  <c r="AU358" i="1"/>
  <c r="AV345" i="1"/>
  <c r="AW345" i="1"/>
  <c r="AU313" i="1"/>
  <c r="AU288" i="1"/>
  <c r="AU238" i="1"/>
  <c r="AU228" i="1"/>
  <c r="AV228" i="1"/>
  <c r="AW228" i="1"/>
  <c r="AU216" i="1"/>
  <c r="AV216" i="1"/>
  <c r="AW216" i="1"/>
  <c r="AV188" i="1"/>
  <c r="AU349" i="1"/>
  <c r="AV335" i="1"/>
  <c r="AW335" i="1"/>
  <c r="AU279" i="1"/>
  <c r="AU242" i="1"/>
  <c r="AV242" i="1"/>
  <c r="AW242" i="1"/>
  <c r="AV222" i="1"/>
  <c r="AV330" i="1"/>
  <c r="AW330" i="1"/>
  <c r="AV233" i="1"/>
  <c r="AW233" i="1"/>
  <c r="AU353" i="1"/>
  <c r="AU325" i="1"/>
  <c r="AU308" i="1"/>
  <c r="AU283" i="1"/>
  <c r="AW264" i="1"/>
  <c r="AU237" i="1"/>
  <c r="AV237" i="1"/>
  <c r="AW237" i="1"/>
  <c r="AU348" i="1"/>
  <c r="AV325" i="1"/>
  <c r="AW325" i="1"/>
  <c r="AU264" i="1"/>
  <c r="AV264" i="1"/>
  <c r="AU221" i="1"/>
  <c r="AV221" i="1"/>
  <c r="AW221" i="1"/>
  <c r="AU215" i="1"/>
  <c r="AV215" i="1"/>
  <c r="AW215" i="1"/>
  <c r="AU343" i="1"/>
  <c r="AU320" i="1"/>
  <c r="AU273" i="1"/>
  <c r="AU259" i="1"/>
  <c r="AV259" i="1"/>
  <c r="AV320" i="1"/>
  <c r="AW320" i="1"/>
  <c r="AU307" i="1"/>
  <c r="AU282" i="1"/>
  <c r="AU268" i="1"/>
  <c r="AV254" i="1"/>
  <c r="AU226" i="1"/>
  <c r="AV226" i="1"/>
  <c r="AW226" i="1"/>
  <c r="AU220" i="1"/>
  <c r="AV220" i="1"/>
  <c r="AW220" i="1"/>
  <c r="AU342" i="1"/>
  <c r="AU272" i="1"/>
  <c r="AU258" i="1"/>
  <c r="AU231" i="1"/>
  <c r="AV231" i="1"/>
  <c r="AW231" i="1"/>
  <c r="AU337" i="1"/>
  <c r="AU302" i="1"/>
  <c r="AU262" i="1"/>
  <c r="AU253" i="1"/>
  <c r="AU225" i="1"/>
  <c r="AV225" i="1"/>
  <c r="AW225" i="1"/>
  <c r="AV213" i="1"/>
  <c r="AU360" i="1"/>
  <c r="AU332" i="1"/>
  <c r="AV244" i="1"/>
  <c r="AV208" i="1"/>
  <c r="AV360" i="1"/>
  <c r="AW360" i="1"/>
  <c r="AU218" i="1"/>
  <c r="AV218" i="1"/>
  <c r="AW218" i="1"/>
  <c r="AU364" i="1"/>
  <c r="AV355" i="1"/>
  <c r="AW355" i="1"/>
  <c r="AU327" i="1"/>
  <c r="AU297" i="1"/>
  <c r="AU252" i="1"/>
  <c r="AV252" i="1"/>
  <c r="AW252" i="1"/>
  <c r="AW365" i="1"/>
  <c r="AW315" i="1"/>
  <c r="AW310" i="1"/>
  <c r="AW305" i="1"/>
  <c r="AW300" i="1"/>
  <c r="AW295" i="1"/>
  <c r="AW290" i="1"/>
  <c r="AW285" i="1"/>
  <c r="AW280" i="1"/>
  <c r="AW275" i="1"/>
  <c r="AW270" i="1"/>
  <c r="AW265" i="1"/>
  <c r="AW260" i="1"/>
  <c r="AW255" i="1"/>
  <c r="AW250" i="1"/>
  <c r="AW245" i="1"/>
  <c r="AW240" i="1"/>
  <c r="AW235" i="1"/>
  <c r="AU193" i="1"/>
  <c r="AW193" i="1"/>
  <c r="AU155" i="1"/>
  <c r="AW155" i="1"/>
  <c r="AV102" i="1"/>
  <c r="AW102" i="1"/>
  <c r="AV97" i="1"/>
  <c r="AW97" i="1"/>
  <c r="AU59" i="1"/>
  <c r="AU38" i="1"/>
  <c r="AU12" i="1"/>
  <c r="AV12" i="1"/>
  <c r="AW12" i="1"/>
  <c r="AV295" i="1"/>
  <c r="AV290" i="1"/>
  <c r="AV285" i="1"/>
  <c r="AV280" i="1"/>
  <c r="AV275" i="1"/>
  <c r="AV270" i="1"/>
  <c r="AV265" i="1"/>
  <c r="AV260" i="1"/>
  <c r="AV255" i="1"/>
  <c r="AV250" i="1"/>
  <c r="AV245" i="1"/>
  <c r="AV240" i="1"/>
  <c r="AV235" i="1"/>
  <c r="AU204" i="1"/>
  <c r="AV204" i="1"/>
  <c r="AW204" i="1"/>
  <c r="AU189" i="1"/>
  <c r="AV189" i="1"/>
  <c r="AW189" i="1"/>
  <c r="AU162" i="1"/>
  <c r="AU146" i="1"/>
  <c r="AW146" i="1"/>
  <c r="AU17" i="1"/>
  <c r="AV17" i="1"/>
  <c r="AW17" i="1"/>
  <c r="AU170" i="1"/>
  <c r="AW170" i="1"/>
  <c r="AU134" i="1"/>
  <c r="AV134" i="1"/>
  <c r="AW134" i="1"/>
  <c r="AU130" i="1"/>
  <c r="AV130" i="1"/>
  <c r="AW130" i="1"/>
  <c r="AU43" i="1"/>
  <c r="AU22" i="1"/>
  <c r="AV22" i="1"/>
  <c r="AW22" i="1"/>
  <c r="AU217" i="1"/>
  <c r="AW217" i="1"/>
  <c r="AU214" i="1"/>
  <c r="AW214" i="1"/>
  <c r="AU185" i="1"/>
  <c r="AW185" i="1"/>
  <c r="AU158" i="1"/>
  <c r="AV158" i="1"/>
  <c r="AW158" i="1"/>
  <c r="AU154" i="1"/>
  <c r="AV154" i="1"/>
  <c r="AW154" i="1"/>
  <c r="AU138" i="1"/>
  <c r="AV138" i="1"/>
  <c r="AW138" i="1"/>
  <c r="AU27" i="1"/>
  <c r="AV27" i="1"/>
  <c r="AW27" i="1"/>
  <c r="AW362" i="1"/>
  <c r="AW357" i="1"/>
  <c r="AW352" i="1"/>
  <c r="AW347" i="1"/>
  <c r="AW342" i="1"/>
  <c r="AW337" i="1"/>
  <c r="AW332" i="1"/>
  <c r="AW327" i="1"/>
  <c r="AW322" i="1"/>
  <c r="AW317" i="1"/>
  <c r="AW312" i="1"/>
  <c r="AW307" i="1"/>
  <c r="AW302" i="1"/>
  <c r="AW297" i="1"/>
  <c r="AW292" i="1"/>
  <c r="AW287" i="1"/>
  <c r="AW282" i="1"/>
  <c r="AW277" i="1"/>
  <c r="AW272" i="1"/>
  <c r="AW267" i="1"/>
  <c r="AW262" i="1"/>
  <c r="AW257" i="1"/>
  <c r="AU232" i="1"/>
  <c r="AW232" i="1"/>
  <c r="AU229" i="1"/>
  <c r="AW229" i="1"/>
  <c r="AU207" i="1"/>
  <c r="AU200" i="1"/>
  <c r="AW200" i="1"/>
  <c r="AU173" i="1"/>
  <c r="AW173" i="1"/>
  <c r="AU37" i="1"/>
  <c r="AV37" i="1"/>
  <c r="AW37" i="1"/>
  <c r="AV362" i="1"/>
  <c r="AV357" i="1"/>
  <c r="AV352" i="1"/>
  <c r="AV347" i="1"/>
  <c r="AV342" i="1"/>
  <c r="AV337" i="1"/>
  <c r="AV332" i="1"/>
  <c r="AV327" i="1"/>
  <c r="AV322" i="1"/>
  <c r="AV317" i="1"/>
  <c r="AV312" i="1"/>
  <c r="AV307" i="1"/>
  <c r="AV302" i="1"/>
  <c r="AV297" i="1"/>
  <c r="AV292" i="1"/>
  <c r="AV287" i="1"/>
  <c r="AV267" i="1"/>
  <c r="AV262" i="1"/>
  <c r="AV257" i="1"/>
  <c r="AU192" i="1"/>
  <c r="AU150" i="1"/>
  <c r="AW150" i="1"/>
  <c r="AU129" i="1"/>
  <c r="AV129" i="1"/>
  <c r="AW129" i="1"/>
  <c r="AU125" i="1"/>
  <c r="AV125" i="1"/>
  <c r="AW125" i="1"/>
  <c r="AU82" i="1"/>
  <c r="AU77" i="1"/>
  <c r="AU72" i="1"/>
  <c r="AU203" i="1"/>
  <c r="AW203" i="1"/>
  <c r="AU188" i="1"/>
  <c r="AW188" i="1"/>
  <c r="AU169" i="1"/>
  <c r="AV169" i="1"/>
  <c r="AW169" i="1"/>
  <c r="AV82" i="1"/>
  <c r="AW82" i="1"/>
  <c r="AV77" i="1"/>
  <c r="AW77" i="1"/>
  <c r="AV72" i="1"/>
  <c r="AW72" i="1"/>
  <c r="AU42" i="1"/>
  <c r="AV42" i="1"/>
  <c r="AW42" i="1"/>
  <c r="AW206" i="1"/>
  <c r="AU184" i="1"/>
  <c r="AV184" i="1"/>
  <c r="AW184" i="1"/>
  <c r="AU165" i="1"/>
  <c r="AW165" i="1"/>
  <c r="AU157" i="1"/>
  <c r="AU137" i="1"/>
  <c r="AU62" i="1"/>
  <c r="AV57" i="1"/>
  <c r="AW57" i="1"/>
  <c r="AU5" i="1"/>
  <c r="AW364" i="1"/>
  <c r="AW359" i="1"/>
  <c r="AW354" i="1"/>
  <c r="AW349" i="1"/>
  <c r="AW344" i="1"/>
  <c r="AW339" i="1"/>
  <c r="AW334" i="1"/>
  <c r="AW329" i="1"/>
  <c r="AW324" i="1"/>
  <c r="AW319" i="1"/>
  <c r="AW314" i="1"/>
  <c r="AW309" i="1"/>
  <c r="AW304" i="1"/>
  <c r="AW299" i="1"/>
  <c r="AW294" i="1"/>
  <c r="AW289" i="1"/>
  <c r="AW284" i="1"/>
  <c r="AW279" i="1"/>
  <c r="AW274" i="1"/>
  <c r="AW269" i="1"/>
  <c r="AW254" i="1"/>
  <c r="AW249" i="1"/>
  <c r="AW244" i="1"/>
  <c r="AW239" i="1"/>
  <c r="AV234" i="1"/>
  <c r="AU210" i="1"/>
  <c r="AW210" i="1"/>
  <c r="AV206" i="1"/>
  <c r="AU199" i="1"/>
  <c r="AV199" i="1"/>
  <c r="AW199" i="1"/>
  <c r="AU153" i="1"/>
  <c r="AV153" i="1"/>
  <c r="AW153" i="1"/>
  <c r="AU149" i="1"/>
  <c r="AV149" i="1"/>
  <c r="AW149" i="1"/>
  <c r="AU124" i="1"/>
  <c r="AV124" i="1"/>
  <c r="AW124" i="1"/>
  <c r="AV62" i="1"/>
  <c r="AW62" i="1"/>
  <c r="AU47" i="1"/>
  <c r="AV47" i="1"/>
  <c r="AW47" i="1"/>
  <c r="AU180" i="1"/>
  <c r="AW180" i="1"/>
  <c r="AU145" i="1"/>
  <c r="AW145" i="1"/>
  <c r="AU222" i="1"/>
  <c r="AW222" i="1"/>
  <c r="AU219" i="1"/>
  <c r="AW219" i="1"/>
  <c r="AU213" i="1"/>
  <c r="AU195" i="1"/>
  <c r="AW195" i="1"/>
  <c r="AU15" i="1"/>
  <c r="AU202" i="1"/>
  <c r="AU187" i="1"/>
  <c r="AU168" i="1"/>
  <c r="AW168" i="1"/>
  <c r="AU164" i="1"/>
  <c r="AV164" i="1"/>
  <c r="AW164" i="1"/>
  <c r="AU20" i="1"/>
  <c r="AU4" i="1"/>
  <c r="AW361" i="1"/>
  <c r="AW356" i="1"/>
  <c r="AW351" i="1"/>
  <c r="AW346" i="1"/>
  <c r="AW341" i="1"/>
  <c r="AW336" i="1"/>
  <c r="AW331" i="1"/>
  <c r="AW326" i="1"/>
  <c r="AW321" i="1"/>
  <c r="AW316" i="1"/>
  <c r="AW311" i="1"/>
  <c r="AW306" i="1"/>
  <c r="AW301" i="1"/>
  <c r="AW296" i="1"/>
  <c r="AW291" i="1"/>
  <c r="AW286" i="1"/>
  <c r="AW281" i="1"/>
  <c r="AW276" i="1"/>
  <c r="AW271" i="1"/>
  <c r="AW266" i="1"/>
  <c r="AW261" i="1"/>
  <c r="AU183" i="1"/>
  <c r="AW183" i="1"/>
  <c r="AU152" i="1"/>
  <c r="AU144" i="1"/>
  <c r="AV144" i="1"/>
  <c r="AW144" i="1"/>
  <c r="AU35" i="1"/>
  <c r="AU25" i="1"/>
  <c r="AU9" i="1"/>
  <c r="AU209" i="1"/>
  <c r="AW209" i="1"/>
  <c r="AU198" i="1"/>
  <c r="AW198" i="1"/>
  <c r="AU179" i="1"/>
  <c r="AV179" i="1"/>
  <c r="AW179" i="1"/>
  <c r="AU148" i="1"/>
  <c r="AV148" i="1"/>
  <c r="AW148" i="1"/>
  <c r="AU118" i="1"/>
  <c r="AU114" i="1"/>
  <c r="AU109" i="1"/>
  <c r="AU104" i="1"/>
  <c r="AU99" i="1"/>
  <c r="AU94" i="1"/>
  <c r="AU194" i="1"/>
  <c r="AV194" i="1"/>
  <c r="AW194" i="1"/>
  <c r="AU19" i="1"/>
  <c r="AU212" i="1"/>
  <c r="AW212" i="1"/>
  <c r="AU175" i="1"/>
  <c r="AW175" i="1"/>
  <c r="AU160" i="1"/>
  <c r="AW160" i="1"/>
  <c r="AU140" i="1"/>
  <c r="AW140" i="1"/>
  <c r="AU3" i="1"/>
  <c r="AV3" i="1"/>
  <c r="AW3" i="1"/>
  <c r="AW363" i="1"/>
  <c r="AW358" i="1"/>
  <c r="AW353" i="1"/>
  <c r="AW348" i="1"/>
  <c r="AW343" i="1"/>
  <c r="AW338" i="1"/>
  <c r="AW333" i="1"/>
  <c r="AW328" i="1"/>
  <c r="AW323" i="1"/>
  <c r="AW318" i="1"/>
  <c r="AW313" i="1"/>
  <c r="AW308" i="1"/>
  <c r="AW303" i="1"/>
  <c r="AW298" i="1"/>
  <c r="AW293" i="1"/>
  <c r="AW288" i="1"/>
  <c r="AW283" i="1"/>
  <c r="AW278" i="1"/>
  <c r="AW273" i="1"/>
  <c r="AW268" i="1"/>
  <c r="AW263" i="1"/>
  <c r="AW258" i="1"/>
  <c r="AW253" i="1"/>
  <c r="AW248" i="1"/>
  <c r="AW243" i="1"/>
  <c r="AW238" i="1"/>
  <c r="AV230" i="1"/>
  <c r="AW208" i="1"/>
  <c r="AU55" i="1"/>
  <c r="AU45" i="1"/>
  <c r="AV363" i="1"/>
  <c r="AV358" i="1"/>
  <c r="AV353" i="1"/>
  <c r="AV348" i="1"/>
  <c r="AV343" i="1"/>
  <c r="AV338" i="1"/>
  <c r="AV333" i="1"/>
  <c r="AV328" i="1"/>
  <c r="AV323" i="1"/>
  <c r="AV318" i="1"/>
  <c r="AV313" i="1"/>
  <c r="AV308" i="1"/>
  <c r="AV303" i="1"/>
  <c r="AV298" i="1"/>
  <c r="AV293" i="1"/>
  <c r="AV288" i="1"/>
  <c r="AV283" i="1"/>
  <c r="AV278" i="1"/>
  <c r="AV273" i="1"/>
  <c r="AV268" i="1"/>
  <c r="AV263" i="1"/>
  <c r="AV258" i="1"/>
  <c r="AV253" i="1"/>
  <c r="AV248" i="1"/>
  <c r="AV243" i="1"/>
  <c r="AV238" i="1"/>
  <c r="AU227" i="1"/>
  <c r="AW227" i="1"/>
  <c r="AU224" i="1"/>
  <c r="AW224" i="1"/>
  <c r="AU205" i="1"/>
  <c r="AW205" i="1"/>
  <c r="AV193" i="1"/>
  <c r="AU190" i="1"/>
  <c r="AW190" i="1"/>
  <c r="AU182" i="1"/>
  <c r="AU163" i="1"/>
  <c r="AW163" i="1"/>
  <c r="AV155" i="1"/>
  <c r="AU143" i="1"/>
  <c r="AV143" i="1"/>
  <c r="AW143" i="1"/>
  <c r="AU60" i="1"/>
  <c r="AU39" i="1"/>
  <c r="AU18" i="1"/>
  <c r="AW211" i="1"/>
  <c r="AU197" i="1"/>
  <c r="AU178" i="1"/>
  <c r="AW178" i="1"/>
  <c r="AW166" i="1"/>
  <c r="AU159" i="1"/>
  <c r="AV159" i="1"/>
  <c r="AW159" i="1"/>
  <c r="AU139" i="1"/>
  <c r="AV139" i="1"/>
  <c r="AW139" i="1"/>
  <c r="AU65" i="1"/>
  <c r="AU33" i="1"/>
  <c r="AU23" i="1"/>
  <c r="AU2" i="1"/>
  <c r="AV2" i="1"/>
  <c r="AW2" i="1"/>
  <c r="AU208" i="1"/>
  <c r="AU174" i="1"/>
  <c r="AV174" i="1"/>
  <c r="AW174" i="1"/>
  <c r="AU135" i="1"/>
  <c r="AW135" i="1"/>
  <c r="AU112" i="1"/>
  <c r="AU107" i="1"/>
  <c r="AU102" i="1"/>
  <c r="AU97" i="1"/>
  <c r="AU88" i="1"/>
  <c r="AU84" i="1"/>
  <c r="AU79" i="1"/>
  <c r="AU74" i="1"/>
  <c r="AU69" i="1"/>
  <c r="AU54" i="1"/>
  <c r="AU44" i="1"/>
  <c r="AU28" i="1"/>
  <c r="AU7" i="1"/>
  <c r="AV7" i="1"/>
  <c r="AW7" i="1"/>
  <c r="AW141" i="1"/>
  <c r="AW136" i="1"/>
  <c r="AW131" i="1"/>
  <c r="AW126" i="1"/>
  <c r="AW121" i="1"/>
  <c r="AW116" i="1"/>
  <c r="AW111" i="1"/>
  <c r="AW106" i="1"/>
  <c r="AW101" i="1"/>
  <c r="AW96" i="1"/>
  <c r="AW91" i="1"/>
  <c r="AW86" i="1"/>
  <c r="AW81" i="1"/>
  <c r="AW76" i="1"/>
  <c r="AW71" i="1"/>
  <c r="AW66" i="1"/>
  <c r="AW61" i="1"/>
  <c r="AW56" i="1"/>
  <c r="AW51" i="1"/>
  <c r="AW46" i="1"/>
  <c r="AW41" i="1"/>
  <c r="AW36" i="1"/>
  <c r="AW31" i="1"/>
  <c r="AW26" i="1"/>
  <c r="AW21" i="1"/>
  <c r="AW16" i="1"/>
  <c r="AW11" i="1"/>
  <c r="AW6" i="1"/>
  <c r="AV46" i="1"/>
  <c r="AV41" i="1"/>
  <c r="AV36" i="1"/>
  <c r="AV31" i="1"/>
  <c r="AV6" i="1"/>
  <c r="AW133" i="1"/>
  <c r="AW128" i="1"/>
  <c r="AW123" i="1"/>
  <c r="AW118" i="1"/>
  <c r="AW113" i="1"/>
  <c r="AW108" i="1"/>
  <c r="AW103" i="1"/>
  <c r="AW98" i="1"/>
  <c r="AW93" i="1"/>
  <c r="AW88" i="1"/>
  <c r="AW83" i="1"/>
  <c r="AW78" i="1"/>
  <c r="AW73" i="1"/>
  <c r="AW68" i="1"/>
  <c r="AW63" i="1"/>
  <c r="AW58" i="1"/>
  <c r="AW53" i="1"/>
  <c r="AW48" i="1"/>
  <c r="AW43" i="1"/>
  <c r="AW38" i="1"/>
  <c r="AW33" i="1"/>
  <c r="AW28" i="1"/>
  <c r="AW23" i="1"/>
  <c r="AW18" i="1"/>
  <c r="AW13" i="1"/>
  <c r="AW8" i="1"/>
  <c r="AV133" i="1"/>
  <c r="AV128" i="1"/>
  <c r="AV123" i="1"/>
  <c r="AV118" i="1"/>
  <c r="AV113" i="1"/>
  <c r="AV108" i="1"/>
  <c r="AV103" i="1"/>
  <c r="AV98" i="1"/>
  <c r="AV93" i="1"/>
  <c r="AV88" i="1"/>
  <c r="AV83" i="1"/>
  <c r="AV78" i="1"/>
  <c r="AV73" i="1"/>
  <c r="AV68" i="1"/>
  <c r="AV63" i="1"/>
  <c r="AV58" i="1"/>
  <c r="AV53" i="1"/>
  <c r="AV48" i="1"/>
  <c r="AV43" i="1"/>
  <c r="AV38" i="1"/>
  <c r="AV33" i="1"/>
  <c r="AV28" i="1"/>
  <c r="AV23" i="1"/>
  <c r="AV18" i="1"/>
  <c r="AV13" i="1"/>
  <c r="AV8" i="1"/>
  <c r="AW120" i="1"/>
  <c r="AW115" i="1"/>
  <c r="AW110" i="1"/>
  <c r="AW105" i="1"/>
  <c r="AW100" i="1"/>
  <c r="AW95" i="1"/>
  <c r="AW90" i="1"/>
  <c r="AW85" i="1"/>
  <c r="AW80" i="1"/>
  <c r="AW75" i="1"/>
  <c r="AW70" i="1"/>
  <c r="AW65" i="1"/>
  <c r="AW60" i="1"/>
  <c r="AW55" i="1"/>
  <c r="AW50" i="1"/>
  <c r="AW45" i="1"/>
  <c r="AW40" i="1"/>
  <c r="AW35" i="1"/>
  <c r="AW30" i="1"/>
  <c r="AW25" i="1"/>
  <c r="AW20" i="1"/>
  <c r="AW15" i="1"/>
  <c r="AW10" i="1"/>
  <c r="AW5" i="1"/>
  <c r="AV120" i="1"/>
  <c r="AV115" i="1"/>
  <c r="AV110" i="1"/>
  <c r="AV105" i="1"/>
  <c r="AV100" i="1"/>
  <c r="AV95" i="1"/>
  <c r="AV90" i="1"/>
  <c r="AV85" i="1"/>
  <c r="AV80" i="1"/>
  <c r="AV75" i="1"/>
  <c r="AV70" i="1"/>
  <c r="AV65" i="1"/>
  <c r="AV60" i="1"/>
  <c r="AV55" i="1"/>
  <c r="AV50" i="1"/>
  <c r="AV45" i="1"/>
  <c r="AV40" i="1"/>
  <c r="AV35" i="1"/>
  <c r="AV30" i="1"/>
  <c r="AV25" i="1"/>
  <c r="AV20" i="1"/>
  <c r="AV15" i="1"/>
  <c r="AV5" i="1"/>
  <c r="AW207" i="1"/>
  <c r="AW202" i="1"/>
  <c r="AW197" i="1"/>
  <c r="AW192" i="1"/>
  <c r="AW187" i="1"/>
  <c r="AW182" i="1"/>
  <c r="AW177" i="1"/>
  <c r="AW172" i="1"/>
  <c r="AW167" i="1"/>
  <c r="AW162" i="1"/>
  <c r="AW157" i="1"/>
  <c r="AW152" i="1"/>
  <c r="AW147" i="1"/>
  <c r="AW142" i="1"/>
  <c r="AW137" i="1"/>
  <c r="AW132" i="1"/>
  <c r="AW127" i="1"/>
  <c r="AW122" i="1"/>
  <c r="AW117" i="1"/>
  <c r="AW112" i="1"/>
  <c r="AW107" i="1"/>
  <c r="AW32" i="1"/>
  <c r="AW119" i="1"/>
  <c r="AW114" i="1"/>
  <c r="AW109" i="1"/>
  <c r="AW104" i="1"/>
  <c r="AW99" i="1"/>
  <c r="AW94" i="1"/>
  <c r="AW89" i="1"/>
  <c r="AW84" i="1"/>
  <c r="AW79" i="1"/>
  <c r="AW74" i="1"/>
  <c r="AW69" i="1"/>
  <c r="AW64" i="1"/>
  <c r="AW59" i="1"/>
  <c r="AW54" i="1"/>
  <c r="AW49" i="1"/>
  <c r="AW44" i="1"/>
  <c r="AW39" i="1"/>
  <c r="AW34" i="1"/>
  <c r="AW29" i="1"/>
  <c r="AW24" i="1"/>
  <c r="AW19" i="1"/>
  <c r="AW14" i="1"/>
  <c r="AW9" i="1"/>
  <c r="AW4" i="1"/>
  <c r="AV119" i="1"/>
  <c r="AV114" i="1"/>
  <c r="AV109" i="1"/>
  <c r="AV104" i="1"/>
  <c r="AV99" i="1"/>
  <c r="AV94" i="1"/>
  <c r="AV89" i="1"/>
  <c r="AV84" i="1"/>
  <c r="AV79" i="1"/>
  <c r="AV74" i="1"/>
  <c r="AV69" i="1"/>
  <c r="AV64" i="1"/>
  <c r="AV59" i="1"/>
  <c r="AV54" i="1"/>
  <c r="AV49" i="1"/>
  <c r="AV44" i="1"/>
  <c r="AV39" i="1"/>
  <c r="AV34" i="1"/>
  <c r="AV29" i="1"/>
  <c r="AV24" i="1"/>
  <c r="AV19" i="1"/>
  <c r="AV14" i="1"/>
  <c r="AV9" i="1"/>
  <c r="AV4" i="1"/>
</calcChain>
</file>

<file path=xl/sharedStrings.xml><?xml version="1.0" encoding="utf-8"?>
<sst xmlns="http://schemas.openxmlformats.org/spreadsheetml/2006/main" count="6491" uniqueCount="4098">
  <si>
    <t>National Aeronautics and Space Administration</t>
  </si>
  <si>
    <t>undefined</t>
  </si>
  <si>
    <t>NASA</t>
  </si>
  <si>
    <t>Journal</t>
  </si>
  <si>
    <t>United States</t>
  </si>
  <si>
    <t>Article</t>
  </si>
  <si>
    <t>ar</t>
  </si>
  <si>
    <t>n</t>
  </si>
  <si>
    <t>Japan;Japan</t>
  </si>
  <si>
    <t>Germany</t>
  </si>
  <si>
    <t>Fasoli A.</t>
  </si>
  <si>
    <t>Sweden</t>
  </si>
  <si>
    <t>United Kingdom;United Kingdom</t>
  </si>
  <si>
    <t>United States;United States</t>
  </si>
  <si>
    <t>Japan</t>
  </si>
  <si>
    <t>Tsukuba</t>
  </si>
  <si>
    <t>University of Tsukuba</t>
  </si>
  <si>
    <t>Netherlands;United Kingdom</t>
  </si>
  <si>
    <t>United States;United States;United States</t>
  </si>
  <si>
    <t>Spain</t>
  </si>
  <si>
    <t>Canada</t>
  </si>
  <si>
    <t>Applied Physics Letters</t>
  </si>
  <si>
    <t>Plasma Physics and Controlled Fusion</t>
  </si>
  <si>
    <t>60014256;60014256;60014256</t>
  </si>
  <si>
    <t>Photosynthesis Research</t>
  </si>
  <si>
    <t>Ukraine</t>
  </si>
  <si>
    <t>Kharkiv</t>
  </si>
  <si>
    <t>60030318;60030318</t>
  </si>
  <si>
    <t>6603938126;56273868100</t>
  </si>
  <si>
    <t>Melone, Giulio;Ricci, Claudia</t>
  </si>
  <si>
    <t>Italy</t>
  </si>
  <si>
    <t>Milan</t>
  </si>
  <si>
    <t>Universit√† degli Studi di Milano</t>
  </si>
  <si>
    <t>Melone G.</t>
  </si>
  <si>
    <t>Australia</t>
  </si>
  <si>
    <t>Development</t>
  </si>
  <si>
    <t>Melbourne</t>
  </si>
  <si>
    <t>United Kingdom</t>
  </si>
  <si>
    <t>Cardiff</t>
  </si>
  <si>
    <t>Cardiff University</t>
  </si>
  <si>
    <t>Netherlands</t>
  </si>
  <si>
    <t>London</t>
  </si>
  <si>
    <t>University College London</t>
  </si>
  <si>
    <t>Lund</t>
  </si>
  <si>
    <t>Lunds Universitet</t>
  </si>
  <si>
    <t>Hess S.</t>
  </si>
  <si>
    <t>60010065;60010065;60010065</t>
  </si>
  <si>
    <t>Tucson</t>
  </si>
  <si>
    <t>The University of Arizona</t>
  </si>
  <si>
    <t>Tempe</t>
  </si>
  <si>
    <t>Arizona State University</t>
  </si>
  <si>
    <t>France;France</t>
  </si>
  <si>
    <t>;;;;;</t>
  </si>
  <si>
    <t>National Science Foundation</t>
  </si>
  <si>
    <t>NSF</t>
  </si>
  <si>
    <t>Princeton</t>
  </si>
  <si>
    <t>Journal of Biological Chemistry</t>
  </si>
  <si>
    <t>Imperial College London</t>
  </si>
  <si>
    <t>Russian Federation</t>
  </si>
  <si>
    <t>Moscow</t>
  </si>
  <si>
    <t>0302766X</t>
  </si>
  <si>
    <t>87-93</t>
  </si>
  <si>
    <t>Russian Foundation for Basic Research</t>
  </si>
  <si>
    <t>94-04-12779</t>
  </si>
  <si>
    <t>RFBR</t>
  </si>
  <si>
    <t>7004238663;6603794637</t>
  </si>
  <si>
    <t>Novoderezhkin V.</t>
  </si>
  <si>
    <t>Switzerland</t>
  </si>
  <si>
    <t>India</t>
  </si>
  <si>
    <t>Mumbai</t>
  </si>
  <si>
    <t>Tata Institute of Fundamental Research, Mumbai</t>
  </si>
  <si>
    <t>West Lafayette</t>
  </si>
  <si>
    <t>Purdue University</t>
  </si>
  <si>
    <t>;</t>
  </si>
  <si>
    <t>Norway</t>
  </si>
  <si>
    <t>Italy;Italy</t>
  </si>
  <si>
    <t>Natural Sciences and Engineering Research Council of Canada</t>
  </si>
  <si>
    <t>NSERC</t>
  </si>
  <si>
    <t>Smith D.</t>
  </si>
  <si>
    <t>France</t>
  </si>
  <si>
    <t>Paris</t>
  </si>
  <si>
    <t>Greece</t>
  </si>
  <si>
    <t>Fukuoka</t>
  </si>
  <si>
    <t>Journal of Chemical Ecology</t>
  </si>
  <si>
    <t>Plant Molecular Biology</t>
  </si>
  <si>
    <t>Oak Ridge</t>
  </si>
  <si>
    <t>Oak Ridge National Laboratory</t>
  </si>
  <si>
    <t>Lee J.</t>
  </si>
  <si>
    <t>Wang J.</t>
  </si>
  <si>
    <t>Turkey</t>
  </si>
  <si>
    <t>Journal of Comparative Physiology A</t>
  </si>
  <si>
    <t>Novoderezhkin, Vladimir I.;Razjivin, Andrei P.</t>
  </si>
  <si>
    <t>Russian Federation;Russian Federation</t>
  </si>
  <si>
    <t>Moscow;Moscow</t>
  </si>
  <si>
    <t>Russian Academy of Sciences;Lomonosov Moscow State University</t>
  </si>
  <si>
    <t>60021331;60007457</t>
  </si>
  <si>
    <t>Lowell</t>
  </si>
  <si>
    <t>Journal of Communications Technology and Electronics</t>
  </si>
  <si>
    <t>;;;</t>
  </si>
  <si>
    <t>80-88</t>
  </si>
  <si>
    <t>Amherst MA</t>
  </si>
  <si>
    <t>University of Massachusetts Amherst</t>
  </si>
  <si>
    <t>Colorado Springs</t>
  </si>
  <si>
    <t>Wu Q.</t>
  </si>
  <si>
    <t>60030000;60030000</t>
  </si>
  <si>
    <t>Sydney</t>
  </si>
  <si>
    <t>CSIRO Industrial Physics</t>
  </si>
  <si>
    <t>;;</t>
  </si>
  <si>
    <t>Armizonov A.</t>
  </si>
  <si>
    <t>Brazil</t>
  </si>
  <si>
    <t>;;;;</t>
  </si>
  <si>
    <t>Sweden;Sweden</t>
  </si>
  <si>
    <t>89-93</t>
  </si>
  <si>
    <t>Cambridge</t>
  </si>
  <si>
    <t>Massachusetts Institute of Technology</t>
  </si>
  <si>
    <t>Denmark</t>
  </si>
  <si>
    <t>Herscovici N.</t>
  </si>
  <si>
    <t>17-26</t>
  </si>
  <si>
    <t>International Journal of Wireless Information Networks</t>
  </si>
  <si>
    <t>China;China</t>
  </si>
  <si>
    <t>0018926X</t>
  </si>
  <si>
    <t>IEEE Transactions on Antennas and Propagation</t>
  </si>
  <si>
    <t>Microwave Journal</t>
  </si>
  <si>
    <t>McLean</t>
  </si>
  <si>
    <t>MITRE Corporation</t>
  </si>
  <si>
    <t>Chiba</t>
  </si>
  <si>
    <t>Chiba University</t>
  </si>
  <si>
    <t>Telecommunications and Radio Engineering (English translation of Elektrosvyaz and Radiotekhnika)</t>
  </si>
  <si>
    <t>117-119</t>
  </si>
  <si>
    <t>Finland</t>
  </si>
  <si>
    <t>Espoo</t>
  </si>
  <si>
    <t>Montreal</t>
  </si>
  <si>
    <t>University of Montreal</t>
  </si>
  <si>
    <t>60013983;60013983</t>
  </si>
  <si>
    <t>Hong Kong</t>
  </si>
  <si>
    <t>Kowloon</t>
  </si>
  <si>
    <t>City University of Hong Kong</t>
  </si>
  <si>
    <t>Blacksburg</t>
  </si>
  <si>
    <t>Virginia Polytechnic Institute and State University</t>
  </si>
  <si>
    <t>Modelling, Measurement and Control A</t>
  </si>
  <si>
    <t>60005429;60005429</t>
  </si>
  <si>
    <t>Taiwan</t>
  </si>
  <si>
    <t>Taipei</t>
  </si>
  <si>
    <t>National Taiwan University</t>
  </si>
  <si>
    <t>Israel</t>
  </si>
  <si>
    <t>South Africa</t>
  </si>
  <si>
    <t>Pretoria</t>
  </si>
  <si>
    <t>University of Pretoria</t>
  </si>
  <si>
    <t>19-22</t>
  </si>
  <si>
    <t>132-136</t>
  </si>
  <si>
    <t>New Delhi</t>
  </si>
  <si>
    <t>Shimizu T.</t>
  </si>
  <si>
    <t>Schaumburg</t>
  </si>
  <si>
    <t>Motorola</t>
  </si>
  <si>
    <t>60011357;60011357</t>
  </si>
  <si>
    <t>Kaohsiung</t>
  </si>
  <si>
    <t>National Sun Yat-Sen University</t>
  </si>
  <si>
    <t>Irvine;Canoga Park</t>
  </si>
  <si>
    <t>University of California, Irvine;Rockwell International</t>
  </si>
  <si>
    <t>60007278;60003537</t>
  </si>
  <si>
    <t>Hsinchu</t>
  </si>
  <si>
    <t>25-30</t>
  </si>
  <si>
    <t>Murray</t>
  </si>
  <si>
    <t>Nokia Bell Labs</t>
  </si>
  <si>
    <t>Kalinichev, Victor I.</t>
  </si>
  <si>
    <t>National Research University ‚ÄúMoscow Power Engineering Institute‚Äù</t>
  </si>
  <si>
    <t>Kalinichev V.</t>
  </si>
  <si>
    <t>Turkey;United States</t>
  </si>
  <si>
    <t>Santa Barbara</t>
  </si>
  <si>
    <t>University of California, Santa Barbara</t>
  </si>
  <si>
    <t>Stuttgart</t>
  </si>
  <si>
    <t>Japan;Japan;Japan</t>
  </si>
  <si>
    <t>Tokyo</t>
  </si>
  <si>
    <t>IEEE Transactions on Broadcasting</t>
  </si>
  <si>
    <t>Belgium</t>
  </si>
  <si>
    <t>3000 Leuven</t>
  </si>
  <si>
    <t>KU Leuven</t>
  </si>
  <si>
    <t>60002644;60002644;60002644;60002644</t>
  </si>
  <si>
    <t>Valencia</t>
  </si>
  <si>
    <t>Universitat de Val√®ncia</t>
  </si>
  <si>
    <t>Tainan</t>
  </si>
  <si>
    <t>National Cheng Kung University</t>
  </si>
  <si>
    <t>60027090;60027090</t>
  </si>
  <si>
    <t>China</t>
  </si>
  <si>
    <t>Beijing</t>
  </si>
  <si>
    <t>A-2176</t>
  </si>
  <si>
    <t>Waterloo</t>
  </si>
  <si>
    <t>University of Waterloo</t>
  </si>
  <si>
    <t>MacPhie R.</t>
  </si>
  <si>
    <t>60001271;60001271;60001271</t>
  </si>
  <si>
    <t>Kyoto</t>
  </si>
  <si>
    <t>Advanced Telecommunications Research Institute International (ATR)</t>
  </si>
  <si>
    <t>Takeuchi K.</t>
  </si>
  <si>
    <t>Antar Y.</t>
  </si>
  <si>
    <t>60025555;60025555;60025555</t>
  </si>
  <si>
    <t>Nippon Telegraph and Telephone Corporation</t>
  </si>
  <si>
    <t>Nagoya</t>
  </si>
  <si>
    <t>South Korea</t>
  </si>
  <si>
    <t>60025555;60025555</t>
  </si>
  <si>
    <t>249-256</t>
  </si>
  <si>
    <t>Koganei</t>
  </si>
  <si>
    <t>Japan National Institute of Information and Communications Technology</t>
  </si>
  <si>
    <t>Haupt R.</t>
  </si>
  <si>
    <t>[]</t>
  </si>
  <si>
    <t>27-29</t>
  </si>
  <si>
    <t>7406886947;35460663000</t>
  </si>
  <si>
    <t>Huang C.</t>
  </si>
  <si>
    <t>Kyoto University</t>
  </si>
  <si>
    <t>Sophia Antipolis</t>
  </si>
  <si>
    <t>Laboratoire D'√©lectronique, Antennes et T√©l√©communications</t>
  </si>
  <si>
    <t>Orsay</t>
  </si>
  <si>
    <t>United States Air Force Academy</t>
  </si>
  <si>
    <t>60019722;60019722</t>
  </si>
  <si>
    <t>Munich</t>
  </si>
  <si>
    <t>Technical University of Munich</t>
  </si>
  <si>
    <t>60029445;60029445</t>
  </si>
  <si>
    <t>Minneapolis</t>
  </si>
  <si>
    <t>University of Minnesota Twin Cities</t>
  </si>
  <si>
    <t>Chengdu</t>
  </si>
  <si>
    <t>University of Electronic Science and Technology of China</t>
  </si>
  <si>
    <t>Wang B.</t>
  </si>
  <si>
    <t>Malibu</t>
  </si>
  <si>
    <t>HRL Laboratories</t>
  </si>
  <si>
    <t>Karasik B.</t>
  </si>
  <si>
    <t>55328764600;6701323282;7004480877</t>
  </si>
  <si>
    <t>Cook, G. G.;Khamas, S. K.;Bowling, D. R.</t>
  </si>
  <si>
    <t>Cook G.</t>
  </si>
  <si>
    <t>Australia;Australia</t>
  </si>
  <si>
    <t>Sagamihara</t>
  </si>
  <si>
    <t>JAXA Institute of Space and Astronautical Science</t>
  </si>
  <si>
    <t>Brussels</t>
  </si>
  <si>
    <t>Russian Federation;Netherlands</t>
  </si>
  <si>
    <t>Moscow;Utrecht</t>
  </si>
  <si>
    <t>Kotelnikov Institute of Radioengineering and Electronics (IRE) of Russian Academy of Sciences;SRON Netherlands Institute for Space Research</t>
  </si>
  <si>
    <t>60029225;60001512</t>
  </si>
  <si>
    <t>Pasadena;Pasadena</t>
  </si>
  <si>
    <t>California Institute of Technology;Jet Propulsion Laboratory</t>
  </si>
  <si>
    <t>60031581;60009037</t>
  </si>
  <si>
    <t>IEE Proceedings: Microwaves, Antennas and Propagation</t>
  </si>
  <si>
    <t>Thessaloniki</t>
  </si>
  <si>
    <t>Aristotle University of Thessaloniki</t>
  </si>
  <si>
    <t>Toshiba Corporation</t>
  </si>
  <si>
    <t>60022195;60022195;60022195</t>
  </si>
  <si>
    <t>Issy-les-Moulineaux</t>
  </si>
  <si>
    <t>Orange Labs</t>
  </si>
  <si>
    <t>60012370;60012370</t>
  </si>
  <si>
    <t>National Chiao Tung University</t>
  </si>
  <si>
    <t>Austin</t>
  </si>
  <si>
    <t>The University of Texas at Austin</t>
  </si>
  <si>
    <t>60018279;60018279</t>
  </si>
  <si>
    <t>Yokohama</t>
  </si>
  <si>
    <t>Yokohama National University</t>
  </si>
  <si>
    <t>Rome</t>
  </si>
  <si>
    <t>Poland</t>
  </si>
  <si>
    <t>Warsaw</t>
  </si>
  <si>
    <t>Bengaluru</t>
  </si>
  <si>
    <t>60003892;60003892</t>
  </si>
  <si>
    <t>60020486;60020486;60020486</t>
  </si>
  <si>
    <t>7004056767;7006817889;6507282639</t>
  </si>
  <si>
    <t>Binder, Frank;Calzaferri, Gion;Gfeller, Niklaus</t>
  </si>
  <si>
    <t>Bern</t>
  </si>
  <si>
    <t>University of Bern</t>
  </si>
  <si>
    <t>Binder F.</t>
  </si>
  <si>
    <t>Canada;Canada</t>
  </si>
  <si>
    <t>Seville A.</t>
  </si>
  <si>
    <t>Madison</t>
  </si>
  <si>
    <t>University of Wisconsin-Madison</t>
  </si>
  <si>
    <t>Nanjing</t>
  </si>
  <si>
    <t>32-33</t>
  </si>
  <si>
    <t>South Korea;South Korea</t>
  </si>
  <si>
    <t>7004820882;55510527400</t>
  </si>
  <si>
    <t>Shum, S. M.;Luk, K. M.</t>
  </si>
  <si>
    <t>Shum S.</t>
  </si>
  <si>
    <t>New Zealand</t>
  </si>
  <si>
    <t>Lower Hutt</t>
  </si>
  <si>
    <t>Industrial Research Limited of New Zealand</t>
  </si>
  <si>
    <t>55650871700;16316312700;55510527400</t>
  </si>
  <si>
    <t>Tam, W. Y.;Lai, A. K.Y.;Luk, K. M.</t>
  </si>
  <si>
    <t>Tam W.</t>
  </si>
  <si>
    <t>Choi S.</t>
  </si>
  <si>
    <t>33-40</t>
  </si>
  <si>
    <t>Navarro J.</t>
  </si>
  <si>
    <t>International Journal of Infrared and Millimeter Waves</t>
  </si>
  <si>
    <t>Waltham</t>
  </si>
  <si>
    <t>Raytheon</t>
  </si>
  <si>
    <t>60108318;60108318;60108318;60108318</t>
  </si>
  <si>
    <t>New York</t>
  </si>
  <si>
    <t>NYU Tandon School of Engineering</t>
  </si>
  <si>
    <t>Kyushu University</t>
  </si>
  <si>
    <t>Ueda Y.</t>
  </si>
  <si>
    <t>60015901;60015901</t>
  </si>
  <si>
    <t>Vaughan R.</t>
  </si>
  <si>
    <t>7202017448;7202478023</t>
  </si>
  <si>
    <t>Ithaca</t>
  </si>
  <si>
    <t>Cornell University</t>
  </si>
  <si>
    <t>Vaughan M.</t>
  </si>
  <si>
    <t>Xi'an</t>
  </si>
  <si>
    <t>Aachen</t>
  </si>
  <si>
    <t>60010818;60010818;60010818</t>
  </si>
  <si>
    <t>7201840709;7006753955;56020461500</t>
  </si>
  <si>
    <t>Parker, E. A.;Philips, B.;Langley, R. J.</t>
  </si>
  <si>
    <t>Canterbury</t>
  </si>
  <si>
    <t>University of Kent</t>
  </si>
  <si>
    <t>Parker E.</t>
  </si>
  <si>
    <t>Didcot</t>
  </si>
  <si>
    <t>Rutherford Appleton Laboratory</t>
  </si>
  <si>
    <t>Kingston;Ottawa</t>
  </si>
  <si>
    <t>Royal Military College of Canada;Communications Research Centre</t>
  </si>
  <si>
    <t>60026338;60018714</t>
  </si>
  <si>
    <t>60021859;60021859;60021859</t>
  </si>
  <si>
    <t>Florence</t>
  </si>
  <si>
    <t>Universit√† degli Studi di Firenze</t>
  </si>
  <si>
    <t>60014652;60014652</t>
  </si>
  <si>
    <t>Sapporo</t>
  </si>
  <si>
    <t>Hokkaido University</t>
  </si>
  <si>
    <t>Ishii N.</t>
  </si>
  <si>
    <t>Gorbachev A.</t>
  </si>
  <si>
    <t>Naples</t>
  </si>
  <si>
    <t>313-314</t>
  </si>
  <si>
    <t>60031293;100324345;100324345;101527803;101527803</t>
  </si>
  <si>
    <t>35453082200;7403388429;7202461955;7102921642;7201414810</t>
  </si>
  <si>
    <t>Samukawa, Seiji;Nakagawa, Yukito;Tsukada, Tsutomu;Ueyama, Hiroyuki;Shinohara, Kibatsu</t>
  </si>
  <si>
    <t>Tokyo;Yokohama;Fuchu</t>
  </si>
  <si>
    <t>NEC Corporation;Nihon Koshuha Co., Ltd.;ANELVA Corporation</t>
  </si>
  <si>
    <t>60031293;101527803;100324345</t>
  </si>
  <si>
    <t>Samukawa S.</t>
  </si>
  <si>
    <t>Nizhny Novgorod</t>
  </si>
  <si>
    <t>Lobachevsky State University of Nizhni Novgorod</t>
  </si>
  <si>
    <t>Southall H.</t>
  </si>
  <si>
    <t>Zatman M.</t>
  </si>
  <si>
    <t>Bulgaria</t>
  </si>
  <si>
    <t>Rennes</t>
  </si>
  <si>
    <t>Proceedings of the National Academy of Sciences of the United States of America</t>
  </si>
  <si>
    <t>63-66</t>
  </si>
  <si>
    <t>Wong K.</t>
  </si>
  <si>
    <t>Ghent</t>
  </si>
  <si>
    <t>Universiteit Gent</t>
  </si>
  <si>
    <t>China;Hong Kong</t>
  </si>
  <si>
    <t>Lausanne</t>
  </si>
  <si>
    <t>Swiss Federal Institute of Technology Lausanne</t>
  </si>
  <si>
    <t>EFDA-JET</t>
  </si>
  <si>
    <t>Saint Petersburg (ex Leningrad)</t>
  </si>
  <si>
    <t>Nantes</t>
  </si>
  <si>
    <t>Universit√© de Nantes</t>
  </si>
  <si>
    <t>Faucheux M.</t>
  </si>
  <si>
    <t>Garching bei Munchen</t>
  </si>
  <si>
    <t>Max Planck Institute for Plasma Physics</t>
  </si>
  <si>
    <t>Monser, George J.</t>
  </si>
  <si>
    <t>Monser G.</t>
  </si>
  <si>
    <t>Hydrobiologia</t>
  </si>
  <si>
    <t>Baton Rouge</t>
  </si>
  <si>
    <t>Louisiana State University</t>
  </si>
  <si>
    <t>Brown E.R.</t>
  </si>
  <si>
    <t>60017293;60017293;60017293</t>
  </si>
  <si>
    <t>Universit√† degli Studi di Napoli Federico II</t>
  </si>
  <si>
    <t>Ministry of Posts and Telecommunications, Japan</t>
  </si>
  <si>
    <t>Perth</t>
  </si>
  <si>
    <t>The University of Western Australia</t>
  </si>
  <si>
    <t>Journal of Electronics (China)</t>
  </si>
  <si>
    <t>Xidian University</t>
  </si>
  <si>
    <t>60030318;60030318;60030318</t>
  </si>
  <si>
    <t>57201282091;55510100100;6603918183</t>
  </si>
  <si>
    <t>Riccardi, C.;Agostini, E.;Fontanesi, M.</t>
  </si>
  <si>
    <t>Riccardi C.</t>
  </si>
  <si>
    <t>60030553;60030553;60030553</t>
  </si>
  <si>
    <t>Universite de Rennes 1</t>
  </si>
  <si>
    <t>Experimental Astronomy</t>
  </si>
  <si>
    <t>751-758</t>
  </si>
  <si>
    <t>0011216X</t>
  </si>
  <si>
    <t>Crustaceana</t>
  </si>
  <si>
    <t>Akeret, Beat</t>
  </si>
  <si>
    <t>Akeret B.</t>
  </si>
  <si>
    <t>91-98</t>
  </si>
  <si>
    <t>759-778</t>
  </si>
  <si>
    <t>10.1163/156854095X00278</t>
  </si>
  <si>
    <t>Lee K.</t>
  </si>
  <si>
    <t>France;Netherlands</t>
  </si>
  <si>
    <t>Zhuang W.</t>
  </si>
  <si>
    <t>60031126;60031126;60031126</t>
  </si>
  <si>
    <t>Tokyo Institute of Technology</t>
  </si>
  <si>
    <t>60029170;60029170;60029170;60029170</t>
  </si>
  <si>
    <t>Branchipodidae | East Cape Province | endangered species | morphology | taxonomy | thoracopods</t>
  </si>
  <si>
    <t>359-372</t>
  </si>
  <si>
    <t>Zoological Journal of the Linnean Society</t>
  </si>
  <si>
    <t>Koninklijk Belgisch Instituut voor Natuurwetenschappen</t>
  </si>
  <si>
    <t>A new branchipodid genus and species (Crustacea: Branchiopoda: Anostraca) from South Africa</t>
  </si>
  <si>
    <t>S0024408285700428</t>
  </si>
  <si>
    <t>60021902;60021902</t>
  </si>
  <si>
    <t>Cell &amp; Tissue Research</t>
  </si>
  <si>
    <t>44-49</t>
  </si>
  <si>
    <t>Electronics Letters</t>
  </si>
  <si>
    <t>Colchester</t>
  </si>
  <si>
    <t>University of Essex</t>
  </si>
  <si>
    <t>60012070;60012070;60012070</t>
  </si>
  <si>
    <t>Leeds</t>
  </si>
  <si>
    <t>University of Leeds</t>
  </si>
  <si>
    <t>Space Science Reviews</t>
  </si>
  <si>
    <t>Zeitschrift fur Naturforschung - Section C Journal of Biosciences</t>
  </si>
  <si>
    <t>Jawaharlal Nehru University</t>
  </si>
  <si>
    <t>Reading</t>
  </si>
  <si>
    <t>IEE Proceedings: Radar, Sonar and Navigation</t>
  </si>
  <si>
    <t>60005465;60005465;60005465</t>
  </si>
  <si>
    <t>E78-B</t>
  </si>
  <si>
    <t>IEICE Transactions on Communications</t>
  </si>
  <si>
    <t>Chofu</t>
  </si>
  <si>
    <t>Sugiura A.</t>
  </si>
  <si>
    <t>0960667X</t>
  </si>
  <si>
    <t>Microwave Engineering Europe</t>
  </si>
  <si>
    <t>0004637X</t>
  </si>
  <si>
    <t>Astrophysical Journal</t>
  </si>
  <si>
    <t>Measurement Techniques</t>
  </si>
  <si>
    <t>Gusev, A. V.</t>
  </si>
  <si>
    <t>60017592;60017592;60018714;60018714</t>
  </si>
  <si>
    <t>7003819332;57191680888;57208023373;57027512900</t>
  </si>
  <si>
    <t>Petosa, A.;Wight, J. S.;Mongia, R. K.;Ittipiboon, A.</t>
  </si>
  <si>
    <t>Ottawa;Ottawa</t>
  </si>
  <si>
    <t>Communications Research Centre;Carleton University</t>
  </si>
  <si>
    <t>60018714;60017592</t>
  </si>
  <si>
    <t>Petosa A.</t>
  </si>
  <si>
    <t>BBA - Bioenergetics</t>
  </si>
  <si>
    <t>Antenna feeds | Microstrip antennas</t>
  </si>
  <si>
    <t>237-242</t>
  </si>
  <si>
    <t>Journal of Electrical and Electronics Engineering, Australia</t>
  </si>
  <si>
    <t>Commonwealth Scientific and Industrial Research Organization</t>
  </si>
  <si>
    <t>E78-C</t>
  </si>
  <si>
    <t>IEICE Transactions on Electronics</t>
  </si>
  <si>
    <t>60110693;60110693;60110693</t>
  </si>
  <si>
    <t>Nice</t>
  </si>
  <si>
    <t>Universit√© C√¥te d'Azur</t>
  </si>
  <si>
    <t>0168583X</t>
  </si>
  <si>
    <t>Nuclear Inst. and Methods in Physics Research, B</t>
  </si>
  <si>
    <t>Journal of Photochemistry and Photobiology, A: Chemistry</t>
  </si>
  <si>
    <t>Batanov A.</t>
  </si>
  <si>
    <t>Chaplin A.</t>
  </si>
  <si>
    <t>467-471</t>
  </si>
  <si>
    <t>FEBS Letters</t>
  </si>
  <si>
    <t>307-314</t>
  </si>
  <si>
    <t>Physics Letters A</t>
  </si>
  <si>
    <t>Braccini S.</t>
  </si>
  <si>
    <t>Antennas | Microstrip antennas</t>
  </si>
  <si>
    <t>60004636;60004636;60004636</t>
  </si>
  <si>
    <t>Newcastle</t>
  </si>
  <si>
    <t>University of Northumbria</t>
  </si>
  <si>
    <t>Khzmalyan A.</t>
  </si>
  <si>
    <t>Optics Letters</t>
  </si>
  <si>
    <t>7201983969;57218868885;7401505849</t>
  </si>
  <si>
    <t>Lim, B. W.;Korolkiewicz, E.;Scott, S.</t>
  </si>
  <si>
    <t>Lim B.W.</t>
  </si>
  <si>
    <t>60001359;60001359;60001359</t>
  </si>
  <si>
    <t>55468866400;7005114175;26643542200</t>
  </si>
  <si>
    <t>Andrews, James R.;Fryer, Michael J.;Baker, Neil R.</t>
  </si>
  <si>
    <t>Andrews J.</t>
  </si>
  <si>
    <t>Vandenbosch G.</t>
  </si>
  <si>
    <t>1572946X</t>
  </si>
  <si>
    <t>0004640X</t>
  </si>
  <si>
    <t>Astrophysics and Space Science</t>
  </si>
  <si>
    <t>Pizzella G.</t>
  </si>
  <si>
    <t>Wright-Patterson AFB</t>
  </si>
  <si>
    <t>Air Force Materiel Command</t>
  </si>
  <si>
    <t>Nokia Corporation</t>
  </si>
  <si>
    <t>Applied microwave magazine</t>
  </si>
  <si>
    <t>60022148;60022148;60022148</t>
  </si>
  <si>
    <t>59-66</t>
  </si>
  <si>
    <t>60021859;60021859;60021859;60021859</t>
  </si>
  <si>
    <t>Shizuoka</t>
  </si>
  <si>
    <t>Shizuoka University</t>
  </si>
  <si>
    <t>60008928;60008928;60008928</t>
  </si>
  <si>
    <t>Hong Kong Polytechnic University</t>
  </si>
  <si>
    <t>60033387;60033387</t>
  </si>
  <si>
    <t>University of London</t>
  </si>
  <si>
    <t>Abe K.</t>
  </si>
  <si>
    <t>60002787;60002787;60002787;60002787</t>
  </si>
  <si>
    <t>Leiden</t>
  </si>
  <si>
    <t>Sterrewacht Leiden</t>
  </si>
  <si>
    <t>['uncoupled chl', 'thylakoid membrane', 'three strains', 'synechococcus sp', 'stressed conditions', 'strains grown', 'strain grown', 'ps ii', 'protein flavodoxin', 'protein complex', 'prompt chl', 'pigment composition', 'pcc 7942', 'major pigment', 'isib gene', 'isia gene', 'iron stress', 'iron deprivation', 'iron conditions', 'harvesting antenna', 'functional light', 'fluorescence parameters', 'deficient conditions', 'cell characteristics', 'adequate acclimation', '685 nm']</t>
  </si>
  <si>
    <t>77 K fluorescence | absorption cross-section | cyanobacterium | fluorescence decay | iron-stress | photosynthesis</t>
  </si>
  <si>
    <t>Under conditions of iron-stress, the Photosystem II associated chlorophyll a protein complex designated CP 43‚Ä≤, which is encoded by the isiA gene, becomes the major pigment-protein complex in Synechococcus sp. PCC 7942. The isiB gene, which is located immediately downstream of isiA, encodes the protein flavodoxin, which can functionally replace ferredoxin under conditions of iron stress. We have constructed two cyanobacterial insertion mutants which are lacking (i) the CP 43‚Ä≤ apoprotein (designated isiA-) and (ii) flavodoxin (designated isiB-). The function of CP 43‚Ä≤ was studied by comparing the cell characteristics, PS II functional absorption cross-sections and Chl a fluorescence parameters from the wild-type, isiA- and isiB- strains grown under iron-stressed conditions. In all strains grown under iron deprivation, the cell number doubling time was maintained despite marked changes in pigment composition and other cell characteristics. This indicates that iron-starved cells remained viable and that their altered phenotype suggests an adequate acclimation to low iron even in absence of CP 43‚Ä≤ and/or flavodoxin. Under both iron conditions, no differences were detected between the three strains in the functional absorption crossection of PS II determined from single turnover flash saturation curves of Chl a fluorescence. This demonstrates that CP 43‚Ä≤ is not part of the functional light-harvesting antenna for PS II. In the wild-type and the isiB- strain grown under iron-deficient conditions, CP 43‚Ä≤ was present in the thylakoid membrane as an uncoupled Chl-protein complex. This was indicated by (1) an increase of the yield of prompt Chl a fluorescence (Fo) and (2) the persistence after PS II trap closure of a fast fluorescence decay component showing a maximum at 685 nm. ¬© 1995 Kluwer Academic Publishers.</t>
  </si>
  <si>
    <t>51-60</t>
  </si>
  <si>
    <t>60010884;60001343;60001343;60010884;60010884</t>
  </si>
  <si>
    <t>7102652403;7006678078;7202146710;7005759492;6603808866</t>
  </si>
  <si>
    <t>Falk, Stefan;Samson, Guy;Bruce, Doug;Huner, Norman P.A.;Laudenbach, David E.</t>
  </si>
  <si>
    <t>London;St. Catharines</t>
  </si>
  <si>
    <t>The University of Western Ontario;Brock University</t>
  </si>
  <si>
    <t>60010884;60001343</t>
  </si>
  <si>
    <t>Falk S.</t>
  </si>
  <si>
    <t>Functional analysis of the iron-stress induced CP 43‚Ä≤ polypeptide of PS II in the cyanobacterium Synechococcus sp. PCC 7942</t>
  </si>
  <si>
    <t>10.1007/BF00032235</t>
  </si>
  <si>
    <t>2-s2.0-0028796265</t>
  </si>
  <si>
    <t>['various subfractions', 'various components', 'thereby allow', 'structural studies', 'soluble form', 'short period', 'preferentially transfer', 'perfusion chromatography', 'page demonstrating', 'new method', 'native photosystem', 'located specifically', 'lhca4 component', 'isolation time', 'isolated photosystem', 'individual components', 'identical light', 'harvesting properties', 'harvesting antenna', 'functional intactness', 'excitation energy', 'analyses located', 'also revealed', 'accurate functional', 'absorption spectroscopy', '730 ).', '25 min', '1 h']</t>
  </si>
  <si>
    <t>fluorescence | LHC I-680 | LHC I-730 | light-harvesting complex I (LHC I) | PS I</t>
  </si>
  <si>
    <t>With the new method of anion exchange perfusion chromatography we have devised an extremely rapid technique to subfractionate spinach Photosystem I into its chlorophyll a containing core complex and various components of the Photosystem I light-harvesting antenna (LHC I). The isolation time for the LHC I subcomplexes following solubilisation of native Photosystem I was reduced from 50 h using traditional density centrifugation procedures down to only 10-25 min by perfusion chromatography. Within this very short period of isolation, LHC I has been obtained as subfractions highly enriched in Lhca2+3 (LHC I-680) and Lhca1+4 (LHC I-730). Moreover, other highly enriched subfractions of LHC I such as Lhca2, Lhca3 and Lhca1+2+4 were obtained where the later two populations have not previously been obtained in a soluble form and without the use of SDS. These various subfractions of the LHC I antenna have been characterised by absorption spectroscopy, 77 K fluorescence-spectroscopy and SDS-PAGE demonstrating their identities, functional intactness and purity. Furthermore, the analyses located a chlorophyll b pool to preferentially transfer its excitation energy to the low energy F735 chromophore, and located specifically the origin of the 730 nm fluorescence to the Lhca4 component. It was also revealed that Lhca2 and Lhca3 have identical light-harvesting properties. The isolated Photosystem I core complex showed high electron transport capacity (1535 Œºmoles O2 mg Chl-1 h-1) and low fluorescence yield (0.4%) demonstrating its high functional integrity. The very rapid isolation procedure based upon perfusion chromatography should in a significant way facilitate the subfractionation of Photosystem I proteins and thereby allow more accurate functional and structural studies of individual components. ¬© 1995 Kluwer Academic Publishers.</t>
  </si>
  <si>
    <t>41-49</t>
  </si>
  <si>
    <t>60001950;60001950;60031040;60001950</t>
  </si>
  <si>
    <t>6602647157;6506215950;6701787120;7401941729</t>
  </si>
  <si>
    <t>Tjus, Staffan E.;Roobol-Boza, Margrit;P√•lsson, Lars Olof;Andersson, Bertil</t>
  </si>
  <si>
    <t>Umea;Stockholm</t>
  </si>
  <si>
    <t>Ume√• Universitet;Arrhenius Laboratory</t>
  </si>
  <si>
    <t>60031040;60001950</t>
  </si>
  <si>
    <t>Tjus S.E.</t>
  </si>
  <si>
    <t>Rapid isolation of photosystem I chlorophyll-binding proteins by anion exchange perfusion chromatography</t>
  </si>
  <si>
    <t>10.1007/BF00032234</t>
  </si>
  <si>
    <t>2-s2.0-0028817067</t>
  </si>
  <si>
    <t>['transfer energy', 'termed r2hecat', 'synechococcus sp', 'sucrose gradients', 'single pigment', 'results indicate', 'protein fraction', 'protein complex', 'photosystem ii', 'peak corresponding', 'pcc 7942', 'molecular mass', 'low temperature', 'lacked pc', 'isolated pigment', 'functional core', 'fully functional', 'energy transfer', 'core polypeptides', 'core particles', 'apc chromophores', 'allophycocyanin b', '675 nm', '560 kda', '1300 kda']</t>
  </si>
  <si>
    <t>allophycocyanin | circular dichroism (CD) | core particle | cyanobacteria | energy transfer | fluorescence | light-harvesting antennae | photosynthesis</t>
  </si>
  <si>
    <t>We have constructed a mutant Synechococcus sp. PCC 7942, termed R2HECAT, in which the entire phycobilisome rod operon has been deleted. In the whole cell absorption spectra of R2HECAT, the peak corresponding to phycocyanin (PC), Œªmax‚âà620 nm, could not be detected. However, a single pigment-protein fraction with Œªmax=654 nm could be isolated on sucrose gradients from R2HECAT. Analysis of this pigment-protein fraction by non-denaturing PAGE indicates an apparent molecular mass of about 1200-1300 kDa. On exposure to low temperature, the isolated pigment-protein complex dissociated to a protein complex with a molecular mass of about 560 kDa. When analysed by SDS-PAGE, the pigment-protein fraction was found to consist of the core polypeptides but lacked PC, 27, 33, 30, and the 9 kDa polypeptides which are a part of the rods. All the chromophore bearing polypeptides of the core were found to be chromophorylated. CD as well as absorption spectra showed the expected maxima around 652 and 675 nm from allophycocyanin (APC) and allophycocyanin B (APC-B) chromophores. Low temperature fluorescence and excitation spectra also showed that the core particles were fully functional with respect to the energy transfer between the APC chromophores. We conclude that PC and therefore the rods are dispensable for the survival of Synechococcus sp. PCC 7942. The results indicate that stable and functional core can assemble in absence of the rods. These rod-less phycobilisome core is able to transfer energy to Photosystem II. ¬© 1995 Kluwer Academic Publishers.</t>
  </si>
  <si>
    <t>61-70</t>
  </si>
  <si>
    <t>60031040;60031040;60031040</t>
  </si>
  <si>
    <t>7005340270;7004029175;7005371473</t>
  </si>
  <si>
    <t>Bhalerao, Rishikesh P.;Gillbro, Tomas;Gustafsson, Petter</t>
  </si>
  <si>
    <t>Umea</t>
  </si>
  <si>
    <t>Ume√• Universitet</t>
  </si>
  <si>
    <t>Bhalerao R.P.</t>
  </si>
  <si>
    <t>Functional phycobilisome core structures in a phycocyanin-less mutant of cyanobacterium Synechococcus sp. PCC 7942</t>
  </si>
  <si>
    <t>10.1007/BF00032236</t>
  </si>
  <si>
    <t>2-s2.0-0028852954</t>
  </si>
  <si>
    <t>['vhl cells', 'type polypeptides', 'thylakoids isolated', 'three polypeptides', 'showed immunocross', 'red algae', 'recently discovered', 'polypeptides belong', 'polypeptide composition', 'page showed', 'novel lhc', 'notable decrease', 'nature 367', 'lhc ii', 'increasing irradiance', 'increased ps', 'even though', 'detect polypeptides', 'complexes relative', 'chlorophyll basis', 'changes occurring', 'cells acclimated', 'antenna complex', '568 ),', '366 ),', '22 kda', '2 ¬∑', '1187 ).', '), indicating']</t>
  </si>
  <si>
    <t>light-harvesting antenna | Mehler reaction | Photosystem I | Porphyridium</t>
  </si>
  <si>
    <t>Thylakoids isolated from cells of the red alga Porphyridium cruentum exhibit an increased PS I activity on a chlorophyll basis with increasing growth irradiance, even though the stoichiometry of Photosystems I and II in such cells shows little change (Cunningham et al. (1989) Plant Physiol 91: 1179-1187). PS I activity was 26% greater in thylakoids of cells acclimated at 280 Œºmol photons ¬∑ m-2 ¬∑ s-1 (VHL) than in cells acclimated at 10 Œºmol photons ¬∑ m-2 ¬∑ s-1 (LL), indicating a change in the light absorbance capacity of PS I. Upon isolating PS I holocomplexes from VHL cells it was found that they contained 132¬±9 Chl/P700 while those obtained from LL cells had 165¬±4 Chl/P700. Examination of the polypeptide composition of PS I holocomplexes on SDS-PAGE showed a notable decrease of three polypeptides (19.5, 21.0 and 22 kDa) in VHL-complexes relative to LL-complexes. These polypeptides belong to a novel LHC I complex, recently discovered in red algae (Wolfe et al. (1994a) Nature 367: 566-568), that lacks Chl b and includes at least six different polypeptides. We suggest that the decrease in PS I Chl antenna size observed with increasing irradiance is attributable to changes occurring in the LHC I-antenna complex. Evidence for a Chl-binding antenna complex associated with PS II core complexes is lacking at this point. LHC II-type polypeptides were not observed in functionally active PS II preparations (Wolfe et al. (1994b) Biochimica Biophysica Acta 1188: 357-366), nor did we detect polypeptides that showed immunocross-reactivity with LHC II specific antisera (made to Chlamydomonas and Euglena LHC II). ¬© 1995 Kluwer Academic Publishers.</t>
  </si>
  <si>
    <t>60020304;60003892;60020304;60020304</t>
  </si>
  <si>
    <t>55455674200;7102634421;7102226979;7005758772</t>
  </si>
  <si>
    <t>Tan, Shi;Wolfe, Gregory R.;Cunningham, Francis X.;Gantt, Elisabeth</t>
  </si>
  <si>
    <t>College Park;Tempe</t>
  </si>
  <si>
    <t>University of Maryland, College Park;Arizona State University</t>
  </si>
  <si>
    <t>60020304;60003892</t>
  </si>
  <si>
    <t>Tan S.</t>
  </si>
  <si>
    <t>Decrease of polypeptides in the PS I antenna complex with increasing growth irradiance in the red alga Porphyridium cruentum</t>
  </si>
  <si>
    <t>10.1007/BF00032230</t>
  </si>
  <si>
    <t>2-s2.0-0028854597</t>
  </si>
  <si>
    <t>['thylakoids indicates', 'spectral properties', 'results suggest', 'protein complexes', 'prolonged incubation', 'photosystem ii', 'peak emission', 'oxford ltd', 'molecular mass', 'low temperature', 'low concentrations', 'fluorescence emission', 'f695 ),', 'emission spectra', 'emission characteristic', 'emission band', 'characteristic chl', 'cells grown', 'blue shift', '77 k', '695 nm', '2 œºm', '18 nm']</t>
  </si>
  <si>
    <t>chlorophyll a | energy transfer | fluorescence | mercury ions | photosystem | phycobilisomes | Synechococcus 6301</t>
  </si>
  <si>
    <t>Synechococcus PCC 6301 cells grown in the presence of low sublethal levels of (about 2 Œºm) mercury induced alterations in chlorophyll (Chl) a absorption without significant alterations in phycocyanin. Chl a fluorescence emission in Hg2+ -raised cells showed a large (about 18 nm) blue shift in the peak emission. No major spectral changes in phycobilisome (PBsome) emission characteristic were noticed, indicating major structural alterations in Chl-protein complexes by incubation with Hg2+ ions. Low temperature (77 K) emission spectra of cells grown in the presence of Hg2+ showed a loss of the characteristic Chl a emission band at 695 nm (F695), which is known to be linked to photosystem II photochemistry and to originate from the Chl a of core antenna polypeptide CP 47 of photosystem II. The SDS-PAGE polypeptide profile of thylakoids indicates a loss of a polypeptide(s) with a molecular mass between 40 and 60 k Da by Hg2+ incubation of cells. Our results suggest that prolonged incubation of Synechococcus 6301 cells with low concentrations of Hg2+ affects the Chl a spectral properties and the structure of Chl-protein complexes. ¬© 1995 Rapid Communications of Oxford Ltd.</t>
  </si>
  <si>
    <t>Biometals</t>
  </si>
  <si>
    <t>60030622;60030622;60030622</t>
  </si>
  <si>
    <t>7202013276;57195115452;7101652469</t>
  </si>
  <si>
    <t>Murthy, S. D.S.;Mohanty, N.;Mohanty, Prasanna</t>
  </si>
  <si>
    <t>Murthy S.</t>
  </si>
  <si>
    <t>Prolonged incubation with low concentrations of mercury alters energy transfer and chlorophyll (Chl) a protein complexes in Synechococcus 6301: changes in Chl a absorption and emission characteristics and loss of the F695 emission band</t>
  </si>
  <si>
    <t>10.1007/BF00143382</t>
  </si>
  <si>
    <t>2-s2.0-0029073872</t>
  </si>
  <si>
    <t>['technical aspects', 'standards regarding', 'spect images', 'research tool', 'referring primarily', 'rad1otracer administration', 'primarily established', 'powerful clinical', 'patient imaging', 'nuclear medicine', 'instrumentation continues', 'image presentation', 'full potential', 'factors unrelated', 'environmental conditions', 'challenge tests', 'cerebrovascular disease', 'cerebral pathology']</t>
  </si>
  <si>
    <t>The technical aspects of functional brain single-photon emission computed tomography (SPECT) imaging, referring primarily to the most common SPECT brain function measure-regional cerebral blood flow-are reviewed. SPECT images of regional cerebral blood flow are mfluenced by a number of factors unrelated to pathology, including tomographic quality, radiopharmaceuticals, environmental conditions at the t1me of rad1otracer administration, charactenst1cs of the subject (e.g., age, sex), image presentation, and image processing techniques. Modern SPECT scans yield excellent image quality, and instrumentation continues to improve. The armamentarium of regional cerebral blood flow and receptor radiopharmaceuticals 1s rapidly expanding. Standards regarding the environment for patient imaging and image presentation are emerg1ng. However, there 1s still much to learn about the circumstances for performance and evaluation of SPECT functional brain imaging. Challenge tests, primarily established in cerebrovascular disease (i.e , the acetazolamide test), offer great promise in defining the extent and nature of disease, as well as predicting therapeutic responses. Clearly, SPECT brain imaging is a powerful clinical and research tool. However, SPECT will only achieve its full potential in the management of patients with cerebral pathology through close cooperation among members of the nuclear medicine, neurology, psychiatry, neurosurgery, and internal medicine specialties.</t>
  </si>
  <si>
    <t>s2-s13</t>
  </si>
  <si>
    <t>Journal of Neuroimaging</t>
  </si>
  <si>
    <t>Devous, Michael D.</t>
  </si>
  <si>
    <t>Dallas</t>
  </si>
  <si>
    <t>UT Southwestern Medical School</t>
  </si>
  <si>
    <t>Devous M.D.</t>
  </si>
  <si>
    <t>SPECT Functional Brain Imaging: Technical Considerations</t>
  </si>
  <si>
    <t>10.1111/jon19955s1s2</t>
  </si>
  <si>
    <t>2-s2.0-0029160788</t>
  </si>
  <si>
    <t>['within 0', 'widely recognized', 'used within', 'surprisingly frequent', "silent ,'", 'serious consequences', 'regularly checked', 'preventive maintenance', 'prevalence might', 'personnel movements', 'neonate must', 'nearby fixed', 'mhz walkie', 'mhz bands', 'mere chance', 'malfunctioned negligibly', 'malfunction stopped', 'malfunction could', 'intermittently register', 'heater malfunctioned', 'even though', 'emi ),', 'electromagnetic interference', 'device alarm', 'chamber assessment', 'cause morbidity', 'although operation', '600 mhz', '3 v', '100 mw', '10 v', '1 v', '000 mhz']</t>
  </si>
  <si>
    <t>Although there have been many previous reports of serious medical device malfunctions caused by electromagnetic interference (EMI), it is not widely recognized that many such malfunctions were 'silent,' having occurred without triggering a device alarm. The authors describe one such malfunction, and its implications. An 8-year-old radiant heater, which appeared to be operating nor really in a neonatal intensive care unit, was observed, by mere chance, to intermittently register an increased, or decreased, neonatal skin temperature of about 1¬∞C, depending on personnel movements and on its location in the room. The possibility that EMI had been the cause of this malfunction was investigated. The malfunction stopped in an adjacent windowless room, but again occurred when a 146-MHz walkie-talkie (100 mW) was used within a 1-2-m radius. More complete (0.1-1,000 MHz, 4.5-10 V/m maximum) test-chamber assessment of EMI susceptibility showed that the heater malfunctioned at electric field strengths above 0.3-1 V/m over four roughly 50-MHz bands between about 10 and 600 MHz. A previous electromagnetic environment survey had documented fairly high fields (0.01-0.3 V/m, 30-1,000 MHz) in the original malfunction area. Combined results suggested that the malfunction had been due to EMI from nearby fixed-source FM transmission antennas, which could be seen from the room's windows. The device had probably been malfunctioning for months, even though it had been regularly checked during preventive maintenance. Other identical, but newer, units functioned normally, or malfunctioned negligibly. Although operation of the older device deviated only 'slightly' from normal, the consequences of this malfunction could have been serious. Temperature in the neonate must be controlled to within 0.5 ¬∞C, because prolonged over- or underheating can cause morbidity in a seriously ill baby. Actual morbidity due to this malfunction is unknown. Due to the difficulty of identifying 'silent' malfunctions, their prevalence might be surprisingly frequent. Only awareness, vigilance, and understanding can prevent such malfunctions from having serious consequences.</t>
  </si>
  <si>
    <t>350-354</t>
  </si>
  <si>
    <t>Biomedical Instrumentation and Technology</t>
  </si>
  <si>
    <t>60018916;60018916;60018916</t>
  </si>
  <si>
    <t>7102467618;6507751518;6701902518</t>
  </si>
  <si>
    <t>Segal, B.;Retfalvi, S.;Pavlasek, T.</t>
  </si>
  <si>
    <t>Sir Mortimer B. Davis Jewish General Hospital</t>
  </si>
  <si>
    <t>Segal B.</t>
  </si>
  <si>
    <t>'Silent' malfunction of a critical-care device caused by electromagnetic interference</t>
  </si>
  <si>
    <t>2-s2.0-0029329283</t>
  </si>
  <si>
    <t>['road radar', 'penetrating radar', 'multiple layers', 'comparative analysis', 'acquisition programs', '50 mm']</t>
  </si>
  <si>
    <t>Ground-penetrating radar (GPR) technology has been used to quantify pavement structures. However, this technique has not provided sufficient accuracy or reliability to gain general acceptance. In view of this a new GPR technology know as Road Radar has been introduced. The new technology uses multiple antennas that provide accurate non-intrusive thickness measurements of multiple layers from 50 mm to greater than 2 000 mm without benefit of any destructive calibration procedure. In this article, the Road Radar technology, designed into the Road Radar System and proven through extensive field trials and data-acquisition programs is described. Comparative analysis is presented of pavement structure thickness measurements using both Road Radar measurements without core calibrations and drilled core measurements.</t>
  </si>
  <si>
    <t>Transportation Research Record</t>
  </si>
  <si>
    <t>60084941;60084941;60084941;60084941</t>
  </si>
  <si>
    <t>6505940817;6505606245;57212256503;7103035929</t>
  </si>
  <si>
    <t>Mesher, D. E.;Dawley, C. B.;Davis, J. L.;Rossiter, J. R.</t>
  </si>
  <si>
    <t>Edmonton</t>
  </si>
  <si>
    <t>EBA Engineering Consultants Ltd.</t>
  </si>
  <si>
    <t>Mesher D.</t>
  </si>
  <si>
    <t>Evaluation of new ground-penetrating radar technology to quantify pavement structures</t>
  </si>
  <si>
    <t>2-s2.0-0029333059</t>
  </si>
  <si>
    <t>['reduced cost', 'external magnets', 'circuitry already', 'advantages achieved']</t>
  </si>
  <si>
    <t>Josephson effect suppression | SIS receiver design</t>
  </si>
  <si>
    <t>We describe a method for integrating a Josephson current suppression electromagnet along with a superconductor-insulator-superconductor (SIS) mixer. In this technique, circuitry already in place for matching the SIS mixing device with the antenna is used as the conductor for an electromagnet. Reduced cost and size are among the advantages achieved by elimination of external magnets. ¬© 1995 Plenum Publishing Corporation.</t>
  </si>
  <si>
    <t>1223-1230</t>
  </si>
  <si>
    <t>60030835;100330936;60030835;60030835;60030835</t>
  </si>
  <si>
    <t>6603062067;6602489335;6602670307;6701557873;16945794600</t>
  </si>
  <si>
    <t>Veidt, B.;Kornelsen, K.;Vaneldik, J. F.;Routledge, D.;Brett, M. J.</t>
  </si>
  <si>
    <t>Edmonton;Edmonton</t>
  </si>
  <si>
    <t>University of Alberta;Alberta Microelectronic Centre</t>
  </si>
  <si>
    <t>60030835;100330936</t>
  </si>
  <si>
    <t>Veidt B.</t>
  </si>
  <si>
    <t>Integrated Josephson effect suppression electromagnets for sis receivers</t>
  </si>
  <si>
    <t>10.1007/BF02068802</t>
  </si>
  <si>
    <t>2-s2.0-0029341679</t>
  </si>
  <si>
    <t>['various types', 'uniquely identify', 'system available', 'rfid systems', 'radio systems', 'problems involved', 'particular reference', 'paper reviews', 'mining industry', 'latest state', 'hazardous areas', 'different systems', 'described including', 'covering applications', 'considerable detail', 'bar codes', 'arduous environments', 'also given', 'also described']</t>
  </si>
  <si>
    <t>Radio Frequency Identification Systems (RFID) are one of the automatic data capture technologies taking over from bar codes and magnetic swipe cards in many applications involving automatic hands free operation in arduous environments. RFID systems are based on the use of miniature radio transponders carrying encoded electronic data that is used to uniquely identify the identity of transponders. This paper reviews the types of system available and compares the various techniques involved in the different systems. The various types of transponder are described including the latest state of the art passive read/write high performance types. A review of the history of RFID systems in the mining industry is also given in the paper. The problems involved in designing and certifying a system for use in hazardous areas are also described, with particular reference to the problems of inadvertent detonator ignition by radio systems. Applications of RFID systems in the mining industry are described in considerable detail, covering applications both on the surface and underground.</t>
  </si>
  <si>
    <t>219-225</t>
  </si>
  <si>
    <t>Mining Technology</t>
  </si>
  <si>
    <t>Hind, D. J.</t>
  </si>
  <si>
    <t>Davis</t>
  </si>
  <si>
    <t>Davis Derby Ltd</t>
  </si>
  <si>
    <t>Hind D.</t>
  </si>
  <si>
    <t>Applications of Radio Frequency Identification systems in the mining industry</t>
  </si>
  <si>
    <t>2-s2.0-0029342523</t>
  </si>
  <si>
    <t>['zenit enabled', 'zenit appeared', 'tightly wrapped', 'several modification', 'recent years', 'past decades', 'particular application', 'openly poured', 'earliest years', 'data regarding']</t>
  </si>
  <si>
    <t>During the past decades, the Soviet military space program such as 'Zenit,' Soviet's earliest military spy satellite, was tightly wrapped up in deceit and disinformation. However, in the recent years, data regarding the earliest years of Soviet space flight were openly poured out. Zenit enabled the Russians to identify the types of cars in the Pentagon parking lot. This spy satellite program conducts intelligence missions under the guise of 'peaceful scientific research.' In the recent years, several modification of Zenit appeared each configured for a particular application.</t>
  </si>
  <si>
    <t>80-83</t>
  </si>
  <si>
    <t>Air Force Magazine</t>
  </si>
  <si>
    <t>Oberg, James</t>
  </si>
  <si>
    <t>Oberg J.</t>
  </si>
  <si>
    <t>First Soviet spy satellite</t>
  </si>
  <si>
    <t>2-s2.0-0029344401</t>
  </si>
  <si>
    <t>['new monitors', 'national semiconductor', 'ion implantation', 'effective tool', 'conventional techniques', 'charge monitor', 'called charm', 'basic operation']</t>
  </si>
  <si>
    <t>The basic operation of charge monitors implemented at National Semiconductor are described. Called CHARM-2 (CHARge Monitor-second generation), the monitors are an effective tool for characterizing the in-situ wafer charging environment in IC process equipment. Ion implantation and plasma ashing examples compare the new monitors with conventional techniques.</t>
  </si>
  <si>
    <t>Semiconductor International</t>
  </si>
  <si>
    <t>6602914059;6603463378;6507035537;6603962798;57196844496;7004631938</t>
  </si>
  <si>
    <t>Shideler, Jay;Reno, S.;Bammi, R.;Messick, C.;Cowley, A.;Lukaszek, Wes</t>
  </si>
  <si>
    <t>Shideler J.</t>
  </si>
  <si>
    <t>New technique for solving wafer charging problems</t>
  </si>
  <si>
    <t>2-s2.0-0029346110</t>
  </si>
  <si>
    <t>['uses striplines', 'two sides', 'surface wave', 'stripline configurations', 'serious concern', 'power transfer', 'parasitic mode', 'paper presents', 'new method', 'new concept', 'considerable effort', 'center strip', 'asymmetric stripline', 'always excited', 'adjacent layers']</t>
  </si>
  <si>
    <t>The excitation of the parallel plate mode in stripline configurations is a serious concern in the design of multilayer feeding networks. Using either probes or slots as means of power transfer between adjacent layers, this parasitic mode is always excited, and a considerable effort has to be made to assure its suppression. This paper presents a new method that uses striplines with two different dielectric substrates on the two sides of its center strip to solve this problem. By using the asymmetric stripline in the vicinity of a source of excitation, a surface wave is excited at a significantly weaker level rather than at the parallel plate mode. A 16-element microstrip array was designed and tested to demonstrate this new concept.</t>
  </si>
  <si>
    <t>100507042;100507042;100507042</t>
  </si>
  <si>
    <t>56039602600;7201995024;6603791858</t>
  </si>
  <si>
    <t>Herscovici, Naftali;Das, Nirod K.;Klugman, Josh</t>
  </si>
  <si>
    <t>Framingham</t>
  </si>
  <si>
    <t>AnTeg</t>
  </si>
  <si>
    <t>Microstrip array fed by a new type of multilayer feeding network</t>
  </si>
  <si>
    <t>2-s2.0-0029346183</t>
  </si>
  <si>
    <t>['replace four', 'must operate', 'multiple antennas', 'mobile radio', 'increasing tremendously', 'five antennas', 'cellular telephones', 'applications develop', '130 mhz', '1 ghz']</t>
  </si>
  <si>
    <t>As applications develop for mobile radio, scanners and cellular telephones, the need for multiple antennas that must operate over frequencies from 130 MHz to 1 GHz is increasing tremendously. At present, multiple whip antennas can be used for this purpose. However, the use of such antennas often yield unsatisfactory results. This article presents two antenna designs, each with greater than one octave handwidth, which will replace four or five antennas. A power divider behind the antennas provides multiple service outlets.</t>
  </si>
  <si>
    <t>Modeling a VHF/UHF mobile communications antenna</t>
  </si>
  <si>
    <t>2-s2.0-18744427181</t>
  </si>
  <si>
    <t>['¬© 1995', 'well correlated', 'thus provides', 'subjective measure', 'standard deviation', 'spaced frequencies', 'rights reserved', 'multipath channel', 'impulse response', 'delay spread', 'comparison shows', 'ccir impairment', 'analytic parameter']</t>
  </si>
  <si>
    <t>Multipath channels | Television broadcasting | Television reception</t>
  </si>
  <si>
    <t>CCIR impairment is a subjective measure of the degradation of television images caused by ghosting. Delay spread is the standard deviation of the impulse response of a multipath channel. To compare the impairment and delay spread, measurements were taken of independent real channels through the use of widely-spaced frequencies and decorrelated receiving patterns. The comparison shows that the log of the impairment and the delay spread are well correlated over the useful impairment range. The delay spread, an analytic parameter, thus provides an alternative for the more complicated and empirically-derived CCIR ghosting impairment measure. ¬© 1995, IEE. All rights reserved.</t>
  </si>
  <si>
    <t>1123-1124</t>
  </si>
  <si>
    <t>7201481830;7202746189</t>
  </si>
  <si>
    <t>Vaughan, R. G.;Scott, N. L.</t>
  </si>
  <si>
    <t>Correlation of delay spread and CCIR impairment</t>
  </si>
  <si>
    <t>10.1049/el:19950820</t>
  </si>
  <si>
    <t>2-s2.0-0029637836</t>
  </si>
  <si>
    <t>['¬© 1995', 'validatedusing measurements', 'rights reserved', 'future application', 'field prediction', 'beam intensity', 'antenna pointing', 'antenna beam']</t>
  </si>
  <si>
    <t>Antenna measurements | Antennas</t>
  </si>
  <si>
    <t>The authors demonstrate mathematically that the direction of an antenna beam (antenna pointing) can be determined by the centre-of-gravity of its beam intensity. The technique is validatedusing measurements on a 1.118m 94GHz Cassegrain reflector and is seen as pivotal in the future application of the phase retrieval technique for near-field/far-field prediction. ¬© 1995, IEE. All rights reserved.</t>
  </si>
  <si>
    <t>1116-1117</t>
  </si>
  <si>
    <t>60011476;60001881</t>
  </si>
  <si>
    <t>6701724882;6603451186</t>
  </si>
  <si>
    <t>Trueba, G.;Junkin, G.</t>
  </si>
  <si>
    <t>Spain;United Kingdom</t>
  </si>
  <si>
    <t>Valencia;Sheffield</t>
  </si>
  <si>
    <t>Universitat Polit√®cnica de Val√®ncia;The University of Sheffield</t>
  </si>
  <si>
    <t>Trueba G.</t>
  </si>
  <si>
    <t>Numerical beam alignment procedure for planar near-fieldphase retrieval</t>
  </si>
  <si>
    <t>10.1049/el:19950775</t>
  </si>
  <si>
    <t>2-s2.0-0029637837</t>
  </si>
  <si>
    <t>['¬© 1995', 'subthreshold slope', 'rights reserved', 'oxide thickness', 'mosfets fabricated', 'mosfets exhibit', 'moseet devices', 'current density', 'channel n', 'best self', 'aligned process', 'aligned 6h']</t>
  </si>
  <si>
    <t>Electric sensing devices | Microstrip antennas | Microwave techniques | Moisture</t>
  </si>
  <si>
    <t>Surface-channel n-MOSEET devices in 6H-SiC are fabricated with n+-polysilicon gates on 80nm thick gate oxide using a self-aligned process. The mobility and subthreshold slope, 40cm2/Vs and 500mV/decade, are comparable to MOSFETs fabricated with a non-self-aligned process. These MOSFETs exhibit a saturation drain current of 18 mA/mm at 340¬∞C when the gate is 9V above threshold. This current density is approximately three times higher than the best self-aligned 6H-SiC MOSFETs reported to date, and approximately five times higher if scaled to the same oxide thickness. ¬© 1995, IEE. All rights reserved.</t>
  </si>
  <si>
    <t>1200-1201</t>
  </si>
  <si>
    <t>60009254;60009254;60009254</t>
  </si>
  <si>
    <t>55459047400;7406076340;35510435500</t>
  </si>
  <si>
    <t>Pan, J. N.;Cooper, J. A.;Melloch, M. R.</t>
  </si>
  <si>
    <t>Pan J.</t>
  </si>
  <si>
    <t>Self-aligned 6H-SiC MOSFETs with improved current drive</t>
  </si>
  <si>
    <t>10.1049/el:19950800</t>
  </si>
  <si>
    <t>2-s2.0-0029637858</t>
  </si>
  <si>
    <t>['¬© 1995', 'rights reserved', 'moment method', 'focus reflectors', 'broadband feeding', '1 bandwidth']</t>
  </si>
  <si>
    <t>Antenna feeds | Horn antennas</t>
  </si>
  <si>
    <t>A compact flare angle controlled corrugated horn antenna with a 60¬∞ half beamwidth is optimised by using a moment method for bodies of revolution. The horn has corrugations with simple rectangular cross-sections and is excited by a smooth wall circular waveguide. The resulting 15dB beamwidth varies by &lt;18% and the crosspolar sidelobe levels are more than 26dB below the mainlobe, both over a 1.8:1 bandwidth. All results are confirmed by measurements. The horn is suited for broadband feeding of e.g. prime-focus reflectors in radio astronomy applications. ¬© 1995, IEE. All rights reserved.</t>
  </si>
  <si>
    <t>1114-1115</t>
  </si>
  <si>
    <t>60000990;60000990-60010491;60000990</t>
  </si>
  <si>
    <t>56073271600;57203080291;7101988263</t>
  </si>
  <si>
    <t>Ying, Z.;Kishk, A. A.;Kildal, P. S.</t>
  </si>
  <si>
    <t>United States;Sweden</t>
  </si>
  <si>
    <t>University;Gothenburg</t>
  </si>
  <si>
    <t>University of Mississippi;Chalmers University of Technology</t>
  </si>
  <si>
    <t>60010491;60000990</t>
  </si>
  <si>
    <t>Ying Z.</t>
  </si>
  <si>
    <t>Broadband compact horn feed for prime-focus reflectors</t>
  </si>
  <si>
    <t>10.1049/el:19950782</t>
  </si>
  <si>
    <t>2-s2.0-0029637859</t>
  </si>
  <si>
    <t>['¬© 1995', 'variations enables', 'rights reserved', 'resonant frequencies', 'new method', 'molecular model', 'moisture content', 'dielectric permittivity', 'dielectric material', 'bottcher model']</t>
  </si>
  <si>
    <t>A new method for determining the moisture content of dielectric material is proposed. The sample, placed on a circular patch antenna, modifies the resonant frequencies; measuring these variations enables the dielectric permittivity and the moisture content to be determined by using the Bottcher model or the molecular model. ¬© 1995, IEE. All rights reserved.</t>
  </si>
  <si>
    <t>1167-1168</t>
  </si>
  <si>
    <t>60004130;60004130;60004130</t>
  </si>
  <si>
    <t>6505853965;6506595132;6603752771</t>
  </si>
  <si>
    <t>Gagnadre, I.;Gagnadre, C.;Fenelon, J. P.</t>
  </si>
  <si>
    <t>Lorient</t>
  </si>
  <si>
    <t>Universite de Bretagne-Sud</t>
  </si>
  <si>
    <t>Gagnadre I.</t>
  </si>
  <si>
    <t>Circular patch antenna sensor for moisture content measurement on dielectric material</t>
  </si>
  <si>
    <t>10.1049/el:19950801</t>
  </si>
  <si>
    <t>2-s2.0-0029637861</t>
  </si>
  <si>
    <t>['¬© 1995', 'rights reserved', 'point sources', 'optimum taper', 'linear arrays', 'genetic algorithm']</t>
  </si>
  <si>
    <t>Antenna arrays | Antenna phased arrays | Genetic algorithms</t>
  </si>
  <si>
    <t>A genetic algorithm is used to find optimum quantised low sidelobe phase tapers for linear arrays of point sources. This method has the advantage that the optimum taper is found in quantised phase space rather than in continuous phase space. ¬© 1995, IEE. All rights reserved.</t>
  </si>
  <si>
    <t>1117-1118</t>
  </si>
  <si>
    <t>Haupt, R. L.</t>
  </si>
  <si>
    <t>Optimum quantised low sidelobe phase tapers for arrays</t>
  </si>
  <si>
    <t>10.1049/el:19950786</t>
  </si>
  <si>
    <t>2-s2.0-0029637901</t>
  </si>
  <si>
    <t>['œ ¶).', 'œ ¶),', 'surface waves', 'surface wave', 'strongly depend', 'species distribution', 'spatially describe', 'oxygen mixtures', 'mainly maintained', 'longitudinal measures', 'exhibit modulations', 'emission spectroscopy', 'electric field', 'azimuthal measures', '45 ghz', '3 ).', '120 mm']</t>
  </si>
  <si>
    <t>A large diameter plasma (120 mm) is sustained in argon/oxygen mixtures, at low pressure (‚âà 1 Torr) by surface waves at 2.45 GHz. We spatially describe the electromagnetic field distribution as well as the species distribution from diagnostics such as electric antenna probing and emission spectroscopy in the three spatial directions (z, r, Œ¶). According to azimuthal measures (Œ¶), we show that the discharge is mainly maintained by an hexapolar hybrid mode (m = 3). Longitudinal measures (z) exhibit modulations which could be explained by a multimode propagation whereas the radial spectroscopic measures (r) strongly depend on the electric field of the surface wave. However, atomic oxygen densities, nearly 1%, exhibit a quite homogeneous profile in the three spatial directions. ¬© 1995 IOP Publishing Ltd.</t>
  </si>
  <si>
    <t>1529-1533</t>
  </si>
  <si>
    <t>Journal of Physics D: Applied Physics</t>
  </si>
  <si>
    <t>60106207;60106207;60106207;60106207;60106207</t>
  </si>
  <si>
    <t>57216558270;6602484868;6701564022;7004985989;57216557722</t>
  </si>
  <si>
    <t>Bluem, E.;B√©chu, S.;Boisse-Laporte, C.;Leprince, P.;Mar√©e, J.</t>
  </si>
  <si>
    <t>Laboratoire de Physique des gaz et des Plasmas</t>
  </si>
  <si>
    <t>Bluem E.</t>
  </si>
  <si>
    <t>Spatial investigation of a large diameter microwave plasma</t>
  </si>
  <si>
    <t>10.1088/0022-3727/28/7/035</t>
  </si>
  <si>
    <t>2-s2.0-0005012712</t>
  </si>
  <si>
    <t>['¬© 1995', 'waveform evolution', 'saturation properties', 'radar communication', 'optical society', 'normal incidence', 'microwave radiation', 'analyzed directly']</t>
  </si>
  <si>
    <t>We have generated 1‚Äì20-GHz microwave pulses by illuminating an Fe-compensated InP wafer with 50-ps optical pulses at normal incidence. The process of the generation of microwave radiation was monitored and analyzed directly through a 40-GHz sampling oscilloscope with precision. The saturation properties, the waveform evolution, and the optical coupling eff iciency of the gigahertz photoconducting antenna are discussed. The flexibility, compactness, and high-resolution features offered by this technique merit new applications for radar communication as well as for other microwave detecting devices. ¬© 1995, Optical Society of America.</t>
  </si>
  <si>
    <t>1544-1546</t>
  </si>
  <si>
    <t>60076904;60076904;60076904</t>
  </si>
  <si>
    <t>56036134300;6602887999;7102454916</t>
  </si>
  <si>
    <t>Liu, D. W.;Thaxter, J. B.;Bliss, D. F.</t>
  </si>
  <si>
    <t>Liu D.W.</t>
  </si>
  <si>
    <t>Gigahertz planar photoconducting antenna activated by picosecond optical pulses</t>
  </si>
  <si>
    <t>10.1364/OL.20.001544</t>
  </si>
  <si>
    <t>2-s2.0-3643132055</t>
  </si>
  <si>
    <t>['¬© 1995', 'reaction center', 'observed phenomenon', 'exciton delocalization', 'excitation delocalization', 'direct proof', 'calculations according', 'bleaching peak', 'bchl dimer']</t>
  </si>
  <si>
    <t>Bacterial photosynthesis | Exciton interaction</t>
  </si>
  <si>
    <t>Anomalously high values of photoinduced absorption changes were revealed in the antenna of photosynthetic purple bacteria. They were found to be 4-16 times greater at the bleaching peak of the antenna than at the bleaching peak of the BChl dimer of the reaction center. This is direct proof of excitation delocalization over many pigment molecules. Calculations according to the model of exciton delocalization over all core antenna BChls allow one to explain the observed phenomenon. ¬© 1995.</t>
  </si>
  <si>
    <t>370-372</t>
  </si>
  <si>
    <t>60007457-60021331;60007457</t>
  </si>
  <si>
    <t>Excitation delocalization over the whole core antenna of photosynthetic purple bacteria evidenced by non-linear pump-probe spectroscopy</t>
  </si>
  <si>
    <t>001457939500663T</t>
  </si>
  <si>
    <t>10.1016/0014-5793(95)00663-T</t>
  </si>
  <si>
    <t>2-s2.0-0029052292</t>
  </si>
  <si>
    <t>['¬© 1995', 'rights reserved', 'receive ports', 'high isolation', 'experimental results']</t>
  </si>
  <si>
    <t>A novel linearly polarised patch antenna for dual frequency operation is presented. Experimental results of the proposed antenna fed by microstrip lines using an electromagnetic coupled method are shown to verify the dual frequency use with a high isolation between the transmit and receive ports. ¬© 1995, IEE. All rights reserved.</t>
  </si>
  <si>
    <t>1212-1213</t>
  </si>
  <si>
    <t>Iwasaki, G.</t>
  </si>
  <si>
    <t>Iwasaki G.</t>
  </si>
  <si>
    <t>Proximity coupled linearly polarised patch antenna for dual frequency use</t>
  </si>
  <si>
    <t>10.1049/el:19950886</t>
  </si>
  <si>
    <t>2-s2.0-0029341855</t>
  </si>
  <si>
    <t>['¬© 1995', 'theoretical analysis', 'stub length', 'slot displacement', 'slot dimensions', 'rights reserved', 'return losses', 'reasonable agreement', 'radiation patterns', 'numerical results', 'model based', 'input impedances', 'enables studies']</t>
  </si>
  <si>
    <t>Antenna feeds | Dielectric resonators | Dielectric-loaded antennas</t>
  </si>
  <si>
    <t>Theoretical analysis of an aperture-coupled rectangular dielectric resonator antenna is presented. A model based on the modal expansion method and the spectral domain approach is developed. Numerical results for return losses and radiation patterns of the TEu]y mode are compared with experimental data available in the literature and reasonable agreement between theory and experiment is obtained. This model is flexible as it enables studies to be made of the effects of parameters such as slot dimensions, slot displacement and stub length on input impedances. ¬© 1995, IEE. All rights reserved.</t>
  </si>
  <si>
    <t>1209-1210</t>
  </si>
  <si>
    <t>60026338;60026338</t>
  </si>
  <si>
    <t>35566584200;7402099663</t>
  </si>
  <si>
    <t>Antar, Y. M.M.;Fan, Z.</t>
  </si>
  <si>
    <t>Kingston</t>
  </si>
  <si>
    <t>Royal Military College of Canada</t>
  </si>
  <si>
    <t>Characteristics of aperture-coupled rectangulardielectric resonator antenna</t>
  </si>
  <si>
    <t>10.1049/el:19950853</t>
  </si>
  <si>
    <t>2-s2.0-0029344245</t>
  </si>
  <si>
    <t>['¬© 1995', 'significant degradation', 'rights reserved', 'radio drop', 'optical distribution', 'electroabsorption modulator', 'distribution distance', 'dbpsk format', 'ask format', 'also considered', '048 mbits']</t>
  </si>
  <si>
    <t>Electroabsorption modulators | Optical control of microwaves</t>
  </si>
  <si>
    <t>The use of an electroabsorption modulator for the optical distribution of pictures at 2.048 Mbits/s in a DBPSK format with a radio drop at 38GHz is reported. A distribution distance of 20km is demonstrated and no significant degradation of the BER is observed until 10km. The bit rate limit of the system is also considered in ASK format. ¬© 1995, IEE. All rights reserved.</t>
  </si>
  <si>
    <t>1273-1274</t>
  </si>
  <si>
    <t>60104081;60104081;60104081;60104081;60104081;60104081;60104081</t>
  </si>
  <si>
    <t>6701842454;7003430885;6505900562;7003900675;57207430298;6701833735;22966678500</t>
  </si>
  <si>
    <t>Cadiou, J. F.;Veillard, J. F.;Lemerdy, B.;Guena, J.;Penard, E.;Legaud, P.;Devaux, F.</t>
  </si>
  <si>
    <t>Cadiou J.F.</t>
  </si>
  <si>
    <t>Electroabsorption modulator for radio over fibreat 38 GHz</t>
  </si>
  <si>
    <t>10.1049/el:19950860</t>
  </si>
  <si>
    <t>2-s2.0-0029344987</t>
  </si>
  <si>
    <t>['¬© 1995', 'simple model', 'significantly degraded', 'rights reserved', 'optical reflections', 'good agreement']</t>
  </si>
  <si>
    <t>Bit error rate | Community antenna television | Optical communication</t>
  </si>
  <si>
    <t>The CNR and 16-QAM bit error rate are significantly degraded, owing to optical reflections, in an externally-modulated 1550nm DFB laser transmitter, compared with an externally-modulated 1319nm YAG laser transmitter in multichannel AM/QAM video lightwave transmission systems. These results are in good agreement with a simple model. ¬© 1995, IEE. All rights reserved.</t>
  </si>
  <si>
    <t>1277-1279</t>
  </si>
  <si>
    <t>60023456;60023456;60023456;60021378</t>
  </si>
  <si>
    <t>56274144800;15034813600;56969210400;6507837564</t>
  </si>
  <si>
    <t>Ovadia, S.;Lin, C.;Anderson, W. T.;Eskilden, L.</t>
  </si>
  <si>
    <t>Piscataway;Murray</t>
  </si>
  <si>
    <t>Telcordia Technologies, Inc.;Nokia Bell Labs</t>
  </si>
  <si>
    <t>60023456;60021378</t>
  </si>
  <si>
    <t>Ovadia S.</t>
  </si>
  <si>
    <t>Reflection-dependence of CNR and 16-QAM bit errorrate in AM/QAM video lightwave systems using two different externally-modulated laser transmitters</t>
  </si>
  <si>
    <t>10.1049/el:19950880</t>
  </si>
  <si>
    <t>2-s2.0-0029346388</t>
  </si>
  <si>
    <t>['¬© 1995', 'rights reserved', 'probe length', 'input impedance', 'good agreement', 'feed position', 'experimental results', 'dr antenna', 'difference time', 'dielectric constant']</t>
  </si>
  <si>
    <t>Antenna theory | Dielectric resonators | Dielectric-loaded antennas | Finite-difference time domain method</t>
  </si>
  <si>
    <t>An analysis of a cylindrical dielectric resonator antenna operating at the fundamental broadside mode using the finite-difference time-domain (FDTD) method is presented. Good agreement between theoretical and experimental results on the input impedance of the DR antenna is obtained. The effects of the probe length, feed position and the dielectric constant on the input impedance are presented. ¬© 1995, IEE. All rights reserved.</t>
  </si>
  <si>
    <t>1210-1212</t>
  </si>
  <si>
    <t>FDTD analysis of probe-fed cylindrical dielectric resonator antenna operating in fundamental broadside mode</t>
  </si>
  <si>
    <t>10.1049/el:19950878</t>
  </si>
  <si>
    <t>2-s2.0-0029346391</t>
  </si>
  <si>
    <t>['¬© 1995', 'paper describes', 'outstanding feature', 'optimal design', 'operated without', 'microwave power', 'microwave plasma', 'main characteristics', 'fire end', 'extraction voltage', 'extracted beam', 'energy distribution', 'dielectric pieces', 'current density', 'cooling circuitry', 'coaxial shape', 'careful dimensioning', '75 w', '45 ghz', '30 mm', '1 sccm', '1 kv']</t>
  </si>
  <si>
    <t>This paper describes an optimal design of a simple and compact ECR ion source of coaxial shape which belongs to the antenna type ion sources at 2.45 GHz. Avoidance of dielectric pieces in the microwave plasma and careful dimensioning of the antenna as well as the use of a radially magnetized split ring rare earth magnet allowing the localization of the ECR zone near the fire end of the antenna are the main characteristics of this design. A 30 mm in diameter ion beam with current density of 2.3 ¬± 0.1 mA/cm2 over a 18 mm diameter was produced under a mass flow rate of 1 sccm, a microwave power of 75 W and an extraction voltage of 1 kV. It was observed that, according to the mass flow rate and amount of microwave power, a high energy tail or peak in the energy distribution was present or not in the extracted beam. An outstanding feature of this source was its ability to be operated without any microwave tuning element and without a cooling circuitry. ¬© 1995.</t>
  </si>
  <si>
    <t>459-463</t>
  </si>
  <si>
    <t>60101845;60101845;60101845;60101845;60101845;60101845;60000590</t>
  </si>
  <si>
    <t>23013868600;24601505200;23016318600;35963838100;6701447418;7201382869;57195588974</t>
  </si>
  <si>
    <t>Boukari, F.;Wartski, L.;Roy, V.;Coste, Ph;Schwebel, C.;Aubert, J.;Souza, M.</t>
  </si>
  <si>
    <t>France;Brazil</t>
  </si>
  <si>
    <t>Orsay;Juiz de Fora</t>
  </si>
  <si>
    <t>Institut d'√âlectronique Fondamentale, Orsay;Universidade Federal de Juiz de Fora</t>
  </si>
  <si>
    <t>60101845;60000590</t>
  </si>
  <si>
    <t>Boukari F.</t>
  </si>
  <si>
    <t>An optimized and simplified compact ECR ion source for gaseous species</t>
  </si>
  <si>
    <t>0168583X9500503X</t>
  </si>
  <si>
    <t>10.1016/0168-583X(95)00503-X</t>
  </si>
  <si>
    <t>2-s2.0-0010295117</t>
  </si>
  <si>
    <t>['xanthophylls decreased', 'xanthophyll de', 'xanthophyll cycle', 'winter quenching', 'winter much', 'winter minimum', 'variable fluorescence', 'twofold increase', 'transient increase', 'stresses coincided', 'stressed branches', 'remaining chlorophyll', 'rapid increases', 'radiative dissipation', 'psii light', 'protein synthesis', 'protein content', 'pigment rearrangements', 'pigment composition', 'photosystem ii', 'photosynthetic consumption', 'photoprotected state', 'may recovery', 'low temperature', 'lhc ii', 'large stock', 'initial losses', 'indoor recovery', 'high light', 'harvesting polypeptides', 'harvesting antennae', 'freezing stress', 'fm )]', 'favourable conditions', 'excitation energy', 'epoxidation state', 'epoxidation correlates', 'chlorophyll fluorescence']</t>
  </si>
  <si>
    <t>binding polypeptide | Carotenoid | Chlorophyll | Low temperature stress | Photo-protection | Photoinhibition | Pinus</t>
  </si>
  <si>
    <t>Conifers of the boreal zone encounter considerable combined stress of low temperature and high light during winter, when photosynthetic consumption of excitation energy is blocked. In the evergreen Pinus sylvestris L. these stresses coincided with major seasonal changes in photosystem II (PSII) organisation and pigment composition. The earliest changes occurred in September, before any freezing stress, with initial losses of chlorophyll, the D1-protein of the PSII reaction centre and of PSII light-harvesting-complex (LHC II) proteins. In October there was a transient increase in F0, resulting from detachment of the light-harvesting antennae as reaction centres lost D1. The D1-protein content eventually decreased to 90%, reaching a minimum by December, but PSII photochemical efficiency [variable fluorescence (Fv)/maximum fluorescence (Fm)] did not reach the winter minimum until mid-February. The carotenoid composition varied seasonally with a twofold increase in lutein and the carotenoids of the xanthophyll cycle during winter, while the epoxidation state of the xanthophylls decreased from 0.9 to 0.1 from October to January. The loss of chlorophyll was complete by October and during winter much of the remaining chlorophyll was reorganised in aggregates of specific polypeptide composition, which apparently efficiently quench excitation energy through non-radiative dissipation. The timing of the autumn and winter changes indicated that xanthophyll de-epoxidation correlates with winter quenching of chlorophyll fluorescence while the drop in photochemical efficiency relates more to loss of D1-protein. In April and May recovery of the photochemistry of PSII, protein synthesis, pigment rearrangements and zeaxanthin epoxidation occurred concomitantly. Indoor recovery of photosynthesis in winter-stressed branches under favourable conditions was completed within 3 d, with rapid increases in F0, the epoxidation state of the xanthophylls and in light-harvesting polypeptides, followed by recovery of D1-protein content and Fv/Fm, all without net increase in chlorophyll. The fall and winter reorganisation allow Pinus sylvestris to maintain a large stock of chlorophyll in a quenched, photoprotected state, allowing rapid recovery of photosynthesis in spring. ¬© 1995 Springer-Verlag.</t>
  </si>
  <si>
    <t>176-183</t>
  </si>
  <si>
    <t>Planta</t>
  </si>
  <si>
    <t>6506425919;7404497549;56212852200</t>
  </si>
  <si>
    <t>Ottander, Christina;Campbell, Douglas;√ñquist, Gunnar</t>
  </si>
  <si>
    <t>Ottander C.</t>
  </si>
  <si>
    <t>Seasonal changes in photosystem II organisation and pigment composition in Pinus sylvestris</t>
  </si>
  <si>
    <t>10.1007/BF00239954</t>
  </si>
  <si>
    <t>2-s2.0-0028831818</t>
  </si>
  <si>
    <t>['z compounds', 'unusual males', 'two races', 'two compounds', 'spike frequencies', 'spike amplitude', 'specific cells', 'regulating species', 'race males', 'male moths', 'linked locus', 'indeed exist', 'genetic studies', 'genetic controls', 'flight tunnel', 'findings show', 'factor seems', 'f2 crosses', 'e blend', 'different pheromone', 'autosomal factor']</t>
  </si>
  <si>
    <t>European corn borer | flight tunnel | genetics | Ostrinia nubilalis | single-cell electrophysiology</t>
  </si>
  <si>
    <t>In genetic studies on the sex pheromone communication system of two races of European corn borer, which use opposite pheromone blends of the E and Z compounds, it was found that antennal olfactory cell response amplitudes to the two compounds were controlled by an autosomal factor, whereas behavioral responses to the blends were controlled by a sex-linked locus. Because of the difference in genetic controls, it was postulated that some unusual males would be produced in F2 crosses between these two races. These unusual males would have antennal olfactory cells that respond as the Z-race males, but would respond behaviorally to the E blend. The present studies combined behavioral studies in a flight tunnel and single cell electrophysiological studies to show that these unusual males do indeed exist. These findings show that the spike amplitude of peripheral olfactory cells is not important in regulating species- or race-specific pheromone responses, as compared to some central nervous system factor assesses the spike frequencies from different pheromone-component-specific cells on the antenna. This factor seems to be essential in governing the pheromone-blend specific behavioral responses of male moths. ¬© 1995 Birkh√§user Verlag.</t>
  </si>
  <si>
    <t>809-816</t>
  </si>
  <si>
    <t>Experientia</t>
  </si>
  <si>
    <t>60004354;60007526;60007526;60007526;60004354;60004354;60004354</t>
  </si>
  <si>
    <t>6603979412;8241351100;7102564619;7006614844;7402060011;7402604731;7004856107</t>
  </si>
  <si>
    <t>Coss√©, A. A.;Campbell, M. G.;Glover, T. J.;Linn, C. E.;Todd, J. L.;Baker, T. C.;Roelofs, W. L.</t>
  </si>
  <si>
    <t>Geneva;Ames</t>
  </si>
  <si>
    <t>Cornell AgriTech;Iowa State University</t>
  </si>
  <si>
    <t>60007526;60004354</t>
  </si>
  <si>
    <t>Coss√© A.</t>
  </si>
  <si>
    <t>Pheromone behavioral responses in unusual male European corn borer hybrid progeny not correlated to electrophysiological phenotypes of their pheromone-specific antennal neurons</t>
  </si>
  <si>
    <t>10.1007/BF01922435</t>
  </si>
  <si>
    <t>2-s2.0-0029096791</t>
  </si>
  <si>
    <t>['scale modeling', 'plate radiator', 'paa elements', 'nonuniform substrate', 'mathematical model', '50 %;']</t>
  </si>
  <si>
    <t>A mathematical model is given for a plate radiator of a regular phased antenna array (PAA) with the multilayer dielectric coating taken into account, transversely - a nonuniform substrate and power division circuit within the PAA elements; the construction of linear- and circular-polarization printed radiators of PAA are synthesized with a bandwidth of about 40 - 50%; the results of numerical and full-scale modeling are examined.</t>
  </si>
  <si>
    <t>79-83</t>
  </si>
  <si>
    <t>7202667195;6506193924;57197324287</t>
  </si>
  <si>
    <t>Filippov, V. S.;Tatarnikov, D. V.;Sokolov, A. S.</t>
  </si>
  <si>
    <t>Filippov V.</t>
  </si>
  <si>
    <t>Wide-band circular- and linear-polarization printed radiators of PAA</t>
  </si>
  <si>
    <t>2-s2.0-0029350367</t>
  </si>
  <si>
    <t>['surface antenna', 'reduce significantly', 'proposed method', 'practical purposes', 'directivity pattern']</t>
  </si>
  <si>
    <t>A method is proposed for calculating the directivity pattern (PD) of a surface antenna. By using the proposed method, it is possible to reduce significantly the volume of computations while ensuring the calculation accuracy required for practical purposes.</t>
  </si>
  <si>
    <t>106-107</t>
  </si>
  <si>
    <t>7004903129;6701759589</t>
  </si>
  <si>
    <t>Gabriel'yan, D. D.;Zvezdina, M. Yu</t>
  </si>
  <si>
    <t>Gabriel'yan D.</t>
  </si>
  <si>
    <t>Directivity pattern of surface antenna located on a convex body with large electrical dimensions</t>
  </si>
  <si>
    <t>2-s2.0-0029350398</t>
  </si>
  <si>
    <t>['¬± 0', 'study considers', 'possible solutions', 'phase shifter', 'operating bandwidth', 'millimeter band', 'following characteristics', 'element aa', 'crucial problem', '3 %.']</t>
  </si>
  <si>
    <t>The development of millimeter-band antenna arrays (AAs) using different physical principles is a crucial problem. One of the possible solutions to this problem is the inverse piezoelectric effect. This study considers the possibility of building an AA with piezoelectric phase shifters having a moderate amplification effect. A prototype of 32-element AA for the millimeter band is developed on the basis of reflection piezoceramic phase shifters. The resulting AA exhibits the following characteristics; ¬±5¬∞ scanning sector, 1.7 dB average losses in phase shifter, 60¬∞ phasing interval, 0.7 mJ maximum phase shifter switching energy, and operating bandwidth of ¬±0.3%.</t>
  </si>
  <si>
    <t>67-69</t>
  </si>
  <si>
    <t>Shalyakin, A. I.</t>
  </si>
  <si>
    <t>Shalyakin A.</t>
  </si>
  <si>
    <t>Antenna array with piezoceramic phase shifter having a moderate phase amplification effect</t>
  </si>
  <si>
    <t>2-s2.0-0029350493</t>
  </si>
  <si>
    <t>['numerical analysis', 'integral equations', 'integral equation', 'exact kernels', 'exact kernel', 'band dipoles']</t>
  </si>
  <si>
    <t>A numerical analysis is made of the integral equations of a dipole with approximate and exact kernels; the characteristics of wide-band dipoles are presented on the basis of a solution of an integral equation with an exact kernel.</t>
  </si>
  <si>
    <t>70-73</t>
  </si>
  <si>
    <t>6602318573;6506651091;6603863264</t>
  </si>
  <si>
    <t>Radtsig, Yu Yu;Sochilin, A. V.;Eminov, S. I.</t>
  </si>
  <si>
    <t>Radtsig Y.</t>
  </si>
  <si>
    <t>Investigation of the integral equations of a dipole with exact and approximate kernels by the moment method</t>
  </si>
  <si>
    <t>2-s2.0-0029350494</t>
  </si>
  <si>
    <t>['planar measurements', 'measured values', 'grid intersections', 'directivity pattern']</t>
  </si>
  <si>
    <t>An algorithm is proposed for reconstructing the directivity pattern (DP) of an antenna for planar measurements, based on an approximation of the measured values in the vicinity of the grid intersections.</t>
  </si>
  <si>
    <t>51-55</t>
  </si>
  <si>
    <t>Khzmalyan, A. D.</t>
  </si>
  <si>
    <t>Improvement of directivity pattern reconstruction accuracy for the gain-phase measurement method</t>
  </si>
  <si>
    <t>2-s2.0-0029350928</t>
  </si>
  <si>
    <t>['reception modes', 'nonsinusoidal signals', 'harmonic oscillations', 'effective area', 'directive gain', 'antennas determined', 'analogous characteristics', 'also determined']</t>
  </si>
  <si>
    <t>Formulas are obtained for the directive gain (DG) and the effective area of an antenna in the emission and reception modes of nonsinusoidal signals; the relationship between these parameters is established and their dependence on the analogous characteristics of antennas determined for harmonic oscillations is also determined.</t>
  </si>
  <si>
    <t>Zernov, N. V.</t>
  </si>
  <si>
    <t>Zernov N.</t>
  </si>
  <si>
    <t>Directive gain and effective area of aperture antenna for the emission and reception of nonharmonic signals</t>
  </si>
  <si>
    <t>2-s2.0-0029350984</t>
  </si>
  <si>
    <t>['transfer circuits', 'regular procedure', 'elements used', 'construction compared', 'butler circuits', 'appreciable reduction']</t>
  </si>
  <si>
    <t>A regular procedure is developed for constructing reflection versions of Butler circuits (BC) that provide for an appreciable reduction in the number of elements used for their construction compared with transfer circuits.</t>
  </si>
  <si>
    <t>74-78</t>
  </si>
  <si>
    <t>6602763935;7103014592;6507668489;6603450040;7003346034</t>
  </si>
  <si>
    <t>Batanov, A. S.;Zubkov, V. L.;Kartsev, Yu A.;Sazonov, D. M.;Frolov, N. Ya</t>
  </si>
  <si>
    <t>Synthesis of butler reflection circuits</t>
  </si>
  <si>
    <t>2-s2.0-0029350985</t>
  </si>
  <si>
    <t>['wireless systems', 'transmit information', 'technology employed', 'several meters', 'security access', 'rfid application', 'reading distance', 'portable tag', 'merchandise protection', 'fixed station', 'design options', 'container identification', 'best matches', 'based radio', 'access control']</t>
  </si>
  <si>
    <t>Transponder-based radio-frequency-identification (RFID) systems have the shortest transmission distances of all wireless systems. Such systems are used to transmit information between a fixed station and a portable tag. The reading distance can range from a few millimeters to several meters, depending on the application and technology employed. By evaluating the design options, it is possible to choose a technology that best matches an RFID application. Applications include animal identification, contactless credit cards, parking-access control, security access, industrial process tracking, container identification, and merchandise protection.</t>
  </si>
  <si>
    <t>Suppl</t>
  </si>
  <si>
    <t>Microwaves and RF</t>
  </si>
  <si>
    <t>109344508;109344508</t>
  </si>
  <si>
    <t>6603235587;7003447371</t>
  </si>
  <si>
    <t>Angelo, Boni;Montecchi, Massimo</t>
  </si>
  <si>
    <t>R&amp;D Lab</t>
  </si>
  <si>
    <t>Angelo B.</t>
  </si>
  <si>
    <t>Improve the reading distance of omnidirectional RFID systems</t>
  </si>
  <si>
    <t>2-s2.0-0029352399</t>
  </si>
  <si>
    <t>['substantial reduction', 'simultaneous equations', 'scattered fields', 'reflection coefficient', 'radiation behavior', 'numerical computation', 'matching technique', 'fourier transform', 'fed slit', 'conducting screen']</t>
  </si>
  <si>
    <t>The radiation behavior of a parallel-plate-fed slit in a thick conducting screen is examined. The Fourier transform and the mode-matching technique are used to obtain simultaneous equations for the transmitted field inside the thick conducting screen. The simultaneous equations are solved to represent the transmitted and scattered fields in simple series forms. The numerical computation is performed to illustrate the behavior of the radiation from the parallel-plate-fed slit. A substantial reduction in the reflection coefficient is possible by choosing a thickness of the conducting screen.</t>
  </si>
  <si>
    <t>1131-1133</t>
  </si>
  <si>
    <t>60032144;60032144</t>
  </si>
  <si>
    <t>55112893800;36347623100</t>
  </si>
  <si>
    <t>Eom, Hyo J.;Park, Tah J.</t>
  </si>
  <si>
    <t>Daejeon</t>
  </si>
  <si>
    <t>Korea Advanced Institute of Science and Technology</t>
  </si>
  <si>
    <t>Eom H.J.</t>
  </si>
  <si>
    <t>Radiation from a parallel-plate-fed slit in a thick conducting screen</t>
  </si>
  <si>
    <t>2-s2.0-0029352559</t>
  </si>
  <si>
    <t>['microstrip antenna', 'fed slot', 'explicitly taken', 'dielectric substrate', 'antenna characteristics']</t>
  </si>
  <si>
    <t>In this paper, A waveguide-fed slot-coupled microstrip antenna is proposed as enhanced feeding structure of microstrip antenna and an analysis is presented. The presence of dielectric substrate between a strip and a slot is explicitly taken into account in this analysis. The evaluation of the antenna characteristics is carried out using the method of moments and the spectral domain approach in terms of the electric current distribution on the strip and the magnetic current distribution on the slot.</t>
  </si>
  <si>
    <t>984-987</t>
  </si>
  <si>
    <t>60013682;60013682</t>
  </si>
  <si>
    <t>57067175600;7402276259</t>
  </si>
  <si>
    <t>Choi, Sanghoon;Nam, Sangwook</t>
  </si>
  <si>
    <t>Seoul</t>
  </si>
  <si>
    <t>Seoul National University</t>
  </si>
  <si>
    <t>Enhanced feeding structure of microstrip antenna</t>
  </si>
  <si>
    <t>2-s2.0-0029352598</t>
  </si>
  <si>
    <t>['used effectively', 'temperature profile', 'results show', 'physiological considerations', 'numerical simulations', 'invasive measurement', 'human body', 'depth range', 'animal experiment', '5 cm']</t>
  </si>
  <si>
    <t>Multifrequency microwave radiometry has been investigated for non-invasive measurement of temperatures in a human body. In this paper, we propose a new temperature profile model function, which is based on thermo-physiological considerations, for use in a model fitting method of retrieving a temperature profile from a set of multifrequency radiometric data. The microwave radiometric technique using the new model function was tested by numerical simulations against animal experiment and clinical data reported elsewhere. The results show that the microwave radiometric technique can be used effectively to measure temperature profiles in tissues over a depth range from 0 to about 4.5 cm.</t>
  </si>
  <si>
    <t>1071-1081</t>
  </si>
  <si>
    <t>60103680;60103680;60103680;60103680;60103680</t>
  </si>
  <si>
    <t>7103295854;6507010858;57202718893;7202744310;56796547400</t>
  </si>
  <si>
    <t>Ohba, Hiroyuki;Kinomura, Masahiro;Ito, Michimasa;Sugiura, Toshifumi;Mizushina, Shizuo</t>
  </si>
  <si>
    <t>Ohba H.</t>
  </si>
  <si>
    <t>Multifrequency microwave radiometry for non-invasive thermometry using a new temperature profile model function</t>
  </si>
  <si>
    <t>2-s2.0-0029352882</t>
  </si>
  <si>
    <t>['wall penetration', 'technique applies', 'special case', 'sbr method', 'numerical results', 'near future', 'images coherently', 'image method', 'image approach', 'good approximation', 'even though', 'deterministic approach', 'curved corridor', 'certain point', 'analytic methods']</t>
  </si>
  <si>
    <t>In this paper we will propose a deterministic approach to model the radio propagation channels in complex indoor environments. This technique applies the SBR method to find equivalent sources (images) in each launched ray tube, and sums the receiving amplitude contributed by all images coherently. We verify our SBR/image approach by comparing the numerical results in two canonical examples where closed-form solutions exist. The good agreement indicates that our method can provide a good approximation of high frequency radio propagation inside corridors where reflection is dominant. In the special case of a curved corridor, which can not be solved by analytic methods, we find a 'focusing' effect that at some certain point the receiver will receive high power, even though it is out of sight. This SBR/image method can be enhanced by including the wall penetration and wedge diffraction effects, and even more complicated indoor environments will be tackles in the near future.</t>
  </si>
  <si>
    <t>1058-1062</t>
  </si>
  <si>
    <t>7410258526;26023218700</t>
  </si>
  <si>
    <t>Chen, Shin Hon;Jeng, Shyh Kang</t>
  </si>
  <si>
    <t>Chen S.</t>
  </si>
  <si>
    <t>SBR/image approach for indoor radio propagation in a corridor</t>
  </si>
  <si>
    <t>2-s2.0-0029352912</t>
  </si>
  <si>
    <t>['zf criterion', 'zero forcing', 'z transform', 'temporal model', 'temporal equalization', 'temporal domains', 'tap coefficients', 'simple case', 'shown numerically', 'several criterion', 'paper describes', 'paper applies', 'optimal weights', 'nyquist criterion', 'noise free', 'multipath channel', 'finite number', 'distortion criterion', 'decided uniquely', 'computer simulations', 'array antenna', 'antenna elements', 'adaptive tapped']</t>
  </si>
  <si>
    <t>This paper describes a spatial and temporal multipath channel model which is useful in array antenna environments for mobile radio communications. From this model, a no distortion criterion, that is an extension of the Nyquist criterion, is derived for equalization in both spatial and temporal domains. An adaptive tapped-delay-line (TDL) array antenna is used as a tool for equalization in both spatial and temporal domains. Several criterion for such spatial and temporal equalization such as ZF (Zero Forcing) and MSE (Mean Square Error), are available to update the weights and tap coefficients. In this paper, we discuss the optimum weights based on the ZF criterion in both spatial and temporal domains. Since the ZF criterion satisfies the Nyquist criterion in case of noise free, this paper applies the ZF criterion for the spatial and temporal equalization as a simple case. The Z transform is applied to represent the spatial and temporal model of the multipath channel and to derive the optimal weights of the TDL array antenna. However, in some cases the optimal antenna weights cannot be decided uniquely. Therefore, the effect on the equalization errors due to a finite number of antenna elements and tap coefficients can be shown numerically by computer simulations.</t>
  </si>
  <si>
    <t>1162-1169</t>
  </si>
  <si>
    <t>36888230500;7102287283</t>
  </si>
  <si>
    <t>Ishii, Naoto;Kohno, Ryuji</t>
  </si>
  <si>
    <t>Spatial and temporal equalization based on an adaptive tapped-delay-line array antenna</t>
  </si>
  <si>
    <t>2-s2.0-0029353051</t>
  </si>
  <si>
    <t>['selecting antennas', 'particular site', 'part series', 'operating environment', 'later affect', 'integrated circuits', 'granted components', 'first installment', 'antennas may', 'antenna type', 'active components']</t>
  </si>
  <si>
    <t>Antennas may be one of the most taken-for-granted components for wireless communications systems. Much has been written about active components, such as the amplifiers and integrated circuits (ICs) that power cellular base stations. Antennas, however, are just as critical to the operation of a cellular base station, with many choices available depending upon the particular site and operating environment. This first installment of a three-part series on selecting antennas for cellular base stations will examine the operating environment for these antennas and how this environment will later affect the choice of antenna type.</t>
  </si>
  <si>
    <t>Rosol, George</t>
  </si>
  <si>
    <t>M/A-COM (MACOM)</t>
  </si>
  <si>
    <t>Rosol G.</t>
  </si>
  <si>
    <t>Environmental factors contribute to antenna selection</t>
  </si>
  <si>
    <t>2-s2.0-0029354615</t>
  </si>
  <si>
    <t>['path inclination', 'overcome fading', 'los links', 'indian subcontinent', 'fades caused', 'data collected', 'considerable percentage']</t>
  </si>
  <si>
    <t>Investigations of the effect of path inclination on fading, based on the data collected from three LOS microwave links over the Indian subcontinent, are reported. It is observed that as the path inclination increases, the number and depth of fades caused by layers are reduced. In regions where temperature inversions prevail for a considerable percentage of the time, the design of LOS links should incorporate the concept of path inclination to overcome fading.</t>
  </si>
  <si>
    <t>295-299</t>
  </si>
  <si>
    <t>60008424;60008424;60008424;60008424;60008424;60008424</t>
  </si>
  <si>
    <t>55416118700;56264494100;7103170228;9942999600;7201465504;7801386399</t>
  </si>
  <si>
    <t>Rao, D. Narayana;Reddy, K. Krishna;Kumar, T. R.Vijaya;Rao, S. V.Bhaskara;Prasad, M. V.S.N.;Punyaseshudu, D.</t>
  </si>
  <si>
    <t>Tirupati</t>
  </si>
  <si>
    <t>Sri Venkateswara University</t>
  </si>
  <si>
    <t>Rao D.N.</t>
  </si>
  <si>
    <t>Study of path inclination effects on performance of LOS microwave links in southern India</t>
  </si>
  <si>
    <t>10.1049/ip-map:19951897</t>
  </si>
  <si>
    <t>2-s2.0-0029354687</t>
  </si>
  <si>
    <t>['square arrangements', 's21 |.', 'radiation pattern', 'proposed method', 'plane arrangements', 'mutual coupling', 'msa elements', 'msa array', 'experimental results', 'experimental data', 'computed results', 'cavity model', 'also investigated']</t>
  </si>
  <si>
    <t>In this paper, mutual coupling |S21| between R-MSA (ring-shaped microstrip antenna) elements was estimated by the EMF method based on the cavity model. Then, the validity of the proposed method was tested by experiments. The experiments confirmed satisfactory agreement between the computed and experimental data for |S21| in both E- and H-plane arrangements. In addition, a circularly polarized planar array composed of R-MSA elements was designed on the basis of the data of |S21|. The experimental results of such a planar array demonstrated high performance in radiation pattern as well as axial ratio property. Furthermore, the active reflection coefficient |Œì| in the R-MSA array was also investigated in both equilateral and square arrangements. The computed results of active reflection coefficient in the array demonstrated high performance in both arrangements.</t>
  </si>
  <si>
    <t>995-1001</t>
  </si>
  <si>
    <t>60028263;60028263;60028263;60028263</t>
  </si>
  <si>
    <t>7405531452;6602656099;35900167900;6603687544</t>
  </si>
  <si>
    <t>Kobayashi, Motohiko;Rahardjo, Eko Tjipto;Tsuda, Shin ichiro;Haneishi, Misao</t>
  </si>
  <si>
    <t>Saitama</t>
  </si>
  <si>
    <t>Saitama University</t>
  </si>
  <si>
    <t>Kobayashi M.</t>
  </si>
  <si>
    <t>Radiation properties of ring-shaped microstrip antenna array</t>
  </si>
  <si>
    <t>2-s2.0-0029354714</t>
  </si>
  <si>
    <t>['microwave technology', 'discussed namely', 'australian research', 'australian developments']</t>
  </si>
  <si>
    <t>The Australian research in the field of microwave technology is not very large. However we have some small but reasonably advanced capability and achievements. In this paper some of the Australian developments are discussed namely: GaAs Monolithic Microwave Integrated Circuits, MM-wave Local Area Networks, Antennas for Communications and Radioastronomy and application of Photonics to Warfare.</t>
  </si>
  <si>
    <t>902-906</t>
  </si>
  <si>
    <t>Ceremuga, Janina</t>
  </si>
  <si>
    <t>Townsville</t>
  </si>
  <si>
    <t>James Cook University</t>
  </si>
  <si>
    <t>Ceremuga J.</t>
  </si>
  <si>
    <t>Review of recent developments in microwave research in Australia</t>
  </si>
  <si>
    <t>2-s2.0-0029354922</t>
  </si>
  <si>
    <t>['slms ).', 'rf signal', 'radio frequency', 'phase shift', 'optoelectronic technique', 'noise ratio', 'intermodulation characteristics', 'intensity could', 'first time', 'experimental circuit', 'changing lc', 'amplitude control', '25 db', '240 degrees']</t>
  </si>
  <si>
    <t>An optoelectronic technique to control both the amplitude and phase of a radio frequency (RF) signal is presented that uses two electrically controllable birefringence mode nematic liquid-crystal spatial light modulators (ECB mode nematic LC-SLMs). An experimental circuit was built and its performance was examined. The intensity could be changed down to -25 dB, and a phase shift of up to 240 degrees was achieved, by changing LC-SLM supplied voltages. Carrier-to-noise ratio (CNR) and intermodulation characteristics of an RF signal were measured. It was, for the first time, found that CNR was not degraded by the amplitude control and phase shift performed by the LC-SLMs.</t>
  </si>
  <si>
    <t>1082-1089</t>
  </si>
  <si>
    <t>36936857700;57200644677</t>
  </si>
  <si>
    <t>Kobayashi, Osamu;Ogawa, Hiroyo</t>
  </si>
  <si>
    <t>Kobayashi O.</t>
  </si>
  <si>
    <t>Amplitude and phase control of an RF signal using liquid-crystals by optoelectronic method</t>
  </si>
  <si>
    <t>2-s2.0-0029355047</t>
  </si>
  <si>
    <t>['vswr less', 'v characteristics', 'state resistance', 'obtained bandwidth', 'monolithically combined', 'junction mixer', 'junction array', 'josephson junctions', 'experiments showed', 'design frequency', 'conversion gain', '6 db', '10 ghz', '1 %.']</t>
  </si>
  <si>
    <t>The high-Tc superconducting active antenna proposed here for millimeter and submillimeter radiowave communications, uses a YBCO slot antenna with a series Josephson junction array to increase the normal-state resistance of the junctions, in order to ensure impedance matching between the antenna and the junctions. The antenna is a coplanar waveguide fed slot antenna, which can be easily and monolithically combined with the Josephson junctions. The design frequency of the antenna is 10 GHz and the obtained bandwidth of a VSWR less than 2 was 4.1%. Normal-state resistance values of the junction array could be confirmed by measuring I-V characteristics and 100-MHz impedance measurements, and both agree very well. Microwave mixing experiments were carried out using the junction array with the antenna, and the experiments showed that the conversion gain of the junction was proportional to the number of the junctions. The conversion gain of an eight-junction mixer with the antenna was found to be -6 dB.</t>
  </si>
  <si>
    <t>1007-1011</t>
  </si>
  <si>
    <t>100310750;100310750;100310750;100310750</t>
  </si>
  <si>
    <t>7006680804;7004333270;8352937800;6602105003</t>
  </si>
  <si>
    <t>Chujo, Wataru;Shimakage, Hisashi;Wang, Zhen;Komiyama, Bokuji</t>
  </si>
  <si>
    <t>Kobe</t>
  </si>
  <si>
    <t>Kansai Advanced Research Cent</t>
  </si>
  <si>
    <t>Chujo W.</t>
  </si>
  <si>
    <t>High-T&lt;inf&gt;c&lt;/inf&gt; superconducting active slot antenna with a YBCO step-edge Josephson junction array</t>
  </si>
  <si>
    <t>2-s2.0-0029355117</t>
  </si>
  <si>
    <t>['simple proportionality', 'relative bandwidth', 'reflection coefficients', 'parameter study', 'magnetic slab', 'hard surfaces', 'grounded dielectric', 'first time', 'design frequency', 'conducting strips', 'artificially soft']</t>
  </si>
  <si>
    <t>The bandwidth of reflection coefficients are evaluated for the conducting strips on a grounded dielectric and magnetic slab for the use as artificially soft and hard surfaces. The closed-form reflection coefficients developed are utilized in parameter study. The hard surface realized by magnetic material slab has significantly wider bandwidth than that realized by dielectric material slab. For a perfectly hard surface, a simple proportionality between the relative bandwidth and the design frequency is found for the first time.</t>
  </si>
  <si>
    <t>289-294</t>
  </si>
  <si>
    <t>56113798900;35495699200;7201747933</t>
  </si>
  <si>
    <t>Chen, Shuguang;Ando, Makoto;Goto, Naohisa</t>
  </si>
  <si>
    <t>Frequency characteristics and bandwidth enhancement of artificially soft and hard surfaces</t>
  </si>
  <si>
    <t>10.1049/ip-map:19952052</t>
  </si>
  <si>
    <t>2-s2.0-0029356177</t>
  </si>
  <si>
    <t>['station antenna', 'random orientation', 'power response', 'paper presents', 'handset terminal', 'following topics', 'different polarizations', 'canyon microcell', 'based simulation', 'based model', 'analytical study']</t>
  </si>
  <si>
    <t>This paper presents an analytical study and computer-based model of radio wave polarization propagating through a microcell. It covers the following topics: the influence of random orientation of a handset terminal on the performance of communication systems using either a linearly or circularly polarized base-station antenna; an analysis of the computer-based simulation of the power response on different polarizations in a street-canyon microcell.</t>
  </si>
  <si>
    <t>1012-1017</t>
  </si>
  <si>
    <t>Kukushkin, Alexander</t>
  </si>
  <si>
    <t>Kukushkin A.</t>
  </si>
  <si>
    <t>Performance of a circularly polarized base-station antenna in a microcellular environment</t>
  </si>
  <si>
    <t>2-s2.0-0029356433</t>
  </si>
  <si>
    <t>['surface wave', 'space wave', 'radiating edges', 'parasitic patches', 'nonradiating edges', 'input impedance', 'galerkin procedure', 'field pattern', 'equations involve', 'driven patch', 'domain basis', 'distance among', 'different size', 'coupled parallel', 'boundary condition']</t>
  </si>
  <si>
    <t>The effect of coplanar parasitic patches on the input impedance and far-field pattern of probe-fed cylindrical rectangular microstrip antennas is presented. The parasitic patches are coupled parallel to either the radiating edges or nonradiating edges of the driven patch. Applying the boundary condition on the surface of the patches, coupled integral equations are formulated. The equations involve the spectral domain Green's functions of a dielectric coated metallic cylinder and unknown electric current of the patches. The Galerkin procedure on an entire-domain basis is employed to solve the coupled integral equations. The interactions among patches through the space wave as well as the surface wave are incorporated. Input impedance and far-field pattern are computed for different size of cylinder and distance among the patches.</t>
  </si>
  <si>
    <t>300-306</t>
  </si>
  <si>
    <t>Cylindrical rectangular microstrip antennas with coplanar parasitic patches</t>
  </si>
  <si>
    <t>10.1049/ip-map:19952053</t>
  </si>
  <si>
    <t>2-s2.0-0029356499</t>
  </si>
  <si>
    <t>An integral-equation moment technique is applied to the microstrip wire grid array geometry. Computed radiation pattern results are compared with measurements, giving acceptable agreement between the two. Computed current distributions support earlier intuitive reasoning used in devising this type of antenna.</t>
  </si>
  <si>
    <t>314-318</t>
  </si>
  <si>
    <t>57197368439;57203176700</t>
  </si>
  <si>
    <t>Hildebrand, L. T.;McNamara, D. A.</t>
  </si>
  <si>
    <t>Hildebrand L.T.</t>
  </si>
  <si>
    <t>Verification of spatial domain integral-equation analysis of microstrip wire-grid arrays</t>
  </si>
  <si>
    <t>10.1049/ip-map:19951930</t>
  </si>
  <si>
    <t>2-s2.0-0029356805</t>
  </si>
  <si>
    <t>['theoretically inappropriate', 'ssm yields', 'receiving antennas', 'improved method', 'experiments exhibit', 'existing ssm', 'associated devices', 'analysis reveals', 'also concluded', 'additional conversion']</t>
  </si>
  <si>
    <t>Standard Site Method (SSM) is theoretically analyzed using matrix representations to examine its validity and develop an improved method. The analysis reveals that the SSM yields an antenna factor specifically related to the effective load impedance presented by the cable and associated devices which are disconnected from the antenna during the SSM site attenuation measurements. Therefore, an additional conversion is required to determine the desired antenna factor under actual load conditions. It is also concluded that the SSM is not applicable to antennas having height-dependent antenna factors. In addition, the SSM correction factors are found to be theoretically inappropriate. Uncertainty of the antenna factor obtained using the SSM is discussed and the required antenna separation distance is investigated. To improve the existing SSM, it is proposed that both transmitting and receiving antennas are placed at the same height during the site attenuation measurements. Experiments exhibit the superiority of the improved method.</t>
  </si>
  <si>
    <t>1229-1237</t>
  </si>
  <si>
    <t>100341285;100341285;100341285;100341285</t>
  </si>
  <si>
    <t>36176445900;7201878418;7401818674;7006523297</t>
  </si>
  <si>
    <t>Sugiura, Akira;Morikawa, Takao;Koike, Kunimasa;Harima, Katsushige</t>
  </si>
  <si>
    <t>Ibaraki Prefecture</t>
  </si>
  <si>
    <t>Kashima Space Research Cent</t>
  </si>
  <si>
    <t>Improvement in the standard site method for accurate EMI antenna calibration</t>
  </si>
  <si>
    <t>2-s2.0-0029356860</t>
  </si>
  <si>
    <t>['twenty times', 'novel design', 'mmic installed', 'measured results', 'made clear', 'lna composing', 'layer structure', 'heat sink', 'ground planes', 'ground plane', 'easy installation', 'calculated results', 'calculated ones', 'back plane', 'back lobe', 'antenna substrate', 'also studied', '23 ghz']</t>
  </si>
  <si>
    <t>A novel thick ground plane is proposed as a support for a slot-coupled microstrip antenna and as a heat sink for an MMIC installed on the back plane of the active array antenna. A multi-layer structure of ground planes is also studied for the benefit of easy installation of MMICs. The influence of this thick metal ground plane with a mono- and multi-layer has been investigated in detail. Both measured and calculated results of VSWR and calculated results of the back lobe are shown in detail. The calculated results of VSWR agree well with the measurements. It is made clear that the thickness of the ground plane can be extended to twenty times that of the antenna substrate while maintaining the antenna's performance. An LNA composing an MMIC was developed, attached to the back of the antenna, and operated at 23 GHz. The measured results of this active element agree well with calculated ones and confirm the applicability of the novel design.</t>
  </si>
  <si>
    <t>988-994</t>
  </si>
  <si>
    <t>7403989722;7004961264;7102618328</t>
  </si>
  <si>
    <t>Takeuchi, Kazunori;Chiba, Isamu;Karasawa, Yoshio</t>
  </si>
  <si>
    <t>Slot coupled microstrip antenna with a multi-layer thick ground plane</t>
  </si>
  <si>
    <t>2-s2.0-0029356910</t>
  </si>
  <si>
    <t>['slot antenna', 'photolithographic methods']</t>
  </si>
  <si>
    <t>Thin-film slot antennas for 700 GHz submillimeter wave radiation were designed on the basis of the experimental results obtained at microwave frequency regions, and fabricated with photolithographic methods. The antenna patterns measured for the HCOOH laser radiation agreed well with the theoretical antenna pattern. This shows that the fabricated antenna works as a slot antenna in the 700 GHz submillimeter region.</t>
  </si>
  <si>
    <t>1002-1006</t>
  </si>
  <si>
    <t>60004176;60004176;60004176</t>
  </si>
  <si>
    <t>55361726600;55218900300;7004555963</t>
  </si>
  <si>
    <t>Shimizu, Takashi;Abe, Yasuhiko;Yasuoka, Yoshizumi</t>
  </si>
  <si>
    <t>Yokosuka</t>
  </si>
  <si>
    <t>National Defense Academy of Japan</t>
  </si>
  <si>
    <t>Thin-film slot antenna for 700 GHz submillimeter wave radiation</t>
  </si>
  <si>
    <t>2-s2.0-0029356963</t>
  </si>
  <si>
    <t>['scattering cross', 'pointing beam', 'limited regions', 'antenna beam']</t>
  </si>
  <si>
    <t>A generalized surface scattering radar equation for a near-nadir-looking pencil beam radar, which covers both beam-limited and pulse-limited regions, is derived. This equation is a generalization of the commonly used nadir-pointing beam-limited radar equation taking both antenna beam and pulse waveform weighting functions into account, and is convenient for the calculation of radar received power and scattering cross-section of the surface.</t>
  </si>
  <si>
    <t>1245-1248</t>
  </si>
  <si>
    <t>Kozu, Toshiaki</t>
  </si>
  <si>
    <t>Kozu T.</t>
  </si>
  <si>
    <t>Generalized surface echo radar equation for down-looking pencil beam radar</t>
  </si>
  <si>
    <t>2-s2.0-0029356965</t>
  </si>
  <si>
    <t>['paper proposes', 'optic bfn', 'new type', 'microwave stabilization', 'microwave characteristics', 'linbo3 substrate', 'first time', 'experimental bfn', 'examined using', 'control except', 'coaxial cables', 'band microwave', 'also verified', '5 dbp']</t>
  </si>
  <si>
    <t>This paper proposes a new type of optically controlled BFN (beam forming network), an electro-optic BFN using an optical waveguide structure. In this BFN, antenna beam forming is performed using conventional optical variable phase shifters and conventional optical variable directional couplers. An electro-optic BFN can easily utilize monolithic integration capability that will be advantageous to microwave stabilization. In order to discuss practical applicability, microwave characteristics and beam forming characteristics were examined using an experimental BFN fabricated on a LiNbO3 substrate. Resulting from electro-optic lightwave control, linear phase shifting and variable amplitude distribution were measured at various microwave frequencies. Without any other control except for optical offset frequency locking and applying constant voltages, typical short term fluctuation in L-band microwave was measured to be within 3 degreesp-p in phase and 2.5 dBp-p in amplitude, respectively. For the first time, an electro-optic BFN was successful in performing beam forming in an L-band array antenna as well as coaxial cables. It was also verified that radiation pattern measured in 60 degree beam steering using the experimental BFN was comparable to that calculated using conventional microwave BFNs. The experimental results show the feasibility of utilizing an electro-optic BFN in future advanced microwave/millimeter-wave array antenna systems.</t>
  </si>
  <si>
    <t>1090-1094</t>
  </si>
  <si>
    <t>60021208;60021208;60021208;60021208</t>
  </si>
  <si>
    <t>7202745293;36985128100;7006680804;35595788800</t>
  </si>
  <si>
    <t>Kamiya, Yoshiaki;Murakami, Yasushi;Chujo, Wataru;Fujise, Masayuki</t>
  </si>
  <si>
    <t>KDDI Corporation</t>
  </si>
  <si>
    <t>Kamiya Y.</t>
  </si>
  <si>
    <t>Electro-optic BFN for array antenna beam forming</t>
  </si>
  <si>
    <t>2-s2.0-0029357062</t>
  </si>
  <si>
    <t>['rician distributions', 'results show', 'propagation point', 'propagation characteristics', 'measured area', 'furniture except', 'fast fading', 'fading characteristics', 'experimental study', 'experimental apparatus', 'direct path', 'became clear', 'also derived', 'almost empty', '90 m2', '2 along']</t>
  </si>
  <si>
    <t>An experimental study on propagation characteristics in a room of a modern office building using a 57.5 GHz carrier is described. The objective of the study is to provide initial information about the path-loss and fading characteristics for millimeter-wave wireless indoor communication systems. The area of the floor of the room is about 90 m2 and the room was almost empty with no furniture except the experimental apparatus. A wide-beam scalar feed horn transmission antenna and an omnidirectional receiving antenna were used and set to be with the same height. The measured area was divided into many 'squares' to characterize the propagation. The variation of square transmission loss was calculated, and the regions where the maximum square transmission loss was observed were pointed out. It became clear that the distance power law for square transmission loss was approximately of the order d-2 along the direct path. Rician distributions for fast fading were derived in almost all squares of this room. The spectra for the fast fading envelope were also derived. From the propagation point of view, the results show that no extreme difficulty seems to exist in developing wireless communication systems in the 60 GHz band.</t>
  </si>
  <si>
    <t>1139-1145</t>
  </si>
  <si>
    <t>60092258;60092258;60092258;60092258;60092258</t>
  </si>
  <si>
    <t>7201362312;36742598000;35500411600;7402731629;7004061077</t>
  </si>
  <si>
    <t>Taira, Kazumasa;Fujiwara, Kazunori;Manabe, Takeshi;Mizuno, Mitsuhiko;Kasashima, Yoshinori</t>
  </si>
  <si>
    <t>Taira K.</t>
  </si>
  <si>
    <t>Narrowband experimental study for indoor propagation characteristics in the 60 GHz band</t>
  </si>
  <si>
    <t>2-s2.0-0029357063</t>
  </si>
  <si>
    <t>['include single', 'grasp programs', 'design procedures']</t>
  </si>
  <si>
    <t>Design procedures for sophisticated reflector antenna systems are presented. These include single and dual offset systems that use the same parabolic main reflector mold in both single and dual reflector configurations by upgrading a single offset reflector to a dual Gregorian reflector. Design procedures were verified with PRAC and GRASP programs.</t>
  </si>
  <si>
    <t>7202562512;7006247497</t>
  </si>
  <si>
    <t>Terada, Marco A.B.;Stutzman, Warren L.</t>
  </si>
  <si>
    <t>Terada M.</t>
  </si>
  <si>
    <t>Computer-aided design of reflector antennas</t>
  </si>
  <si>
    <t>2-s2.0-0029357374</t>
  </si>
  <si>
    <t>['tracking systems', 'tracking sites', 'separate antennas', 'paper describes', 'optical fiber', 'optic links', 'linear fiber', 'latest set', 'discussion focuses']</t>
  </si>
  <si>
    <t>This paper describes the use of linear fiber-optic links in telemetry/tracking systems to separate antennas from receivers by tens of kilometers. The discussion focuses on the system-level advantages achieved in NASA's latest set of telemetry/tracking sites by transmitting the original, analog telemetry signals on optical fiber.</t>
  </si>
  <si>
    <t>Olson, Todd</t>
  </si>
  <si>
    <t>Olson T.</t>
  </si>
  <si>
    <t>Fiber-optic links for telemetry and tracking systems</t>
  </si>
  <si>
    <t>2-s2.0-0029358249</t>
  </si>
  <si>
    <t>['trimble navigation', 'representative snapshot', 'modernization activities', 'key component', 'defense electronics', 'armed services']</t>
  </si>
  <si>
    <t>Defense electronics has selected several current Global Positioning System (GPS) applications in an effort to provide a 'representative snapshot' of where GPS stands today, as well as where it might be headed in the future. The introduction of GPS navigation capabilities is a key component of modernization activities in all of the armed services. Consequently, Trimble Navigation has been providing conference attendees with information on a range of their current GPS products and programs that include a range of both Standard Position Service (SPS) and Precise Positioning Service (PPS) systems.</t>
  </si>
  <si>
    <t>Defense electronics</t>
  </si>
  <si>
    <t>Gourley, Scott R.</t>
  </si>
  <si>
    <t>Gourley S.R.</t>
  </si>
  <si>
    <t>GPS: the ultimate dual-use technology?</t>
  </si>
  <si>
    <t>2-s2.0-0029359157</t>
  </si>
  <si>
    <t>['wireless communications', 'successful deployment', 'program tests', 'market acceptance', 'computing platform', 'computer systems', 'communications devices']</t>
  </si>
  <si>
    <t>Enabling a computing platform with wireless communications capability provides mobile connectivity. However, because computer systems and communications devices have been developed in isolation, their successful deployment for wireless communications is hindered. With this in mind, Motorola, in cooperation with computer industry partners, embarked on a wireless platform compatibility program to increase buyer confidence and market acceptance of wireless modem products. The program is designed to support the launch of PCMCIA wireless wide area network service devices into the marketplace. Although the program tests for wireless PC Card compatibility with leading portable computing system, it has the potential to form the basis of an industry-wide RF benchmark for all wireless PC Cards.</t>
  </si>
  <si>
    <t>IC card systems &amp; design</t>
  </si>
  <si>
    <t>Zibrik, Larry</t>
  </si>
  <si>
    <t>Zibrik L.</t>
  </si>
  <si>
    <t>Setting the stage for wireless computing</t>
  </si>
  <si>
    <t>2-s2.0-0029359723</t>
  </si>
  <si>
    <t>['varying signal', 'system sensitivity', 'single symmetric', 'peak sensitivity', 'noise levels', 'intermediate zone', 'gaussian noise', 'different widths', 'df system', 'detection probability', 'constant threshold', 'certain angles', 'antenna pair', 'alarm rate']</t>
  </si>
  <si>
    <t>The detection probability of an antenna pair of a symmetric-pair direction finding (DF) system in the presence of Gaussian noise is investigated. The question of system sensitivity as a function of the signal's angle of arrival is addressed. Expressions for false-alarm rate and probability of detection of a single symmetric-pair for different widths of the intermediate zone, a symmetric-pair specific parameter, are derived. It is shown that the width of the intermediate zones hardly affects the peak sensitivity but has an effect on the probability of detection for certain angles of arrival. A technique that yields hardly changing detection probability of the DF system for constant threshold and varying signal and noise levels is discussed.</t>
  </si>
  <si>
    <t>199-205</t>
  </si>
  <si>
    <t>6603087395;35087329300;7005651378</t>
  </si>
  <si>
    <t>Titze, W. A.U.;Brennan, P. V.;Milne, K.</t>
  </si>
  <si>
    <t>Titze W.A.U.</t>
  </si>
  <si>
    <t>Predicted performance of a symmetric-pair direction finding system in low signal-to-noise environments</t>
  </si>
  <si>
    <t>10.1049/ip-rsn:19951888</t>
  </si>
  <si>
    <t>2-s2.0-0029360018</t>
  </si>
  <si>
    <t>['two degrees', 'turret simultaneously', 'sensor antenna', 'laser rangefinder', 'gps receiver', 'gps navigation', 'electronic compass', 'called tacnav', 'armored vehicle']</t>
  </si>
  <si>
    <t>Combining an electronic compass and a GPS receiver with intelligent display allows engineers to produce a navigation system capable of either dead reckoning or GPS navigation. Further, the system can display the orientation of an armored vehicle's hull and turret simultaneously. The system's compass, called TACNAV, is accurate to two degrees. It uses a sensor antenna that contains a toroidal-ring-core fluxgate magnetometer to detect magnetic north. With this the system can interface with the vehicle's odometer, turret angle encoder, laser rangefinder, and GPS to provide interactive data and target location data.</t>
  </si>
  <si>
    <t>99-100</t>
  </si>
  <si>
    <t>Design News (Boston)</t>
  </si>
  <si>
    <t>Hogan, Brian J.</t>
  </si>
  <si>
    <t>Hogan B.</t>
  </si>
  <si>
    <t>System integrates data for vehicle navigation</t>
  </si>
  <si>
    <t>2-s2.0-0029360095</t>
  </si>
  <si>
    <t>['‚ àº0', 'years 1976', 'years 1971', 'upper atmosphere', 'suggest diffusion', 'subsequent precipitation', 'significant correlation', 'sanae due', 'riometer antennae', 'power reflectivity', 'power index', 'polar cap', 'optical aurora', 'maximum absorption', 'lower maximum', 'ionosphere may', 'hop whistlers', 'gradual increases', 'geomagnetic activity', 'frequency distribution', 'fourth power', 'following observations', 'estimated 70', 'closely related', 'central region', 'bragg condition', 'absorptions observed', '50 ut', '4 mhz', '30 mhz', '29 september', '27 july', '22 ut', '04 db', '00 ut']</t>
  </si>
  <si>
    <t>Bragg Scattering | Energetic Electron Precipitation | Ionosphere-Magnetosphere Coupling | Solar Proton Events | Whistlers</t>
  </si>
  <si>
    <t>The absorption of cosmic radio noise passing through the ionosphere may be described as a function of radio wave frequency A(fe) Œ±fe-n, with n ‚âà 2.0 for spatially uniform precipitation of electrons and n &lt; 2.0 for spatially nonuniform precipitation. Using multifrequency riometer recordings at SANAE, the following observations are reviewed: (1) The frequency distribution of the power index, n, obtained from 4 min averaged absorptions during 1983, shows a most probable value around n ‚âà 1.5, indicating that mostly energetic electrons are precipitated spatially structured onto the upper atmosphere, as in optical aurora. (2) Multifrequency riometer recordings suggest that field-aligned ionospheric irregularities have scattered additional cosmic radio waves from the central region of the Galaxy into the fields of views of the riometer antennae during an auroral absorption event in the early morning hours of 27 July, 1982. With the power reflectivity by ionospheric irregularities inversely proportional to the fourth power of radio wave frequency, as required by the Bragg condition, an estimated 70% increase in the 20 MHz radio flux at 01:22 UT, at the strong absorption peak, can explain the strongly reduced absorption observed in 20 MHz relative to 30 and 51.4 MHz. (3) Gradual increases in absorptions observed at all three riometer frequencies from onset at 11:50 UT of the largest solar proton ground level enhancement on 29 September, 1989, until 18:00 UT, suggest diffusion of the much more intense low energy protons from the polar cap to the L=4.0 geomagnetic field shell and subsequent precipitation at SANAE due to the South Atlantic Geomagnetic Anomaly. (4) The flux of electron energy deposited per second at SANAE is closely related to geomagnetic activity, but has a lower maximum during the years 1971 and 1980 of solar polar magnetic reversals than in the years 1976 and 1986/87 of minimum solar activity. (5) A significant correlation has been found between the arrival of single-hop whistlers and 30 MHz riometer absorption events, using point statistics. The maximum absorption at 30 MHz was ‚àº0.04 dB with a delay of 3 ¬± 2 s relative to the whistler. ¬© 1995 Kluwer Academic Publishers.</t>
  </si>
  <si>
    <t>405-413</t>
  </si>
  <si>
    <t>Stoker, P. H.</t>
  </si>
  <si>
    <t>Potchefstroom</t>
  </si>
  <si>
    <t>North-West University</t>
  </si>
  <si>
    <t>Stoker P.</t>
  </si>
  <si>
    <t>Riometer absorption events at SANAE, L=4.0</t>
  </si>
  <si>
    <t>10.1007/BF00658198</t>
  </si>
  <si>
    <t>2-s2.0-21844502924</t>
  </si>
  <si>
    <t>['south africa', 'role played', 'radio astronomy', 'pulsar timing', 'primary purpose', 'observing programmes', 'national observatory', 'nasa withdrew', 'hartebeesthoek site', 'global programmes', 'first used', 'established originally', 'could support', 'continuum observations']</t>
  </si>
  <si>
    <t>continuum mapping | Hartebeesthoek | pulsars | radio astronomy | radio spectroscopy | VLBI</t>
  </si>
  <si>
    <t>The development of radio astronomy at the Hartebeesthoek Radio Astronomy Observatory in South Africa is described. The Hartebeesthoek site was established originally by NASA as one of three Deep Space Stations equipped with 26-m parabolic reflector antennas. It was first used for radio astronomy by South Africa in terms of the NASA "host nation agreement" which allowed for its use at times when the facility was not needed for its primary purpose of tracking space probes. After NASA withdrew from South Africa in 1975, the South African Council for Scientific and Industrial Research took over the site and the 26-m parabolic reflector antenna, which NASA had abandoned in position, and established it as a national observatory. The development of the facility to the stage where it could support a variety of observing programmes such as continuum observations and mapping, spectroscopy and pulsar timing is described as well as the role played by the Observatory in global programmes of very long baseline interferometry. ¬© 1995 Kluwer Academic Publishers.</t>
  </si>
  <si>
    <t>315-327</t>
  </si>
  <si>
    <t>Nicolson, George D.</t>
  </si>
  <si>
    <t>Krugersdorp</t>
  </si>
  <si>
    <t>Hartebeesthoek Radio Astronomy Observatory</t>
  </si>
  <si>
    <t>Nicolson G.</t>
  </si>
  <si>
    <t>The development of radio astronomy at Hartebeesthoek</t>
  </si>
  <si>
    <t>10.1007/BF00658189</t>
  </si>
  <si>
    <t>2-s2.0-34249755339</t>
  </si>
  <si>
    <t>['weber type', 'performing analog', 'output signal', 'digital processing', 'average frequency']</t>
  </si>
  <si>
    <t>A formula is obtained for calculating the average frequency of positive noise spikes when performing analog-to-digital processing of the output signal from a solid-state gravitational antenna of the Weber type. ¬© 1996 Plenum Publishing Corporation.</t>
  </si>
  <si>
    <t>842-847</t>
  </si>
  <si>
    <t>Gusev A.</t>
  </si>
  <si>
    <t>Average frequency of spikes accompanying analog-to-digital processing of the output signal from a gravitational detector</t>
  </si>
  <si>
    <t>10.1007/BF00978380</t>
  </si>
  <si>
    <t>2-s2.0-34249758980</t>
  </si>
  <si>
    <t>['¬© 1995', 'two transistors', 'square patch', 'rights reserved', 'either sense', 'compact layout', 'circular polarisation', 'adjacent sides']</t>
  </si>
  <si>
    <t>Active antennas | Microstrip antennas</t>
  </si>
  <si>
    <t>A polarisation-agile active patch antenna with a compact layout has been developed. Comprising a square patch with an overlay, it has two transistors in the common base configuration, connected on adjacent sides to excite orthogonal modes of oscillation. Circular polarisation of either sense, and linear polarisation parallel to either patch side or diagonal, can be radiated. ¬© 1995, IEE. All rights reserved.</t>
  </si>
  <si>
    <t>1305-1306</t>
  </si>
  <si>
    <t>60009658;60009658</t>
  </si>
  <si>
    <t>7003982481;7003504220</t>
  </si>
  <si>
    <t>Haskins, P. M.;Dahele, J. S.</t>
  </si>
  <si>
    <t>Swindon</t>
  </si>
  <si>
    <t>Defence College of Management and Technology</t>
  </si>
  <si>
    <t>Haskins P.</t>
  </si>
  <si>
    <t>Compact active polarisation-agile antenna using square patch</t>
  </si>
  <si>
    <t>10.1049/el:19950944</t>
  </si>
  <si>
    <t>2-s2.0-0029634626</t>
  </si>
  <si>
    <t>['¬© 1995', 'rights reserved', 'polarisation response', 'diagonal horns', 'axis cross', 'also presented']</t>
  </si>
  <si>
    <t>Horn antennas | Microm whining | Waveguides</t>
  </si>
  <si>
    <t>The feasibility of coupling silicon micromachined rectangular waveguide to a modified diagonal horn antenna using a model at 110GHz is demonstrated. The antenna patterns obtained are similar to those obtained with a standard diagonal horn. A method of reducing the on-axis cross-polarisation response of diagonal horns is also presented. ¬© 1995, IEE. All rights reserved.</t>
  </si>
  <si>
    <t>1307-1309</t>
  </si>
  <si>
    <t>60030835;60030835;60030835;60030835;100330936</t>
  </si>
  <si>
    <t>6603062067;6602670307;6701557873;16945794600;6602489335</t>
  </si>
  <si>
    <t>Veidt, B.;Vaneldik, J. F.;Routledge, D.;Brett, M. J.;Kornelsen, K.</t>
  </si>
  <si>
    <t>Diagonal horn integrated with micromachined waveguide for submillimetre applications</t>
  </si>
  <si>
    <t>10.1049/el:19950903</t>
  </si>
  <si>
    <t>2-s2.0-0029634631</t>
  </si>
  <si>
    <t>['¬© 1995', 'rls algorithm', 'rights reserved', 'new ray', 'cases considered', 'adaptive antenna']</t>
  </si>
  <si>
    <t>Adaptive antenna arrays | Code division multiple access | Spread spectrum communication</t>
  </si>
  <si>
    <t>A new ray-based simulation methodology for an adaptive antenna system is presented. Results for a typical microcellular environment highlight the behaviour of the adaptive antenna, and a DS-CDMA capacity analysis illustrates the capacity enhancement attainable. For the cases considered, a minimum five fold increase in the overall spectrum efficiency is predicted for an eight-element adaptive antenna array employing the RLS algorithm. ¬© 1995, IEE. All rights reserved.</t>
  </si>
  <si>
    <t>1319-1320</t>
  </si>
  <si>
    <t>60020650;60020650;60020650</t>
  </si>
  <si>
    <t>7004302468;7102568206;7004287978</t>
  </si>
  <si>
    <t>Tsoulos, G. V.;Beach, M. A.;Swales, S. C.</t>
  </si>
  <si>
    <t>Bristol</t>
  </si>
  <si>
    <t>University of Bristol</t>
  </si>
  <si>
    <t>Tsoulos G.</t>
  </si>
  <si>
    <t>DS-CDMA capacity enhancement with adaptive antennas</t>
  </si>
  <si>
    <t>10.1049/el:19950943</t>
  </si>
  <si>
    <t>2-s2.0-0029634640</t>
  </si>
  <si>
    <t>['¬© 1995', 'rights reserved', 'diversity reception', 'computer simulation', 'ary dpsk']</t>
  </si>
  <si>
    <t>Divcrsity reception | Phase shift keying | Signed detection</t>
  </si>
  <si>
    <t>Diversity reception is incorporated into the structure of approximate maximum likelihood differential phase detection (MLDPD) for M-ary DPSK. The bit error rate (BER) performance improvements obtained with MLDPD are evaluated by computer simulation for 4DPSK in frequency selective Rician fading channels. ¬© 1995, IEE. All rights reserved.</t>
  </si>
  <si>
    <t>1313-1314</t>
  </si>
  <si>
    <t>Adachi, F.</t>
  </si>
  <si>
    <t>Adachi F.</t>
  </si>
  <si>
    <t>Approximate maximum likelihood differential phase detection with diversity reception</t>
  </si>
  <si>
    <t>10.1049/el:19950913</t>
  </si>
  <si>
    <t>2-s2.0-0029634643</t>
  </si>
  <si>
    <t>['¬© 1995', 'working version', 'rights reserved', 'orthogonal mode', 'excited mode']</t>
  </si>
  <si>
    <t>The orthogonal mode of an aperture coupled rectangular microstrip antenna can be coupled to the aperture-excited mode with coplanar microstrip lines to provice a compact circularly polarised element with a single aperture feed. An equivalent circuit model was developed for the analysis and design of this element, and a working version was used to demonstrate the concept. The features of this antenna are compared with several other circularly polarised microstrip antennas. ¬© 1995, IEE. All rights reserved.</t>
  </si>
  <si>
    <t>1303-1305</t>
  </si>
  <si>
    <t>60014313;60014313</t>
  </si>
  <si>
    <t>7202065715;7006061921</t>
  </si>
  <si>
    <t>Duffy, S. M.;Pozar, D. M.</t>
  </si>
  <si>
    <t>Duffy S.</t>
  </si>
  <si>
    <t>Circularly polarised aperture coupled microstrip antenna</t>
  </si>
  <si>
    <t>10.1049/el:19950937</t>
  </si>
  <si>
    <t>2-s2.0-0029634660</t>
  </si>
  <si>
    <t>['¬© 1995', 'shaped slot', 'rights reserved', 'rectangular patch', 'measurements showed', 'layer single', 'fed single', 'attain 10', 'another layer']</t>
  </si>
  <si>
    <t>A coaxially-fed single-layer single-patch wideband microstrip antenna in the form of a rectangular patch with a U-shaped slot is discussed. Measurements showed that this antenna can attain 10-40% impedance bandwidth without the need of adding parasitic patches in another layer or in the same layer. ¬© 1995, IEE. All rights reserved.</t>
  </si>
  <si>
    <t>1310-1312</t>
  </si>
  <si>
    <t>115487206;60021624</t>
  </si>
  <si>
    <t>7101890953;7501501369</t>
  </si>
  <si>
    <t>Huynh, T.;Lee, K. F.</t>
  </si>
  <si>
    <t>Toledo;Dallas</t>
  </si>
  <si>
    <t>The University of Toledo;Decibel Products</t>
  </si>
  <si>
    <t>60021624;115487206</t>
  </si>
  <si>
    <t>Huynh T.</t>
  </si>
  <si>
    <t>Single-layer single-patch wideband microstrip antenna</t>
  </si>
  <si>
    <t>10.1049/el:19950950</t>
  </si>
  <si>
    <t>2-s2.0-0029634678</t>
  </si>
  <si>
    <t>['¬© 1995', 'wave spectral', 'wave antenna', 'rigorous full', 'rights reserved', 'domain analyses', '5 %,']</t>
  </si>
  <si>
    <t>Chiral materials | Microstrip antennas | Strip lines</t>
  </si>
  <si>
    <t>Rigorous full-wave spectral-domain analyses of a magnetically scannable gyromagnetic microstrip leaky-wave antenna are presented. Varying the DC magnetic bias field by ~6.5%, the maximum radiation angle of the leaky-wave antenna, measured from the horizon, shifts from zero to almost 90¬∞. ¬© 1995, IEE. All rights reserved.</t>
  </si>
  <si>
    <t>1309-1310</t>
  </si>
  <si>
    <t>7004134036;55412221300</t>
  </si>
  <si>
    <t>Fuh, Kuen Fwu;Tzuang, Ching Kuang C.</t>
  </si>
  <si>
    <t>Fuh K.F.</t>
  </si>
  <si>
    <t>Magnetically scannable microstrip antenna employinga leaky gyromagnetic microstrip line</t>
  </si>
  <si>
    <t>10.1049/el:19950951</t>
  </si>
  <si>
    <t>2-s2.0-0029634684</t>
  </si>
  <si>
    <t>['¬© 1995', 'rights reserved', 'quite low', 'polarisation levels', 'experimental procedure', 'also measured']</t>
  </si>
  <si>
    <t>Antenna arrays | Dielectric resonators</t>
  </si>
  <si>
    <t>An experimental procedure for designing a microstrip-fed series array of dielectric resonator antennas is presented. The procedure was used to design a 10 element array with a Taylor amplitude distribution. A gain of 13.2dBi was measured at 8.2GHz with maximum sidelobe levels of -17.5dB. The cross-polarisation levels were also measured to be quite low, at ~20dB below the peak. ¬© 1995, IEE. All rights reserved.</t>
  </si>
  <si>
    <t>1306-1307</t>
  </si>
  <si>
    <t>Design of microstrip-fed series array of dielectric resonator antennas</t>
  </si>
  <si>
    <t>10.1049/el:19950898</t>
  </si>
  <si>
    <t>2-s2.0-0029634688</t>
  </si>
  <si>
    <t>['particular aspects', 'noise operation', 'motion transducer', 'microwave read', 'mechanical instability', 'gw detector', 'gravitational wave', 'certain conditions', 'bar antenna']</t>
  </si>
  <si>
    <t>Some particular aspects of the interaction between a gravitational wave (GW) bar antenna and a microwave superconducting cavity used as a motion transducer were investigated. Under certain conditions the coupling of the transducer to the antenna causes mechanical oscillations in the antenna. Two different mechanisms responsible for the effect of mechanical instability are discussed. Requirements for the design of the microwave read-out system providing stable low-noise operation of the GW detector are considered. ¬© 1995 IOP Publishing Ltd.</t>
  </si>
  <si>
    <t>1737-1742</t>
  </si>
  <si>
    <t>Ivanov, Eugene</t>
  </si>
  <si>
    <t>Ivanov E.</t>
  </si>
  <si>
    <t>A new mechanism for parametric back-action effect in a gravitational wave antenna with a microwave cavity transducer</t>
  </si>
  <si>
    <t>10.1088/0022-3727/28/8/026</t>
  </si>
  <si>
    <t>2-s2.0-4243087001</t>
  </si>
  <si>
    <t>Wellcome Trust</t>
  </si>
  <si>
    <t>SC1 * -CT92-0796</t>
  </si>
  <si>
    <t>WT</t>
  </si>
  <si>
    <t>['¬© 1995', 'trapping process', 'situation found', 'rhodopseudomonas acidophila', 'reaction centre', 'rc core', 'rc complex', 'rc ).', 'photosynthetic apparatus', 'peripheral antenna', 'one effect', 'nature 355', 'lh2 mutants', 'lh2 directly', 'lh2 complexes', 'lh2 bchls', 'lh1 appears', 'former case', 'form domains', 'excitation annihilation', 'energy within', 'energy transfer', 'energy levels', 'domain sizes', 'core complex', 'core antenna', 'back transfer', '850 ),', '70 %)', '., visschers']</t>
  </si>
  <si>
    <t>(Rb. sphaeroides) | Domain size | Energy transfer | Fluorescence | Light harvesting | Reaction center</t>
  </si>
  <si>
    <t>The photosynthetic apparatus of the purple bacterium Rhodobacter sphaeroides is organised so that light energy absorbed by the peripheral antenna (LH2) complexes migrates towards the core (LH1) complex, before being trapped by the reaction centre (RC). This migration and trapping process has been studied in mutants where the energy levels of the LH2 BChls have been raised by mutagenesis of the C-terminal aromatic residues (Fowler, G.J.S., Visschers, R.W., Grief, G.G., Van Grondelle, R. and Hunter, C.N. (1992) Nature 355, 848-850), and in a mutant which lacks the core complex. In the former case, the alterations to the LH2 complexes did not prevent efficient energy transfer to the LHI-RC complex, but fluorescence emission spectra indicated that the equilibrium of energy within the system was affected so that back transfer from the LH1-RC core is minimised. This mimics the situation found in some other bacteria such as Rhodopseudomonas acidophila and Rps. cryptolactis. In the mutant lacking LH1, energy is transferred from LH2 directly to the RC, despite the absence of the core antenna. Energy transfer efficiencies for carotenoids and LH2 to LH1 were measured for the blue-shifted LH2 mutants, and were found to be high (70%) in each case. These data, together with measurements of excitation annihilation as a function of incident excitation energy, were used to estimate the domain sizes for energy transfer in these mutants. In the LH2 mutants, domains of about 50 to 170 core BChls were found, depending on the type of mutation. One effect of the removal of LH1 appears to be the reorganisation of the peripheral LH2 antenna to form domains of at least 250 BChls. ¬© 1995.</t>
  </si>
  <si>
    <t>89-97</t>
  </si>
  <si>
    <t>60019816;60001881;60001881;60019816;60019816;60001881;60019816</t>
  </si>
  <si>
    <t>55414947400;8247663200;7103071035;8682496000;7003777767;57203953084;7004456032</t>
  </si>
  <si>
    <t>Kramer, Hans;Jones, Michael R.;Fowler, Gregory J.S.;Francke, Christof;Aartsma, Thijs J.;Neil Hunter, C.;Amesz, Jan</t>
  </si>
  <si>
    <t>Leiden;Sheffield</t>
  </si>
  <si>
    <t>Leiden University;The University of Sheffield</t>
  </si>
  <si>
    <t>60019816;60001881</t>
  </si>
  <si>
    <t>Kramer H.</t>
  </si>
  <si>
    <t>Energy migration in Rhodobacter sphaeroides mutants altered by mutagenesis of the peripheral LH2 complex or by removal of the core LH1 complex</t>
  </si>
  <si>
    <t>000527289500069U</t>
  </si>
  <si>
    <t>10.1016/0005-2728(95)00069-U</t>
  </si>
  <si>
    <t>2-s2.0-0029118745</t>
  </si>
  <si>
    <t>Neotropical Ornithological Society</t>
  </si>
  <si>
    <t>NOS</t>
  </si>
  <si>
    <t>['¬© 1995', 'time constants', 'three cultures', 'purple non', 'peripheral antenna', 'occur corresponds', 'interconnecting network', 'fluorescence yield', 'energy transfer', 'core complex', '850 complexes', '15 ps', '13880 unit']</t>
  </si>
  <si>
    <t>(Rps. cryptolactis) | Antenna | Energy transfer | Excitation annihilation | Purple bacterium</t>
  </si>
  <si>
    <t>Energy transfer in the antenna of the purple non-sulfur bacterium Rhodopseudomonas cryptolactis was studied by means of fluorescence and transient absorption measurements. Different growth conditions resulted in three cultures which differed in the composition of the peripheral antenna (B800-820, B800-850 or a mixture of both). Oxidation of the primary electron donor caused an increase of the fluorescence yield of the core complex, B880, and of B800-850, but not of B800-820, indicating energy transfer from B880 to B800-850, but not to B800-820. Singlet-singlet annihilation measurements showed that the number of bacteriochlorophylls of B880 between which energy transfer can occur corresponds to one or two photosynthetic units only (40 to 70 BChls), for all the three cultures studied. These results are explained by a model for Rps. cryptolactis in which each 13880 unit is associated with its own complement of B800-850. The B800-850 complexes do not appear to form an interconnecting network. Time-resolved transient absorption measurements showed trapping rates by open and closed reaction centres of (50 ps)-1 and (200 ps)-1, respectively. Time constants of energy transfer from B800-850 to B880 or from B800-820 to other complexes were 12-15 ps. ¬© 1995.</t>
  </si>
  <si>
    <t>60019816;;60001490;60001490;60019816;60019816;60019816</t>
  </si>
  <si>
    <t>55414947400;57071565600;7006682688;7006465617;8682496000;7003777767;7004456032</t>
  </si>
  <si>
    <t>Kramer, Hans;Deinum, Geurt;Gardiner, Alastair T.;Cogdell, Richard J.;Francke, Christof;Aartsma, Thijs J.;Amesz, Jan</t>
  </si>
  <si>
    <t>Leiden;Glasgow</t>
  </si>
  <si>
    <t>Leiden University;University of Glasgow</t>
  </si>
  <si>
    <t>60019816;60001490</t>
  </si>
  <si>
    <t>Energy transfer in the photosynthetic antenna system of the purple non-sulfur bacterium Rhodopseudomonas cryptolactis</t>
  </si>
  <si>
    <t>000527289500065Q</t>
  </si>
  <si>
    <t>10.1016/0005-2728(95)00065-Q</t>
  </si>
  <si>
    <t>2-s2.0-0029132936</t>
  </si>
  <si>
    <t>['¬© 1995', 'sufficiently confined', 'strong similarities', 'small apertures', 'selective interaction', 'scanning near', 'optical images', 'opaque screen', 'novel way', 'nanometer dimensions', 'microwave antennas', 'diffraction limit', '100 nm']</t>
  </si>
  <si>
    <t>Imaging mesoscopic structures | Nano-scale science and technology | Near-field optical theory | Scanning near-field optical microscopy</t>
  </si>
  <si>
    <t>The wealth of optical phenomena offers various new opportunities for selective interaction with the world of nanometer dimensions if the relevant radiation fields can be sufficiently confined, for instance by small apertures in an opaque screen. Many optical effects manifest themselves in a novel way, having strong similarities to microwave antennas and waveguides. Scanning near-field optical microscopy, which dwells on these principles, allows the diffraction limit to be broken and optical images with a resolution of 10-100 nm to be obtained. ¬© 1995.</t>
  </si>
  <si>
    <t>250-254</t>
  </si>
  <si>
    <t>Thin Solid Films</t>
  </si>
  <si>
    <t>Pohl, D. W.</t>
  </si>
  <si>
    <t>Ruschlikon</t>
  </si>
  <si>
    <t>IBM Research - Zurich</t>
  </si>
  <si>
    <t>Pohl D.</t>
  </si>
  <si>
    <t>Near-field optics: light for the world of nano-scale science</t>
  </si>
  <si>
    <t>10.1016/0040-6090(95)05822-2</t>
  </si>
  <si>
    <t>2-s2.0-0029352513</t>
  </si>
  <si>
    <t>['¬© 1995', 'rights reserved', '31 ps']</t>
  </si>
  <si>
    <t>Gratings in fibres | Optical delay lines</t>
  </si>
  <si>
    <t>The authors have demonstrated an optical fibre grating based delay line which produces time delays in increments as small as 31 ps. The device could provide a true time delay component for a phased array antenna. ¬© 1995, IEE. All rights reserved.</t>
  </si>
  <si>
    <t>1485-1486</t>
  </si>
  <si>
    <t>60014551;60031342;60014551</t>
  </si>
  <si>
    <t>6602498730;7005576274;57204302690</t>
  </si>
  <si>
    <t>Molony, A.;Edge, C.;Bennion, I.</t>
  </si>
  <si>
    <t>;Birmingham</t>
  </si>
  <si>
    <t>GEC-Marconi Materials Technology Ltd;Aston University</t>
  </si>
  <si>
    <t>60031342;60014551</t>
  </si>
  <si>
    <t>Molony A.</t>
  </si>
  <si>
    <t>Fibre grating time delay element for phased array antennas</t>
  </si>
  <si>
    <t>10.1049/el:19951034</t>
  </si>
  <si>
    <t>2-s2.0-0029352187</t>
  </si>
  <si>
    <t>['¬© 1995', 'wave frequencies', 'typical characteristic', 'rights reserved', 'parameter model', 'new three', 'measured data', 'final slope', 'better fit']</t>
  </si>
  <si>
    <t>Radiowave propagation | Scattering</t>
  </si>
  <si>
    <t>An improved empirical model of the attenuation rates due to propagation through vegetation at millimetre-wave frequencies is described. The measured vegetation attenuation rates of 38 GHz signals were fitted to a two-parameter model with a final slope of OdB/m, to give an improvement in fit over the current ITU recommendation. However, this final slope is not a typical characteristic and is not seen at other frequencies. A new three-parameter model has been developed, which may have a nonzero final slope, giving the model greater freedom and therefore a better fit to measured data at all frequencies. ¬© 1995, IEE. All rights reserved.</t>
  </si>
  <si>
    <t>1507-1508</t>
  </si>
  <si>
    <t>60023254;60023254</t>
  </si>
  <si>
    <t>57219686756;7101975682</t>
  </si>
  <si>
    <t>Seville, A.;Craig, K. H.</t>
  </si>
  <si>
    <t>Semi-empirical model for millimetre-wave vegetation attenuation rates</t>
  </si>
  <si>
    <t>10.1049/el:19951000</t>
  </si>
  <si>
    <t>2-s2.0-0029352474</t>
  </si>
  <si>
    <t>['¬© 1995', 'strong components', 'rights reserved', 'resultant signal', 'resolution technique', 'receiving antenna', 'procedure consists', 'practical cases', 'multipath signal', 'displaced linearly', 'discrete positions', 'constituent components']</t>
  </si>
  <si>
    <t>Discrete Fourier transforms. Fast Fourier transforms | Multipath channels M.O. Al-Nuaimi</t>
  </si>
  <si>
    <t>A procedure for resolving a multipath signal in terms of the amplitudes of the constituent components and their directions of arrival is described. The procedure consists of recording the amplitude of the resultant signal at discrete positions of the receiving antenna, displaced linearly over a short distance along the direction of one of the strong components. The resulting interference pattern is subsequently analysed using DFT techniques to obtain the constituent components. Results from simulated and practical cases are presented and the accuracy of the resolution technique is discussed. ¬© 1995, IEE. All rights reserved.</t>
  </si>
  <si>
    <t>1415-1416</t>
  </si>
  <si>
    <t>60017826;60017826</t>
  </si>
  <si>
    <t>55422412400;7003347612</t>
  </si>
  <si>
    <t>Richter, J.;Al-Nuaimi, M. O.</t>
  </si>
  <si>
    <t>Pontypridd</t>
  </si>
  <si>
    <t>University of South Wales</t>
  </si>
  <si>
    <t>Richter J.</t>
  </si>
  <si>
    <t>Resolution of constituent components in multipath field using DFT</t>
  </si>
  <si>
    <t>10.1049/el:19951033</t>
  </si>
  <si>
    <t>2-s2.0-0029354536</t>
  </si>
  <si>
    <t>['¬© 1995', 'vivaldi tapered', 'slot antenna', 'sectored transmitter', 'rights reserved', 'pseudomorphic hemt', 'modified version', '28ghz coplanar']</t>
  </si>
  <si>
    <t>Active antenna arrays | Active antenna* | Microwave oscillators</t>
  </si>
  <si>
    <t>A 28GHz coplanar-waveguide (CPW) active antenna oscillator element is described which is suitable for use in an omnidirectional or sectored transmitter. The unique design contains a modified version of a Vivaldi tapered-slot antenna and is based on a pseudomorphic HEMT. ¬© 1995, IEE. All rights reserved.</t>
  </si>
  <si>
    <t>1453-1455</t>
  </si>
  <si>
    <t>60007776;60007776</t>
  </si>
  <si>
    <t>Vaughan, M. J.;Compton, R. C.</t>
  </si>
  <si>
    <t>28 GHz oscillator for endfire quasioptical power combining arrays</t>
  </si>
  <si>
    <t>10.1049/el:19951017</t>
  </si>
  <si>
    <t>2-s2.0-0029354572</t>
  </si>
  <si>
    <t>['‚ äô', 'upper limit', 'tauri star', 'standard law', 'standard gas', 'results suggest', 'observations suggest', 'nobeyama 45', 'molecular gas', 'mass distribution', 'line width', 'gaseous mass', 'gaseous disk', 'emission feature', 'emission comes', 'emission centered', 'dm tau', 'derived radius', 'coincides well', 'c18o intensity', 'c18o emission', '9 km', '7 km', '45 mk', '3 œé', '3 k', '13co intensity', '100 au', '1 km', '1 k']</t>
  </si>
  <si>
    <t>Circumstellar matter | ISM: molecules | Radio lines: ISM | Stars: individual (DM Tauri) | Stars: pre-main-sequence</t>
  </si>
  <si>
    <t>Sensitive molecular line observations carried out with the Nobeyama 45 m telescope have resulted in the detection of the 12CO (J = 1-0) and 13CO (J = 1-0) emission centered on the young, classical T Tauri star, DM Tau. The derived peak antenna temperatures are 0.3 K in 12CO and 0.1 K in 13CO. No C18O emission was detected at an upper limit (3 œÉ) of 45 mK. The emission feature has a line width of 1.7 km s-1 and is centered at vLSR = 5.9 km s-1, which coincides well with the reported radial velocity for DM Tau (5.9 ¬± 2.1 km s-1) The 13CO profile shows a symmetric double peak, suggesting a Keplerian rotating disk. These observations suggest that the molecular gas is associated with and is most probably gravitationally bound to DM Tau. The derived radius of the gaseous disk is about 1000 AU using an optically thick disk model and a Keplerian rotating disk model. The gaseous mass is between 7 √ó 10-4 and 1 √ó 10-3 M‚äô from the 13CO intensity and the upper limit of C18O intensity. Our results suggest that molecular gas is depleted from the standard gas-to-dust mass ratio or that mass distribution in the disk is steeper than the standard law, r-1.5, although our observations cannot detect emission from an optically thick gaseous component inward of r &lt; 100 AU, if the emission comes from a Keplerian rotating disk.</t>
  </si>
  <si>
    <t>894-899</t>
  </si>
  <si>
    <t>60025272;60029701;60029701;60028088;60028088-60000809;60025272-60029701;60000264;60014313;60014313;60014313;60014313;60001525;60029701;60029701;60025272-60029701;60000264;60000264;60029701;60025272</t>
  </si>
  <si>
    <t>55085125800;36780991700;35377446000;6603810354;57202464337;7404880374;7202542824;7101697233;7102269401;7005000708;7003917665;7401520606;7202558313;7006691947;7404973074;55293583300;55708286600;55597208900;6701465698</t>
  </si>
  <si>
    <t>Handa, Toshihiro;Miyama, Shoken M.;Yamashita, Takuya;Omodaka, Toshihiro;Kitamura, Yoshimi;Hayashi, Masahiko;Onishi, Toshikazu;Snell, Ronald L.;Strom, Stephen E.;Strom, Karen M.;Skrutskie, Michael F.;Edwards, Suzan;Ohashi, Nagayoshi;Sunada, Kazuyoshi;Saito, Masao;Fukui, Yasuo;Mizuno, Akira;Watanabe, Jun Ichi;Kataza, Hirokazu</t>
  </si>
  <si>
    <t>Japan;Japan;Japan;United States;United States;Japan;Japan</t>
  </si>
  <si>
    <t>Mitaka;Kagoshima;Tokyo;Amherst MA;Northampton;Sagamihara;Nagoya</t>
  </si>
  <si>
    <t>National Institutes of Natural Sciences - National Astronomical Observatory of Japan;Kagoshima University;The University of Tokyo;University of Massachusetts Amherst;Smith College;JAXA Institute of Space and Astronautical Science;Nagoya University</t>
  </si>
  <si>
    <t>60029701;60028088;60025272;60014313;60001525;60000809;60000264</t>
  </si>
  <si>
    <t>Handa T.</t>
  </si>
  <si>
    <t>Detection of a circumstellar gas around DM Tauri: A protoplanetary disk around a single star?</t>
  </si>
  <si>
    <t>10.1086/176107</t>
  </si>
  <si>
    <t>2-s2.0-11944261120</t>
  </si>
  <si>
    <t>['¬© 1995', 'usually associated', 'phase shifts', 'opposite sign', 'intended wavelength', 'different wavelengths', 'different directions']</t>
  </si>
  <si>
    <t>A phase shifter consisting of a rotatable halfwave plate placed between two identical quarterwave plates, when used at wavelengths far away from the intended wavelength, can act as an equally good phase shifter with phase shifts of the opposite sign. Such behaviour is the opposite of achromaticity, usually associated with such devices, and has its origin in "SU(2) phase jumps". A radio antenna array equipped with such phase-shifters can "look" in different directions at different wavelengths at the same time. ¬© 1995.</t>
  </si>
  <si>
    <t>188-192</t>
  </si>
  <si>
    <t>Bhandari, Rajendra</t>
  </si>
  <si>
    <t>Raman Research Institute</t>
  </si>
  <si>
    <t>Bhandari R.</t>
  </si>
  <si>
    <t>Phase jumps in a QHQ phase shifter - some consequences</t>
  </si>
  <si>
    <t>037596019500472F</t>
  </si>
  <si>
    <t>10.1016/0375-9601(95)00472-F</t>
  </si>
  <si>
    <t>2-s2.0-0000414380</t>
  </si>
  <si>
    <t>['¬© 1995', 'studied experimentally', 'single element', 'rights reserved', 'radiation pattern', 'mutual coupling', 'input impedance', 'dr antenna', 'coupled source', 'antenna gain']</t>
  </si>
  <si>
    <t>Antenna arrays | Dielectric resonators | Dielectric-loaded antennas</t>
  </si>
  <si>
    <t>A 1x2 linear cylindrical dielectric resonator antenna array is studied experimentally. The DR antenna is excited by an aperture-coupled source and is operated at the fundamental broadside TM110 mode. The input impedance, the radiation pattern, the antenna gain and the mutual coupling of the array are studied. The results are compared with those of a single element. ¬© 1995, IEE. All rights reserved.</t>
  </si>
  <si>
    <t>1536-1537</t>
  </si>
  <si>
    <t>60013983;60013983;60013983;60013983</t>
  </si>
  <si>
    <t>7202180867;56415172000;55510527400;7101878862</t>
  </si>
  <si>
    <t>Chow, K. Y.;Leung, K. W.;Luk, K. M.;Yung, E. K.N.</t>
  </si>
  <si>
    <t>Chow K.</t>
  </si>
  <si>
    <t>Cylindrical dielectric resonator antenna array</t>
  </si>
  <si>
    <t>10.1049/el:19951080</t>
  </si>
  <si>
    <t>2-s2.0-0029352635</t>
  </si>
  <si>
    <t>['¬© 1995', 'solid low', 'rights reserved', 'horn aperture']</t>
  </si>
  <si>
    <t>Antennas | Waveguide horns</t>
  </si>
  <si>
    <t>An H-plane sectoral horn contains ferrite powder dispersed in a solid low-loss dielectric medium. The permeability of the medium is varied by an externally applied magnetic field to alter the phase distribution across the horn aperture to produce a variable beamwidth horn. ¬© 1995, IEE. All rights reserved.</t>
  </si>
  <si>
    <t>1539-1540</t>
  </si>
  <si>
    <t>Experimental variable beamwidth horn</t>
  </si>
  <si>
    <t>10.1049/el:19951068</t>
  </si>
  <si>
    <t>2-s2.0-0029352678</t>
  </si>
  <si>
    <t>['¬© 1995', 'subarray level', 'silica waveguide', 'rights reserved', 'oeic components', 'miniaturised version', 'hybrid integration', 'eight photodetectors', 'band module', '38db loss', '10ns delay']</t>
  </si>
  <si>
    <t>Antenna phase arrays | Optical delay lines</t>
  </si>
  <si>
    <t>A 5 bit photonic time shifter (switchable delay line) was developed for the applications of wideband array antennas. This module was used to steer the beam on the subarray level, which required up to 10ns delay in the true time delay beamforming network. The time shift module consists of four diode lasers and eight photodetectors in conjunction with fibre optic delay lines and a 4√ó8 optical coupler connected in between. The L-band module has a 38dB loss at present. A silica waveguide-based delay line technology using monolithic/hybrid integration is under way. The miniaturised version will reduce the loss by combining a laser and detector switch array plus other OEIC components in the package. ¬© 1995, IEE. All rights reserved.</t>
  </si>
  <si>
    <t>1532-1533</t>
  </si>
  <si>
    <t>60021939;60021939;60021939;60021939;60021939;60021939</t>
  </si>
  <si>
    <t>7102496311;7004418575;7102476678;57193268489;7102650472;7406378507</t>
  </si>
  <si>
    <t>Loo, R. Y.;Tangonan, G. L.;Yen, H. W.;Lee, J. J.;Jones, V. L.;Lewis, J.</t>
  </si>
  <si>
    <t>Loo R.</t>
  </si>
  <si>
    <t>5 bit photonic time shifter for wideband arrays</t>
  </si>
  <si>
    <t>10.1049/el:19951098</t>
  </si>
  <si>
    <t>2-s2.0-0029352974</t>
  </si>
  <si>
    <t>['¬© 1995', 'simulation trials', 'rights reserved', 'phased arrays', 'ls method', 'least squares', 'hyperbolic trilateration', 'combat multipath', 'authors describe']</t>
  </si>
  <si>
    <t>Location estimation | Mobile radio networks</t>
  </si>
  <si>
    <t>The authors describe an alternative to the method of least squares (LS) for estimating the location of a subscriber in a mobile radio system through hyperbolic trilateration with multipath corrupted ranging estimates. In simulation trials, the new approach reduced the multipath limited error by 30 - 500% relative to the LS method. This contributes to location finding applications without needing GPS receivers in mobiles or phased arrays at the basestations to combat multipath. ¬© 1995, IEE. All rights reserved.</t>
  </si>
  <si>
    <t>1609-1610</t>
  </si>
  <si>
    <t>60030835-100541424;60030835</t>
  </si>
  <si>
    <t>7006401577;7005816791</t>
  </si>
  <si>
    <t>Morley, G. D.;Grover, W. D.</t>
  </si>
  <si>
    <t>University of Alberta;Edmonton Police Service</t>
  </si>
  <si>
    <t>60030835;100541424</t>
  </si>
  <si>
    <t>Morley G.D.</t>
  </si>
  <si>
    <t>Improved location estimation with pulse-ranging in presence of shadowing and multipath excess-delay effects</t>
  </si>
  <si>
    <t>10.1049/el:19951106</t>
  </si>
  <si>
    <t>2-s2.0-0029353067</t>
  </si>
  <si>
    <t>['¬© 1995', 'subcarrier frequency', 'rights reserved', 'polarisation states', 'im wdm', 'fibre dispersion', 'crosstalk levels', '\\. 5', '40dbc due']</t>
  </si>
  <si>
    <t>Community antenna television | Crosstalk | Stimulated Raman scattering | Wavelength division multiplexing</t>
  </si>
  <si>
    <t>Crosstalk levels of up to -40dBc due to stimulated Raman scattering (SRS) were measured in a \.5\im WDM AM-SCM CATV transmission system in both short and long wavelength channels. Dependence of the crosstalk levels on wavelength channel spacing, polarisation states, fibre dispersion and subcarrier frequency is shown. ¬© 1995, IEE. All rights reserved.</t>
  </si>
  <si>
    <t>1538-1539</t>
  </si>
  <si>
    <t>60028984;60028984;60028984;60028984;60028984</t>
  </si>
  <si>
    <t>56317391600;7004311200;55719880600;7102705046;57191747819</t>
  </si>
  <si>
    <t>Li, A.;Mahon, C. J.;Wang, Z.;Jacobsen, G.;B√∏dtker, E.</t>
  </si>
  <si>
    <t>Copenhagen</t>
  </si>
  <si>
    <t>TDC AS</t>
  </si>
  <si>
    <t>Li A.</t>
  </si>
  <si>
    <t>Experimental confirmation of crosstalk due to stimulated Raman scattering in WDM AM-VSB CATV transmission systems</t>
  </si>
  <si>
    <t>10.1049/el:19951085</t>
  </si>
  <si>
    <t>2-s2.0-0029355089</t>
  </si>
  <si>
    <t>['¬© 1995', 'wideband operation', 'wide band', 'time domain', 'rights reserved', 'network analyser', 'measured data', 'insertion loss', '50 %)']</t>
  </si>
  <si>
    <t>Antenna phased arrays | Optical delay lines</t>
  </si>
  <si>
    <t>A time domain calibration technique was used to check out a 96 element L-band conformal array using photonic time shifters for wideband operation. A 2 ns pulse was injected into each channel with the time shifter cycling through all the states so that the insertion loss and the time delays could be calibrated. The pulse was synthesised with 801 CW frequencies over a wide band (50%) from 850 to 1400MHz. The network analyser transmitted the CW frequencies one at a time over ~100ms in each measurement. The measured data were transformed into the time domain with a built-in FFT in the network analyser. ¬© 1995, IEE. All rights reserved.</t>
  </si>
  <si>
    <t>1533-1534</t>
  </si>
  <si>
    <t>60005304;60005304;60005304</t>
  </si>
  <si>
    <t>57193268489;7005414912;7102496311</t>
  </si>
  <si>
    <t>Lee, J. J.;Livingston, S.;Loo, R. Y.</t>
  </si>
  <si>
    <t>Calibration of wideband arrays using photonic delaylines</t>
  </si>
  <si>
    <t>10.1049/el:19951104</t>
  </si>
  <si>
    <t>2-s2.0-0029356982</t>
  </si>
  <si>
    <t>['¬© 1995', 'rights reserved', 'radiating patch', 'complete configuration', 'capacitor patch', 'capacitive feeding', 'antenna without', 'allows separation']</t>
  </si>
  <si>
    <t>Impedance matching | Microstrip antennas</t>
  </si>
  <si>
    <t>A technique is presented to calculate the impedance of a capacitively fed microstrip antenna starting from the impedance of the antenna without a capacitor patch, without having to consider the complete configuration all over again. This allows separation of the analysis of the capacitive feeding from the analysis of the radiating patch. ¬© 1995, IEE. All rights reserved.</t>
  </si>
  <si>
    <t>1535-1536</t>
  </si>
  <si>
    <t>Vandenbosch, G. A.E.</t>
  </si>
  <si>
    <t>Capacitive matching of microstrip antennas</t>
  </si>
  <si>
    <t>10.1049/el:19951095</t>
  </si>
  <si>
    <t>2-s2.0-0029357091</t>
  </si>
  <si>
    <t>['œüpsii ),', 'three cultivars', 'redox state', 'quantum efficiency', 'photosystem ii', 'photosynthetic performance', 'measurements made', 'maximal fluorescence', 'maize leaves', 'low temperatures', 'leaves operating', 'large fluctuations', 'invasive probes', 'induced photoinhibition', 'induced changes', 'indicating chill', 'highly correlated', 'excitation energy', 'electron acceptors', 'co2 assimilation', 'adapted leaves', '7 june', '250 œºmol', '17 may', '1000 œºmol', '00 h']</t>
  </si>
  <si>
    <t>Chilling | Chlorophyll fluorescence | Maize | Photon flux density | Photosynthesis | Zea mays</t>
  </si>
  <si>
    <t>Changes in a range of chlorophyll fluorescence parameters were monitored for leaves of crops of three Zea mays cultivars (MO17, CB3 and LG11) during early canopy development when large fluctuations in air temperatures occur. Crops were sown on 1 May 1993 and measurements made between 17 May and 7 June. Measurements of the ratio of variable to maximal fluorescence of dark-adapted leaves (Fv/Fm) and the quantum efficiency of photosystem II photochemistry (œÜPSII), the efficiency of excitation energy transfer to open photosystem II reaction centres (Fv'/Fm') and the photochemical quenching coefficient (qP) for leaves operating at a photon flux density of 250 Œºmol m-2 s-1 were made during the day at 3 h intervals. Fluctuations were observed in Fv/Fm, œÜPSII and Fv'/Fm' throughout the period and significant decreases occurred during periods of low temperatures and high photon flux densities, indicating chill-induced photoinhibition of photosynthesis. Changes in Fv/Fm were highly correlated with changes in œÜPSII for all three cultivars. Measurements of œÜPSII, Fv'/Fm', qP and the quantum efficiency of CO2 assimilation (œÜCO2) at a photon flux density of 1000 Œºmol m-2 s-1 were made for leaves at 08.00 h each morning and demonstrated that changes in œÜPSII were highly correlated with changes in CO2 assimilation. Chill-induced changes in œÜPSII were shown to be correlated with changes in the quenching of excitation energy in the antennae of photosystem II and not with changes in the redox state of the electron acceptors of photosystem II. It is concluded that measurements of Fv/Fm and œÜPSII provide useful, rapid and non-invasive probes of the photosynthetic performance of maize leaves in the field during periods of chill-induced photoinhibition. ¬© 1995 Oxford University Press.</t>
  </si>
  <si>
    <t>1195-1203</t>
  </si>
  <si>
    <t>Journal of Experimental Botany</t>
  </si>
  <si>
    <t>Characterization of chilling effects on photosynthetic performance of maize crops during early season growth using chlorophyll fluorescence</t>
  </si>
  <si>
    <t>10.1093/jxb/46.9.1195</t>
  </si>
  <si>
    <t>2-s2.0-0028836508</t>
  </si>
  <si>
    <t>['terminal divisions', 'puparium formation', 'lateral neuroblast', 'later stages', 'interneurons originate', 'initiate mitosis', 'dividing neuroblasts', 'dividing cells', 'divide early', 'chase labelling', '12 pairs', '12 h']</t>
  </si>
  <si>
    <t>Antennal lobe | BrdU incorporation | Cell division | Drosophila | euroblasts</t>
  </si>
  <si>
    <t>The adult antennal lobe of Drosophila melanogaster emerges from a precursor, the larval antennal lobe. Pulse and pulse-chase labelling of dividing cells in larvae and pupae with bromodeoxyuridine confirmed previous data that some of the interneurons of the adult antennal lobe derive from a lateral neuroblast which starts to divide early in the first larval instar. However, the majority of these interneurons originate from neuroblasts that initiate mitosis at later stages, with a peak of about 10-12 pairs of dividing neuroblasts in the late third larval instar. No clustering of adult antennal lobe neurons according to their birthdates was observed. In contrast to neurons, terminal divisions of glia in the antennal lobe reach their maximum only 12 h after puparium formation. ¬© 1995 Springer-Verlag.</t>
  </si>
  <si>
    <t>62-72</t>
  </si>
  <si>
    <t>1432041X</t>
  </si>
  <si>
    <t>0930035X</t>
  </si>
  <si>
    <t>Roux's Archives of Developmental Biology</t>
  </si>
  <si>
    <t>60024631;60024631;60024631</t>
  </si>
  <si>
    <t>7103138484;15740299100;6603451742</t>
  </si>
  <si>
    <t>Stocker, Reinhard F.;Tissot, Madeleine;Gendre, Nana√´</t>
  </si>
  <si>
    <t>Fribourg</t>
  </si>
  <si>
    <t>University of Fribourg</t>
  </si>
  <si>
    <t>Stocker R.</t>
  </si>
  <si>
    <t>Morphogenesis and cellular proliferation pattern in the developing antennal lobe of Drosophila melanogaster</t>
  </si>
  <si>
    <t>10.1007/BF00188844</t>
  </si>
  <si>
    <t>2-s2.0-0028853646</t>
  </si>
  <si>
    <t>['¬© 1995', 'strains differed', 'southern parts', 'significant differences', 'rights reserved', 'rh ).', 'relative humidity', 'morphological characteristics', 'maximum width', 'hygrothermal conditions', 'highest ratio', 'francis group', 'female progeny', 'esterase bands', 'electrophoretic patterns', 'electrophoresis indicated', 'developmental period', 'biological relationships', 'biological characteristics', 'biocontrol programmes', 'antennal hairs', 'altai region', 'adults emerging']</t>
  </si>
  <si>
    <t>biology | electrophoresis | geographical strains | hygrothermal conditions | morphology | Trichogramma evanescens</t>
  </si>
  <si>
    <t>Strains of Trichogramma evanescens Westwood (Hymenoptera: Trichogrammatidae) collected from six different geographical regions in Eurasia were compared in terms of their biological and morphological characteristics and electrophoretic patterns. Significant differences were observed between the strains for biological characteristics such as the proportion of female progeny, developmental period, longevity, proportion of adults emerging and fecundity. Strains from the Altai region in Russia were more fecund at all hygrothermal conditions in which they were reared (27¬∞C, 80% relative humidity (RH); 27¬∞C, 40% RH; 23¬∞C, 80% RH; and 23¬∞C, 40% RH). Poor adult emergence took place at 27¬∞C and 40% RH in strains from Moldavia and Slovakia. Morpholo gical examination of male antennae showed that strains from Moldavia and Slovakia had the highest ratio of the length of antennal hairs to the maximum width of flagellum. The patterns of esterases after electrophoresis indicated that strains differed in the mobility and intensity of esterase bands. Electrophoretic and morphological relationships among the strains did not correspond with their biological relationships. The possibility of the use of strains from the Altai region in Russia in biocontrol programmes in southern parts of Europe is discussed. ¬© 1995, Taylor &amp; Francis Group, LLC. All rights reserved.</t>
  </si>
  <si>
    <t>329-338</t>
  </si>
  <si>
    <t>Biocontrol Science and Technology</t>
  </si>
  <si>
    <t>60007457-116193311;60007457-116193311;60007457</t>
  </si>
  <si>
    <t>7007153996;6506352396;6602427859</t>
  </si>
  <si>
    <t>Ram, P.;Tshernyshev, W. B.;Afonina, V. M.</t>
  </si>
  <si>
    <t>Moscow;</t>
  </si>
  <si>
    <t>Lomonosov Moscow State University;All-Union Research Institute of Biological Methods of Plant Protection</t>
  </si>
  <si>
    <t>60007457;116193311</t>
  </si>
  <si>
    <t>Ram P.</t>
  </si>
  <si>
    <t>Studies on Strains of Trichogramma evanescens Westwood from Different Regions of Eurasia</t>
  </si>
  <si>
    <t>10.1080/09583159550039774</t>
  </si>
  <si>
    <t>2-s2.0-0028980650</t>
  </si>
  <si>
    <t>['useful information', 'simultaneously extends', 'electrodynamic characteristics', 'antenna systems', 'adequately described']</t>
  </si>
  <si>
    <t>The design of antenna systems requires the setting up of accurate mathematical models which enable the complex electrodynamic processes occurring in the conductors to be adequately described. The use of such models considerably reduces the amount of expensive experimental research that needs to be done and simultaneously extends the amount of useful information on the behavior of antenna systems under different operating conditions. In this paper we present an algorithm and a program for analyzing the electrodynamic characteristics of rectangular phased antenna arrays consisting of arbitrary wire radiators.</t>
  </si>
  <si>
    <t>6603182601;6602096691</t>
  </si>
  <si>
    <t>Borodulina, I. V.;Strizhkov, V. A.</t>
  </si>
  <si>
    <t>Borodulina I.</t>
  </si>
  <si>
    <t>Electrodynamic modeling of phased antenna arrays of wire radiators</t>
  </si>
  <si>
    <t>2-s2.0-0029368960</t>
  </si>
  <si>
    <t>['statistical characteristics', 'signals received', 'signal level', 'scanning sector', 'practical method', 'large number', 'inference sources', 'antenna output']</t>
  </si>
  <si>
    <t>A practical method is presented for calculating the statistical characteristics of the signals received by the sidelobes of an antenna from a large number of inference sources. This method is used to estimate the signal level at the antenna output at the radio-communications stations produced by television broadcasting stations situated in its scanning sector.</t>
  </si>
  <si>
    <t>6506563777;7101772765</t>
  </si>
  <si>
    <t>Yevstropov, G. A.;Klimenko, A. I.</t>
  </si>
  <si>
    <t>Yevstropov G.</t>
  </si>
  <si>
    <t>Practical method of estimating the power of aiming at the output of a receiving antenna</t>
  </si>
  <si>
    <t>2-s2.0-0029368961</t>
  </si>
  <si>
    <t>['signal processing', 'looking synthetic']</t>
  </si>
  <si>
    <t>Signal processing in a forward-looking synthetic-aperture digital airborne radar system is proposed in order to obtain radar images of the earth's surface.</t>
  </si>
  <si>
    <t>Orlov, M. S.</t>
  </si>
  <si>
    <t>Orlov M.</t>
  </si>
  <si>
    <t>Signal processing in forward-looking synthetic aperture airborne radars</t>
  </si>
  <si>
    <t>2-s2.0-0029369086</t>
  </si>
  <si>
    <t>['target signal', 'optimum weights', 'noise ratio', 'high frequencies', 'forming configuration', 'error signal', 'environment consisting', 'average power', 'adaptively optimizing', '3000 km', '30 mhz']</t>
  </si>
  <si>
    <t>A method for adaptively optimizing the signal-to-noise ratio for an over-the-horizon back scatter (OTH-B) radar array antenna is presented. The OTH-B radar operates at high frequencies (3-30 MHz) and has a range of 800-3000 km. This paper discusses optimization of the signal-to-noise ratio which determines the optimum weights for beam-forming configuration for an environment consisting of target signal and jammers. This can be achieved by minimizing the mean square error value or the average power of the error signal.</t>
  </si>
  <si>
    <t>33-39</t>
  </si>
  <si>
    <t>Journal of the Institution of Engineers. India. Electronics and telecommunication engineering division</t>
  </si>
  <si>
    <t>60022429;60022429</t>
  </si>
  <si>
    <t>7005818766;7201455935</t>
  </si>
  <si>
    <t>Dandekar, A. G.;Pereira, R. E.</t>
  </si>
  <si>
    <t>Veermata Jijabai Technological Institute</t>
  </si>
  <si>
    <t>Dandekar A.</t>
  </si>
  <si>
    <t>Adaptive beam-forming for the OTH-B radar</t>
  </si>
  <si>
    <t>2-s2.0-0029369652</t>
  </si>
  <si>
    <t>['signal amplitude', 'radar signal', 'proposed algorithms', 'performance indices', 'measured parameter', 'joint filtering', 'comparative estimate', 'average energy']</t>
  </si>
  <si>
    <t>This paper presents filtering algorithms for the informative (or measured) parameter of a radar signal in terms of a statistic that is invariant to its amplitude (or average energy) for adaptation of the effect of interference; algorithms are proposed for the joint filtering of the measured parameter and the signal amplitude for the same conditions; a comparative estimate of the performance indices of the known and proposed algorithms is carried out.</t>
  </si>
  <si>
    <t>90-96</t>
  </si>
  <si>
    <t>57193753071;6507417288;7003568179;7801672489;7005452183</t>
  </si>
  <si>
    <t>Belov, A. A.;Drindrozhik, L. I.;Kokin, V. N.;Pishchukhin, V. M.;Orel, V. A.</t>
  </si>
  <si>
    <t>Belov A.</t>
  </si>
  <si>
    <t>Features of the measurement of the energy parameters of signals for adaptation to the effect of correlated interferences</t>
  </si>
  <si>
    <t>2-s2.0-0029369902</t>
  </si>
  <si>
    <t>['sidelobe level', 'radiation pattern', 'proposed method', 'overlapping subarrays', 'certain advantages', 'analog method', 'advantages include']</t>
  </si>
  <si>
    <t>A method is proposed and illustrated for splitting the aperture of a linear antenna array into overlapping subarrays. The proposed method has certain advantages over the analog method. These advantages include the reduction in the sidelobe level of the radiation pattern and the possibility of adaptation to jamming.</t>
  </si>
  <si>
    <t>23-26</t>
  </si>
  <si>
    <t>6508281183;7005006600;6603239463;7003762291</t>
  </si>
  <si>
    <t>Samusev, A. S.;Kolosova, T. A.;Korchagina, T. M.;Popova, Ye Yu</t>
  </si>
  <si>
    <t>Samusev A.</t>
  </si>
  <si>
    <t>Receiving antenna-feeder device with analog-digital shaping of the radiation pattern</t>
  </si>
  <si>
    <t>2-s2.0-0029370492</t>
  </si>
  <si>
    <t>['wave radiation', 'simple method', 'reflection coefficients', 'radio channel', 'radiated signal', 'polarization matching', 'matched excitation', 'magnetoionic wave', 'complex properties', 'ascending part', 'arbitrary polarization', 'applied problems']</t>
  </si>
  <si>
    <t>In a number of research and applied problems it is necessary to generate elliptically polarized short-wave radiation, in particular, for the polarization-matched excitation of a magnetoionic wave on the ascending part of the trajectory of a short-wave signal propagating with reflection from the ionosphere. Polarization matching [1, 2] increases the reliability of a radio channel which, in turn, enables the power of the radiated signal to be reduced. In this paper we describe a simple method of generating a signal of arbitrary polarization (from linear to circular) using a linearly polarized antenna based on the complex properties of the reflection coefficients of the ground.</t>
  </si>
  <si>
    <t>6602449699;7003321988</t>
  </si>
  <si>
    <t>Fal'kovich, I. S.;Kalinichenko, N. N.</t>
  </si>
  <si>
    <t>Fal'kovich I.</t>
  </si>
  <si>
    <t>Circularly polarized short-wave antenna based on a linear dipole placed above a semiconducting ground</t>
  </si>
  <si>
    <t>2-s2.0-0029371338</t>
  </si>
  <si>
    <t>['wide sector', 'television stations', 'subscriber stations', 'receives information', 'radiation pattern', 'quite considerable', 'many cases', 'horizontal plane', 'fairly narrow', 'elementary radiators', 'distribute television', 'circulation communications', 'broadcasting systems', 'broadcast programs', 'best forms', 'azimuthal angles', 'antenna system', 'antenna array']</t>
  </si>
  <si>
    <t>Circulation communications and broadcasting systems in which the main or central station transmits and receives information over a wide sector of azimuthal angles in which the subscriber stations are situated have become quite widely used recently. Such systems are employed to distribute television and radio-broadcast programs to cable-television stations, for zonal telephone communications, etc. In many cases the central station must transmit information in all directions, and hence its antenna system must have a radiation pattern that is nondirectional in a horizontal plane. To provide the necessary power characteristics the height of such an antenna system must be quite considerable, while the radiation pattern in the vertical plane must be fairly narrow. One of the best forms of such antenna system is the linear equidistant antenna array, the elementary radiators of which have no directivity in the horizontal plane. In this paper we analyze the efficiency of such an antenna array.</t>
  </si>
  <si>
    <t>13-18</t>
  </si>
  <si>
    <t>7003655363;6701715041;6507998599</t>
  </si>
  <si>
    <t>Frolov, O. P.;Yampol'skiy, V. G.;Yampol'skiy, A. V.</t>
  </si>
  <si>
    <t>Frolov O.</t>
  </si>
  <si>
    <t>Power properties of a linear antenna array</t>
  </si>
  <si>
    <t>2-s2.0-0029371499</t>
  </si>
  <si>
    <t>['transfer signals', 'smallest surface', 'rapid progress', 'paper presents', 'main characteristics', 'low profile', 'lighter products', 'incorporate low', 'fsc connector', 'cost components']</t>
  </si>
  <si>
    <t>As a result of the rapid progress in mobile communications equipment, demand is expanding for smaller, lighter products that adopt increased density and incorporate low-cost components. Such components include high-frequency coaxial connectors, which transfer signals between units, printed circuit boards and antennas. This paper presents the FSC connector, an ultra-miniature, low-cost coaxial connector developed by Murata Manufacturing Co., Ltd. The FSC connector adopts a surface mounted electrode pattern and is one of the world's smallest surface-mounted high frequency coaxial connectors. The main characteristics of the FSC connector are enumerated and discussed, including optimal mating strength, low profile and high density mounting, high frequency characteristics.</t>
  </si>
  <si>
    <t>36-38</t>
  </si>
  <si>
    <t>JEE. Journal of electronic engineering</t>
  </si>
  <si>
    <t>Hirano, Satoru</t>
  </si>
  <si>
    <t>Nagaokakyo</t>
  </si>
  <si>
    <t>Murata Manufacturing Co., Ltd.</t>
  </si>
  <si>
    <t>Hirano S.</t>
  </si>
  <si>
    <t>High-frequency coaxial connectors improve production, realize easy maintenance</t>
  </si>
  <si>
    <t>2-s2.0-0029375311</t>
  </si>
  <si>
    <t>['radio astronomy', 'coherent synthetic', 'briefly outlined', 'aperture radar', 'anticlutter performance', 'antenna reciprocity']</t>
  </si>
  <si>
    <t>The principles and performance of coherent synthetic-aperture radar (SAR) are derived in a new and simple manner based on antenna reciprocity. Noncoherent synthetic aperture antennas in radio astronomy are briefly outlined. The anticlutter performance of SAR is analyzed. In addition, a distinction between translational and rotational inverse SAR (ISAR) is explained.</t>
  </si>
  <si>
    <t>Benjamin, B.</t>
  </si>
  <si>
    <t>Benjamin B.</t>
  </si>
  <si>
    <t>Synthetic aperture antennas</t>
  </si>
  <si>
    <t>2-s2.0-0029376462</t>
  </si>
  <si>
    <t>['various angles', 'tilt angle', 'show coverage', 'help position', 'baseline case', 'array tilted']</t>
  </si>
  <si>
    <t>This paper presents phased-array antenna performance predictions to help position an antenna on an aircraft. The baseline case is a symmetrical, planar array located horizontally on top of the fuselage. An array tilted at various angles to simulate different installation locations on the aircraft is considered. Scan loss contours, also called scanning shields, that show coverage as a function of tilt angle are presented.</t>
  </si>
  <si>
    <t>7003993075;55951888900;7005044384</t>
  </si>
  <si>
    <t>Southall, Hugh L.;Mailloux, Robert J.;Turtle, John P.</t>
  </si>
  <si>
    <t>Coverage analysis of airborne SATCOM phased-array antennas</t>
  </si>
  <si>
    <t>2-s2.0-0029377988</t>
  </si>
  <si>
    <t>['toughened matrices', 'rtm process', 'resin matrices', 'radar antenna', 'polymer composites', 'paper reports', 'many kinds', 'cured process', 'beijing institute', 'aeronautical materials']</t>
  </si>
  <si>
    <t>composites | forming process | polymer matrices | prepreg | radome</t>
  </si>
  <si>
    <t>This paper reports the research and development of polymer composites in Beijing Institute of Aeronautical Materials. A series of resin matrices and prepregs were developed. The exploration for toughened matrices was emphasized. Many kinds of processes were studied and inter-related equipment installed. With co-cured process, carbon fiber composite rudder and airfoil with integral fuel tank were made. In addition, using developed electromagnetism wave transmission materials and RTM process, a few type of radomes and radar antenna in aircraft were manufactured. ¬© 1995 Kluwer Academic Publishers.</t>
  </si>
  <si>
    <t>321-334</t>
  </si>
  <si>
    <t>Advanced Performance Materials</t>
  </si>
  <si>
    <t>60032021;60032021;60032021</t>
  </si>
  <si>
    <t>7404970537;7401476987;16408588700</t>
  </si>
  <si>
    <t>Zhang, F. F.;Yuan, Z. H.;Shi, D. D.</t>
  </si>
  <si>
    <t>Beijing Institute of Aeronautical Materials</t>
  </si>
  <si>
    <t>Zhang F.</t>
  </si>
  <si>
    <t>Research and development on polymer composites in BIAM</t>
  </si>
  <si>
    <t>10.1007/BF00705455</t>
  </si>
  <si>
    <t>2-s2.0-0029378097</t>
  </si>
  <si>
    <t>['water column', 'valvifera ),', 'spans available', 'somewhat larger', 'settling foraminifers', 'second antenna', 'pattern may', 'ontogenetic development', 'males may', 'juveniles carried', 'inner side', 'foraminifers became', 'foraminiferan epibiosis', 'fairly large', 'different pattern', 'comparable size', 'cibicides spp', 'brooding females', 'adult males', 'adult females', '4 times', '1 times']</t>
  </si>
  <si>
    <t>Cibicides spp. epizoites (Protozoa, Foraminifera) were studied on the arcturid Arcturus baffini (Crustacea, Isopoda, Valvifera), which carries its juveniles on the long second antenna. The pattern of forarminiferan epibiosis changed during ontogenetic development, and was different for adult females and males. The first two developmental (manca) stages carried foraminifers mainly on their bodies, while on the third manca stage the foraminifers became more frequent on the long second antenna. Settlement on the first two manca stages was mainly by fairly large, vagrant Cibicides refulgens probably arriving from the mother. The third manca stage individuals, however, gathered larvae mainly from the water column and these settled on the inner side of the long second antenna. Foraminifers were also most frequent on the long second antenna of the adults, which was probably most exposed to settling foraminifers. Adult females carried more foraminifers than males; brooding females had about 2.1 times more foraminifers on the second antenna than males of comparable size, but 3.7-4 times more foraminifers on their body and legs than the males. Foraminifers were somewhat larger on adult females than on adult males. This pattern may be related to somewhat longer time-spans available for settling on the females between moults. The different pattern of foraminiferan epibiosis between females and males may be due to migration of foraminifers from the females to juveniles carried on the second antenna. ¬© 1995 Springer-Verlag.</t>
  </si>
  <si>
    <t>569-574</t>
  </si>
  <si>
    <t>Polar Biology</t>
  </si>
  <si>
    <t>60071113;60071113</t>
  </si>
  <si>
    <t>7004101219;6602992056</t>
  </si>
  <si>
    <t>Svavarsson, J√∂rundur;Dav√≠dsd√≥ttir, Brynhildur</t>
  </si>
  <si>
    <t>Iceland</t>
  </si>
  <si>
    <t>Reykjavik</t>
  </si>
  <si>
    <t>Haskoli Islands</t>
  </si>
  <si>
    <t>Svavarsson J.</t>
  </si>
  <si>
    <t>Cibicides spp. (Protozoa, Foraminifera) as epizoites on the Arctic antenna-brooding Arcturus baffini (Crustacea, Isopoda, Valvifera)</t>
  </si>
  <si>
    <t>10.1007/BF00239648</t>
  </si>
  <si>
    <t>2-s2.0-0029472643</t>
  </si>
  <si>
    <t>['well separated', 'wave propagation', 'temporal evolution', 'radiation field', 'ponderomotive force', 'opening angle', 'nonlinear features', 'magnetic field', 'linear approximation', 'exciting structure', 'exciter antenna', 'density cavity', 'cavity develops', 'apparently independent']</t>
  </si>
  <si>
    <t>In a collisionless magnetized argon plasma, a density cavity is produced by the ponderomotive force that the transient radiation field of a converging resonance cone exerts on the plasma. After the radiation field has decayed, the cavity develops into isotropic rarefactive density waves that propagate at the ion sound velocity in the plasma. Since the main density hole is well separated from the exciting structure, the propagation is not disturbed by the exciter antenna. The shape of the solitary density waves is determined by the opening angle of the cone and can, in a linear approximation, be described by a simple 3d wave equation. The propagation is apparently independent of the magnetic field. Nonlinear features of wave propagation were studied by superimposing counterpropagating waves. A model for the spatio-temporal evolution is presented. ¬© 1995 IOP Publishing Ltd.</t>
  </si>
  <si>
    <t>322-329</t>
  </si>
  <si>
    <t>Physica Scripta</t>
  </si>
  <si>
    <t>60012345;60012345;60104289</t>
  </si>
  <si>
    <t>7401918766;7005587335;7004656165</t>
  </si>
  <si>
    <t>Hansen, K.;Piel, A.;Bonhomme, G.</t>
  </si>
  <si>
    <t>France;Germany</t>
  </si>
  <si>
    <t>Nancy;Kiel</t>
  </si>
  <si>
    <t>Universit√© de Lorraine;Christian-Albrechts-Universit√§t zu Kiel</t>
  </si>
  <si>
    <t>60104289;60012345</t>
  </si>
  <si>
    <t>Hansen K.</t>
  </si>
  <si>
    <t>Propagation of r.F.-induced density depressions</t>
  </si>
  <si>
    <t>10.1088/0031-8949/52/3/015</t>
  </si>
  <si>
    <t>2-s2.0-0041573337</t>
  </si>
  <si>
    <t>['would appear', 'trigger bursts', 'subsequent mergers', 'spirals shows', 'shorter timescale', 'result militates', 'puzzling observation', 'protogalactic halo', 'open cluster', 'ngc 4038', 'may account', 'luminosity function', 'locally homogeneous', 'globular cluster', 'globally heterogeneous', 'evolutionary models', 'evidence show', 'ellipticals formed', 'elliptical galaxies', 'cluster formation', 'age differences']</t>
  </si>
  <si>
    <t>Galaxies: abundances | Galaxies: evolution | Galaxies: formation | Galaxies: interactions | Galaxies: star clusters | Supernovae: general</t>
  </si>
  <si>
    <t>A number of lines of evidence show that collisions, and subsequent mergers, of gas-rich disk galaxies can trigger bursts of star and cluster formation. Observations of NGC 4038/4039 (the Antennae) appear to show that the young clusters formed during this merger have an exponential (open cluster) luminosity function, rather than a Gaussian (globular cluster) luminosity function. This result militates against the suggestion that the high specific globular cluster frequency in elliptical galaxies is due to globular cluster formation during mergers. The observation that [Œ±/Fe] is larger in ellipticals than it is in spirals shows that elliptical galaxies must have formed on a shorter timescale than spirals. This would appear to rule out evolutionary models in which the majority of ellipticals formed from mergers between mostly stellar disk systems. Scenarios in which the protogalactic halo was locally homogeneous, but globally heterogeneous and clumpy, may account for the puzzling observation that Galactic globular clusters exhibit both age differences of a few gigayears and high [Œ±/Fe] values.</t>
  </si>
  <si>
    <t>27-31</t>
  </si>
  <si>
    <t>Van Den Bergh, Sidney</t>
  </si>
  <si>
    <t>Ottawa ON,</t>
  </si>
  <si>
    <t>National Research Council Canada</t>
  </si>
  <si>
    <t>Van Den Bergh S.</t>
  </si>
  <si>
    <t>Supernovae, globular clusters, and galaxy mergers</t>
  </si>
  <si>
    <t>10.1086/176115</t>
  </si>
  <si>
    <t>2-s2.0-11944271355</t>
  </si>
  <si>
    <t>['performed calibrations', 'perform measurements', 'paper describes', 'double channel', '2 mm']</t>
  </si>
  <si>
    <t>cosmology: cosmic microwave background | instrumentation: photometer</t>
  </si>
  <si>
    <t>A double channel (1.2 and 2 mm) photometer has been installed at the focus of the 15m SEST antenna in Chile to perform measurements of the Sunyaev-Zeldovich effect towards X-ray ROSAT clusters. This paper describes the instrument and the characteristics of the system: its sensitivity, field of view, noise and the performed calibrations. ¬© 1995 Kluwer Academic Publishers.</t>
  </si>
  <si>
    <t>100416957;60000481;60012630;60013961;60007328;60013961</t>
  </si>
  <si>
    <t>6701892998;7007149693;7003726101;7103404493;6701472118;26644242300</t>
  </si>
  <si>
    <t>Pizzo, L.;Andreani, P.;Dall'Oglio, G.;Lemke, R.;Whyborn, N.;Ot√†rola, A.</t>
  </si>
  <si>
    <t>Chile;Italy;Sweden;Italy;Italy</t>
  </si>
  <si>
    <t>Santiago;Rome;Onsala;Padua;Bologna</t>
  </si>
  <si>
    <t>European Southern Observatory Santiago;Universit√† degli Studi Roma Tre;Onsala Space Observatory;Universit√† degli Studi di Padova;TESRE</t>
  </si>
  <si>
    <t>60013961;60012630;60007328;60000481;100416957</t>
  </si>
  <si>
    <t>Pizzo L.</t>
  </si>
  <si>
    <t>A double-channel photometer for the Swedish ESO submillimeter telescope</t>
  </si>
  <si>
    <t>10.1007/BF00418323</t>
  </si>
  <si>
    <t>2-s2.0-26444475472</t>
  </si>
  <si>
    <t>['timescale due', 'time signals', 'seven groups', 'propagation effects', 'grb position', 'grb might', 'bacodine system', 'appreciable fraction', 'antennas slew', '151 mhz']</t>
  </si>
  <si>
    <t>BACODINE | GRB radio counterparts</t>
  </si>
  <si>
    <t>The Cambridge Low Frequency Synthesis Telescope (CLFST) is being used to search for prompt radio emission from GRBs at 151 MHz. For this search a special observing mode has recently been developed; the antennas of the CLFST are split into seven groups which are spaced about 30¬∞ apart. When triggered by the real-time signals from the BACODINE system the antennas are slewed to the GRB position, with data being sampled at 1.5 or 3-s intervals. The antennas slew at about 10¬∞ per minute, so that an appreciable fraction of the sky can be accessed on timescales of a few minutes - any prompt radio emission from a GRB might be delayed by this timescale due to propagation effects. ¬© 1995 Kluwer Academic Publishers.</t>
  </si>
  <si>
    <t>281-284</t>
  </si>
  <si>
    <t>60101780;60101780;60101780;60101780;60101780;60006337;60006337;60006337;60006337;60011779;60011779;60011779</t>
  </si>
  <si>
    <t>25924931900;57204377052;35551267400;9242441200;6603121845;7004253793;7101853118;35353135800;7402254309;7201912740;57205949888;34570949400</t>
  </si>
  <si>
    <t>Green, D. A.;Dessenne, C. A.C.;Warner, P. J.;Titterington, D. J.;Waldram, E. M.;Barthelmy, S. D.;Cline, T. L.;Gehrels, N.;Palmer, D.;Fishman, G. J.;Kouveliotou, C.;Meegan, C. A.</t>
  </si>
  <si>
    <t>United Kingdom;United States;United States</t>
  </si>
  <si>
    <t>Cambridge;Huntsville;Greenbelt</t>
  </si>
  <si>
    <t>Mullard Radio Astronomy Observatory;NASA Marshall Space Flight Center;NASA Goddard Space Flight Center</t>
  </si>
  <si>
    <t>60101780;60011779;60006337</t>
  </si>
  <si>
    <t>Green D.A.</t>
  </si>
  <si>
    <t>A search for prompt radio emission from GRBs</t>
  </si>
  <si>
    <t>10.1007/BF00658632</t>
  </si>
  <si>
    <t>2-s2.0-34249752950</t>
  </si>
  <si>
    <t>['supernova explosion', 'projected sensitivity', 'maximum strain', 'magnitude better', 'laboratory searches', 'gravitational waves', 'gravitational radiation', 'crab pulsar', 'continuous wave', 'confirmed detections', 'alternative approach', '1 kpc']</t>
  </si>
  <si>
    <t>Gravitation | Pulsars: general | Radiation mechanisms: nonthermal | Stars: neutron | Waves</t>
  </si>
  <si>
    <t>Laboratory searches for the detection of gravitational waves have focused on the detection of burst signals emitted during a supernova explosion but have not resulted in any confirmed detections. An alternative approach has been to search for continuous wave (CW) gravitational radiation from the Crab pulsar. In this paper, we examine the possibility of detecting CW gravitational radiation from pulsars and show that nearby millisecond pulsars are generally much better candidates. We show that the minimum strain hc ‚àº 10-26 that can be detected by tuning an antenna to the frequency of the millisecond pulsar PSR 1957+20, with the detector technology available at present, is orders of magnitude better than what has been accomplished so far by observing the Crab pulsar, and is within an order of magnitude of the maximum strain that may be produced by it. In addition, we point out that there is likely to be a population of rapidly rotating neutron stars (not necessarily radio pulsars) in the solar neighborhood whose spin-down evolution is driven by gravitational radiation. We argue that the projected sensitivity of modern resonant detectors is sufficient to detect the subset of this population that lies within 0.1 kpc of the Sun.</t>
  </si>
  <si>
    <t>757-762</t>
  </si>
  <si>
    <t>60007566;60007566;60007566;60007566</t>
  </si>
  <si>
    <t>6603852705;6701714468;7404847027;7004486252</t>
  </si>
  <si>
    <t>New, Kimberly C.B.;Chanmugam, G.;Johnson, Warren W.;Tohline, Joel E.</t>
  </si>
  <si>
    <t>New K.C.B.</t>
  </si>
  <si>
    <t>Millisecond pulsars: Detectable sources of continuous gravitational waves?</t>
  </si>
  <si>
    <t>10.1086/176181</t>
  </si>
  <si>
    <t>2-s2.0-0344320210</t>
  </si>
  <si>
    <t>['¬© 1995', 'rights reserved', 'optic links', 'instantaneous bandwidth', 'frequency sweeps', 'entire band', 'beam squint', 'airborne radars', '1400mhz ).']</t>
  </si>
  <si>
    <t>Antenna phased arrays | Microstrip antenna arrays</t>
  </si>
  <si>
    <t>A 96-element conformal array controlled by photonics was built and tested for airborne radars. The L-band array consists of 1 km fibre-optic links and a photonic time shift network. There was no beam squint (shift in angle) as the frequency sweeps over the entire band (850 - 1400MHz). A nanosecond impulse response was measured to demonstrate a 50% instantaneous bandwidth (550 MHz), corresponding to a 30cm range resolution. ¬© 1995, IEE. All rights reserved.</t>
  </si>
  <si>
    <t>1620-1621</t>
  </si>
  <si>
    <t>60005304;60005304;60005304;60005304;60005304</t>
  </si>
  <si>
    <t>57193268489;7102496311;7005414912;7102476678;7004418575</t>
  </si>
  <si>
    <t>Lee, J. J.;Loo, R. Y.;Livingston, S.;Yen, H. W.;Tangonan, G.</t>
  </si>
  <si>
    <t>Conformal array controlled by photonics</t>
  </si>
  <si>
    <t>10.1049/el:19951135</t>
  </si>
  <si>
    <t>2-s2.0-0029373004</t>
  </si>
  <si>
    <t>['¬© 1995', 'rights reserved', 'radiation patterns', 'makes use', 'experimental results', 'coplanar techniques', '45 %.']</t>
  </si>
  <si>
    <t>An aperture coupled five-patch broadband microstrip antenna which makes use of stacked and coplanar techniques is studied. It is demonstrated that the antenna can attain a bandwidth of -45%. The radiation patterns and SWR of the antenna are presented. A comparison between theoretical and experimental results is made. ¬© 1995, IEE. All rights reserved.</t>
  </si>
  <si>
    <t>1621-1622</t>
  </si>
  <si>
    <t>60013983;60013983;60013983;60013983-60021624</t>
  </si>
  <si>
    <t>7102473419;7006646156;55510527400;7501501369</t>
  </si>
  <si>
    <t>Tong, K. F.;Au, T. M.;Luk, K. M.;Lee, K. F.</t>
  </si>
  <si>
    <t>United States;Hong Kong</t>
  </si>
  <si>
    <t>Toledo;Kowloon</t>
  </si>
  <si>
    <t>The University of Toledo;City University of Hong Kong</t>
  </si>
  <si>
    <t>60021624;60013983</t>
  </si>
  <si>
    <t>Tong K.F.</t>
  </si>
  <si>
    <t>Two-layer five-patch broadband microstrip antennas</t>
  </si>
  <si>
    <t>10.1049/el:19951161</t>
  </si>
  <si>
    <t>2-s2.0-0029373117</t>
  </si>
  <si>
    <t>['¬© 1995', 'thereby enabling', 'solenoids behind', 'rights reserved', 'rf screening', 'produce stealthy', 'idea presented', 'hts conductivity', 'b field', 'antenna cooling', '1 ghz']</t>
  </si>
  <si>
    <t>High-temperature superconductors | Microstrip antennas | Superconducting antennas</t>
  </si>
  <si>
    <t>The variation of HTS conductivity with static B field is used to modulate the efficiencies of printed HTS loop antennas at 1 GHz. The generation of the necessary high magnetic flux densities is made more practical by only requiring that a fraction of the circumference of a loop is subjected to the B field, thereby enabling the use of much smaller solenoids which could also benefit from the antenna cooling. RF screening is provided by placing the solenoids behind the groundplanes, and it is suggested that the idea presented here could be extrapolated to produce stealthy or adaptive printed arrays. The variation of HTS conductivity with static B field is used to modulate the efficiencies of printed HTS loop antennas at 1 GHz. The generation of the necessary high magnetic flux densities is made more practical by only requiring that a fraction of the circumference of a loop is subjected to the B field, thereby enabling the use of much smaller solenoids which could also benefit from the antenna cooling. RF screening is provided by placing the solenoids behind the groundplanes and it is suggested that the idea presented here could be extrapolated to produce stealthy or adaptive printed arrays. ¬© 1995, IEE. All rights reserved.</t>
  </si>
  <si>
    <t>1700-1702</t>
  </si>
  <si>
    <t>60001881;60001881</t>
  </si>
  <si>
    <t>55328764600;6701323282</t>
  </si>
  <si>
    <t>Cook, G. G.;Khamas, S. K.</t>
  </si>
  <si>
    <t>Sheffield</t>
  </si>
  <si>
    <t>The University of Sheffield</t>
  </si>
  <si>
    <t>Cook G.G.</t>
  </si>
  <si>
    <t>Variation of efficiencies of printed antennas using screened localised static magnetic fields</t>
  </si>
  <si>
    <t>10.1049/el:19951156</t>
  </si>
  <si>
    <t>2-s2.0-0029376022</t>
  </si>
  <si>
    <t>['¬© 1995', 'two dimensions', 'three dimensions', 'theoretical proof', 'rights reserved', 'pml conditions', 'numerical example', 'letter addresses']</t>
  </si>
  <si>
    <t>Finite-difference time domain method | Perfectly matched layers</t>
  </si>
  <si>
    <t>A perfectly matched layer (PML) in two dimensions has been proposed, to be used in finite difference time domain (FDTD) calculations. PML was subsequently validated numerically in three dimensions. However, no theoretical proof has been reported on PML conditions in three dimensions. The Letter addresses this problem and a numerical example is provided. A perfectly matched layer (PML) in two dimensions has been proposed, to be used in finite difference time domain (FDTD) calculations. PML was subsequently validated numerically in three dimensions. However, no theoretical proof has been reported on PML conditions in three dimensions. The Letter addresses this problem and a numerical example is provided. ¬© 1995, IEE. All rights reserved.</t>
  </si>
  <si>
    <t>1675-1676</t>
  </si>
  <si>
    <t>60031237;60031237</t>
  </si>
  <si>
    <t>57206988387;55553740388</t>
  </si>
  <si>
    <t>Cai, M.;Zhou, H.</t>
  </si>
  <si>
    <t>London South Bank University</t>
  </si>
  <si>
    <t>Cai M.</t>
  </si>
  <si>
    <t>Proof of perfectly matched layer conditions in three dimensions</t>
  </si>
  <si>
    <t>10.1049/el:19951153</t>
  </si>
  <si>
    <t>2-s2.0-0029378223</t>
  </si>
  <si>
    <t>['within 2', 'tentative etching', 'spatial structure', 'spatial profile', 'si pattern', 'sf6 plasma', 'sem ).', 'reactive ar', 'radial direction', 'plasma density', 'neodymium ring', 'large diameter', 'langmuir probe', 'etching profile', 'etch rate', 'electron density', 'also observed', '30 cm', '10 cm']</t>
  </si>
  <si>
    <t>A large diameter and uniform microwave plasma (about 30 cm in diameter) over 10 cm from the source has been produced by scaling up a preliminarily proposed device with an annular slot antenna and satisfying the ECR (electron cyclotron resonance) condition in a chamber with neodymium ring-shaped permanent magnets. The spatial structure of the plasma density in both non-reactive Ar and reactive SFB gases was obtained by a Langmuir probe. The tentative etching of silicon (Si) was performed in the SF6 microwave plasma. The spatial profile of the etch rate in the radial direction was found to be similar to that of electron density in the SF6 plasma. The uniformity of etch rate was within 2.5% at the position where electron density profile reached the best uniformity (- 5%). The etching profile of the poly-Si pattern in the microwave plasma using pure SF0 gas was also observed by a scanning electron microscope (SEM). ¬© 1995 IOP Publishing Ltd.</t>
  </si>
  <si>
    <t>1851-1855</t>
  </si>
  <si>
    <t>60019983;60019983;60019983</t>
  </si>
  <si>
    <t>57083802100;6507241435;35592137500</t>
  </si>
  <si>
    <t>Ikushima, T.;Tochitani, G.;Fujita, H.</t>
  </si>
  <si>
    <t>Saga</t>
  </si>
  <si>
    <t>Saga University</t>
  </si>
  <si>
    <t>Ikushima T.</t>
  </si>
  <si>
    <t>Large diameter microwave sf&lt;inf&gt;6&lt;/inf&gt; plasma production with ring-shaped permanent magnets</t>
  </si>
  <si>
    <t>10.1088/0022-3727/28/9/013</t>
  </si>
  <si>
    <t>2-s2.0-1042266943</t>
  </si>
  <si>
    <t>['¬© 1995', 'rights reserved', 'line technology', 'experimental study', 'current strip', 'classical cavity', 'antenna miniaturisation', 'achieved simply']</t>
  </si>
  <si>
    <t>Antenna feeds | Cavity resonators</t>
  </si>
  <si>
    <t>Classical cavity-type antennas make use of resonant field phenomena. Results of an experimental study at UHF of a coupled strip line-excited cavity antenna are reported. The results obtained show that the antenna miniaturisation is achieved simply by usng suitable combinations of current strip-line technology and resonant field phenomena. ¬© 1995, IEE. All rights reserved.</t>
  </si>
  <si>
    <t>1705-1706</t>
  </si>
  <si>
    <t>60025578;60025578</t>
  </si>
  <si>
    <t>7102272585;57207118247</t>
  </si>
  <si>
    <t>Ren, K. X.;Wang, Z. D.</t>
  </si>
  <si>
    <t>Ren K.</t>
  </si>
  <si>
    <t>Coupled strip line-excited cavity antenna for UHF</t>
  </si>
  <si>
    <t>10.1049/el:19951217</t>
  </si>
  <si>
    <t>2-s2.0-0029368535</t>
  </si>
  <si>
    <t>['¬© 1995', 'two years', 'rights reserved', 'diurnal variability', 'considerable seasonal']</t>
  </si>
  <si>
    <t>Field strength measurements at a frequency of 215MHz were made for over two years on a 237 km path in Senegal The results indicate field strength levels significantly in excess of those predicted, and with considerable seasonal and diurnal variability. ¬© 1995, IEE. All rights reserved.</t>
  </si>
  <si>
    <t>1787-1788</t>
  </si>
  <si>
    <t>112962370;60031745;60031745</t>
  </si>
  <si>
    <t>57197276476;57194919582;7004133879</t>
  </si>
  <si>
    <t>Hughes, K. A.;Postogna, E.;Radicella, S. M.</t>
  </si>
  <si>
    <t>Italy;Switzerland</t>
  </si>
  <si>
    <t>Trieste;Geneve</t>
  </si>
  <si>
    <t>Abdus Salam International Centre for Theoretical Physics;International Telecommunication Union (ITU)</t>
  </si>
  <si>
    <t>60031745;112962370</t>
  </si>
  <si>
    <t>Hughes K.</t>
  </si>
  <si>
    <t>VHF field strength measurements in Senegal</t>
  </si>
  <si>
    <t>10.1049/el:19951172</t>
  </si>
  <si>
    <t>2-s2.0-0029368626</t>
  </si>
  <si>
    <t>['¬© 1995', 'rights reserved', 'measurements show', 'enhancement mechanism', 'enhanced gain']</t>
  </si>
  <si>
    <t>Enhanced gain of an inverted F antenna loaded with a very high permittivity substrate has been demonstrated. Measurements show that the size of the antenna can be reduced without sacrificing the antenna radiation efficiency. The gain-enhancement mechanism, bandwidth, and antenna radiation gain and patterns are presented and discussed. ¬© 1995, IEE. All rights reserved.</t>
  </si>
  <si>
    <t>1710-1712</t>
  </si>
  <si>
    <t>60002798;60002798;60002798;60002798</t>
  </si>
  <si>
    <t>7402311213;33167854700;7402223247;35813024600</t>
  </si>
  <si>
    <t>Hwang, Y.;Zhang, Y. P.;Zheng, G. X.;Lo, T. K.C.</t>
  </si>
  <si>
    <t>Chinese University of Hong Kong</t>
  </si>
  <si>
    <t>Hwang Y.</t>
  </si>
  <si>
    <t>Planar inverted F antenna loaded with high permittivity material</t>
  </si>
  <si>
    <t>10.1049/el:19951184</t>
  </si>
  <si>
    <t>2-s2.0-0029368873</t>
  </si>
  <si>
    <t>['¬© 1995', 'typical dual', 'subarray working', 'structure consists', 'rights reserved', 'patches provide', 'patch antenna', 'new configuration', 'band operation']</t>
  </si>
  <si>
    <t>A new configuration of patch antenna is introduced, which provides a dual-band operation. This structure consists of an S-band cross patch with four square patches printed in the empty spaces among the arms of the cross. These patches provide a subarray working at X-band. This structure is simple to design and offers the advantage that it can be printed on a single-layer. An array geometry designed by using the above structure, is suggested. This can be suitable for satisfying the requirements of a typical dual-frequency SAR antenna. ¬© 1995, IEE. All rights reserved.</t>
  </si>
  <si>
    <t>1706-1707</t>
  </si>
  <si>
    <t>56257237900;7004298831;6505581664;7005998607</t>
  </si>
  <si>
    <t>Salvador, C.;Borselli, L.;Falciani, A.;Maci, S.</t>
  </si>
  <si>
    <t>Salvador C.</t>
  </si>
  <si>
    <t>Dual frequency planar antenna at S and X bands</t>
  </si>
  <si>
    <t>10.1049/el:19951176</t>
  </si>
  <si>
    <t>2-s2.0-0029369682</t>
  </si>
  <si>
    <t>['¬© 1995', 'rights reserved', 'confirmed experimentally', 'attractive features']</t>
  </si>
  <si>
    <t>A monopole strip antenna which consists of an open ended strip and a three-section coplanar waveguide feed is proposed and its structure and some attractive features are described. The main advantages provided by the antenna and their dependence on the width and length of the strip are confirmed experimentally. ¬© 1995, IEE. All rights reserved.</t>
  </si>
  <si>
    <t>1709-1710</t>
  </si>
  <si>
    <t>I≈üik, C.</t>
  </si>
  <si>
    <t>Istanbul</t>
  </si>
  <si>
    <t>ƒ∞stanbul Teknik √úniversitesi</t>
  </si>
  <si>
    <t>I≈üik C.</t>
  </si>
  <si>
    <t>Monopole strip antenna excited by coplanar waveguide</t>
  </si>
  <si>
    <t>10.1049/el:19951193</t>
  </si>
  <si>
    <t>2-s2.0-0029370147</t>
  </si>
  <si>
    <t>['¬© 1995', 'transport systems', 'rights reserved', 'obtained based', 'microwave tags', 'input impedance', 'desegmentation technique']</t>
  </si>
  <si>
    <t>New analytical expressions have been obtained based on the Green function approach to determine the input impedance of a corner-fed circularly polarised patch antenna using the desegmentation technique. Such an antenna can be used for an LAN or for microwave tags in transport systems. ¬© 1995, IEE. All rights reserved.</t>
  </si>
  <si>
    <t>1708-1709</t>
  </si>
  <si>
    <t>Input impedance of corner-fed patch antenna forcircular polarisationusing desegmentation technique</t>
  </si>
  <si>
    <t>10.1049/el:19951192</t>
  </si>
  <si>
    <t>2-s2.0-0029371304</t>
  </si>
  <si>
    <t>['supernovae explosions', 'problems involved', 'probably use', 'lower frequencies', 'larger bandwidth', 'frequency range', 'brief overview', '700 hz', '200 mpc']</t>
  </si>
  <si>
    <t>Massive metallic spheres cooled to millikelvin temperatures could reach quantum-limited sensitivities high enough to detect gravitational waves from supernovae explosions up to 100-200 Mpc which would include millions of galaxies. They could provide sensitivity (in the frequency range above 700 Hz) and directionality, superior to the large interferometer arrays presently under construction, which will be better at lower frequencies and can have a larger bandwidth. World wide gravitational wave observatories will probably use both types of detectors. In this paper we give a brief overview of the problems involved in making a resonant spherical gravitational wave detector of very large mass working in the low millikelvin range. ¬© 1995 Plenum Publishing Corporation.</t>
  </si>
  <si>
    <t>81-94</t>
  </si>
  <si>
    <t>Journal of Low Temperature Physics</t>
  </si>
  <si>
    <t>Frossati, G.</t>
  </si>
  <si>
    <t>Kamerlingh Onnes Laboratorium</t>
  </si>
  <si>
    <t>Frossati G.</t>
  </si>
  <si>
    <t>GRAIL: A 10 mk, 100 ton spherical gravitational wave antenna</t>
  </si>
  <si>
    <t>10.1007/BF00754564</t>
  </si>
  <si>
    <t>2-s2.0-0007241976</t>
  </si>
  <si>
    <t>['¬© 1995', 'using gc', 'rights reserved', 'p femoralis', 'ms analysis', 'lamarcki males', 'horse dung', 'gas chromatography', 'form balls', 'field tests', 'female p', 'ethyl propanoate', 'ethyl pentanoate', 'ethyl butanoate', 'ethyl 4', 'esters appear', 'coincidental presence', 'calling k', 'attracting secretion', 'abdominal secretion']</t>
  </si>
  <si>
    <t>Attractant | Dung Beetle | Electroantennographic Detection | Scarabaeinae | Semiochemicals</t>
  </si>
  <si>
    <t>Both sexes of the dung beetle Pachylomerus femoralis were observed to be attracted to the male dung beetle Kheper lamarcki when it exhibited typical calling behaviour including the release of a white flocculent sex-attracting secretion. Using GC-MS analysis and gas chromatography with electroantennographic (EAD) and flame ionization detection (FID) in parallel, methyl and ethyl propanoate, methyl and ethyl butanoate, methyl and ethyl pentanoate, and methyl and ethyl 4-pentenoate were identified as the constituents of the secretion that elicited electroantennographic responses in the antennae of male and female P. femoralis. In field tests, mixtures of these compounds were found to be about as attractive as horse dung. These esters appear to constitute an attractant for P. femoralis, enabling this species which does not form balls, to detect and utilize dung balls formed by K. lamarcki. P femoralis has been observed to exploit food types as diverse as dung from rhinoceros and primates. It is therefore, possible that, on the other hand, this species utilizes different kairomones to detect various types of dung and that the coincidental presence of some or all of the components of one of these kairomones in the abdominal secretion of K. lamarcki is responsible for its attraction to calling K. lamarcki males. ¬© 1995, Walter de Gruyter. All rights reserved.</t>
  </si>
  <si>
    <t>675-680</t>
  </si>
  <si>
    <t>60001565;60001565;60026262</t>
  </si>
  <si>
    <t>35577693100;7102643847;57195663909</t>
  </si>
  <si>
    <t>Burger, B. V.;Petersen, W. G.B.;Tribe, G. D.</t>
  </si>
  <si>
    <t>South Africa;South Africa</t>
  </si>
  <si>
    <t>Pretoria;Stellenbosch</t>
  </si>
  <si>
    <t>Plant Protection Research Institute, Pretoria;Stellenbosch University</t>
  </si>
  <si>
    <t>60026262;60001565</t>
  </si>
  <si>
    <t>Burger B.</t>
  </si>
  <si>
    <t>Semiochemicals of the Scarabaeinae, IV*: Identification of an Attractant for the Dung Beetle Pachylomerus femoralis in the Abdominal Secretion of the Dung Beetle Kheper lamarcki</t>
  </si>
  <si>
    <t>10.1515/znc-1995-9-1013</t>
  </si>
  <si>
    <t>2-s2.0-0028796554</t>
  </si>
  <si>
    <t>['whereas z7', 'weak responses', 'two moieties', 'third type', 'tetradecenyl formate', 'substitute behaviourally', 'stimulatory effect', 'receptor neurons', 'pheromone attraction', 'pheromone aldehydes', 'neurons recorded', 'membrane receptors', 'higher concentrations', 'high concentration', 'hexadecenyl acetate', 'formate analogue', 'fo would', 'fo ).', 'field studies', 'equal frequency', 'dodecenyl formate', 'different effects', 'corresponding formate', 'conspecific females', 'comparable concentrations', 'al chain', 'ac neurons', 'ac ).', '9 %)', '12 %),']</t>
  </si>
  <si>
    <t>Single receptor cell recordings from the sensilla trichodea type 1 of the Heliothis virescens male antennae have revealed: 1) Three distinct types of receptor neurons, two previously identified types tuned to the principal pheromone components, (Z)-11-hexadecenal (Z11-16:AL) (79% of neurons recorded) and (Z)-9-tetradecenal (Z9-14: AL) (12%), and a third type (9%) that is tuned to (Z)-11-hexadecenyl acetate (Z11-16: AC). The acetate suppresses male attraction to conspecific females. 2) The Z11-16:AL receptor neurons respond with about equal frequency to the formate analogue, (Z)-9-tetradecenyl formate (Z9-14:FO) at comparable concentrations. The Z9-14:AL receptor neurons, however, show only weak responses to the corresponding formate (Z)-7-dodecenyl formate (Z7-12:FO). These results correlate well with results from field studies, showing that Z9-14:FO can substitute behaviourally for Z11-16:AL, whereas Z7-12:FO cannot substitute for Z9-14:AL. 3) The Z11-16:AC receptor neurons also respond to Z7-12:FO at higher concentrations. Therefore, Z7-12:FO would not be able to simulate the effect of Z9-14:AL, even at high concentration, because Z7-12:FO would mediate suppression of pheromone attraction through the Z11-16:AC neurons. 4) A difference in the interaction between the pheromone aldehydes and their membrane receptors is shown by the different effects of the two formate analogues. Furthermore, shortening and lengthening of the two moieties of the Z11-16:AL chain does not reduce the stimulatory effect to the same extent. ¬© 1995 Springer-Verlag.</t>
  </si>
  <si>
    <t>527-534</t>
  </si>
  <si>
    <t>60013141;60103678;60013141</t>
  </si>
  <si>
    <t>7203007056;7004749571;6701730347</t>
  </si>
  <si>
    <t>Berg, B. G.;Tumlinson, J. H.;Mustaparta, H.</t>
  </si>
  <si>
    <t>United States;Norway</t>
  </si>
  <si>
    <t>Gainesville;Trondheim</t>
  </si>
  <si>
    <t>USDA Agricultural Research Service, Gainesville;Norges Teknisk-Naturvitenskapelige Universitet</t>
  </si>
  <si>
    <t>60103678;60013141</t>
  </si>
  <si>
    <t>Berg B.</t>
  </si>
  <si>
    <t>Chemical communication in heliothine moths - IV. Receptor neuron responses to pheromone compounds and formate analogues in the male tobacco budworm moth Heliothis virescens</t>
  </si>
  <si>
    <t>10.1007/BF00207182</t>
  </si>
  <si>
    <t>2-s2.0-0028878542</t>
  </si>
  <si>
    <t>['whole subsystem', 'wave frequencies', 'transmitting frequency', 'transmitter power', 'tcs ).', 'rf efficiency', 'realized using', 'new concept', 'ne72089a ).', 'higher microwave', 'gate circuit', 'common oscillator', 'active antennas', '2 %.', '11 dbm']</t>
  </si>
  <si>
    <t>A new concept, design and realisation of an integrated uniplanar microwave part of a transmitter-receiver with active antennas, is presented. All circuits are realized using the three coplanar strips technique (TCS). The whole subsystem is realised with one low cost MESFET (NE72089A). The common oscillator has an electronically controlled frequency. The model is realized at a transmitting frequency of 9.5GHz. The transmitter power is 11 dBm and the mixer isotropic conversion loss is 1.5dB. The local oscillator signal level (in the gate circuit) is approx.9dBm. The total oscillator DC to RF efficiency is 22.2%. The concept and design can be applied to higher microwave and millimetre-wave frequencies.</t>
  </si>
  <si>
    <t>1846-1847</t>
  </si>
  <si>
    <t>7003325954;56214223100;6508011674;7005175005</t>
  </si>
  <si>
    <t>Nesic, A.;Jovanovic, S.;Radnovic, I.;Nesic, D.</t>
  </si>
  <si>
    <t>Nesic A.</t>
  </si>
  <si>
    <t>Integrated uniplanar microwave part of transmitter-receiver with active antennas</t>
  </si>
  <si>
    <t>10.1049/el:19951241</t>
  </si>
  <si>
    <t>2-s2.0-0029386476</t>
  </si>
  <si>
    <t>['time due', 'three issues', 'theoretical analysis', 'simulation package', 'prohibitively expensive', 'observables using', 'multipath parameters', 'input noise', 'hardware methods', 'gps receiver', 'functional modelling', 'dynamic code', 'derived mathematically', 'authors present', 'antenna effects', 'alternative approach']</t>
  </si>
  <si>
    <t>The authors present the analysis of multipath and antenna effects on global positioning system (GPS) observables using the functional modelling and simulation package of a digital baseband processor for the GPS receiver. Three issues are addressed: first, the static observable errors as functions of multipath parameters are derived mathematically in the absence of input noise; secondly, the dynamic code and carrier tracking errors as functions of time due to multipath in the presence of input noise are investigated; and finally the deterioration in the accuracy of the GPS observables due to antenna residual phase and antenna centre movement is studied with different receiver design parameters. It is shown that the functional modelling and simulation package provide an alternative approach to GPS system accuracy research where theoretical analysis and hardware methods are very difficult, inaccurate or prohibitively expensive.</t>
  </si>
  <si>
    <t>267-275</t>
  </si>
  <si>
    <t>60014171;60014171</t>
  </si>
  <si>
    <t>7103155022;7004680083</t>
  </si>
  <si>
    <t>Zhuang, W.;Tranquilla, J. M.</t>
  </si>
  <si>
    <t>Effects of multipath and antenna on GPS observables</t>
  </si>
  <si>
    <t>10.1049/ip-rsn:19951998</t>
  </si>
  <si>
    <t>2-s2.0-0029386634</t>
  </si>
  <si>
    <t>['service zone', 'main feature', 'key element', 'ground stations', 'geostationary satellite', 'find application', 'consumption characteristics', 'communication network', 'carrying capacity', 'basic characteristics', 'antenna beams']</t>
  </si>
  <si>
    <t>The on-board satellite transponder is the key element in any satellite communication system, which govern such basic characteristics of the system as the carrying capacity, the service zone, the consumption characteristics of the ground stations, and the configuration of the communication network. The main feature of the on-board transponder system of the 'Kupon' geostationary satellite-transponder is the use of antennas of multibeam active phased antenna arrays with narrow radiation patterns of the antenna beams. With this feature, on-board satellite transponder can find application when setting up fixed satellite communications.</t>
  </si>
  <si>
    <t>6506241175;7003532937</t>
  </si>
  <si>
    <t>Likhtenval'd, V. V.;Maiorov, S. V.</t>
  </si>
  <si>
    <t>Likhtenval'd V.</t>
  </si>
  <si>
    <t>On-board transponder system for the 14/11 GHz fixed satellite communications system</t>
  </si>
  <si>
    <t>2-s2.0-0029387555</t>
  </si>
  <si>
    <t>['vertically separated', 'tm waves', 'terse expression', 'succinct expression', 'substrate structure', 'spectral te', 'spectral green', 'source located', 'radiation characteristics', 'radiated one', 'observation points', 'numerical examples', 'laterally rather', 'interface plane', 'integral representation', 'electromagnetic field', 'electric point', 'dyadic green', 'dyadic function', 'certain circumstances']</t>
  </si>
  <si>
    <t>Using the decomposition in spectral TE and TM waves, a terse expression of the spectral Green's dyadic function is presented to describe the electromagnetic field in a planar stratified medium with a grounded slab filled by a general bianisotropic medium and a current source arbitrarily located inside the layer. The general but succinct expression of the elements of the spectral Green's dyad are, then, specified to the case of a chiral grounded slab with an electric point-source located at the interface plane. The dyadic Green's function of sources in a grounded chiral superstrate-substrate structure is used to analyse the radiation characteristics of the so-called chirostrip antennas. An integral representation of the spatial microstrip electric Green's dyad is developed. This representation is very efficient to evaluate the electromagnetic field when the source and the observation points are laterally rather than vertically separated with respect to the interface plane. Numerical examples are presented which show the efficiency of the integral representation obtained. It is found, also, that the chirality can, under certain circumstances, decrease the surface wave power and increase the radiated one, thus giving rise to higher radiation efficiency.</t>
  </si>
  <si>
    <t>1391-1401</t>
  </si>
  <si>
    <t>60012630;60012630</t>
  </si>
  <si>
    <t>7006242275;7005054440</t>
  </si>
  <si>
    <t>Vegni, Lucio;Toscano, Alessandro</t>
  </si>
  <si>
    <t>Universit√† degli Studi Roma Tre</t>
  </si>
  <si>
    <t>Vegni L.</t>
  </si>
  <si>
    <t>Spatial electromagnetic fields in chiral integrated structures via Sommerfeld integrals</t>
  </si>
  <si>
    <t>2-s2.0-0029387714</t>
  </si>
  <si>
    <t>['wave scattering', 'scattering diagram', 'nystrom method', 'numerical solution']</t>
  </si>
  <si>
    <t>In the paper a problem of wave scattering from a local penetrable inhomogeneity inside a planar dielectric waveguide is studied. The surface potentials method is applied for the problem and the set of systems of BIE is obtained and analyzed from the view-point of their numerical solution. The effective numerical algorithm based on the Nystrom method is proposed. The equations for a scattering diagram and mode conversion coefficients are derived.</t>
  </si>
  <si>
    <t>1440-1446</t>
  </si>
  <si>
    <t>Yarovoy, Alexander G.</t>
  </si>
  <si>
    <t>V. N. Karazin Kharkiv National University</t>
  </si>
  <si>
    <t>Yarovoy A.</t>
  </si>
  <si>
    <t>Surface potential method in the wave scattering from localized inhomogeneities of a planar dielectric waveguide</t>
  </si>
  <si>
    <t>2-s2.0-0029387728</t>
  </si>
  <si>
    <t>['yz plane', 'radiation modes', 'proved explicitly', 'orthogonality relations', 'orthogonality properties', 'odd ones', 'normalization factors', 'infinitely extended', 'guided ones', 'field quantities', 'field components', 'expansion coefficients', 'easily calculated', 'cross section', 'boundary conditions']</t>
  </si>
  <si>
    <t>5-layer slab waveguide | Orthogonality relations | Radiation modes</t>
  </si>
  <si>
    <t>The radiation modes of a five-layered symmetric slab waveguide are treated in detail. Since the slab is assumed to be infinitely extended in the yz plane, all field quantities are considered to be independent of y. The analysis is based on modal expansion formulation and the modes can be classified as TE and TM as well as even and odd ones. Applying the boundary conditions at interfaces, the expansion coefficients of the field components are easily calculated. In addition, the normalization factors and the orthogonality properties are determined by deriving appropriate integrals over the cross section of the waveguide. Finally, the validity of the orthogonality relations between the radiation modes and the guided ones, which propagate in such a waveguide, is proved explicitly. ¬© 1995 Plenum Publishing Corporation.</t>
  </si>
  <si>
    <t>1811-1824</t>
  </si>
  <si>
    <t>60028900;60028900</t>
  </si>
  <si>
    <t>6701320812;7004204911</t>
  </si>
  <si>
    <t>Theodoropoulos, T. G.;Tigelis, I. G.</t>
  </si>
  <si>
    <t>Athens</t>
  </si>
  <si>
    <t>National and Kapodistrian University of Athens</t>
  </si>
  <si>
    <t>Theodoropoulos T.</t>
  </si>
  <si>
    <t>Radiation modes of a five-layer symmetric slab waveguide</t>
  </si>
  <si>
    <t>10.1007/BF02068691</t>
  </si>
  <si>
    <t>2-s2.0-0029387929</t>
  </si>
  <si>
    <t>['study quantifies', 'radiation characteristics', 'physical optics', 'parametric study', 'geometric optics', 'focused reflector', 'better performance', 'beamwidth may', 'beam broadening', 'axis gain']</t>
  </si>
  <si>
    <t>The beamwidth of a reflector antenna may be varied by defocusing the feed. The radiation characteristics are studied for both axisymmetric and offset single reflector antennas using both geometric optics for understanding the operation and physical optics for a parametric study. The beamwidth may be increased by over 200% compared to the focused reflector before the main beam bifurcates, but the on-axis gain is reduced. Better performance is obtained with an offset reflector antenna. The study quantifies the limits of beam broadening which can be achieved. Measurements on a 30 GHz experimental antenna show good agreement with theory.</t>
  </si>
  <si>
    <t>394-398</t>
  </si>
  <si>
    <t>7006827241;36943912400</t>
  </si>
  <si>
    <t>Olver, A. D.;Syed, J. U.I.</t>
  </si>
  <si>
    <t>Olver A.</t>
  </si>
  <si>
    <t>Variable beamwidth reflector antenna by feed defocusing</t>
  </si>
  <si>
    <t>10.1049/ip-map:19952082</t>
  </si>
  <si>
    <t>2-s2.0-0029388150</t>
  </si>
  <si>
    <t>['two methods', 'show promise', 'money spent', 'considerable amount']</t>
  </si>
  <si>
    <t>There has been considerable amount of money spent in the tests of both new and replacement extrusion die. Because of this, it is necessary to find a methodology that saves extruder time and money in the process. Fortunately, documentation and communication are two methods which show promise for reducing die trials. Significant cost savings are there for the taking from these two methods.</t>
  </si>
  <si>
    <t>Modern Metals</t>
  </si>
  <si>
    <t>Pennington, J. Neiland</t>
  </si>
  <si>
    <t>Pennington J.</t>
  </si>
  <si>
    <t>Documentation, communication cut extrusion die trials</t>
  </si>
  <si>
    <t>2-s2.0-0029388512</t>
  </si>
  <si>
    <t>['type wave', 'radiation pattern', 'radiation characteristics', 'leaky waves', 'leakage directions', 'leakage characteristics', 'investigated numerically', 'geometric parameters', 'fabricated waveguide', 'corrugation properly', 'corrugation form', 'corrugation consisting', 'calculated value', 'applying yasuura']</t>
  </si>
  <si>
    <t>The dielectric rod waveguides with corrugation consisting of nonintegral-ratio period waves are investigated numerically. The leakage characteristics of HE11-type wave in the waveguide is analyzed by applying Yasuura's method. The complex propagation constants and the far field patterns are presented. The radiation pattern of a fabricated waveguide with corrugation agrees well with the calculated value. The dependence of radiation characteristics on the corrugation form is discussed. It is shown that the leakage directions and the intensity of leaky waves are controlled independently one another. The radiation pattern can be synthesized by choosing the geometric parameters of the corrugation properly.</t>
  </si>
  <si>
    <t>1402-1408</t>
  </si>
  <si>
    <t>60020739;60020739;60020739</t>
  </si>
  <si>
    <t>26643215800;7402494847;7006770601</t>
  </si>
  <si>
    <t>Kubo, Hiroshi;Fukushima, Kimihisa;Awai, Ikuo</t>
  </si>
  <si>
    <t>Yamaguchi</t>
  </si>
  <si>
    <t>Yamaguchi University</t>
  </si>
  <si>
    <t>Kubo H.</t>
  </si>
  <si>
    <t>Numerical analysis of dielectric rod waveguide with corrugation of nonintegral-ratio period waves</t>
  </si>
  <si>
    <t>2-s2.0-0029388862</t>
  </si>
  <si>
    <t>['scattering behavior', 'radar polarimetry', 'polarization bases', 'network performance', 'natural way', 'erroneous impression', 'equation yielding', 'energy transfer', 'correct form', 'conventional formulation', 'antenna voltage']</t>
  </si>
  <si>
    <t>Research in radar polarimetry is hampered by shortcomings of the conventional formulation of polarimetric backscatter concepts. In particular the correct form of the Sinclair backscatter matrix under changes of polarization bases is derived from the antenna voltage (energy transfer) equation yielding the erroneous impression that radar polarimetry is a mongrel between scattering behavior and network performance. The present contribution restores logical consistency in a natural way by introducing the concept of an antilinear backscatter operator. This approach decouples scattering process and network performance, illuminates matrix analytical properties of the radar backscatter matrix and highlights characteristic states of polarization.</t>
  </si>
  <si>
    <t>1339-1345</t>
  </si>
  <si>
    <t>Luneburg, Ernst</t>
  </si>
  <si>
    <t>Wessling</t>
  </si>
  <si>
    <t>Inst for Radio Frequency Technology</t>
  </si>
  <si>
    <t>Luneburg E.</t>
  </si>
  <si>
    <t>Principles of radar polarimetry</t>
  </si>
  <si>
    <t>2-s2.0-0029389101</t>
  </si>
  <si>
    <t>['sufficiently high', 'sokol system', 'size characteristics', 'russian specialists', 'providing information', 'power consumption', 'operational simplicity', 'national economy', 'low mass', 'largely achieved', 'important place', 'high reliability', 'good example', 'developing techniques', 'communication services', 'circuit techniques']</t>
  </si>
  <si>
    <t>The 'Sokol' satellite communications system, developed for program conversion using the principles of VSAT-technology, consists of small satellite terminals in which record-low mass/size characteristics and power consumption, high reliability and operational simplicity are combined with the ability to provide a variety of communication services. The Sokol system is a good example of conversion in which achievements in circuit techniques and technology, which have so far been available when developing techniques for defense, have application in the national economy. The level of development, largely achieved by Russian specialists, is sufficiently high to provide strong competition with best foreign system and should occupy an important place in providing information to the Russian financial community.</t>
  </si>
  <si>
    <t>6506089722;6701722294;6506445189;6507332836;57189546098</t>
  </si>
  <si>
    <t>Bakurskiy, V. A.;Gus'kov, G. Ya;Setdikov, R. A.;Chetverik, V. N.;Shiryayev, A. M.</t>
  </si>
  <si>
    <t>Bakurskiy V.</t>
  </si>
  <si>
    <t>'Sokol' satellite communications system</t>
  </si>
  <si>
    <t>2-s2.0-0029389106</t>
  </si>
  <si>
    <t>['trend continues', 'spectrum analyzers', 'signal bandwidths', 'predominant trend', 'operational environment', 'microwave receiver', 'microwave frequencies', 'measurement capability', 'domain analyzers', 'direct connection', 'conventional instruments', 'bandwidth receiver', '30 mhz']</t>
  </si>
  <si>
    <t>A predominant trend in modern microwave signals is the move toward wider bandwidth. The trend continues to be evident in all areas of satellite and terrestrial microwave communications. Signal bandwidths of 30 MHz or more are typical. Conventional instruments such as spectrum analyzers, however, do not operate at microwave frequencies and are not well-suited for direct connection to an antenna as required in an operational environment. A solution is the HP 71910A wide-bandwidth receiver. The HP 71910A combines the attributes of a microwave receiver with the strengths of a microwave spectrum analyzer. The HP 71910A provides easy interfacing to vector signal analyzers and modulation-domain analyzers and extends the measurement capability of these instruments into the microwave frequency range. Finally, it provides standard connection to commercial communications demodulator products.</t>
  </si>
  <si>
    <t>Hewlett-Packard Journal</t>
  </si>
  <si>
    <t>Armantrout, Robert J.</t>
  </si>
  <si>
    <t>Armantrout R.</t>
  </si>
  <si>
    <t>Microwave receiver for wide-bandwidth signals</t>
  </si>
  <si>
    <t>2-s2.0-0029389281</t>
  </si>
  <si>
    <t>['vertical dipole', 'using near', 'radiation pattern', 'one face', 'localisation process', 'incremental theory', 'find near', 'field transformations', 'field limit', 'field distributions', 'field data', 'far zone', 'electromagnetic behaviour', 'domain method', 'direct scattering', 'difference time', 'asymptotic methods', 'also obtained']</t>
  </si>
  <si>
    <t>An analysis of the electromagnetic behaviour of corrugated artificially soft discs, illuminated by a vertical dipole, was carried out by using both numerical and asymptotic methods. The finite-difference time-domain method was used to find near-field distributions. This allows the consistency of the artificially soft model to be tested; furthermore, the near-field data are used to find the radiation pattern by using near-to-far-field transformations. The direct scattering in the far zone was also obtained by using edge integration of incremental diffraction coefficients; these are derived by applying the localisation process of the incremental theory of diffraction to a wedge with perfectly soft boundary conditions on one face and perfectly electric boundary conditions on the other. The effect of the corrugations is analysed in the far-field limit by comparison with a perfectly conducting disc.</t>
  </si>
  <si>
    <t>399-404</t>
  </si>
  <si>
    <t>56235319700;7005998607;56041272900</t>
  </si>
  <si>
    <t>Leoncini, M.;Maci, S.;Toccafondi, A.</t>
  </si>
  <si>
    <t>Leoncini M.</t>
  </si>
  <si>
    <t>Analysis of electromagnetic scattering by artificially soft discs</t>
  </si>
  <si>
    <t>10.1049/ip-map:19952049</t>
  </si>
  <si>
    <t>2-s2.0-0029389546</t>
  </si>
  <si>
    <t>['weak signal', 'usually termed', 'unknown locations', 'spatially uncorrelated', 'single signal', 'shown analytically', 'rao bound', 'priori except', 'noise field', 'matched processing', 'large number', 'exact cramer', 'estimation problem', 'estimation errors', 'conventional beamformer', 'computer simulations', 'array sensor', 'analytical results', 'aml estimator']</t>
  </si>
  <si>
    <t>A simple approximate maximum likelihood (AML) estimator is derived for estimating a power of a single signal with a rank-one spatial covariance matrix known a priori except for a scaling. The noise field is assumed to be spatially uncorrelated and to have different unknown powers in each array sensor. The derivation of the AML estimator is carried out under the assumptions of a large number of samples and a weak signal. The variance of the introduced AML estimator is compared with the exact Cramer-Rao bound (CRB) of this estimation problem. It is shown analytically that the variance of the estimation errors and the corresponding CRB coincide asymptotically in the majority of practically important cases. The analogy between the presented AML estimator and the well-known ML estimator, which is derived under equal noise variance assumption (this estimator is based on the matched processing and is usually termed as conventional beamformer), is considered. This analogy enables straightforward extension of the AML estimator to the case of well-separated weak multiple sources with unknown locations and consideration of it as a variant of conventional beamformer for unknown noise field scenarios. The analytical results are verified by computer simulations.</t>
  </si>
  <si>
    <t>218-224</t>
  </si>
  <si>
    <t>60005322;60005322;60005322</t>
  </si>
  <si>
    <t>7006198109;7004344048;7005010085</t>
  </si>
  <si>
    <t>Gershman, A. B.;Matveyev, A. L.;Boehme, J. F.</t>
  </si>
  <si>
    <t>Bochum</t>
  </si>
  <si>
    <t>Ruhr-Universitat Bochum</t>
  </si>
  <si>
    <t>Gershman A.</t>
  </si>
  <si>
    <t>Maximum likelihood estimation of signal power in sensor array in the presence of unknown noise field</t>
  </si>
  <si>
    <t>10.1049/ip-rsn:19952141</t>
  </si>
  <si>
    <t>2-s2.0-0029389916</t>
  </si>
  <si>
    <t>['perceived requirements', 'last three', 'increased extensively', 'five years', 'current systems', 'current position', 'collision warning', 'automotive industry', '77 ghz']</t>
  </si>
  <si>
    <t>Activity in the areas of autonomous intelligent cruise control and collision warning/avoidance for vehicles has increased extensively for the last three to five years. In this article, the current position in terms of the perceived requirements of the automotive industry as well as the suitability of current systems for meeting those requirements are reviewed. In addition, work on radars at 77 GHz is discussed while the current position and the route to production for this solution are highlighted.</t>
  </si>
  <si>
    <t>Lowbridge, P. L.</t>
  </si>
  <si>
    <t>Plessey Semiconductors</t>
  </si>
  <si>
    <t>Lowbridge P.</t>
  </si>
  <si>
    <t>Low cost millimeter-wave radar systems for intelligent vehicle cruise control applications</t>
  </si>
  <si>
    <t>2-s2.0-0029389977</t>
  </si>
  <si>
    <t>['optical systems', 'optical spectrometer', 'mirror combination', 'launched beam', 'good agreement', 'beam launched']</t>
  </si>
  <si>
    <t>antennas | astigmatism | quasi-optics</t>
  </si>
  <si>
    <t>A series of scale model measurements of transverse electromagnetic mode tapered slot antennas are presented. They show that the beam launched by this type of antenna is astigmatic. It is shown how an off-axis spherical mirror can be used to correct this astigmatism to allow efficient coupling to quasi-optical systems. A millimetre wave antenna and mirror combination is described and, with the aid of solid state noise diodes, the coupling of the launched beam to a quasi-optical spectrometer is shown to be in good agreement with that predicted by the scale model measurements. ¬© 1995 Plenum Publishing Corporation.</t>
  </si>
  <si>
    <t>1733-1756</t>
  </si>
  <si>
    <t>Bowen, J. W.</t>
  </si>
  <si>
    <t>University of Reading</t>
  </si>
  <si>
    <t>Bowen J.</t>
  </si>
  <si>
    <t>Astigmatism in tapered slot antennas</t>
  </si>
  <si>
    <t>10.1007/BF02068685</t>
  </si>
  <si>
    <t>2-s2.0-0029390478</t>
  </si>
  <si>
    <t>['therefore shares', 'signature waveforms', 'receiver uses', 'receiver may', 'performance analyzed', 'paper addresses', 'multichannel extension', 'far effects', 'effectively reduce', 'discrimination afforded', 'decorrelating detector', 'bandwidth limitations', 'antenna array']</t>
  </si>
  <si>
    <t>antenna arrays | CDMA | multiuser detection | spread spectrum</t>
  </si>
  <si>
    <t>This paper addresses the problem of synchronous CDMA communications when, due to bandwidth limitations, signature waveforms have relatively large correlations. A receiver which uses the multiple received signals available from an antenna array is proposed and its performance analyzed. This receiver may be interpreted as a multichannel extension of the decorrelating detector and therefore shares its immunity to near-far effects. The receiver uses the discrimination afforded by the antenna array to effectively reduce the correlation between users' transmitted signals thereby avoiding the reduction in performance which occurs in the single channel decorrelator when signature correlations become significant. ¬© 1995 Plenum Publishing Corporation.</t>
  </si>
  <si>
    <t>239-246</t>
  </si>
  <si>
    <t>7404318923;7006795426</t>
  </si>
  <si>
    <t>Brown, Tyler;Kaveh, Mostafa</t>
  </si>
  <si>
    <t>Brown T.</t>
  </si>
  <si>
    <t>A decorrelating detector for use with antenna arrays</t>
  </si>
  <si>
    <t>10.1007/BF01538148</t>
  </si>
  <si>
    <t>2-s2.0-0029390673</t>
  </si>
  <si>
    <t>['strip grating', 'scattering characteristics', 'proposed approach', 'mutual couplings', 'metal strips', 'finite number', 'dominant te', 'dimensional model', 'diffraction properties', 'dielectric waveguide', 'antenna applications', 'analyzed within']</t>
  </si>
  <si>
    <t>The radiation and scattering characteristics of a metal-strip grating of finite extent printed on the surface of a dielectric waveguide are analyzed within a two-dimensional model. The diffraction properties are obtained from a solution to the problem of surface mode scattering by a finite number of metal strips, taking into account their mutual couplings. The analysis is based on the electromotive force technique which does not require a grating to be periodic. Obtained results concern the antenna applications of radiating gratings excited by the dominant TE or TM surface mode of the waveguide. The proposed approach can be applied not only to the design of radiators but also filters based on periodic strip gratings.</t>
  </si>
  <si>
    <t>1447-1452</t>
  </si>
  <si>
    <t>Diffraction characteristics of a finite metal-strip grating integrated with a planar dielectric waveguide</t>
  </si>
  <si>
    <t>2-s2.0-0029390951</t>
  </si>
  <si>
    <t>['weather conditions', 'wake turbulence', 'tap seeks', 'tap ).', 'reasonable cost', 'new battery', 'increased tremendously', 'improving understanding', 'existing capacity', 'air traffic', 'aerospace engineers', 'achieve clear']</t>
  </si>
  <si>
    <t>For the last twenty years, air traffic have increased tremendously. To cope up with this increase, researchers at NASA Langley Research Center are currently conducting wake turbulence studies for NASA's Terminal Area Productivity Program (TAP). TAP seeks to achieve clear-weather airport capacities in instrument-weather conditions. By improving understanding of wake turbulence, existing capacity-limited airports could safely handle more traffic at a reasonable cost. If NASA's research becomes successful, aerospace engineers and air traffic controllers will have a new battery of sensors and data with which to battle wake turbulence.</t>
  </si>
  <si>
    <t>74-76</t>
  </si>
  <si>
    <t>Hogan B.J.</t>
  </si>
  <si>
    <t>Wakeup call on wakes</t>
  </si>
  <si>
    <t>2-s2.0-0029390966</t>
  </si>
  <si>
    <t>['traditional four', 'recent advances', 'efficient places', 'conduct business', 'carpeted office', 'article describes']</t>
  </si>
  <si>
    <t>Recent advances in wireless communications ensure that important phone calls will never be missed. Such advances have spawned the era of the 'virtual' office, making the car and the home as efficient places to conduct business as the traditional four-walled-and carpeted office. This article describes some of the recent technologies making this happen.</t>
  </si>
  <si>
    <t>Robinson, Gail M.</t>
  </si>
  <si>
    <t>Robinson G.M.</t>
  </si>
  <si>
    <t>Wireless communications: the next generation</t>
  </si>
  <si>
    <t>2-s2.0-0029390967</t>
  </si>
  <si>
    <t>['turning responses', 'tail flicks', 'sensory input', 'procambarus clarkii', 'passing nearby', 'orientation behaviour', 'opposite sides', 'mostly produced', 'lateral stimuli', 'larger ones', 'ipsilateral antennae', 'highly correlated', 'directed toward', 'directed forwards', 'different elements', 'contralateral appendages', 'cheliped movements', 'body turns', 'antennal sweeps', '6 ).', '5 ).', '4 ).', '3 ).']</t>
  </si>
  <si>
    <t>Crayfish | Fish | Hydrodynamic stimulus | Orientation | Prey capture</t>
  </si>
  <si>
    <t>Reversibly blindfolded crayfish (Procambarus clarkii) react to small swimming fish (Astyanax fasciatus mexicanus) approaching or passing nearby with antennal and cheliped movements and body turns (Fig. 3). We studied the accuracy and dynamics of crayfish orientation responses to the previously analyzed hydrodynamic disturbances caused by the fish, mostly produced by tail flicks. Antennal and cheliped movements started slightly before the onset of turning responses (Fig. 4). Antennal sweeps were performed most rapidly. 50% of the appendage sweeps resulted in contacts with the fish (Fig. 5). Most turns were directed toward the stimulus (Fig. 6). Response amplitudes increased with increasing stimulus angle. Turns were accurate for small stimulus angles, but smaller than expected for larger ones. Sweeps of ipsilateral antennae and chelipeds were generally directed backwards, while those of contralateral appendages were smaller and directed forwards. The amplitudes of appendage sweeps first increased with increasing stimulus angle and then decreased again for more caudal stimulus directions. Lateral stimuli (60¬∞-120¬∞) from opposite sides were usually significantly distinguished. The amplitudes of the different elements of orientation behaviour were highly correlated with each other, indicating that they were directed by the same sensory input. ¬© 1995 Springer-Verlag.</t>
  </si>
  <si>
    <t>481-491</t>
  </si>
  <si>
    <t>60025525;60025525;60025525</t>
  </si>
  <si>
    <t>56342631800;16146256400;7004559400</t>
  </si>
  <si>
    <t>Breithaupt, T.;Schmitz, B.;Tautz, J.</t>
  </si>
  <si>
    <t>Konstanz</t>
  </si>
  <si>
    <t>Universit√§t Konstanz</t>
  </si>
  <si>
    <t>Breithaupt T.</t>
  </si>
  <si>
    <t>Hydrodynamic orientation of crayfish (Procambarus clarkii) to swimming fish prey</t>
  </si>
  <si>
    <t>10.1007/BF00187483</t>
  </si>
  <si>
    <t>2-s2.0-0029392860</t>
  </si>
  <si>
    <t>['techniques derived', 'reflector surfaces', 'ir traditions', 'also discussed']</t>
  </si>
  <si>
    <t>antennas | far-IR | submillimetre</t>
  </si>
  <si>
    <t>Some of the considerations in the design of the telescope for FIRST are discussed. It is pointed out that instruments that operate at submillimetre wavelengths need to be analyzed with techniques derived from both the Radio and Optical/IR traditions. The issue of emissivity of reflector surfaces is also discussed. ¬© 1995 Kluwer Academic Publishers.</t>
  </si>
  <si>
    <t>119-123</t>
  </si>
  <si>
    <t>Hills, Richard</t>
  </si>
  <si>
    <t>Mullard Radio Astronomy Observatory</t>
  </si>
  <si>
    <t>Hills R.</t>
  </si>
  <si>
    <t>Optics of the far infra-red and submillimetre space telescope</t>
  </si>
  <si>
    <t>10.1007/BF00751260</t>
  </si>
  <si>
    <t>2-s2.0-33748836185</t>
  </si>
  <si>
    <t>['scientific research', 'present french', 'armenian collaboration']</t>
  </si>
  <si>
    <t>Perspectives for the Radio-Optical Telescope 54/32/2.6 are given for scientific research in radioastronomy. Its characteristics and potential scientific fields are summarized in the frame of the present French-Armenian collaboration. A 3-phase upgrade plan including a detailed technical evaluation of the antenna is presented. ¬© 1996 Plenum Publishing Corporation.</t>
  </si>
  <si>
    <t>361-363</t>
  </si>
  <si>
    <t>Astrophysics</t>
  </si>
  <si>
    <t>60003674;60003674</t>
  </si>
  <si>
    <t>55727560200;6602406658</t>
  </si>
  <si>
    <t>Martin, J. M.;Rosolen, C.</t>
  </si>
  <si>
    <t>L'Observatoire de Paris</t>
  </si>
  <si>
    <t>Martin J.M.</t>
  </si>
  <si>
    <t>Perspectives of the ROT 54/32/2.6 in astronomy</t>
  </si>
  <si>
    <t>10.1007/BF02044713</t>
  </si>
  <si>
    <t>2-s2.0-34249754710</t>
  </si>
  <si>
    <t>['theoretically provide', 'particularly useful', 'novel technique', 'locking range']</t>
  </si>
  <si>
    <t>Antenna array | Locking | Oscillators | Phase control</t>
  </si>
  <si>
    <t>A novel technique to obtain injection locked oscillators phase tuning beyond 180¬∞ is demonstrated. The idea is to cascade injection locked oscillators together for phase change accumualtion. A two stage injection locked oscillators can theoretically provide a maximum of 360¬∞ phase change within the locking range. This is particularly useful for phased array antenna applications. ¬© 1995 Science Press.</t>
  </si>
  <si>
    <t>374-377</t>
  </si>
  <si>
    <t>60002798;60002798;60005465</t>
  </si>
  <si>
    <t>24785247800;16316312700;24785247400</t>
  </si>
  <si>
    <t>Wong, Kwok Wai;Lai, Albert K.Y.;Xuegang, Zeng</t>
  </si>
  <si>
    <t>Chengdu;Hong Kong</t>
  </si>
  <si>
    <t>University of Electronic Science and Technology of China;Chinese University of Hong Kong</t>
  </si>
  <si>
    <t>60005465;60002798</t>
  </si>
  <si>
    <t>A novel phase control technique for injection locked oscillators</t>
  </si>
  <si>
    <t>10.1007/BF02729280</t>
  </si>
  <si>
    <t>2-s2.0-51649145493</t>
  </si>
  <si>
    <t>['work opens', 'western blotting', 'three lh2', 'structurally resolved', 'structural work', 'structural studies', 'sphaeroides mutants', 'spanning proteins', 'rubrivivax gelatinosus', 'rhodobacter sphaeroides', 'purple bacteria', 'present work', 'particularly significant', 'minus rb', 'major problems', 'lh2 complex', 'harvesting complex', 'harvesting 2', 'genetic system', 'genes encoding', 'g1 );', 'fluorescence spectroscopy', 'expression system', 'creating site', 'atomic resolution']</t>
  </si>
  <si>
    <t>One of the major problems in structural work on membrane-spanning proteins is the identification of an expression system which will allow the production of enough pure protein for structural studies; an inadequate expression system can lead, for example, to the formation of unwanted protein inclusion bodies. In the present work we report the expression of genes encoding the light-harvesting 2 (LH2) membrane-spanning proteins from a number of species of purple bacteria in mutants of Rhodobacter sphaeroides that lack the native LH2 antenna. The LH2 structural genes (pucBA) from the photosynthetic bacteria Rhodopseudomonas acidophila and Rubrivivax gelatinosus were amplified and tailed by polymerase chain reaction, and cloned into an LH2 expression vector, which was then introduced into three LH2-minus Rb. sphaeroides mutants; DBCŒ©/G5 and DD13 (DD13/G1); the resulting transconjugant strains synthesized LH2 complexes that were examined using absorption and fluorescence spectroscopy, and Western blotting. Thus, we have created a heterologous expression system which supports the assembly of a functional 'foreign' light-harvesting complex. This work opens up the possibility of creating site-directed LH2 mutants from bacteria for which no genetic system is available; this is particularly significant in the case of Rps. acidophila, since this bacterium has been the source of the LH2 complex that has recently been structurally resolved to atomic resolution.</t>
  </si>
  <si>
    <t>23875-23882</t>
  </si>
  <si>
    <t>60001881;60001490;60001490;60001490;60001490;60001881;60001490;60001881</t>
  </si>
  <si>
    <t>7103071035;7006682688;36867055500;16168537500;7101619957;6603200778;7006465617;13105070700</t>
  </si>
  <si>
    <t>Fowler, Gregory J.S.;Gardiner, Alastair T.;Christopher Mackenzie, R.;Barratt, Stuart J.;Simmons, Adrian E.;Westerhuis, Willem H.J.;Cogdell, Richard J.;Hunter, C. Neil</t>
  </si>
  <si>
    <t>Sheffield;Glasgow</t>
  </si>
  <si>
    <t>The University of Sheffield;University of Glasgow</t>
  </si>
  <si>
    <t>60001881;60001490</t>
  </si>
  <si>
    <t>Fowler G.J.S.</t>
  </si>
  <si>
    <t>Heterologous expression of genes encoding bacterial light-harvesting complexes in Rhodobacter sphaeroides</t>
  </si>
  <si>
    <t>10.1074/jbc.270.40.23875</t>
  </si>
  <si>
    <t>2-s2.0-0028804834</t>
  </si>
  <si>
    <t>['¬© 1995', 'vmax decreased', 'upon phosphorylation', 'total absorbance', 'therefore break', 'subthylakoid vesicles', 'stroma lamellae', 'spinach chloroplasts', 'small increase', 'significant changes', 'quantitative separation', 'properties following', 'photochemical activities', 'phosphorylated thylakoids', 'phase partitioning', 'partial unstacking', 'partial destacking', 'occurs due', 'nadph production', 'may promote', 'maximum activity', 'lower chlorophyll', 'lhc ii', 'lesser extent', 'larger antennae', 'km value', 'grana periphery', 'grana margins', 'grana lamellae', 'grana core', 'functionally connected', 'fret regions', 'current distribution', 'control thylakoids', 'b ratio', 'average ps', 'aqueous two', 'aqueous stroma', 'antenna size', 'also examined', 'also enter', '680 nm', '22 kda']</t>
  </si>
  <si>
    <t>Aqueous two-phase partitioning | Grana margin | LHC II protein kinase | Membrane domain | Protein phosphorylation | Thylakoid membrane organization</t>
  </si>
  <si>
    <t>(1) Thylakoids from spinach chloroplasts were phosphorylated, fragmented by sonication, and then fractionated by aqueous two-phase partitioning to yield membrane fragments, deriving from different structural domains of the membrane: grana, grana margins, grana core and stroma lamellae. The photochemical activities of PS IŒ± and PS IIŒ±, located in the grana, and PS IŒ≤ and PS IIŒ≤, located in the stroma lamellae, were compared for phosphorylated and control thylakoids. The antenna size (reflected by the Km value) and maximum activity (Vmax) of PS IIŒ± declined by 19 and 23%, respectively, while for PS IIŒ≤ the antenna size and Vmax decreased by 4 and 12%, respectively. No significant changes in antenna size were detected for either grana PS IŒ± or stroma lamellae PS IŒ≤. Counter-current distribution was used for the quantitative separation of grana and stroma lamellae vesicles. Upon phosphorylation, the stroma lamellae fraction increased from 30% to 35% of the total, based on total absorbance at 680 nm. This increase can be explained by partial unstacking of the grana periphery and appressed membranes near the fret regions. Portions of the previously stacked membranes can therefore break and separate with the stroma exposed membrane. In addition, since the grana margins contain PS IŒ± (with 40% larger antennae than PS IŒ≤), which is functionally connected to LHC II, it is to be expected that some of these PS IŒ± units will also enter the stroma lamellae fraction and thus help contribute to a lower chlorophyll a/b ratio and a small increase in the average PS I antenna size of the stroma lamellae fraction from phosphorylated thylakoids. It is concluded that the incidence of partial destacking of the grana, which occurs due to the phosphorylation of LHC II and PS II polypeptides, may promote the exposure of the granal PS IŒ± centers to the aqueous stroma and increase cyclic electron flow around Photosystem I and thereby ATP production over NADPH production. (2) Subthylakoid vesicles, representing the different structural domains, were also examined for their properties following an incubation in presence of light and ATP. Phosphorylation of membrane proteins including LHC II and PS II associated polypeptides was observed in membrane fractions deriving from the grana lamellae and, to a lesser extent, the grana core. Three unidentified polypeptides of 15, 20 and 22 kDa were the most abundantly labeled polypeptides in the stroma lamellae fraction. No membrane proteins became phospho-labeled in the grana margin fraction. ¬© 1995.</t>
  </si>
  <si>
    <t>323-334</t>
  </si>
  <si>
    <t>6604083232;6602414485;7405732032;7005280402</t>
  </si>
  <si>
    <t>Stef√°nsson, Hreinn;Wollenberger, Louie;Yu, Shi Gui;Albertsson, Per √Öke</t>
  </si>
  <si>
    <t>Stef√°nsson H.</t>
  </si>
  <si>
    <t>Phosphorylation of thylakoids and isolated subthylakoid vesicles derived from different structural domains of the thylakoid membrane from spinach chloroplast</t>
  </si>
  <si>
    <t>000527289500103P</t>
  </si>
  <si>
    <t>10.1016/0005-2728(95)00103-P</t>
  </si>
  <si>
    <t>2-s2.0-0029131371</t>
  </si>
  <si>
    <t>['¬© 1995', 'various sizes', 'triplet transfer', 'triplet states', 'triplet state', 'slight shifts', 'several pigment', 'rubrivivax gelatinosus', 'rhodobacter sphaeroides', 'protein interactions', 'protein complexes', 'native system', 'free bchl', 'dimer containing', 'different strengths', 'core light', 'carotenoid proceeds', 'band positions', 'b840 ).', 'b820 ),', '888 nm', '840 nm', '820 nm', '2 k']</t>
  </si>
  <si>
    <t>(R. gelatinosus) | ADMR | Antenna | Light-harvesting | Photosynthesis | Purple bacterium | Reaction center</t>
  </si>
  <si>
    <t>Absorbance-detected magnetic resonance (ADMR) spectroscopy was used for characterization of the triplet states in several pigment-protein complexes from Rubrivivax gelatinosus, namely the isolated reaction center, the core light-harvesting complex B875, and the B875 subunit form that absorbs in the infrared at 820 nm (B820), and, in the presence of glycerol, at about 840 nm (B840). The zero-field splitting parameters of the triplet states were determined and T - S spectra were recorded at 1.2 K. The absorbance and T - S spectra of the reaction center resemble closely those of Rhodobacter sphaeroides, except for slight shifts in the band positions. For the isolated B875 complex, only the triplet state of carotenoid was observed, indicating that triplet-triplet transfer from bacteriochlorophyll a to the carotenoid proceeds as in the native system. The near-infrared absorption spectrum of B840 at 1.2 K revealed several overlapping bands, which were deconvoluted in five Gaussian components corresponding to free BChl a (795 nm), B820 (826 nm), small population of B875 (888 nm) and two new spectral forms B846 and B868. The origin of these two latter spectral forms is proposed to reflect inaccurate reassociation of B820. Probably, oligomers of various sizes are formed, with different strengths of pigment-pigment and pigment-protein interactions. The T - S spectrum of B840 is consistent with that of a BChl a dimer containing a localized triplet state. ¬© 1995.</t>
  </si>
  <si>
    <t>313-322</t>
  </si>
  <si>
    <t>60072948;60072948;60072948;60003878;60003878</t>
  </si>
  <si>
    <t>6506700135;56616617400;6602818994;6602749184;7103325525</t>
  </si>
  <si>
    <t>Jirsakova, Vladimira;Reiss-Husson, Fran√ßoise;Agalidis, Ileana;Vrieze, Jacobine;Hoff, Arnold J.</t>
  </si>
  <si>
    <t>Gif-sur-Yvette;Leiden</t>
  </si>
  <si>
    <t>Centre de G√©n√©tique Mol√©culaire;Sterrewacht Leiden</t>
  </si>
  <si>
    <t>60072948;60003878</t>
  </si>
  <si>
    <t>Jirsakova V.</t>
  </si>
  <si>
    <t>Triplet states in reaction center, light-harvesting complex B875 and its spectral form B840 from Rubrivivax gelatinosus investigated by absorbance-detected electron spin resonance in zero magnetic field (ADMR)</t>
  </si>
  <si>
    <t>10.1016/0005-2728(95)00099-5</t>
  </si>
  <si>
    <t>2-s2.0-0029143887</t>
  </si>
  <si>
    <t>['¬© 1995', 'rights reserved', 'potential applications', 'narrowband operation', 'microelectronic 20', 'different versions']</t>
  </si>
  <si>
    <t>Analogue circuits | CMOS integrated circuits | Delay circuits | Delay lines</t>
  </si>
  <si>
    <t>A microelectronic 20-stage tapped delay line consisting of cascaded lowpass filter amplifier stages has been demonstrated. The delay per tap is ~2.7ns, and different versions have been optimised for pulsed and narrowband operation in the 30 - 70 MHz frequency range. Potential applications are in radar and adaptive antenna systems. ¬© 1995, IEE. All rights reserved.</t>
  </si>
  <si>
    <t>1793-1794</t>
  </si>
  <si>
    <t>60020588;60027271</t>
  </si>
  <si>
    <t>57194910336;35557021100</t>
  </si>
  <si>
    <t>Justh, D. W.;Kub, F. J.</t>
  </si>
  <si>
    <t>Washington, D.C.;Crofton</t>
  </si>
  <si>
    <t>Naval Research Laboratory;SFA, Inc</t>
  </si>
  <si>
    <t>60027271;60020588</t>
  </si>
  <si>
    <t>Justh D.</t>
  </si>
  <si>
    <t>Analogue CMOS continuous-time tapped delay-line circuit</t>
  </si>
  <si>
    <t>10.1049/el:19951285</t>
  </si>
  <si>
    <t>2-s2.0-0029390607</t>
  </si>
  <si>
    <t>['¬© 1995', 'possible link', 'grating couplers', 'fresnel zone', 'field patterns', 'field pattern', 'confusion concerning']</t>
  </si>
  <si>
    <t>Prism or grating couplers are known to exhibit m-lines in the far-field and zeros in the near-field. Despite the fact that a lot of papers have been devoted to these couplers, there is some confusion concerning the possible link between the m-line and zero: is the former a consequence of the latter? One of the objects of this paper is to clarify this point. It is the opportunity to consider, in addition to the near-field and far-field patterns, the question of the intermediate region constituted by the Fresnel zone and to give a criterium of the far-field pattern. ¬© 1995.</t>
  </si>
  <si>
    <t>121-128</t>
  </si>
  <si>
    <t>Optics Communications</t>
  </si>
  <si>
    <t>60008134;60008134;60008134;60019513;60008134</t>
  </si>
  <si>
    <t>7004066737;56207763900;6506227078;7003805528;55887903500</t>
  </si>
  <si>
    <t>Reinisch, R.;Fick, J.;Coupier, P.;Coutaz, J. L.;Vitrant, G.</t>
  </si>
  <si>
    <t>Chambery;Paris</t>
  </si>
  <si>
    <t>Universit√© Savoie Mont Blanc;CNRS Centre National de la Recherche Scientifique</t>
  </si>
  <si>
    <t>60019513;60008134</t>
  </si>
  <si>
    <t>Reinisch R.</t>
  </si>
  <si>
    <t>Grating and prism couplers: radiation pattern and m-line</t>
  </si>
  <si>
    <t>10.1016/0030-4018(95)00419-9</t>
  </si>
  <si>
    <t>2-s2.0-0029388583</t>
  </si>
  <si>
    <t>['¬© 1995', 'triplet lifetimes', 'rhodamine dyes', 'oxygen influence', 'may affect', 'lasing efficiency', 'energy transfer', 'emission wavelength', 'dye systems', 'antenna dyes']</t>
  </si>
  <si>
    <t>Antenna rhodamines | Rhodamine dyes | Triplet state</t>
  </si>
  <si>
    <t>The triplet lifetimes of 2,5-diphenyloxazole-rhodamine dyes and trichromophoric antenna rhodamines have been measured by nanosecond laser flash photolysis and phosphorescence decay measurements. The intramolecular energy transfer and intramolecular charge transfer in these dye systems have been discussed. These may affect the lasing efficiency as well as the emission wavelength of the antenna dyes. The oxygen influence on the energy transfer has also been discussed. ¬© 1995.</t>
  </si>
  <si>
    <t>125-130</t>
  </si>
  <si>
    <t xml:space="preserve">He Tian, </t>
  </si>
  <si>
    <t>Shanghai</t>
  </si>
  <si>
    <t>Institute of Fine Chemicals</t>
  </si>
  <si>
    <t xml:space="preserve">He Tian </t>
  </si>
  <si>
    <t>The influence on the triplet state in antenna rhodamine dyes of intramolecular energy transfer and charge transfer</t>
  </si>
  <si>
    <t>10.1016/1010-6030(95)04014-7</t>
  </si>
  <si>
    <t>2-s2.0-0001425418</t>
  </si>
  <si>
    <t>['¬© 1995', 'validated experimentally', 'rights reserved', 'element method', 'bipolarised arrays']</t>
  </si>
  <si>
    <t>Antenna arrays | Antennas</t>
  </si>
  <si>
    <t>An element by element method of mutual impedance correction is used to take into account the parasitic element effects. It assumes that the elements are characterised by a single radiation mode. The method is then extended to bipolarised arrays and validated experimentally. ¬© 1995, IEE. All rights reserved.</t>
  </si>
  <si>
    <t>1888-1889</t>
  </si>
  <si>
    <t>6507202387;6603795399;7006272544</t>
  </si>
  <si>
    <t>Chikh, C. H.;Mahdjoubi, K.;Terret, C.</t>
  </si>
  <si>
    <t>Chikh C.</t>
  </si>
  <si>
    <t>Finite bipolarised arrays: Effect of parasitic elements in mutual coupling</t>
  </si>
  <si>
    <t>10.1049/el:19951296</t>
  </si>
  <si>
    <t>2-s2.0-0029386642</t>
  </si>
  <si>
    <t>['¬© 1995', 'significant increase', 'shifted fibre', 'rights reserved', 'integrated 1', 'electroabsorption modulator', 'electrical predistortion', 'channel ctb', '13 km']</t>
  </si>
  <si>
    <t>Community antenna television | Distributed feedback lasers | Electro-absorption modulators | Fibre amplifiers</t>
  </si>
  <si>
    <t>Electrical predistortion is used to linearise an integrated 1.55Œºm DFB laser/electroabsorption modulator, yielding a 77-channel CTB of -54.1dBc and CSO of -61.3dBc. No significant increase in distortion is measured after Er-doped fibre amplification and propagation through 13 km of non-dispersion-shifted fibre. ¬© 1995, IEE. All rights reserved.</t>
  </si>
  <si>
    <t>1934-1935</t>
  </si>
  <si>
    <t>60014300;60014300;60014300;60014300;60021378;60021378;60021378;60021378</t>
  </si>
  <si>
    <t>7404530140;7402253474;7005051750;7007044978;55811897700;55494663100;35416239700;7103133230</t>
  </si>
  <si>
    <t>Wilson, G. C.;Wood, T. H.;Zyskind, J. L.;Sulhoff, J. W.;Krasulick, S. B.;Johnson, J. E.;Tanbun-Ek, T.;Morton, P. A.</t>
  </si>
  <si>
    <t>Murray;San Antonio</t>
  </si>
  <si>
    <t>Nokia Bell Labs;AT&amp;T Inc.</t>
  </si>
  <si>
    <t>60021378;60014300</t>
  </si>
  <si>
    <t>Wilson G.</t>
  </si>
  <si>
    <t>Analogue transmission at 1.55 ¬µm using linearised electro absorption modulator/DFB laser and fibre amplifier</t>
  </si>
  <si>
    <t>10.1049/el:19951341</t>
  </si>
  <si>
    <t>2-s2.0-0029388246</t>
  </si>
  <si>
    <t>['¬© 1995', 'target submerged', 'space may', 'simple relationship', 'rights reserved', 'interference radar', 'horizontal location', 'great advantage', 'field pattern', 'experimental results', 'dissipative half', 'detected easily', 'continuous wave']</t>
  </si>
  <si>
    <t>Radar applications | Remote sensing by radar</t>
  </si>
  <si>
    <t>A new subsurface CW (continuous wave) interference radar having the great advantage of detecting a fine shallow target is presented. The horizontal location of the target submerged in a dissipative half-space may be detected easily by using the symmetry of the measured electric field pattern. A simple relationship between the field pattern and the depth of the target is derived and confirmed with experimental results. ¬© 1995, IEE. All rights reserved.</t>
  </si>
  <si>
    <t>1944-1945</t>
  </si>
  <si>
    <t>60032144;60032144;60032144</t>
  </si>
  <si>
    <t>7005724794;14320221900;7006884400</t>
  </si>
  <si>
    <t>Lyu, J. W.;Park, D. K.;Ra, J. W.</t>
  </si>
  <si>
    <t>Lyu J.</t>
  </si>
  <si>
    <t>Subsurface CW interference radar</t>
  </si>
  <si>
    <t>10.1049/el:19951302</t>
  </si>
  <si>
    <t>2-s2.0-0029388247</t>
  </si>
  <si>
    <t>['¬© 1995', 'surface currents', 'small disk', 'rights reserved', 'results presented', 'reflector antennas', 'radiation patterns', 'physical theory', 'offset reflector', 'exact solution', 'discrepancies explained', 'authors apply']</t>
  </si>
  <si>
    <t>Method of moments | Reflector antennas</t>
  </si>
  <si>
    <t>The authors apply the method of moments to analyse the surface currents and radiation patterns of offset-reflector antennas. For a small disk, the convergence of the techniques is compared with an exact solution. The results presented for an offset reflector are compared with the physical theory of diffraction, and the discrepancies explained. ¬© 1995, IEE. All rights reserved.</t>
  </si>
  <si>
    <t>1889-1890</t>
  </si>
  <si>
    <t>60023932-60030000;60023932;60023932;60030000</t>
  </si>
  <si>
    <t>57192265344;7101875340;7202832083;55664000800</t>
  </si>
  <si>
    <t>Bateman, D. G.;Hay, S. G.;Bird, T. S.;Mohan, A. S.</t>
  </si>
  <si>
    <t>Sydney;Sydney</t>
  </si>
  <si>
    <t>CSIRO Industrial Physics;University of Technology Sydney</t>
  </si>
  <si>
    <t>60030000;60023932</t>
  </si>
  <si>
    <t>Bateman D.G.</t>
  </si>
  <si>
    <t>Method of moments analysis of offset-reflector antennas</t>
  </si>
  <si>
    <t>10.1049/el:19951325</t>
  </si>
  <si>
    <t>2-s2.0-0029390704</t>
  </si>
  <si>
    <t>['whole processor', 'turpion ltd', 'transformation determined', 'time delay', 'storage mode', 'signal processors', 'radio image', 'prototype processor', 'optoelectronic radio', 'optical stages', 'light source', 'input signal', 'given also', 'emitting diodes', 'coupled device', 'corresponding kernel', 'analogue convolution', 'adaptive acousto']</t>
  </si>
  <si>
    <t>Two new types of optoelectronic radio-signal processors were investigated. Charge-coupled device (CCD) photodetectors are used in these processors under continuous scanning conditions, i.e. in a time delay and storage mode. One of these processors is based on a CCD photodetector array with a reference-signal amplitude transparency and the other is an adaptive acousto-optical signal processor with linear frequency modulation. The processor with the transparency performs multichannel discrete - analogue convolution of an input signal with a corresponding kernel of the transformation determined by the transparency. If a light source is an array of light-emitting diodes of special (stripe) geometry, the optical stages of the processor can be made from optical fibre components and the whole processor then becomes a rigid ‚Äòsandwich‚Äô (a compact hybrid optoelectronic microcircuit). A report is given also of a study of a prototype processor with optical fibre components for the reception of signals from a system with antenna aperture synthesis, which forms a radio image of the Earth. ¬© 1995 Kvantovaya Elektronika and Turpion Ltd.</t>
  </si>
  <si>
    <t>956-961</t>
  </si>
  <si>
    <t>Quantum Electronics</t>
  </si>
  <si>
    <t>60017103;60017103;60017103;60017103;60017103;60017103;60017103</t>
  </si>
  <si>
    <t>7004235741;35579239800;57083097100;55970716900;7403092004;6506815254;6603400107</t>
  </si>
  <si>
    <t>Esepkina, N. A.;Lavrov, A. P.;Anan‚Äôev, M. N.;Blagodarnyƒ≠, V. S.;Ivanov, S. I.;Mansyrev, M. I.;Molodyakov, S. A.</t>
  </si>
  <si>
    <t>Saint Petersburg</t>
  </si>
  <si>
    <t>Peter the Great St. Petersburg Polytechnic University</t>
  </si>
  <si>
    <t>Esepkina N.A.</t>
  </si>
  <si>
    <t>Optoelectronic processors with scanning CCD photodetectors</t>
  </si>
  <si>
    <t>10.1070/QE1995v025n10ABEH000510</t>
  </si>
  <si>
    <t>2-s2.0-21844494457</t>
  </si>
  <si>
    <t>['turpion ltd', 'transfer functions', 'spectral analysis', 'signal processing', 'optical spectrum', 'intrinsic noise', 'interference formation', 'highest luminosity', 'fresnel transformations', 'experimental investigation', 'electric signals', 'dimensional fourier', 'anisotropic medium']</t>
  </si>
  <si>
    <t>Partially coherent optical systems for signal processing are considered. The transfer functions are formed in these systems by interference of polarised light transmitted by an anisotropic medium. It is shown that such systems can perform various integral transformations of both optical and electric signals, in particular, two-dimensional Fourier and Fresnel transformations, as well as spectral analysis of weak light sources. It is demonstrated that such systems have the highest luminosity and vibration immunity among the systems with interference formation of transfer functions. An experimental investigation is reported of the application of these systems in the processing of signals from a linear hydroacoustic antenna array, and in measurements of the optical spectrum and of the intrinsic noise. ¬© 1995 Kvantovaya Elektronika and Turpion Ltd.</t>
  </si>
  <si>
    <t>1002-1008</t>
  </si>
  <si>
    <t>Kiyashko, B. V.</t>
  </si>
  <si>
    <t>Kiyashko B.</t>
  </si>
  <si>
    <t>Optical signal-processing systems based on anisotropic media</t>
  </si>
  <si>
    <t>10.1070/QE1995v025n10ABEH000519</t>
  </si>
  <si>
    <t>2-s2.0-84956106964</t>
  </si>
  <si>
    <t>['thiocapsa pfennigii', 'tetrahydro geranyl', 'species bacteriopheophytin', 'small amounts', 'rhodospirillum sodomense', 'rhodopseudomonas viridis', 'respectively ).', 'reaction centre', 'purple bacteria', 'probably œî2', 'presumably also', 'pigment analysis', 'phytadienol ).', 'number supports', 'least 99', 'core antenna', 'containing species', 'constant number', 'bchl bp', 'bchl ap', 'bchl agg', '140 mm', '130 mm', '1 cm']</t>
  </si>
  <si>
    <t>antenna size | bacteriochlorophyll composition | in vivo extinction coefficients | photosynthetic unit | purple bacteria</t>
  </si>
  <si>
    <t>Pigment analysis was performed by means of normal phase HPLC on a number of bacteriochlorophyll a and b containing species of purple bacteria that contain a core antenna only. At least 99% of the bacteriochlorophyll in Rhodobacter sphaeroides R26, Rhodopseudomonas viridis and Thiocapsa pfennigii was esterified with phytol (BChl ap and BChl bp, respectively). Rhodospirillum rubrum contained only BChl a esterified with geranyl-geraniol (BChl aGG). Rhodospirillum sodomense and Rhodopseudomonas marina contained, in addition to BChl ap, small amounts of BChl aGG, and presumably also of BChl a esterified with dihydro and tetrahydro geranyl-geraniol (Œî2,10,14-phytatrienol and probably Œî2,14-phytadienol). In all species bacteriopheophytin (BPhe) esterified with phytol was present. The BChl/BPhe ratio indicated that in these species a constant number of 25 ¬± 3 antenna BChls is present per reaction centre. This number supports a model in which the core antenna consists of 12 Œ±-Œ≤ heterodimers surrounding the reaction centre. Determination of the in vivo extinction coefficient of BChl in the core-reaction centre complex yielded a value of ca. 140 mM-1 cm-1 for BChl a containing species and of 130 mM-1 cm-1 for Rhodopseudomonas viridis. ¬© 1995 Kluwer Academic Publishers.</t>
  </si>
  <si>
    <t>347-352</t>
  </si>
  <si>
    <t>60003878;60003878</t>
  </si>
  <si>
    <t>8682496000;7004456032</t>
  </si>
  <si>
    <t>Francke, Christof;Amesz, Jan</t>
  </si>
  <si>
    <t>Francke C.</t>
  </si>
  <si>
    <t>The size of the photosynthetic unit in purple bacteria</t>
  </si>
  <si>
    <t>10.1007/BF00020450</t>
  </si>
  <si>
    <t>2-s2.0-0000027407</t>
  </si>
  <si>
    <t>['undifferentiated cilia', 'three models', 'species belonging', 'single order', 'sensorial area', 'rotatory apparatus', 'rostrum one', 'ramate mastax', 'philodinidae ),', 'paired trochi', 'paired gonads', 'life style', 'grouping philodinidae', 'four families', 'fine morphology', 'elongated body', 'current families', 'collecting food', 'class rank', 'ciliated field', 'ciliated area', 'body plan', 'bdelloids use', 'bdelloid rotifers', 'apical rostrum', 'abrochtha ).']</t>
  </si>
  <si>
    <t>Bdelloidea | rostrum | rotatory apparatus | Rotifera | SEM | systematics</t>
  </si>
  <si>
    <t>All Bdelloid Rotifers have the same body plan: elongated body, ciliated apical region (rotatory apparatus or corona), telescopically retractable foot and head with pseudosegments, paired gonads, single dorsal antenna, apical rostrum, ramate mastax. Bdelloids use the rotatory apparatus for both locomotion and collecting food and therefore the shape of the corona and arrangement of the cilia, both related to the animal's life style, probably are important for the fitness of the rotifers. We have analyzed the fine morphology of the corona and the rostrum from species belonging to the four families, Habrotrochidae, Philodinidae, Adinetidae and Philodinavidae, each with its own form of feeding and locomotion. In the rostrum one can distinguish a sensorial area and a ciliated area. The former is common to all bdelloids, while the latter is lacking in the Adinetidae. Three models of corona can be recognized: 1) a simple ciliated field of undifferentiated cilia (Adinetidae), 2) a well developed ciliated field with specialized cilia forming the paired trochi on the disks and the cingulum (Habrotrochidae and Philodinidae), and 3) a ciliated field with a single trochus encompassing rudimentary pedicels and cingulum (Abrochtha). We propose (1) to no longer use Digononta as a taxon, (2) to assign the class rank to Bdelloidea, (3) to distinguish three orders, grouping Philodinidae and Habrotrochidae under a single order and (4) to retain the current families. ¬© 1995 Kluwer Academic Publishers.</t>
  </si>
  <si>
    <t>Rotatory apparatus in Bdelloids</t>
  </si>
  <si>
    <t>10.1007/BF00025935</t>
  </si>
  <si>
    <t>2-s2.0-0002294349</t>
  </si>
  <si>
    <t>['two neurons', 'three neurons', 'three chambers', 'thermoreceptor cell', 'sensory projections', 'sensory neurons', 'sensory neuron', 'sensilla lining', 'sc ).', 'sb ).', 'sacculus sensilla', 'sacculus consists', 'resembling hygroreceptors', 'projection areas', 'probably thermoreceptive', 'predominantly involved', 'neurons innervating', 'morphological criteria', 'longitudinal slit', 'inner walls', 'inflexible sockets', 'gs ).', 'glomerulus dl2', 'fibres project', 'ethanolic cobalt', 'drosophila melanogaster', 'doublewalled sensilla', 'dorsal compartments', 'dorsal compartment', 'common target', 'channel system', 'chamber iii', 'antennal lobes', 'afferent fibres']</t>
  </si>
  <si>
    <t>Atferent projections | Drosophila melanogaster (Insecta) | Fine structure | Hygroreceptors | Olfactory receptors | Sacculus sensilla | Thermoreceptors</t>
  </si>
  <si>
    <t>Sensilla lining the inner walls of the sacculus on the third antennal segment of Drosophila melanogaster were studied by light and transmission electron microscopy. The sacculus consists of three chambers: I, II and III. Inside each chamber morphologically distinct groups of sensilla having inflexible sockets were observed. Chamber I contains no-pore sensilla basiconica (np-SB). The lumen of all np-SB are innervated by two neurons, both resembling hygroreceptors. However, a few np-SB contain one additional neuron, presumed to be thermoreceptive. Chamber II houses no-pore sensilla coeloconica (np-SC). All np-SC are innervated by three neurons. The outer dendritic segments of two of these neurons fit tightly to the wall of the lumen and resemble hygroreceptor neurons. A third, more electron-dense sensory neuron, terminates at the base of the sensillum and resembles a thermoreceptor cell. Chamber III of the sacculus is divided into ventral and dorsal compartments, each housing morphologically distinct grooved sensilla (GS). The ventral compartment contains thick GS1, and the dorsal compartment has slender sensilla GS2. Ultrastructurally, both GS1 and GS2 are doublewalled sensilla with a longitudinal slit-channel system and are innervated by two neurons. The dendritic outer segment of one ofthe two neurons innervates the lumen of the GS and branches. On morphological criteria, we infer this neuron to be olfactory. The other sensory neuron is probably thermoreceptive. Thus, the sacculus in Drosophila has sensilla that are predominantly involved in hygroreception, thermoreception, and olfaction. We have traced the sensory projections of the neurons innervating the sacculus sensilla of chamber III using cobaltous lysine or ethanolic cobalt (II) chloride. The fibres project to the antennal lobes, and at least four glomeruli (VM3, DA3 and DL2-3) are projection areas of sensory neurons from these sensilla. glomerulus DL2 is a common target for the afferent fibres of the surface sensilla coeloconica and GS, whereas the VM3, DA3 and DL3 glomeruli receive sensory fibres only from the GS. ¬© 1995 Springer-Verlag.</t>
  </si>
  <si>
    <t>237-249</t>
  </si>
  <si>
    <t>60031855;60031855;60031855</t>
  </si>
  <si>
    <t>7004021722;57216532865;35407928700</t>
  </si>
  <si>
    <t>Shanbhag, Shubha R.;Singh, Kusum;Singh, R. Naresh</t>
  </si>
  <si>
    <t>Shanbhag S.R.</t>
  </si>
  <si>
    <t>Fine structure and primary sensory projections of sensilla located in the sacculus of the antenna of Drosophila melanogaster</t>
  </si>
  <si>
    <t>10.1007/BF00319115</t>
  </si>
  <si>
    <t>2-s2.0-0028827553</t>
  </si>
  <si>
    <t>['upwind flight', 'two components', 'trichoplusia ni', 'field traps', 'electrophysiological responses', 'dodecenyl acetate', 'copulatory responses', 'common practices', 'cabbage looper']</t>
  </si>
  <si>
    <t>antenna | behavior | Cabbage looper | electrophysiology | single cell responses</t>
  </si>
  <si>
    <t>Extracellular recordings show that the response to the sex pheromone component, (Z)-7-dodecenyl acetate (Z7-12:Ac) by the HS(a) antennal olfactory specialist neuron of the cabbage looper, Trichoplusia ni (H√ºbner), is synergized by two synthetic sex pheromone analogs and two components of the female sex pheromone. Complementary behavioral measures of upwind flight and copulatory responses to mixtures of Z7-12:Ac with the analogs and sex pheromone components in a wind tunnel produced behavioral evidence consistent with the neuron's electrophysiological responses. The phenomenon of receptor neuron synergism impacts several areas and provides a note of caution for common practices of identifying secondary sex pheromone components only from field traps and/or wind tunnel tests. ¬© 1995 Plenum Publishing Corporation.</t>
  </si>
  <si>
    <t>1875-1891</t>
  </si>
  <si>
    <t>60103678;60103678</t>
  </si>
  <si>
    <t>7402465354;57192815336</t>
  </si>
  <si>
    <t>Mayer, M. S.;Doolittle, R. E.</t>
  </si>
  <si>
    <t>Gainesville</t>
  </si>
  <si>
    <t>USDA Agricultural Research Service, Gainesville</t>
  </si>
  <si>
    <t>Mayer M.S.</t>
  </si>
  <si>
    <t>Synergism of an insect sex pheromone specialist neuron: Implications for component identification and receptor interactions</t>
  </si>
  <si>
    <t>10.1007/BF02033683</t>
  </si>
  <si>
    <t>2-s2.0-0029197759</t>
  </si>
  <si>
    <t>['wiedemann ),', 'three compounds', 'significantly greater', 'significant difference', 'ripe mango', 'response test', 'mass spectrometric', 'male antennae', 'linalool enantiomers', 'hexanol control', 'geranyl acetate', 'female antennae', 'ethyl octanoate', 'eag dose', 'commercial sample', ')-(+)- linalool']</t>
  </si>
  <si>
    <t>attractants | Ceratitis capitata | Diptera | gas chromatography-electroantennography | Headspace analysis | Mangifera indica | mango volatiles | Mediterranean fruit fly | pheromone | Tephritidae</t>
  </si>
  <si>
    <t>We have identified five compounds from the headspace of calling male Mediterranean fruit flies (medfly), Ceratitis capitata (Wiedemann), and three compounds from the headspace of ripe mango (Mangifera indica L). using coupled gas chromatographic-electroantennographic (GC-EAG) recordings, coupled gas chromatographic-mass spectrometric (GC-MS) analysis, and electroantennographic (EAG) assays of standards. The male-produced volatiles eliciting responses from female antennae were ethyl-(E)-3-octenoate, geranyl acetate, (E,E)-Œ±-farnesene, linalool, and indole. An EAG dose-response test of linalool enantiomers and indole with female medfly antennae showed relatively strong EAG activities, but no significant difference between (R)-(-)-linalool and (S)-(+)-linalool. The three mango volatiles were identified as (1 S)-(-)-Œ≤-pinene, ethyl octanoate, and Œ≤-caryophyllene. In addition, a strong antennal response was recorded from a contaminant, Œ±-copaene, present in a commercial sample of Œ≤-caryophyllene. The EAG response amplitudes from both male and female antennae to the above three mango volatiles were significantly greater than to a hexanol control. For both male and female medfly antennae, the greatest EAG responses were elicited by Œ≤-caryophyllene followed by ethyl octanoate. The mean EAG responses of female antennae to Œ≤-caryophyllene and (1 S)-(-)-Œ≤-pinene were significantly greater than those of male antennae. ¬© 1995 Plenum Publishing Corporation.</t>
  </si>
  <si>
    <t>1823-1836</t>
  </si>
  <si>
    <t>60029526;60029526;60029526;60029526;60029526</t>
  </si>
  <si>
    <t>6603979412;7402060011;7203077089;57224729153;7402604731</t>
  </si>
  <si>
    <t>Coss√©, Allard A.;Todd, Julie L.;Millar, Jocelyn G.;Mart√≠nez, Lee Ann;Baker, Thomas C.</t>
  </si>
  <si>
    <t>Riverside</t>
  </si>
  <si>
    <t>University of California, Riverside</t>
  </si>
  <si>
    <t>Coss√© A.A.</t>
  </si>
  <si>
    <t>Electroantennographic and coupled gas chromatographic-electroantennographic responses of the mediterranean fruit fly, Ceratitis capitata, to male-produced volatiles and mango odor</t>
  </si>
  <si>
    <t>10.1007/BF02033679</t>
  </si>
  <si>
    <t>2-s2.0-0029198399</t>
  </si>
  <si>
    <t>['scr techniques', 'scr studies', 'scr ).', 'probably indole', 'olfactory cells', 'oilseed rape', 'obtained showed', 'numerous recordings', 'mass spectrometry', 'including isoprenoids', 'identified compounds', 'high specificity', 'five compounds', 'fatty acids', 'electrophysiological activity', 'eag using', 'derived extracts', 'coupled gc', 'consistent pairings', 'compounds derived', 'combined use', 'brassica napus', 'benzyl cyanide', 'amino acids', 'air entrainment']</t>
  </si>
  <si>
    <t>Brassica napus | cabbage seed weevil | Ceutorhynchus assimilis | Coleoptera | Curculionidae | EAG | GC-EAG | GC-SCR | isothiocyanates | oilseed rape | SCR | volatiles</t>
  </si>
  <si>
    <t>The response of the Ceutorhynchus assimilis antenna to volatiles in air entrainment-derived extracts of oilseed rape, Brassica napus, was studied using coupled gas chromatography (GC)-electroantennography (EAG) and coupled GC-single cell recording (SCR). By means of these techniques and coupled gas chromatography-mass spectrometry (GC-MS), 25 active compounds were identified, including isoprenoids and compounds derived from fatty acids and amino acids. Some of the latter, the isothiocyanates and goitrin, and probably indole and benzyl cyanide, are catabolites of glucosinolates. The electrophysiological activity of the identified compounds was confirmed by EAG using a physiologically discriminating dose, and by SCR studies. The importance of the combined use of the EAG and SCR techniques was demonstrated, since specific olfactory cells were located for five compounds that did not elicit significant EAG responses. The majority of the olfactory cells from which single cell recordings were obtained showed very high specificity, and in numerous recordings there were consistent pairings of specific cell types. ¬© 1995 Plenum Publishing Corporation.</t>
  </si>
  <si>
    <t>1649-1664</t>
  </si>
  <si>
    <t>60002793;60002793;60002793;60002793</t>
  </si>
  <si>
    <t>7004737350;7101754379;7003829798;7103167157</t>
  </si>
  <si>
    <t>Blight, M. M.;Pickett, J. A.;Wadhams, L. J.;Woodcock, C. M.</t>
  </si>
  <si>
    <t>Harpenden</t>
  </si>
  <si>
    <t>Rothamsted Research</t>
  </si>
  <si>
    <t>Blight M.</t>
  </si>
  <si>
    <t>Antennal perception of oilseed rape, Brassica napus (Brassicaceae), volatiles by the cabbage seed weevil Ceutorhynchus assimilis (Coleoptera, Curculionidae)</t>
  </si>
  <si>
    <t>10.1007/BF02033667</t>
  </si>
  <si>
    <t>2-s2.0-0029200084</t>
  </si>
  <si>
    <t>['two lenses', 'ray tracing', 'position though', 'optical focuses', 'feed antenna', 'extension length', 'extended hemispherical', 'elliptical lens', 'dielectric contant', 'coupling effciency', 'carefully choosing', 'best compromise', '7 ).', '4 mm', '2 mm', '1 ].']</t>
  </si>
  <si>
    <t>Dielectric lens | Millimeter Waves | Quasi-optical Techniques</t>
  </si>
  <si>
    <t>In this paper, extended hemispherical and elliptical silicon dielectric lenses are compared by means of ray tracing. It is shown that the optical focuses of two lenses are not at same position though the elliptical lens is synthesized from an extended hemispherical lens by carefully choosing a particular extension length as stated in ref[1]. It may be used to explain why the best compromise between alignment, directivity and Gaussian-coupling effciency will be obtained if the feed antenna is placed at the region between 2.2 mm and 2.4 mm of extension length (for 13.7 mm diameter lens, dielectric contant = 11.7). ¬© 1995 Plenum Publishing Corporation.</t>
  </si>
  <si>
    <t>1993-2002</t>
  </si>
  <si>
    <t>60005244;60005244</t>
  </si>
  <si>
    <t>7006874529;38062091300</t>
  </si>
  <si>
    <t>Dou, W. B.;Sun, Z. L.</t>
  </si>
  <si>
    <t>Southeast University</t>
  </si>
  <si>
    <t>Dou W.</t>
  </si>
  <si>
    <t>Ray tracing on extended hemispherical and elliptical silicon dielectric lenses</t>
  </si>
  <si>
    <t>10.1007/BF02072553</t>
  </si>
  <si>
    <t>2-s2.0-0029403306</t>
  </si>
  <si>
    <t>['radiation patterns', 'patterns obtained', 'calculated results']</t>
  </si>
  <si>
    <t>circular groove guide | horn antenna | millimeter waves | radiation pattern</t>
  </si>
  <si>
    <t>A novel horn antenna for millimeter waves based on circular groove guide is presented and investigated in this paper. Its radiation patterns are calculated by employing the aperture field method. The patterns obtained by experiment show agreement with calculated results. ¬© 1995 Plenum Publishing Corporation.</t>
  </si>
  <si>
    <t>2003-2009</t>
  </si>
  <si>
    <t>60005244;60005244;60005244</t>
  </si>
  <si>
    <t>56173417300;8093304100;7404768538</t>
  </si>
  <si>
    <t>Xu, Zheng Rong;Yang, Hong Sheng;Lu, Zhong Zuo</t>
  </si>
  <si>
    <t>Xu Z.</t>
  </si>
  <si>
    <t>A study of radiation from circular groove guide horn</t>
  </si>
  <si>
    <t>10.1007/BF02072554</t>
  </si>
  <si>
    <t>2-s2.0-0029403307</t>
  </si>
  <si>
    <t>['wave antenna', 'theoretical results', 'theoretical analyses', 'results show', 'power beamwidth', 'numerical results', 'nrd leaky', 'narrow beam', 'frequency scanning', 'experimental data', 'beam angle', '14 ¬∞']</t>
  </si>
  <si>
    <t>Theoretical analyses and numerical results of NRD leaky-wave antenna are presented. The results show that the characteristics of frequency scanning and very narrow beam can be implemented by NRD leaky-wave antenna. At the freguency of 94GHz, the half-power beamwidth of 0.14¬∞ of the antenna canbe obtained when the length of the antenna is 1.5m. From 90 to 98GHz, frequency scanning is about ¬±7¬∞ relating to the beam angle at 94GHz. The theoretical results are compared with the experimental data. ¬© 1995 Plenum Publishing Corporation.</t>
  </si>
  <si>
    <t>2019-2024</t>
  </si>
  <si>
    <t>60025761;60025761</t>
  </si>
  <si>
    <t>56790203000;7202149848</t>
  </si>
  <si>
    <t>Wang, Yong;Qi, Lanfen</t>
  </si>
  <si>
    <t>Wuhan</t>
  </si>
  <si>
    <t>Huazhong University of Science and Technology</t>
  </si>
  <si>
    <t>Wang Y.</t>
  </si>
  <si>
    <t>NRD leaky-wave antenna for narrow beams in 94GHz</t>
  </si>
  <si>
    <t>10.1007/BF02072556</t>
  </si>
  <si>
    <t>2-s2.0-0029403328</t>
  </si>
  <si>
    <t>['useful tool', 'minimizing computations', 'mechanical sagging', 'mechanical deformation', 'input impedance', 'article examines']</t>
  </si>
  <si>
    <t>This article examines the application of Model Based Parameter Estimation (MBPE) to the evaluation of the input impedance of HF Log Periodic Dipole Arrays (LPDA) during mechanical deformation. A study of cases of lengthening, shortening and displacing one element as well as the effect of mechanical sagging of the array is made. It is found that MBPE is a useful tool for minimizing computations and/or measurements in the study of mechanical deformation.</t>
  </si>
  <si>
    <t>30-37</t>
  </si>
  <si>
    <t>Applied Computational Electromagnetics Society Journal</t>
  </si>
  <si>
    <t>7201990739;7404141260</t>
  </si>
  <si>
    <t>Beer, J. T.;Baker, D. C.</t>
  </si>
  <si>
    <t>Beer J.</t>
  </si>
  <si>
    <t>Examination of the effect of mechanical deformation on the input impedance of HF LPDA's using MBPE</t>
  </si>
  <si>
    <t>2-s2.0-0029404090</t>
  </si>
  <si>
    <t>['works helpfully', 'slow convergence', 'radio environments', 'output voltage', 'object value', 'multipath waves', 'multipath environments', 'modified algorithm', 'initial weights', 'differential cma', 'cost function', 'correlation matrix', 'convergence characteristics', 'conventional cma', 'constant value', 'cma reveals', 'changed abruptly', 'bfn creates', 'beamspace system', 'basic performance', 'array inputs', 'agc behavior']</t>
  </si>
  <si>
    <t>This paper addresses approaches to enhancement of performance of the CMA (Constant Modulus Algorithm) adaptive array antenna in multipath environments that characterize the mobile radio communications. The cost function of the CMA reveals that it has an AGC (Automatic Gain Control) procedure of holding the array output voltage at a constant value. Therefore, if the output voltage by the initial weights is different from the object value, then the CMA may suffer from slow convergence because suppression of the multipath waves is delayed by the AGC behavior. Our objective is to improve the convergence characteristics by adopting the differential CMA for the adaptive array algorithm. First, the basic performance of the differential CMA is clarified via computer simulation. Next, the differential CMA is incorporated into the eigen-beamspace system in which the eigenvectors of the correlation matrix of array inputs are used in the BFN (Beam Forming Network). This BFN creates the optimum orthogonal multibeams for radio environments and works helpfully as a preprocessor of the differential CMA. The computer simulation results have demonstrated that the differential CMA with the eigen-beamspace system has much better convergence characteristics than the conventional CMA with the element space system. Furthermore, a modified algorithm is introduced which gives the stable array output voltages after convergence, and it is confirmed that the algorithm can carry out more successful adaptation even if the radio environments are changed abruptly.</t>
  </si>
  <si>
    <t>1480-1488</t>
  </si>
  <si>
    <t>60024751;60024751;60024751</t>
  </si>
  <si>
    <t>7006575598;7003894513;56216531000</t>
  </si>
  <si>
    <t>Nishimori, Kentaro;Kikuma, Nobuyoshi;Inagaki, Naoki</t>
  </si>
  <si>
    <t>Nagoya Institute of Technology</t>
  </si>
  <si>
    <t>Nishimori K.</t>
  </si>
  <si>
    <t>Differential CMA adaptive array antenna using an eigen-beamspace system</t>
  </si>
  <si>
    <t>2-s2.0-0029404199</t>
  </si>
  <si>
    <t>['viterbi algorithm', 'user detection', 'theoretical analysis', 'temporally optimal', 'temporal one', 'tandem structure', 'spatial domain', 'receiver uses', 'proposed receiver', 'optimal receiver', 'matched filter', 'intersymbol interference', 'digital pulse', 'digital filter', 'computer simulations', 'awgn ).', 'array antenna', 'amplitude sequences']</t>
  </si>
  <si>
    <t>The tandem structure of a matched filter (MF) and a maximum likelihood sequence estimator (MLSE) using the Viterbi algorithm (VA) has been considered to be an optimal receiver for digital pulse-amplitude sequences in the presence of intersymbol interference (ISI) and additive white Gaussian noise (AWGN). An adaptive array antenna has the capability of filtering received signals in the spatial domain as well as in the temporal one. In this paper, we propose a receiver structure using an adaptive array antenna, a digital filter and the VA that is spatially and temporally optimal for multi-user detection in a direct sequence code division multiple access (DS/CDMA) environment. This receiver uses a tapped delay line (TDL) array antenna and the VA, which provides a maximum likelihood sequence estimate from the spatially and temporally whitened matched filter (ST-WMF) output. Performance of the proposed receiver is evaluated by theoretical analysis and computer simulations.</t>
  </si>
  <si>
    <t>1489-1497</t>
  </si>
  <si>
    <t>6701572536;7102287283</t>
  </si>
  <si>
    <t>Nagatsuka, Minami;Kohno, Ryuji</t>
  </si>
  <si>
    <t>Nagatsuka M.</t>
  </si>
  <si>
    <t>Spatially and temporally optimal multi-user receiver using an array antenna for DS/CDMA</t>
  </si>
  <si>
    <t>2-s2.0-0029404201</t>
  </si>
  <si>
    <t>['undistorted antenna', 'true solution', 'superior performance', 'stagnation points', 'radiated far', 'particular care', 'paper presents', 'numerical analysis', 'new method', 'new factorization', 'measurement accuracy', 'fully vectorial', 'field distribution', 'approach exploits', 'algorithm away']</t>
  </si>
  <si>
    <t>This paper presents a new method for the diagnosis of the deformations of a reflector antenna surface from the radiated far-field amplitude pattern. The method is fully vectorial and allows for working with a shaped beam antenna. The approach exploits a new factorization of the aperture-field distribution and takes into account both the available information concerning the undistorted antenna and the measurement accuracy. Particular care is devoted to the analysis of the well-posedness of the problem and to the avoidance of stagnation points which can trap the algorithm away from the true solution. The effectiveness of the method and its superior performance with respect to the commonly used successive projections algorithms are demonstrated by a numerical analysis.</t>
  </si>
  <si>
    <t>1217-1225</t>
  </si>
  <si>
    <t>7006499276;7103082097;6603098623</t>
  </si>
  <si>
    <t>Bucci, Ovidio M.;D'Elia, Giuseppe;Romito, Gennaro</t>
  </si>
  <si>
    <t>Bucci O.M.</t>
  </si>
  <si>
    <t>Reflector distortions diagnosis from far-field amplitude pattern</t>
  </si>
  <si>
    <t>10.1109/8.475093</t>
  </si>
  <si>
    <t>2-s2.0-0029404202</t>
  </si>
  <si>
    <t>['spatial region', 'precise directions', 'particularly useful', 'nulling resolution', 'nulling performance', 'mba ).', 'main beam', 'desired signals', 'derivative constraints', 'constant gain', 'beam antenna', 'aperture multiple', 'aperture mba']</t>
  </si>
  <si>
    <t>Discussed in this paper is the nulling performance of a single- and a multiple-aperture multiple-beam antenna (MBA). A linearly constrained minimum power algorithm incorporating both main beam and derivative constraints is formulated and simulated. The nulling resolution of the multiple-aperture MBA is shown to be superior to that of the single-aperture MBA. In addition, a method for illuminating a region in space with constant gain while simultaneously nulling interfering signals within a fractional single element beamwidth of this constant gain region is illustrated. A flat gain pattern is achieved by spacing derivative constraints over the spatial region where the desired signals are known to be transmitting. Derivative constraints are particularly useful when the precise directions of arrival for the desired signals are not available to the beamformer.</t>
  </si>
  <si>
    <t>1319-1324</t>
  </si>
  <si>
    <t>Gray, Steven D.</t>
  </si>
  <si>
    <t>Gray S.</t>
  </si>
  <si>
    <t>Nulling performance comparison between a single- and multiple-aperture multiple-beam antenna</t>
  </si>
  <si>
    <t>10.1109/8.475106</t>
  </si>
  <si>
    <t>2-s2.0-0029404203</t>
  </si>
  <si>
    <t>['typical high', 'two applications', 'study fields', 'steering nulls', 'resolution techniques', 'resolution estimation', 'resolution capability', 'radio environment', 'null steering', 'new applications', 'music algorithm', 'modified version', 'interference suppression', 'incident signals', 'great deal', 'devoted recently', 'common technique']</t>
  </si>
  <si>
    <t>Signal processing antennas have been studied not only for interference suppression but also for high-resolution estimation of radio environment such as directions-of-arrival of incident signals. These two applications are based on the common technique, that is, null steering. This tutorial paper reviews the MUSIC algorithm which is one of the typical high-resolution techniques. Examining the eigenvector beam patterns, we demonstrate that the high-resolution capability is realized by steering nulls. The considerations will be useful for understanding the high-resolution techniques in the signal processing antennas. We then describe a modified version of MUSIC (Root MUSIC). We show the performance and robustness of the method. Furthermore, we introduce radar target identification and two-dimensional radar target imaging. These study fields are new applications of the signal processing antennas, to which a great deal of attention has been devoted recently.</t>
  </si>
  <si>
    <t>1435-1442</t>
  </si>
  <si>
    <t>35516180700;7003894513</t>
  </si>
  <si>
    <t>Ogawa, Yasutaka;Kikuma, Nobuyoshi</t>
  </si>
  <si>
    <t>Ogawa Y.</t>
  </si>
  <si>
    <t>High-resolution techniques in signal processing antennas</t>
  </si>
  <si>
    <t>2-s2.0-0029404298</t>
  </si>
  <si>
    <t>A2176</t>
  </si>
  <si>
    <t>['wavelength œª', 'using infeld', 'spheroidal dipole', 'second kind', 'numerical results', 'novel method', 'minor axes', 'large order', 'input admittance', 'high accuracy', 'gap ratio', '5œª ),']</t>
  </si>
  <si>
    <t>The input admittance of a thin prolate spheroidal dipole antenna of major and minor axes a, b and fed by a gap of finite width 2d operating at the wavelength Œª (k = 2œÄ/Œª) is expressed as a very slowly convergent sum of symmetric prolate spheroidal angle and radial modal functions whose computation in this paper is facilitated by a novel method for evaluating radial functions of the second kind for small and large order with high accuracy. Then, by using Infeld's method of replacing a sum by an integral, the slowly convergent part of the admittance is evaluated. Three different types of distributions for the gap electric field are considered, and numerical results for the admittance are given as a function of the spheroidal dipole's length (0 ‚â§ 2a ‚â§ Œª) with its thickness (2b ‚â• 2 √ó 10-5Œª), as well as the gap ratio d/b, as parameters.</t>
  </si>
  <si>
    <t>1243-1252</t>
  </si>
  <si>
    <t>7004488643;7005164716</t>
  </si>
  <si>
    <t>Do-Nhat, Tam;MacPhie, Robert H.</t>
  </si>
  <si>
    <t>Do-Nhat T.</t>
  </si>
  <si>
    <t>Input admittance of thin prolate spheroidal dipole antennas with finite gap widths</t>
  </si>
  <si>
    <t>10.1109/8.475096</t>
  </si>
  <si>
    <t>2-s2.0-0029404301</t>
  </si>
  <si>
    <t>['variable model', 'simulation study', 'signal received', 'several algorithms', 'proposed approach', 'power levels', 'parameter identification', 'paper proposes', 'new method', 'multiple wave', 'mobile communications', 'linear system', 'initiated directly', 'incident waves', 'incident angles', 'detailed procedure', 'convenient tool', 'close directions', 'best tactics', 'array element', 'actual applications']</t>
  </si>
  <si>
    <t>The technique for estimating the parameters of multiple waves provides a convenient tool for analysis of multiple wave-fields and eventually for actual applications to mobile communications. Several algorithms have been proposed for those purposes. However, the best tactics to resolve multiple wave-fields are still imperfectly understood at present. This paper proposes a new method for estimating the angles and power levels of arrival waves based on the extended Kalman filter. A space-variable model which we call a spatial state equation is derived using array element locations and incident angles. It has been shown that by means of the model, the estimation of incident waves can be transformed into the problem of parameter identification in linear system which can be carried out by the extended Kalman filter conveniently. The algorithm is initiated directly by the signal received at each array element. The detailed procedure of an extended Kalman filter approach is given in the paper. The performance of the proposed approach is examined by a simulation study with two signals model. The simulation results show a good estimate performance, even in the case that two waves arrive from close directions.</t>
  </si>
  <si>
    <t>1443-1449</t>
  </si>
  <si>
    <t>60000809;60000809;60000809</t>
  </si>
  <si>
    <t>37036656400;7402167894;7006013664</t>
  </si>
  <si>
    <t>Wang, Jinkuan;Takano, Tadashi;Hagino, Kojiro</t>
  </si>
  <si>
    <t>Estimation of arrival waves using an extended Kalman filter</t>
  </si>
  <si>
    <t>2-s2.0-0029404634</t>
  </si>
  <si>
    <t>['separate statistics', 'sample instant', 'one year', 'olympus satellite', 'nearly independent', 'frequency scaling', 'fade depth', 'db scales', '9 power']</t>
  </si>
  <si>
    <t>One year of copolarized signal data from the OLYMPUS satellite's 12, 20, and 30 GHz beacons were examined for frequency scaling of attenuation. The statistics of the ratios of attenuation in dB for the frequency pairs 30/20, 20/12, and 30/12 GHz computed at each 0.1s-sample instant were found to be nearly independent of fade depth. It was found that attenuation in dB scales with frequency to the 1.9 power. Also, attenuation ratios computed from the separate statistics of attenuation at each frequency for the same level of occurrence are very close to those found from instantaneous attenuation ratios.</t>
  </si>
  <si>
    <t>1207-1216</t>
  </si>
  <si>
    <t>55884196100;7006247497</t>
  </si>
  <si>
    <t>Laster, Jeff D.;Stutzman, Warren L.</t>
  </si>
  <si>
    <t>Laster J.D.</t>
  </si>
  <si>
    <t>Frequency scaling of rain attenuation for satellite communication links</t>
  </si>
  <si>
    <t>10.1109/8.475092</t>
  </si>
  <si>
    <t>2-s2.0-0029404638</t>
  </si>
  <si>
    <t>['theoretical treatment', 'spectral domain', 'space domain', 'small compared', 'rectangular cavity', 'rectangular cavities', 'proposed method', 'numerical results', 'magnetic losses', 'magnetic layers', 'layered overlay', 'integral equation', 'function describing', 'experimental data', 'dyadic green', 'cross section', 'arbitrarily shaped', 'antenna may']</t>
  </si>
  <si>
    <t>A method is presented for a full wave analysis of an aperture antenna backed by a rectangular cavity. The antenna may be covered by one or more dielectric and magnetic layers. The aperture antenna may be arbitrarily shaped but must be small compared to the cross section of the cavity. The analysis includes ohmic, dielectric, and magnetic losses in the cavity as well as in the overlay. Deriving a modified magnetic field integral equation, the treatment of the cavity and of the layered overlay is separated. A dyadic Green's function describing the topology of the cavity is formulated in the space domain. Another dyadic Green's function for the layered overlay is derived in the spectral domain. Subsequently, the integral equation is solved by the method of moments. The theoretical treatment is worked out for arbitrarily shaped apertures. Finally, the proposed method is applied to narrow slot antennas backed by rectangular cavities. Some numerical results are compared with experimental data.</t>
  </si>
  <si>
    <t>1226-1232</t>
  </si>
  <si>
    <t>7004736208;6602934275</t>
  </si>
  <si>
    <t>Biebl, Erwin M.;Friedsam, Gerhard L.</t>
  </si>
  <si>
    <t>Biebl E.M.</t>
  </si>
  <si>
    <t>Cavity-backed aperture antennas with dielectric and magnetic overlay</t>
  </si>
  <si>
    <t>10.1109/8.475094</t>
  </si>
  <si>
    <t>2-s2.0-0029404666</t>
  </si>
  <si>
    <t>['weaker one', 'two waves', 'stronger one', 'problems met', 'previous papers', 'preferable arrays', 'optimization system', 'neglected factor', 'local minima', 'initial weights', 'initial condition', 'desired signal', 'desirable wave', 'cost function', 'convergence behavior', 'array elements']</t>
  </si>
  <si>
    <t>In this paper, we analyze the convergence behavior of the CMA (Constant Modulus Algorithm) adaptive array working under the steepest decent method, and investigate how to achieve the highest possible output SINR (Signal to Interference plus Noise Ratio). In multipath radio environments, CMA sometimes suppresses the desired signal (stronger one) and selects to receive the interference (the weaker one) resulting in the low output SINR. This is one of the problems met in an optimization system under a nonlinear control equation where there are two or more local minima of the cost function and the final state depends on the initial condition. The study can be done only numerically by starting from various initial values. In our analysis of the CMA adaptive array in multipath radio environments, we will assume that there are two waves which are radiated from the same source and try to find out what conditions may affect the convergence behavior. In this process, we discover the effect of the neglected factor by the previous papers and revise the initial condition to guarantee the reception of the desirable wave. In conclusion, we propose the prescription of the initial weights of the array elements as well as the choice of preferable arrays.</t>
  </si>
  <si>
    <t>1474-1479</t>
  </si>
  <si>
    <t>60011001;60011001</t>
  </si>
  <si>
    <t>7102188996;36990674900</t>
  </si>
  <si>
    <t>Takao, Kazuaki;Matsuda, Hiromichi</t>
  </si>
  <si>
    <t>Takao K.</t>
  </si>
  <si>
    <t>Choice of the initial condition of CMA adaptive arrays</t>
  </si>
  <si>
    <t>2-s2.0-0029406450</t>
  </si>
  <si>
    <t>['¬± 15', 'utilizing galerkin', 'type analysis', 'tuned resonance', 'tuned behavior', 'substrate thickness', 'strip width', 'principal e', 'plane scan', 'plane exhibit', 'parametric study', 'line mode', 'frequency range', 'frequency characteristics', 'equivalent network', 'element broadbanding', 'degree e', 'comprehensive investigation', 'aided approach']</t>
  </si>
  <si>
    <t>A comprehensive investigation is presented of E- and H-plane scan-frequency characteristics of probe-fed microstrip strip-element phased arrays with a single probe per unit cell. A parametric study of the principal, large mismatch producing scan resonances is carried out utilizing Galerkin-type analysis and an associated computer code. While the E-plane scan characteristics confirm earlier findings, those of the H-plane exhibit a heretofore not reported array blindness condition which is traced to excitation of a strip-line mode of the periodic array structure. The largest element spacing is identified which, independently of substrate thickness, excludes the principal E- and H-plane scan resonances. Element broadbanding is then achieved via interplay between substrate thickness and strip width. For a fixed scan angle with an appropriately configured element geometry, the unmatched active impedance exhibits a double-tuned behavior. The form of the equivalent network in the neighborhood of the double-tuned resonance is established via computer-aided approach. Finally, an example of scan-frequency array performance (without using suppressor pins) for a ¬±15% frequency range and a 40-degree E- and H-plane scan coverage with voltage standing wave ratio (VSWR) ‚â§2 is presented.</t>
  </si>
  <si>
    <t>1270-1280</t>
  </si>
  <si>
    <t>6602297959;7005831705;6602805535;6603129106</t>
  </si>
  <si>
    <t>Nehra, Chandra P.;Hessel, Alexander;Shmoys, Jerry;Stalzer, Henry J.</t>
  </si>
  <si>
    <t>Nehra C.</t>
  </si>
  <si>
    <t>Probe-fed strip-element microstrip phased arrays: E- and H-plane scan resonances and broadbanding guidelines</t>
  </si>
  <si>
    <t>10.1109/8.475099</t>
  </si>
  <si>
    <t>2-s2.0-0029406453</t>
  </si>
  <si>
    <t>['simple two', 'sheet absorber', 'pure resistance', 'expanded even', 'derivatives vanish', 'center frequency', 'capacitive reactances', '4 apart']</t>
  </si>
  <si>
    <t>Many Jaumann absorber designs rely on purely resistive sheets spaced Œª/4 apart, and the designs are based on the requirement that the voltage reflection coefficient and its derivatives vanish at the center frequency. The thickness of the absorber can be reduced and its bandwidth considerably expanded if the sheets are allowed to have capacitive reactances in addition to pure resistance. The bandwidth can be expanded even more by imposing different design criteria. We illustrate those advantages by invoking what we call a double-notch design process for a simple two-sheet absorber.</t>
  </si>
  <si>
    <t>1339-1343</t>
  </si>
  <si>
    <t>7003625883;6505761030</t>
  </si>
  <si>
    <t>Knott, E. F.;Lunden, C. D.</t>
  </si>
  <si>
    <t>Knott E.</t>
  </si>
  <si>
    <t>Two-sheet capacitive Jaumann absorber</t>
  </si>
  <si>
    <t>10.1109/8.475112</t>
  </si>
  <si>
    <t>2-s2.0-0029406526</t>
  </si>
  <si>
    <t>NAG3-1589</t>
  </si>
  <si>
    <t>['two geometries', 'scattering phenomenology', 'readily identified', 'processed using', 'one slot', 'numerical simulation', 'method procedure', 'makes possible', 'joint time', 'interior floquet', 'fully interpreted', 'frequency processing', 'frequency plane', 'finite waveguide', 'dispersion due', 'dimensional moment', 'connection scheme', 'clearly revealed', 'accomplished via', '32 wavelengths', '10 ghz']</t>
  </si>
  <si>
    <t>The scattering phenomenology in slotted waveguide structures is investigated using time-frequency processing of numerically simulated data. Two geometries are studied, a finite waveguide with one slot on each end and a linear slotted waveguide array comprised of 16 equally spaced slots. The numerical simulation is accomplished via a three-dimensional moment-method procedure in conjunction with a connection scheme which makes possible the simulation of a long waveguide structure spanning over 32 wavelengths at 10 GHz. The resulting numerical data are then processed using the short-time Fourier transform to identify the dominant scattering mechanisms. In the joint time-frequency plane, the unique scattering physics associated with slotted waveguide structures are more clearly revealed. In particular, the Floquet harmonics due to the exterior slot structure, the dispersion due to the interior waveguide modes, and the 'interior Floquet' phenomenon can be readily identified and fully interpreted.</t>
  </si>
  <si>
    <t>1253-1261</t>
  </si>
  <si>
    <t>60013372;60013372</t>
  </si>
  <si>
    <t>6701743519;7202062608</t>
  </si>
  <si>
    <t>Trintinalia, Luiz C.;Ling, Hao</t>
  </si>
  <si>
    <t>Trintinalia L.</t>
  </si>
  <si>
    <t>Interpretation of scattering phenomenology in slotted waveguide structures via time-frequency processing</t>
  </si>
  <si>
    <t>10.1109/8.475097</t>
  </si>
  <si>
    <t>2-s2.0-0029406555</t>
  </si>
  <si>
    <t>['whole function', 'fpga ).', 'basic function']</t>
  </si>
  <si>
    <t>We demonstrate a feasibility of a Beam Space CMA (Constant Modulus Algorithm) Adaptive array antenna by implementing a Digital Signal Processor (DSP) in ASICs using field programmable gate arrays (FPGA). The DSP can synthesize 16 multibeams and eliminate interference signals by CMA adaptive processing. The whole function was implemented in about 127,000 equivalent gates. Simple experimental results in a radio anechoic chamber have confirmed the basic function of BSCMA adaptive array antenna.</t>
  </si>
  <si>
    <t>1467-1473</t>
  </si>
  <si>
    <t>60001271;60001271;60001271;60001271</t>
  </si>
  <si>
    <t>7406725075;7103322075;7004961264;7102618328</t>
  </si>
  <si>
    <t>Tanaka, Toyohisa;Miura, Ryu;Chiba, Isamu;Karasawa, Yoshio</t>
  </si>
  <si>
    <t>Tanaka T.</t>
  </si>
  <si>
    <t>ASIC implementation scheme to realize a beam space CMA adaptive array antenna</t>
  </si>
  <si>
    <t>2-s2.0-0029406877</t>
  </si>
  <si>
    <t>['sidelobe canceller', 'new method', 'computer simulation', 'also analyzed']</t>
  </si>
  <si>
    <t>High power interference rejection characteristics of a sidelobe canceller which have not been well discussed yet are investigated through computer simulation and experiment in the real radio wave environment. To improve the high power interference rejection performance, a new method is considered. The performance of the method is also analyzed through computer simulation and experiment.</t>
  </si>
  <si>
    <t>1507-1512</t>
  </si>
  <si>
    <t>7404939323;7102376306;55738385200</t>
  </si>
  <si>
    <t>Abe, Kiyonobu;Hirasawa, Kazuhiro;Watanabe, Hideaki</t>
  </si>
  <si>
    <t>Radar sidelobe canceller characteristics in high power interference</t>
  </si>
  <si>
    <t>2-s2.0-0029406878</t>
  </si>
  <si>
    <t>['several techniques', 'proposed method', 'propagation parameters', 'paper presents', 'obtain frequency', 'network analyzer', 'music algorithm', 'gating technique', 'fading techniques', 'domain data', 'develop anti', 'delay times', 'arrival angles']</t>
  </si>
  <si>
    <t>Analyzing multipath propagation structure is important to develop anti-fading techniques for high-speed digital radio systems. Several techniques have been employed to measure delay profiles and/or arrival angles. This paper presents a simultaneous estimation method of delay times and arrival angles of indoor multipath waves. We obtain frequency-domain data at different receiving antenna positions using a network analyzer. We estimate the propagation parameters by means of a two-dimensional MUSIC algorithm. In order to obtain reliable results, a two-dimensional discrete inverse Fourier transform and a gating technique are employed before the MUSIC algorithm. Simulation and experimental results show that the proposed method can estimate the propagation parameters properly.</t>
  </si>
  <si>
    <t>1450-1457</t>
  </si>
  <si>
    <t>60014652;60014652;60014652;60014652</t>
  </si>
  <si>
    <t>35516180700;7007021652;7202834930;7404897527</t>
  </si>
  <si>
    <t>Ogawa, Yasutaka;Hamaguchi, Norihiro;Ohshima, Kohzoh;Itoh, Kiyohiko</t>
  </si>
  <si>
    <t>High-resolution analysis of indoor multipath propagation structure</t>
  </si>
  <si>
    <t>2-s2.0-0029406907</t>
  </si>
  <si>
    <t>['urban areas', 'receiver bandwidth', 'many efforts', 'fplmts ).']</t>
  </si>
  <si>
    <t>Currently, many efforts are underway to design wideband mobile communication system. The system is one of alternative of Future Public Land Mobile Telecommunication Systems (FPLMTS). In this paper, we clarify received signal level characteristics for wideband mobile radio channels in line-of-sight (LOS) microcells. The results from urban-area field experiments, where received signal levels for various receiver bandwidths and power delay profiles were measured, show that the depth of fading of the received signal decreases as normalized RMS delay spread, defined as the product of receiver bandwidth and RMS delay spread, increases. These results are useful in designing wideband microcell systems for urban areas.</t>
  </si>
  <si>
    <t>1543-1547</t>
  </si>
  <si>
    <t>55190432700;7103260019;35894987100</t>
  </si>
  <si>
    <t>Yamaguchi, Akira;Suwa, Keisuke;Kawasaki, Ryoji</t>
  </si>
  <si>
    <t>Yamaguchi A.</t>
  </si>
  <si>
    <t>Received signal level characteristics for wideband radio channels in line-of-sight microcells</t>
  </si>
  <si>
    <t>2-s2.0-0029406908</t>
  </si>
  <si>
    <t>['without limitation', 'static green', 'singular part', 'paper presents', 'kernel integral', 'function expression', 'evaluating analytically', 'cylindrical coordinates', 'approach uses']</t>
  </si>
  <si>
    <t>This paper presents a technique for evaluating analytically and without limitation the singular part of the kernel integral of cylindrical wires due to uniform current distribution. This approach uses the static Green's function expression in cylindrical coordinates. The formula of the singular part converges rapidly and illustrates its usefulness for kernel calculations without loss of accuracy.</t>
  </si>
  <si>
    <t>1328-1331</t>
  </si>
  <si>
    <t>34971825100;35583458100</t>
  </si>
  <si>
    <t>Park, Seong Ook;Balanis, Constantine A.</t>
  </si>
  <si>
    <t>Park S.</t>
  </si>
  <si>
    <t>Efficient Kernel calculation of cylindrical antennas</t>
  </si>
  <si>
    <t>10.1109/8.475108</t>
  </si>
  <si>
    <t>2-s2.0-0029406910</t>
  </si>
  <si>
    <t>['theoretical results', 'significant effects', 'input impedance', 'cylinder size', 'coupled cylindrical']</t>
  </si>
  <si>
    <t>An original equivalent circuit, based on the generalized transmission line model (GTLM) theory, is derived for the input impedance computation of a slot-coupled cylindrical-circular microstrip antenna. The theoretical results are compared with measurements, and the accuracy of the results is discussed. Both the cylinder size and the coupling slot length are found to have significant effects on the input impedance of the antenna.</t>
  </si>
  <si>
    <t>514-518</t>
  </si>
  <si>
    <t>Proceedings of the National Science Council, Republic of China, Part A: Physical Science and Engineering</t>
  </si>
  <si>
    <t>Huang, Chih Yu;Wong, Kin Lu</t>
  </si>
  <si>
    <t>Analysis of a slot-coupled cylindrical-circular microstrip antenna</t>
  </si>
  <si>
    <t>2-s2.0-0029406937</t>
  </si>
  <si>
    <t>['testing procedure', 'solution enables', 'simulated results', 'shielded mmic', 'radiating systems', 'open environments', 'open environment', 'mathematical formulation', 'available data', 'arbitrary shape', 'analyze structures', 'air bridges']</t>
  </si>
  <si>
    <t>A moment method solution is presented for the full-wave electromagnetics analysis of multilayered planar structures of arbitrary shape. The mathematical formulation is based on the spectral domain integral equation and the Galerkin's testing procedure. The method is applied to shielded MMIC as well as radiating systems in the open environment. The inclusion of vertical current elements in the solution enables the method to analyze structures with vias and air bridges in both packaged and open environments. Since a periodic structure approach is used in the formulation, extension to the analysis of infinite and finite antenna arrays becomes rather straightforward. Simulated results, obtained from our electromagnetic simulator ‚Ä≥Microwave Explorer‚Ä≥, are presented and compared with the available data to demonstrate the versatility and the accuracy of the method. The numerical results presented include S-parameters and far field data.</t>
  </si>
  <si>
    <t>146-152</t>
  </si>
  <si>
    <t>100333294;100333294;100333294</t>
  </si>
  <si>
    <t>6602632152;8898545900;7003762585</t>
  </si>
  <si>
    <t>Sadigh, A.;Kottapalli, K.;Petre, P.</t>
  </si>
  <si>
    <t>Paterson</t>
  </si>
  <si>
    <t>Compact Software Inc</t>
  </si>
  <si>
    <t>Sadigh A.</t>
  </si>
  <si>
    <t>EM simulation of packaged MMIC and microstrip antennas using ‚Ä≥Microwave Explorer‚Ä≥</t>
  </si>
  <si>
    <t>2-s2.0-0029407489</t>
  </si>
  <si>
    <t>['spacecraft attitude', 'range rate', 'proper locations', 'paper presents', 'ordinary estimation', 'orbit phase', 'new algorithm', 'inner information', 'independently evaluate', 'higher precision', 'geometrical technique', 'geometrical determination', 'future space', 'fundamental guidelines', 'corresponding antenna', 'attitude sensor', 'angular rate']</t>
  </si>
  <si>
    <t>This paper presents a new algorithm of geometrical determination for the high-order state vector of spacecraft attitude, angular rate, etc., beyond the ordinary estimation of position and velocity. The geometrical technique can independently evaluate the stochastic estimation logic commonly equipped in the on-board navigation system. The algorithm without aid of the inner information of a gyroscope and an accelerometer, is constructed so as to distinguish each datum of corresponding antenna from among the data (range and range rate) of several antennas equipped on the proper locations of vehicle. The results of simulations for a de-orbit phase of a space-plane well verify the effectiveness of this algorithm, even in place of an attitude sensor. Especially the algorithm with Fixed Frame constraints is shown to produce an effect for a higher precision. This paper would give one of fundamental guidelines both for the ground control system and the on-board system design for the future space-plane.</t>
  </si>
  <si>
    <t>228-242</t>
  </si>
  <si>
    <t>Transactions of the Japan Society for Aeronautical and Space Sciences</t>
  </si>
  <si>
    <t>Ono, Shuji</t>
  </si>
  <si>
    <t>Japan Aerospace Exploration Agency</t>
  </si>
  <si>
    <t>Ono S.</t>
  </si>
  <si>
    <t>Geometrical algorithm for high-order state determination of space-plane without IMU data</t>
  </si>
  <si>
    <t>2-s2.0-0029407651</t>
  </si>
  <si>
    <t>['spatial dependence', 'simple functions', 'simple frequency', 'moment method', 'measured data', 'first kind', 'effect correspondence', 'dependent solution', 'classic edge', 'array geometry', 'analytic solution', 'also provides']</t>
  </si>
  <si>
    <t>A new reflection coefficient is derived for a frequency-selective surface composed of conducting rectangular plates. The current density induced on the plates is assumed to follow the classic edge-mode behavior observed by Meixner. Using very simple functions to describe the spatial dependence of the current, a simple frequency-dependent solution is derived. This solution is a function of the 0th- and 1st-order Bessel functions of the first kind. The new approach provides very accurate results compared to the moment method and to measured data. It also provides an analytic solution that demonstrates a cause-and-effect correspondence between the array geometry and performance.</t>
  </si>
  <si>
    <t>1333-1335</t>
  </si>
  <si>
    <t>Gross, Frank B.</t>
  </si>
  <si>
    <t>Tallahassee</t>
  </si>
  <si>
    <t>FAMU-FSU College of Engineering</t>
  </si>
  <si>
    <t>Gross F.</t>
  </si>
  <si>
    <t>Reflection from an array of conducting plates using classic edge-mode current densities</t>
  </si>
  <si>
    <t>10.1109/8.475110</t>
  </si>
  <si>
    <t>2-s2.0-0029407875</t>
  </si>
  <si>
    <t>['without use', 'true robustness', 'spacecraft attitude', 'range rate', 'proper locations', 'powered flight', 'ordinary estimation', 'measurement data', 'independent logic', 'independent estimation', 'future space', 'etc .)', 'dynamic parameters', 'corresponding antenna', 'attitude sensor', 'angular rate']</t>
  </si>
  <si>
    <t>A new stochastic algorithm is presented for the high-order state estimation of spacecraft attitude, angular rate, thrust, its offset, and dynamic parameters, without use of the sensor information inside a vehicle, beyond the ordinary estimation of position and velocity. The algorithm for this independent estimation was constructed by discriminating each datum of corresponding antenna from among the measurement data (range and range rate, etc.) of several antennas provided on the proper locations of a vehicle. The simulation for a space-plane of powered flight in a Return-to-Earth phase shows that a remarkably higher precision can be obtained as the body scale becomes bigger. This algorithm is indicated to be effective, even in place of an attitude sensor. This paper gives one of new fundamental guidelines not only for the design of a flight navigation system with true robustness by adding this independent logic, but also for the construction of a ground control system separated from a vehicle inner information, for a future space-plane.</t>
  </si>
  <si>
    <t>207-227</t>
  </si>
  <si>
    <t>Stochastic algorithm for high-order state estimation of space-plane without IMU data</t>
  </si>
  <si>
    <t>2-s2.0-0029407926</t>
  </si>
  <si>
    <t>['theoretically examined', 'slot antennas', 'much effect', 'moment method', 'interstitial hyperthermia', 'insertion depth', 'human body', 'catheter thickness', 'calculated results', 'boundary surface', 'basic structure', 'array spacing', 'also enlarged']</t>
  </si>
  <si>
    <t>The interstitial hyperthermia is an invasive heating method applied by inserting the applicator into the human body. We have been studying on coaxial-slot antennas for interstitial microwave hyperthermia. The characteristics of the square antenna array were theoretically examined. Firstly, the basic structure of the antenna, and a simplified analysis model taking account of the effect of the boundary surface were explained. Then analysis was performed by using the moment method. Finally, the calculated results were discussed. The catheter thickness has much effect on the characteristics and must be considered both in designing and in using the antenna. When the array spacing was increased, the effective heating area became larger and more uniform. As the insertion depth was increased, the effective heating area was also enlarged.</t>
  </si>
  <si>
    <t>1624-1631</t>
  </si>
  <si>
    <t>6602750936;7405596101;55445582500;35402369100</t>
  </si>
  <si>
    <t>Hamada, Lira;Wu, Meng Shien;Ito, Koichi;Kasai, Haruo</t>
  </si>
  <si>
    <t>Hamada L.</t>
  </si>
  <si>
    <t>Basic analysis on SAR distribution of coaxial-slot antenna array for interstitial microwave hyperthermia</t>
  </si>
  <si>
    <t>2-s2.0-0029408016</t>
  </si>
  <si>
    <t>['theoretical results', 'resonant frequency', 'previous theories', 'measured data', 'fringing capacitance', 'effective radius']</t>
  </si>
  <si>
    <t>A simple algebraic formula for the resonant frequency of a circular microstrip disk antenna as a function of the effective radius and of the fringing capacitance has been derived which is valid for electrically-thick dielectric substrates. Accuracy of the theoretical results of resonance is compared with previous theories and measured data.</t>
  </si>
  <si>
    <t>1331-1333</t>
  </si>
  <si>
    <t>60103476;60103476</t>
  </si>
  <si>
    <t>6507256355;6603403861</t>
  </si>
  <si>
    <t>Kumprasert, Nirun;Kiranon, Wiwat</t>
  </si>
  <si>
    <t>Thailand</t>
  </si>
  <si>
    <t>Bangkok</t>
  </si>
  <si>
    <t>King Mongkuts University of Technology</t>
  </si>
  <si>
    <t>Kumprasert N.</t>
  </si>
  <si>
    <t>Simple and accurate formula for the resonant frequency of the circular microstrip disk antenna</t>
  </si>
  <si>
    <t>10.1109/8.475109</t>
  </si>
  <si>
    <t>2-s2.0-0029408623</t>
  </si>
  <si>
    <t>['straightforward way', 'input impedance', 'fed dipole', 'dipole axis', 'appropriately truncated', '2 since']</t>
  </si>
  <si>
    <t>The input impedance of a thin (a ‚â™ Œª) center-fed dipole with an assumed sinusoidal surface current distribution is obtained by the Poynting vector method. It is shown that by retaining the surface current distribution rather than replacing it by the classical equivalent line current on the dipole axis, the Poynting vector method can be used in a straightforward way and the dipole impedance obtained as a series in powers of ka. The series is appropriately truncated to order (ka)2 since it is assumed that the dipole is thin (ka ‚â™ 1).</t>
  </si>
  <si>
    <t>1336-1339</t>
  </si>
  <si>
    <t>7005164716;6503939156</t>
  </si>
  <si>
    <t>MacPhie, R. H.;Darbna, S. K.</t>
  </si>
  <si>
    <t>Input impedance of a thin dipole with sinusoidal surface current distribution by the Poynting vector method</t>
  </si>
  <si>
    <t>10.1109/8.475111</t>
  </si>
  <si>
    <t>2-s2.0-0029408953</t>
  </si>
  <si>
    <t>['small number', 'small area', 'search involves', 'quantization problem', 'put forward', 'proposed approach', 'potential benefits', 'new algorithm', 'incident signals', 'exhaustive search', 'error effects', 'element array', 'cost functions', 'characteristic points', 'array manifold', 'algorithm uses', '1 regions']</t>
  </si>
  <si>
    <t>When signal subspace techniques, such as MuSIC, are used to locate a number of incident signals, an exhaustive search of the array manifold has to be carried out. This search involves the evaluation of a single cost function at a number of points which form a grid, resulting in quantization-error effects. In this paper a new algorithm is put forward to overcome the quantization problem. The algorithm uses a number of cost functions, and stages, equal to the number of incident signals. At each stage a new cost function is evaluated in a small number of `special' directions, known as characteristic points. For an N-element array the characteristic points, which can be pre-calculated from the array manifold curvatures, partition the array manifold into N-1 regions. By using a simple gradient algorithm, only a small area of one of these regions is searched at each stage, demonstrating the potential benefits of the proposed approach.</t>
  </si>
  <si>
    <t>1458-1466</t>
  </si>
  <si>
    <t>60015150;60015150</t>
  </si>
  <si>
    <t>6506540989;7003393843</t>
  </si>
  <si>
    <t>Dacos, Ioannis;Manikas, Athanassios</t>
  </si>
  <si>
    <t>Dacos I.</t>
  </si>
  <si>
    <t>Eliminating the quantization problem in signal subspace techniques</t>
  </si>
  <si>
    <t>2-s2.0-0029409518</t>
  </si>
  <si>
    <t>['wedge absorbers', 'pyramidal absorbers', 'periodic array', 'multilayered absorbers', 'magnetic current', 'equivalent electric', 'developed method', 'analyzed using', 'also shown']</t>
  </si>
  <si>
    <t>In the past, the scattering and absorption of a doubly-periodic array of pyramidal absorbers were analyzed using a surface integral equation (SIE) approach. This method is now extended to multilayered absorbers with arbitrarily shaped surfaces between the layers. The developed method is verified on planar stratified absorbers, on wedge absorbers, and rectangular absorbers showing the capability of the method to handle such structures as well. It is also shown that convergence depends critically on the discretization of the equivalent electric and magnetic current.</t>
  </si>
  <si>
    <t>1281-1287</t>
  </si>
  <si>
    <t>60033316;60033316;60033316;60033316</t>
  </si>
  <si>
    <t>6602869380;6603089271;7005517580;6701605698</t>
  </si>
  <si>
    <t>Marly, Nick;Baekelandt, Bart;De Zutter, Daniel;Pues, Hugo F.</t>
  </si>
  <si>
    <t>Marly N.</t>
  </si>
  <si>
    <t>Integral equation modeling of the scattering and absorption of multilayered doubly-periodic lossy structures</t>
  </si>
  <si>
    <t>10.1109/8.475100</t>
  </si>
  <si>
    <t>2-s2.0-0029409521</t>
  </si>
  <si>
    <t>['reciprocity method', 'reasonable agreement', 'moment method', 'magnetic current', 'input impedance', 'function due', 'equivalent radius', 'derived rigorously', 'cylindrical dipole', 'applied directly', 'antenna configuration']</t>
  </si>
  <si>
    <t>A hemispherical dielectric resonator (DR) antenna using aperture coupling for excitation is studied both theoretically and experimentally. The reciprocity method is used to formulate the problem. The exact magnetic field Green's function due to the equivalent magnetic current in the slot is derived rigorously, and it is presented in a form which can be evaluated very efficiently. Moment method is used to solve the magnetic current from which the input impedance of the antenna configuration is obtained. The equivalent radius of the slot is used so that simple formulae developed for the cylindrical dipole can be applied directly. The effects of the slot's length, the slot's position, and the slot's width on the broadside TE111 mode input impedance are studied, and reasonable agreement between theory and experiment is obtained.</t>
  </si>
  <si>
    <t>1192-1198</t>
  </si>
  <si>
    <t>56415172000;55510527400;57207098128;7403692161</t>
  </si>
  <si>
    <t>Leung, Kwok Wa;Luk, Kwai Man;Lai, Kin Y.A.;Lin, Deyun</t>
  </si>
  <si>
    <t>Leung K.W.</t>
  </si>
  <si>
    <t>Theory and experiment of an aperture-coupled hemispherical dielectric resonator antenna</t>
  </si>
  <si>
    <t>10.1109/8.475090</t>
  </si>
  <si>
    <t>2-s2.0-0029410028</t>
  </si>
  <si>
    <t>['viterbi algorithm', 'trellis metric', 'proposed equalizer', 'path selections', 'paper proposes', 'multipath channel', 'extended equalizer', 'equalizer calculates', 'computer simulation', 'channel estimators', 'ber performance', 'antenna outputs', 'antenna diversity']</t>
  </si>
  <si>
    <t>This paper proposes and investigates a tap selectable Viterbi equalizer for mobile radio communications. When the multipath channel is modeled by a tapped delay line only, the taps which may seriously affect the data sequence estimation are selected and used to calculate the trellis metric in the Viterbi algorithm. The proposed equalization algorithm can reduce the number of path metric calculations and the number of path selections in the Viterbi algorithm. Moreover, we propose an extended equalizer which has antenna diversity. This equalizer calculates the path metric using the antenna outputs and results of channel estimators. Computer simulation is used to evaluate the BER performance of the proposed equalizer in a multipath radio channel.</t>
  </si>
  <si>
    <t>1498-1506</t>
  </si>
  <si>
    <t>Tap selectable Viterbi equalizer combined with diversity antennas</t>
  </si>
  <si>
    <t>2-s2.0-0029410209</t>
  </si>
  <si>
    <t>['vhf propagation', 'threshold value', 'tentatively conclude', 'tec determined', 'strongly correlated', 'since mid', 'scale e', 'region structures', 'receiving station', 'receiver located', 'propagation occurs', 'present near', 'polar paths', 'plasma frequencies', 'paths within', 'morse letter', 'mode analysis', 'maximum phase', 'gps measurements', 'fairbanks path', 'fairbanks experiment', 'fairbanks detects', 'experiment ended', 'every 5', 'e ionization', 'auroral oval', 'august 1991', 'another experiment', 'alaska transmits', 'aei signal', 'aei propagation', 'aei experiment', '58 ).', '5300 km', '46 mhz', '146 mhz']</t>
  </si>
  <si>
    <t>VHF propagation on polar paths up to 5300 KM in length has been documented during the maximum phase of sunspot cycle 19 (1957-58). Mode analysis on these polar paths has shown that auroral-E ionization (AEI) supported some modes. Incoherent scatter radars (ISR's) and ionosondes have also measured electron densities and plasma frequencies which could support AEI modes at frequencies up to 46 MHz. Long distance VHF propagation from AEI has also been reported by radio amateurs using frequencies in the 2m Amateur Band (144-146 MHz) in a 'sidescatter mode.' An AEI experiment has been in operation between Wales and Fairbanks (Alaska) since mid-August 1991. A 75-watt CW watt transmitter located in Wales, Alaska transmits the Morse letter 'R' every 5 s continuously, and a receiver located in Fairbanks detects the 25.5 MHz signal whenever AEI is present near the midpoint of the 960 km path. Another experiment is presently underway using a GPS total electron content (TEC) receiving station at Fairbanks also using AEI data from the Wales-Fairbanks experiment. From this experiment, we have examined 58 passes of GPS satellites whose E-layer penetration points lie close to the midpoint of the Wales-Fairbanks path and found that there is a threshold value of TEC above which auroral-E (AE) propagation occurs. We also have found that AEI propagation is strongly correlated with large- and medium-scale E-region structures in TEC determined by the GPS measurements. When TEC ionospheric structures are not present near the Wales-Fairbanks path midpoint, no AEI signal is received. We tentatively conclude that the occurrence of these specific TEC signatures may be utilized as predictors of AEI forward propagation on paths within and parallel to the auroral oval. This experiment ended in the summer of 1995.</t>
  </si>
  <si>
    <t>1313-1318</t>
  </si>
  <si>
    <t>101275665;101275665;101275665;101275665</t>
  </si>
  <si>
    <t>6603033627;7005375785;7404184669;7003925876</t>
  </si>
  <si>
    <t>Hunsucker, Robert D.;Coker, Clayton;Cook, Jeffrey;Lott, Gus</t>
  </si>
  <si>
    <t>Fairbanks</t>
  </si>
  <si>
    <t>RP Consultants</t>
  </si>
  <si>
    <t>Hunsucker R.</t>
  </si>
  <si>
    <t>Investigation of the feasibility of utilizing GPS/TEC 'signatures' for near-real time forecasting of auroral-E propagation at high-HF and low-VHF frequencies</t>
  </si>
  <si>
    <t>10.1109/8.475104</t>
  </si>
  <si>
    <t>2-s2.0-0029410211</t>
  </si>
  <si>
    <t>['‚ äô', 'within tmc', 'velocity structure', 'typically contain', 'spatial ccs', 'smallest fragments', 'slightly larger', 'several clumps', 'sampled maps', 'putative proto', 'order 0', 'nasa 34', 'large factor', 'large array', 'interferometer observations', 'highly fragmented', 'high spectral', 'gravitationally unbound', 'fragmentation mechanisms', 'excellent tracers', 'dsn antenna', 'dish observations', 'detailed study', 'dense cores', 'cores traced', 'clumps show', 'ccs lines', 'ccs appear', 'cc34s spectra', 'called core', '98 ghz', '93 ghz', '25 km', '22 ghz', '2 pc', '10 k', '1 using', '1 ),', '008 km']</t>
  </si>
  <si>
    <t>ISM: clouds | ISM: individual (Taurus molecular cloud) | ISM: molecules | Radio lines: ISM | Stars: formation</t>
  </si>
  <si>
    <t>Large-scale C18O maps show that the Taurus molecular cloud 1 (TMC-1) has numerous cores located along a ridge which extends about 12‚Ä≤ by at least 35‚Ä≤. The cores traced by C18O are about a few arcminutes (0.1-0.2 pc) in extent, typically contain about 0.5-3 M‚äô, and are probably gravitationally bound. We present a detailed study of the small-scale fragmentary structure of one of these cores, called core D, within TMC-1 using very high spectral and spatial resolution maps of CCS and CS. The CCS lines are excellent tracers for investigating the density, temperature, and velocity structure in dense cores. The high spectral resolution, 0.008 km s-1, data consist mainly of single-dish, Nyquist-sampled maps of CCS at 22 GHz with 45‚Ä≥ spatial resolution taken with NASA's 70 m DSN antenna at Goldstone. The high spatial resolution spectral line maps were made with the Very Large Array (9‚Ä≥ resolution) at 22 GHz and with the OVRO millimeter array in CCS and CS at 93 GHz and 98 GHz, respectively, with 6‚Ä≥ resolution. These maps are supplemented with single-dish observations of CCS and CC34S spectra at 33 GHz using a NASA 34 m DSN antenna, CCS 93 GHz, C34S (2-1), and C18O (1-0) single-dish observations made with the AT&amp;T Bell Laboratories 7 m antenna. Our high spectral and spatial CCS and CS maps show that core D is highly fragmented. The single-dish CCS observations map out several clumps which range in size from ‚àº45‚Ä≥ to 90‚Ä≥ (0.03-0.06 pc). These clumps have very narrow intrinsic line widths, 0.11-0.25 km s-1, slightly larger than the thermal line width for CCS at 10 K, and masses about 0.03-0.2 M‚äô. Interferometer observations of some of these clumps show that they have considerable additional internal structure, consisting of several condensations ranging in size from ‚àº10‚Ä≥-30‚Ä≥ (0.007-0.021 pc), also with narrow line widths. The mass of these smallest fragments is of order 0.01 M‚äô. These small-scale structures traced by CCS appear to be gravitationally unbound by a large factor. Most of these objects have masses that fall below those of the putative proto-brown dwarfs (‚â≤0.1 M‚äô). The presence of many small gravitationally unbound clumps suggests that fragmentation mechanisms other than a purely Jeans gravitational instability may be important for the dynamics of these cold dense cores.</t>
  </si>
  <si>
    <t>293-307</t>
  </si>
  <si>
    <t>60009037;60009037-60031855;60009037;60009037;60009037;60029470</t>
  </si>
  <si>
    <t>36084862900;55954108500;6603865780;7401469655;7201962783;55993749500</t>
  </si>
  <si>
    <t>Langer, W. D.;Velusamy, T.;Kuiper, T. B.H.;Levin, S.;Olsen, E.;Migenes, V.</t>
  </si>
  <si>
    <t>India;Australia;United States</t>
  </si>
  <si>
    <t>Mumbai;Melbourne;Pasadena</t>
  </si>
  <si>
    <t>Tata Institute of Fundamental Research, Mumbai;Commonwealth Scientific and Industrial Research Organization;Jet Propulsion Laboratory</t>
  </si>
  <si>
    <t>60031855;60029470;60009037</t>
  </si>
  <si>
    <t>Langer W.D.</t>
  </si>
  <si>
    <t>Study of structure and small-scale fragmentation in TMC-1</t>
  </si>
  <si>
    <t>10.1086/176389</t>
  </si>
  <si>
    <t>2-s2.0-11944264486</t>
  </si>
  <si>
    <t>['¬© 1995', 'rights reserved', 'reflector antenna', 'pattern symmetry', 'mechanisms responsible', 'loaded horn', 'feed horn']</t>
  </si>
  <si>
    <t>Antenna feeds | Dielectric-loaded antennas | Horn antennas</t>
  </si>
  <si>
    <t>A modified dielectric cone-loaded horn is described that maintains excellent return loss and pattern symmetry over a bandwidth ratio greater than 30:1. The mechanisms responsible for the extremely broadband operation and its application as a feed horn for a reflector antenna are discussed. ¬© 1995, IEE. All rights reserved.</t>
  </si>
  <si>
    <t>1968-1969</t>
  </si>
  <si>
    <t>57197449545;7201399131</t>
  </si>
  <si>
    <t>Clark, P. R.;James, G. L.</t>
  </si>
  <si>
    <t>Clark P.</t>
  </si>
  <si>
    <t>Ultra-wideband hybrid-mode feeds</t>
  </si>
  <si>
    <t>10.1049/el:19951364</t>
  </si>
  <si>
    <t>2-s2.0-0029640434</t>
  </si>
  <si>
    <t>['¬© 1995', 'wide range', 'special case', 'rights reserved', 'reciprocity theorem', 'presented using', 'perpendicular slot', 'numerical results', 'microstrip line', 'impedance level', 'ground plane', 'good agreement', 'available computed']</t>
  </si>
  <si>
    <t>Slot antennas | Spectral-domain analysis</t>
  </si>
  <si>
    <t>The analysis of an arbitrarily inclined slot on the ground plane of a microstrip line is presented using the spectral domain approach and reciprocity theorem. Comparison of numerical results for the special case of a perpendicular slot with other available computed and measured data shows a good agreement. It is found that the impedance level can be controlled over a wide range by varying inclination angle. Results should be useful in antenna and multilayer circuit integration applications. ¬© 1995, IEE. All rights reserved.</t>
  </si>
  <si>
    <t>1966-1967</t>
  </si>
  <si>
    <t>60026338;60026338;60018714</t>
  </si>
  <si>
    <t>35566584200;7402099663;57027512900</t>
  </si>
  <si>
    <t>Antar, Y. M.M.;Fan, Z.;Ittipiboon, A.</t>
  </si>
  <si>
    <t>Analysis of an arbitrarily inclined slot on theground plane of a microstrip line</t>
  </si>
  <si>
    <t>10.1049/el:19951391</t>
  </si>
  <si>
    <t>2-s2.0-0029640455</t>
  </si>
  <si>
    <t>['¬© 1995', 'polarization switches', 'ns ),', 'fast switching']</t>
  </si>
  <si>
    <t>We introduce a novel, modular solid optic time delay system for wide bandwidth phases arrays and other applications. The architecture is based on polarization switches and polarizing beam splitters. We demonstrate that the system has fast switching (ns-ms), arbitrary time delay (ps-ns), and ruggedness. ¬© 1995.</t>
  </si>
  <si>
    <t>60008740;60008740;60008740</t>
  </si>
  <si>
    <t>57220930486;6603543820;7102793101</t>
  </si>
  <si>
    <t>Fu, Jian;Schamschula, Marius;Caulfield, H. John</t>
  </si>
  <si>
    <t>Huntsville</t>
  </si>
  <si>
    <t>Alabama A and M University</t>
  </si>
  <si>
    <t>Fu J.</t>
  </si>
  <si>
    <t>Modular solid optic time delay system</t>
  </si>
  <si>
    <t>003040189500430G</t>
  </si>
  <si>
    <t>10.1016/0030-4018(95)00430-G</t>
  </si>
  <si>
    <t>2-s2.0-0029408194</t>
  </si>
  <si>
    <t>['œéps ii', '¬© 1995', 'whereas œéps', 'thylakoids resuspended', 'thylakoid destacking', 'spinach thylakoids', 'room temperature', 'relative increases', 'relative decreases', 'reaction centers', 'ps ii', 'probably due', 'induced decreases', 'energy distribution', 'effectively trapped', 'determined simultaneously', 'correspond closely', 'consistently increasing', 'changed respectively', 'absorbance change', 'absolute changes', '820 nm', '735 nm']</t>
  </si>
  <si>
    <t>Antenna size | Photosynthetic unit | Pump-probe fluorescence method | State transition</t>
  </si>
  <si>
    <t>An open question regarding the changes of energy distribution between Photosystems (PS) I and II following protein phosphorylation and thylakoid destacking is whether or not excitation energy redirected from PS II antenna is effectively trapped by PS I reaction centers. In this report, we measured the effects in spinach thylakoids of Mg2+-depletion and of phosphorylation at 5 and 1 mM MgCl2 on: (1) the effective absorption cross-sections (œÉ) of both PS II and PS I determined simultaneously from single-turnover flash saturation curves of Ch1 a fluorescence and of the absorbance change at 820 nm, respectively; (2) the absolute changes in 77 K fluorescence yields emitted by PS II and PS I; and (3) the quenching of room temperature Ch1 a fluorescence. In all experiments, we observed complementary changes between œÉPS I and œÉPS II, œÉPS I consistently increasing at the expense of œÉPS II. ATP-induced decreases of œÉPS II were 6.9% and 11.2% at 5 and 1 mM MgCl2, respectively, whereas œÉPS I increased by 12% and 18.6% under these conditions. In absence of Mg2+, œÉPS II and œÉPS I changed respectively by -26.2% and +38.9% relative to thylakoids resuspended in presence of 5 mM MgCl2. These relative increases of œÉPS I are larger than the relative decreases of œÉPS II by a factor of 1.5 - 1.7, probably due to the stoichiometry between PS II and PS I complexes typically found in sun-adapted spinach leaves. Also, we observed that the increases of œÉPS I correspond closely to the increases of 77 K fluorescence yields emitted at 735 nm by PS I. However, no clear relationship could be detected between the changes of œÉPS II and the quenching of both room temperature and 77 K PS II fluorescence. The reasons for such discrepancy are discussed. ¬© 1995.</t>
  </si>
  <si>
    <t>21-26</t>
  </si>
  <si>
    <t>60001343;60001343</t>
  </si>
  <si>
    <t>7006678078;7202146710</t>
  </si>
  <si>
    <t>Samson, Guy;Bruce, Doug</t>
  </si>
  <si>
    <t>St. Catharines</t>
  </si>
  <si>
    <t>Brock University</t>
  </si>
  <si>
    <t>Samson G.</t>
  </si>
  <si>
    <t>Complementary changes in absorption cross-sections of Photosystems I and II due to phosphorylation and Mg&lt;sup&gt;2+&lt;/sup&gt;-depletion in spinach thylakoids</t>
  </si>
  <si>
    <t>10.1016/0005-2728(95)00104-6</t>
  </si>
  <si>
    <t>2-s2.0-0028863994</t>
  </si>
  <si>
    <t>['¬© 1995', 'tdd system', 'rights reserved', 'proposed scheme', 'offset frequency', 'mobile stations', 'letter proposes', 'adaptive modulation']</t>
  </si>
  <si>
    <t>Directive antennas | Diversity reception | Land mobile radio</t>
  </si>
  <si>
    <t>The Letter proposes a directive antenna diversity reception scheme for an adaptive modulation/TDMA/TDD system to achieve high quality, high bit rate and high spectral efficient data transmission even in high mobility land mobile communication environments. In mobile stations, a directive antenna diversity is applied to reduce the Doppler spread equally in each branch. At each branch, the offset frequency (foff) and foff-cancelled fading variation are estimated to improve the accuracy of the propagation path characteristic estimation even in high maximum Doppler frequency (fd) environments. Computer simulation confirms that the proposed scheme can achieve successful variable rate transmission in fast fading environments. ¬© 1995, IEE. All rights reserved.</t>
  </si>
  <si>
    <t>2071-2072</t>
  </si>
  <si>
    <t>60024322;60024322;60024322</t>
  </si>
  <si>
    <t>55628569115;7004748293;7103183522</t>
  </si>
  <si>
    <t>Suzuki, T.;Sampei, S.;Morinaga, N.</t>
  </si>
  <si>
    <t>Suita</t>
  </si>
  <si>
    <t>Osaka University</t>
  </si>
  <si>
    <t>Suzuki T.</t>
  </si>
  <si>
    <t>Directive antenna diversity reception for an adaptive modulation system in land mobile communications</t>
  </si>
  <si>
    <t>10.1049/el:19951413</t>
  </si>
  <si>
    <t>2-s2.0-0029405456</t>
  </si>
  <si>
    <t>['¬© 1995', 'wave elements', 'sequentially rotated', 'rights reserved', 'practical implementation', 'critically examined']</t>
  </si>
  <si>
    <t>Microstrip antenna arrays | Microstrip antennas</t>
  </si>
  <si>
    <t>Four printed travelling-wave elements having 66% bandwidth are sequentially rotated in a 2 √ó 2 array. Computed and measured circular polarisation characteristics of the array with and without sequential rotation, are critically examined and the advantages and disadvantages of the sequential design technique are identified. Practical implementation and the inference for other types of large bandwidth elements and arrays are noted. ¬© 1995, IEE. All rights reserved.</t>
  </si>
  <si>
    <t>2062-2064</t>
  </si>
  <si>
    <t>7003507268;7403018268</t>
  </si>
  <si>
    <t>Morrow, I.;James, J. R.</t>
  </si>
  <si>
    <t>Morrow I.</t>
  </si>
  <si>
    <t>Sequentially rotated large bandwidth circularly polarised printed antennas</t>
  </si>
  <si>
    <t>10.1049/el:19951452</t>
  </si>
  <si>
    <t>2-s2.0-0029407532</t>
  </si>
  <si>
    <t>['¬© 1995', 'rights reserved', '55œºpm wdms', '50db crosstalk', '100nm bandwidth']</t>
  </si>
  <si>
    <t>Community antenna television | Optical waveguide components | Wavelength division multiplexing</t>
  </si>
  <si>
    <t>The authors have designed and fabricated monolithic optical waveguide 1.31/1.55Œºpm WDMs with -50dB crosstalk over 100nm bandwidth and fibre-to-fibre insertion loss of &lt;1dB. They have used these WDMs to multiplex and demultiplex 60 analogue CATV channels at 1.31Œºm and 85 digital video channels at 1.55Œºm on a single optical fibre. ¬© 1995, IEE. All rights reserved.</t>
  </si>
  <si>
    <t>2100-2101</t>
  </si>
  <si>
    <t>60021378;60021378;60021378;60021378;60021378</t>
  </si>
  <si>
    <t>36062269300;7003311504;6507194196;7401577927;57218185529</t>
  </si>
  <si>
    <t>Li, Y. P.;Yaffe, H. H.;Sweatt, R. L.;Henry, C. H.;Laskowski, E. J.</t>
  </si>
  <si>
    <t>Li Y.P.</t>
  </si>
  <si>
    <t>Monolithic optical waveguide 1.31/1.55Œºm WDM with -50 dB crosstalk over 100nm bandwidth</t>
  </si>
  <si>
    <t>10.1049/el:19951414</t>
  </si>
  <si>
    <t>2-s2.0-0029407779</t>
  </si>
  <si>
    <t>['¬© 1995', 'wave frequencies', 'rights reserved', 'latter 1', 'element bow', 'broadband match']</t>
  </si>
  <si>
    <t>Antennas | Mierostrip antennas | MMIC</t>
  </si>
  <si>
    <t>A two-element bow-tie dipole antenna and a single-element bow-tie slot antenna fabricated on a high dielectric constant (Œµv= 10.2) substrate are introduced for applications at millimetre-wave frequencies. The former antenna provides 2GHz bandwidth at 35GHz and the latter 1.3GHz at 32.7GHz. With a broadband match, these antennas would yield significantly higher bandwidths. ¬© 1995, IEE. All rights reserved.</t>
  </si>
  <si>
    <t>2060-2061</t>
  </si>
  <si>
    <t>60001359;60014174</t>
  </si>
  <si>
    <t>7004582770;23023532000</t>
  </si>
  <si>
    <t>Mirshekar-Syahkal, D.;Wake, D.</t>
  </si>
  <si>
    <t>Ipswich;Colchester</t>
  </si>
  <si>
    <t>British Telecom Research Lab;University of Essex</t>
  </si>
  <si>
    <t>60014174;60001359</t>
  </si>
  <si>
    <t>Mirshekar-Syahkal D.</t>
  </si>
  <si>
    <t>Bow-tie antennas on high dielectric substrates for MMIC and OEIC applications at millimetre-wave frequencies</t>
  </si>
  <si>
    <t>10.1049/el:19951426</t>
  </si>
  <si>
    <t>2-s2.0-0029408175</t>
  </si>
  <si>
    <t>['¬© 1995', 'standing wave', 'rights reserved', 'limited bandwidth', 'common antenna', 'behave like', 'authors present']</t>
  </si>
  <si>
    <t>Dipole antennas | Microstrip antennas</t>
  </si>
  <si>
    <t>While it is a common antenna, the unloaded conducting microstrip dipole suffers from a very limited bandwidth, because it is a resonant structure supporting a standing wave of current. The authors present the characteristics of a microstrip dipole modified to behave like a travelling wave structure. ¬© 1995, IEE. All rights reserved.</t>
  </si>
  <si>
    <t>2064-2066</t>
  </si>
  <si>
    <t>60019947;60022659</t>
  </si>
  <si>
    <t>6603092201;7202185170</t>
  </si>
  <si>
    <t>Tonn, D. A.;Bansal, R.</t>
  </si>
  <si>
    <t>Storrs;New London</t>
  </si>
  <si>
    <t>University of Connecticut;US Naval Underwater Systems Center</t>
  </si>
  <si>
    <t>60022659;60019947</t>
  </si>
  <si>
    <t>Tonn D.</t>
  </si>
  <si>
    <t>Travelling wave microstrip dipole antennas</t>
  </si>
  <si>
    <t>10.1049/el:19951409</t>
  </si>
  <si>
    <t>2-s2.0-0029410258</t>
  </si>
  <si>
    <t>['¬© 1995', 'unequal dipoles', 'rights reserved', 'matching networks', 'matching condition', 'input impedances', 'different radii', 'different lengths', 'broadside arrays', 'array produces']</t>
  </si>
  <si>
    <t>Antenna arrays | Antennas | Dipole antennas</t>
  </si>
  <si>
    <t>Planar antenna arrays of unequal dipoles in which all the input impedances of the elements are the same are proposed to simplify the matching networks or to improve the matching condition for broadside arrays. A method to design this type of array is described. The array produces a given radiation pattern. The elements are of different lengths and different radii. ¬© 1995, IEE. All rights reserved.</t>
  </si>
  <si>
    <t>2061-2062</t>
  </si>
  <si>
    <t>60010421;60010421;60010421</t>
  </si>
  <si>
    <t>56092910000;7004364432;7409376286</t>
  </si>
  <si>
    <t>Chen, W.;Jen, L.;Zhang, S. M.</t>
  </si>
  <si>
    <t>Southwest Jiaotong University</t>
  </si>
  <si>
    <t>Chen W.</t>
  </si>
  <si>
    <t>Planar dipole arrays with equal element input impedances</t>
  </si>
  <si>
    <t>10.1049/el:19951420</t>
  </si>
  <si>
    <t>2-s2.0-0029410484</t>
  </si>
  <si>
    <t>['œ ≤', 'take place', 'second division', 'photoreceptor axons', 'phase like', 'morphogenetic furrow', 'lamina precursors', 'intercellular signal', 'identified using', 'heparan sulfate', 'hedgehog families', 'glypican group', 'glycosylphosphatidylinositol linkage', 'genetic screen', 'eye disc', 'external leaflet', 'enhancer trap', 'delayed progression', 'delayed entry', 'daily mutants', 'containing proteins', 'cell division']</t>
  </si>
  <si>
    <t>Cell cycle | Cell division | Dally | Drosophila | Nervous system | Proteoglycan</t>
  </si>
  <si>
    <t>We have devised a genetic screen to obtain mutants affecting cell division patterning in the developing central nervous system of Drosophila. The division abnormally delayed (daily) locus was identified using a combination of 'enhancer trap' and behavioral screening methods. The ordered cell cycle progression of lamina precursor cells, which generate synaptic target neurons for photoreceptors, is disrupted in daily mutants. The first of two lamina precursor cell divisions shows a delayed entry into mitosis. The second division, one that is triggered by an intercellular signal from photoreceptor axons, fails to take place. Similar to lamina precursors, cells that generate the ommatidia of the adult eye show two synchronized divisions found along the morphogenetic furrow in the eye disc and the first division cycle in daily mutants displays a delayed progression into M phase like that found in the first lamina precursor cell division, daily mutations also affect viability and produce morphological defects in several adult tissues, including the eye, antenna, wing and genitalia. Sequencing of a daily cDNA reveals a potential open reading frame of 626 amino acids with homology to a family of Glypican-related integral membrane proteoglycans. These heparan sulfate-containing proteins are attached to the external leaflet of the plasma membrane via a glycosylphosphatidylinositol linkage. Heparan sulfate proteoglycans may serve as co-receptors for a variety of secreted proteins including fibroblast growth factor, vascular endothelial growth factor, hepatocyte growth factor and members of the Wnt, TGF-Œ≤ and Hedgehog families. The cell division defects found in daily mutants implicate the Glypican group of integral membrane proteoglycans in the control of cell division during development.</t>
  </si>
  <si>
    <t>3687-3702</t>
  </si>
  <si>
    <t>7004941228;6506010662;7003935450</t>
  </si>
  <si>
    <t>Nakato, H.;Futch, T. A.;Selleck, S. B.</t>
  </si>
  <si>
    <t>Nakato H.</t>
  </si>
  <si>
    <t>The division abnormally delayed (daily) gene: A putative integral membrane proteoglycan required far cell division patterning during postembryonic development of the nervous system in Drosophila</t>
  </si>
  <si>
    <t>2-s2.0-0028880557</t>
  </si>
  <si>
    <t>['resolved measurements', 'plasma potential', 'multipactor effect', 'ionization occurs', 'intense burst', 'initial pulse', 'helicon antenna', 'fast time', 'energy electrons', 'electrons ionize', 'electron temperature', 'background gas', '8 ev', '70 mu', '30 mu', '200 v', '20 mu', '20 ev', '10 mu', '1 mu']</t>
  </si>
  <si>
    <t>Fast time-resolved measurements of ion and electron energy distributions in the first 200 mu s of a discharge in a 20 cm diameter glass Helicon source show that, 10 mu s after the RF is turned on, an intense burst of electrons is produced with average energy 200 eV and lasting about 1 mu s. This initial pulse of high-energy electrons can be explained in terms of resonant secondary electron multiplication (the multipactor effect) of electrons which are accelerated in the RF fields produced by the Helicon antenna. These electrons ionize the background gas very rapidly and a plasma with high electron temperature and hence high plasma potential can be created in about 1 mu s. Subsequently, further ionization occurs and, after 20 mu s, the plasma potential has fallen to about 200 V and the electron temperature to about 20 eV. The electron temperature continues falling and reaches a steady state value of 8 eV in about 30 mu s. The density and plasma potential reach steady state after about 70 mu s.</t>
  </si>
  <si>
    <t>534-540</t>
  </si>
  <si>
    <t>Plasma Sources Science and Technology</t>
  </si>
  <si>
    <t>7103354742;57208893490</t>
  </si>
  <si>
    <t>Boswell, R. W.;Vender, D.</t>
  </si>
  <si>
    <t>Boswell R.</t>
  </si>
  <si>
    <t>An experimental study of breakdown in a pulsed Helicon plasma</t>
  </si>
  <si>
    <t>10.1088/0963-0252/4/4/004</t>
  </si>
  <si>
    <t>2-s2.0-0000211728</t>
  </si>
  <si>
    <t>['uhf power', 'plasma source', 'plasma density', 'magnetic field', 'fairly simple', 'etching processes', 'electron temperatures', 'density plasma', 'almost proportional', '20 cm', '100 w', '0 ev']</t>
  </si>
  <si>
    <t>A low-temperature, uniform, high-density plasma is produced by an ultra-high-frequency (UHF) discharge with a new spokewise antenna. The plasma is uniform within ¬±5% over a diameter of 20 cm. The plasma density, 5√ó1010cm-3 for low-electron temperatures of 1.5-2.0 eV, is almost proportional to the UHF power even at a low-UHF power of 100 W. No magnetic field is needed to maintain a high-density plasma. Consequently, the plasma source is fairly simple and lightweight. The plasma source should ease serious problems in etching processes that use conventional high-density plasmas.¬© 1995 American Institute of Physics.</t>
  </si>
  <si>
    <t>Low-temperature, uniform, and high-density plasma produced by a new ultra-high-frequency discharge with a spokewise antenna</t>
  </si>
  <si>
    <t>10.1063/1.114511</t>
  </si>
  <si>
    <t>2-s2.0-0000719969</t>
  </si>
  <si>
    <t>['room temperature', 'periodic forces', 'many features', 'considerably weaker', '25 j', '24 j', '21 j', '2 k', '15 n']</t>
  </si>
  <si>
    <t>The atomic force microscope (AFM) is calculated to have quantum limited sensitivity using common optical detection techniques. Under typical ambient operating conditions, the AFM is shown to have an energy resolution better than 10-24 J, considerably weaker than the energy of 10-21 J/molecule for the weakest chemical bonds. For operation in vacuum, periodic forces of 10-15 N are detectable at room temperature. At 4.2 K it is possible to resolve single bursts of energy of 10-25 J. The AFM is shown to have many features in common with a resonant-bar gravitational wave antenna. ¬© 1995 American Institute of Physics.</t>
  </si>
  <si>
    <t>3191-3195</t>
  </si>
  <si>
    <t>Review of Scientific Instruments</t>
  </si>
  <si>
    <t>Smith, D. P.E.</t>
  </si>
  <si>
    <t>Yorktown Heights</t>
  </si>
  <si>
    <t>IBM Research</t>
  </si>
  <si>
    <t>Limits of force microscopy</t>
  </si>
  <si>
    <t>10.1063/1.1145550</t>
  </si>
  <si>
    <t>2-s2.0-0000975668</t>
  </si>
  <si>
    <t>['time evolution', 'steep increase', 'radio frequency', 'power dependence', 'plasma produced', 'plasma parameters', 'plasma coupling', 'localized near', 'helicon wave', 'excited wave', 'dynamic behaviour', 'dispersion relation', 'density jump', '1013 cm', '1 kw']</t>
  </si>
  <si>
    <t>The dynamic behaviour of a plasma produced by a helicon wave using exciting m=1 and -1 helical modes is investigated. The RF (radio frequency) power dependence, antenna-plasma coupling, and time evolution of plasma parameters and Ar line intensities are studied in relation to the density jump, i.e. a steep increase in density to a level of 1013 cm-3 by the application of an RP input power greater than 1 kW. Before the density jump, the excited wave is localized near the antenna, exhibiting a standing wave character. After the jump, this wave propagates outwards and a dispersion relation for the helicon wave is confirmed.</t>
  </si>
  <si>
    <t>1015-1030</t>
  </si>
  <si>
    <t>60011047;60011047;60011047</t>
  </si>
  <si>
    <t>7102082310;22993789000;55572797300</t>
  </si>
  <si>
    <t>Shinohara, S.;Miyauchi, Y.;Kawai, Y.</t>
  </si>
  <si>
    <t>Shinohara S.</t>
  </si>
  <si>
    <t>Dynamic plasma behaviour excited by m=+or-1 helicon wave</t>
  </si>
  <si>
    <t>10.1088/0741-3335/37/9/007</t>
  </si>
  <si>
    <t>2-s2.0-0001339212</t>
  </si>
  <si>
    <t>['vertical direction', 'supporting structure', 'spectral sensitivity', 'mechanical structure', 'makes use', 'long cables', 'interferometric antenna', 'inertial damping', '6 hz', '500 hz']</t>
  </si>
  <si>
    <t>A wideband (dc to 500 Hz) low noise accelerometer has been developed. It makes use of a suspended mass whose displacement relative to the supporting structure is sensed by a linear variable differential transformer. It works both in horizontal and in vertical direction. The electronics is connected to the mechanical structure through 12 m long cables. The spectral sensitivity is 7√ó10-10 (m/s2)/‚àöHz below 6 Hz. The accelerometer will be used to perform an inertial damping of the resonances of the suspension of the mirrors in VIRGO, an interferometric antenna for gravitational waves detection. ¬© 1995 American Institute of Physics.</t>
  </si>
  <si>
    <t>2672-2676</t>
  </si>
  <si>
    <t>60113665;60113665;60113665;60113665;60113665;60113665;60113665;60113665;60113665;60113665;60113665;60113665;60113665;60113665;60113665;60113665;60113665;60113665;60113665</t>
  </si>
  <si>
    <t>35225713700;35227009000;6603424528;7004046447;35227185800;7005683393;56212286300;7004316945;56448239800;22943966700;7005997443;7006390922;35272707300;56448183900;35277425100;7003569996;22035952900;56248836100;35315212300</t>
  </si>
  <si>
    <t>Braccini, S.;Bradaschia, C.;Del Fabbro, R.;Di Virgilio, A.;Ferrante, I.;Fidecaro, F.;Flaminio, R.;Gennai, A.;Giassi, A.;Giazotto, A.;Gorini, G.;Losurdo, G.;Morganti, M.;Palla, F.;Paoletti, F.;Passuello, D.;Poggiani, R.;Torelli, G.;Zhang, Z.</t>
  </si>
  <si>
    <t>Pisa</t>
  </si>
  <si>
    <t>Istituto Nazionale di Fisica Nucleare, Sezione di Pisa</t>
  </si>
  <si>
    <t>Low noise wideband accelerometer using an inductive displacement sensor</t>
  </si>
  <si>
    <t>10.1063/1.1145608</t>
  </si>
  <si>
    <t>2-s2.0-0001373964</t>
  </si>
  <si>
    <t>['transfer function', 'simple pendulum', 'simple one', 'results confirm', 'resonant period', 'dynamic behavior']</t>
  </si>
  <si>
    <t>We have measured the transfer function of the recently proposed folded pendulum which has a resonant period up to 66 s. Results confirm that the dynamic behavior of the folded pendulum closely approximates that of a simple pendulum of the same period. The system can provide a simple one-dimensional seismic isolation stage for laser interferometer gravitational wave antennas, as well as having application to very low frequency seismometers. ¬© 1995 American Institute of Physics.</t>
  </si>
  <si>
    <t>3216-3218</t>
  </si>
  <si>
    <t>60031806;60031806;60031806</t>
  </si>
  <si>
    <t>57196288209;6603995482;22974326500</t>
  </si>
  <si>
    <t>Liu, Jiangfeng;Winterflood, John;Blair, David G.</t>
  </si>
  <si>
    <t>Liu J.</t>
  </si>
  <si>
    <t>Transfer function of an ultralow frequency vibration isolation system</t>
  </si>
  <si>
    <t>10.1063/1.1145553</t>
  </si>
  <si>
    <t>2-s2.0-0001453297</t>
  </si>
  <si>
    <t>['v characteristic', 'three photons', 'stimulated emission', 'investigated range', 'experiments suggest', 'channels appear', 'bowtie antenna', 'additional peaks', '4 thz']</t>
  </si>
  <si>
    <t>The dc I-V characteristic of a triple-barrier resonant tunneling diode (RTD) integrated in a bowtie antenna and driven by THz radiation displays up to five additional resonant tunneling channels. These channels appear as additional peaks in the I-V characteristic whose voltage positions vary linearly with frequency in the investigated range between ŒΩ=1.0 and 3.4 THz. We attribute these peaks to photon-assisted tunneling processes corresponding to absorption and stimulated emission of up to three photons. The experiments suggest that such a device can be utilized to detect and generate THz radiation.¬© 1995 American Institute of Physics.</t>
  </si>
  <si>
    <t>60029241;60029241;60029241;60029241;60029241</t>
  </si>
  <si>
    <t>22960848100;55477052700;35417089300;7006451270;35462445500</t>
  </si>
  <si>
    <t>Drexler, H.;Scott, J. S.;Allen, S. J.;Campman, K. L.;Gossard, A. C.</t>
  </si>
  <si>
    <t>Drexler H.</t>
  </si>
  <si>
    <t>Photon-assisted tunneling in a resonant tunneling diode: Stimulated emission and absorption in the THz range</t>
  </si>
  <si>
    <t>10.1063/1.114794</t>
  </si>
  <si>
    <t>2-s2.0-0001464158</t>
  </si>
  <si>
    <t>['ultimately traceable', 'subsequently radiated', 'submillimeter region', 'stable mode', 'spectral multiplexing', 'resolution applications', 'power generated', 'photoconductive switch', 'optical spectrum', 'lock frequency', 'integrated along', 'important attributes', 'high resolution', 'free space', 'demodulation process', 'cavity length']</t>
  </si>
  <si>
    <t>A new continuously tunable submillimeter source for spectroscopy and other high-resolution applications has been developed. In this source the optical spectrum of a mode-locked femtosecond laser is downconverted into the submillimeter region by the demodulation process of a photoconductive switch. The power generated is subsequently radiated into free space by an antenna which is integrated along with the switch on low-temperature grown GaAs. The very high resolution is ultimately traceable to the cavity length of the laser and the stable mode-lock frequency which results. Among the most important attributes of the sources are straightforward absolute frequency calibration, very high spectral purity, and the potential for spectral multiplexing. ¬© 1995 American Institute of Physics.</t>
  </si>
  <si>
    <t>60003500;60003500;60003500;60008724;60008724;60008724;60022195</t>
  </si>
  <si>
    <t>6603736595;34770024800;7006133576;7102058598;13606107000;56782257300;57223745182</t>
  </si>
  <si>
    <t>Goyette, Thomas M.;Guo, Wei;De Lucia, Frank C.;Swartz, John C.;Everitt, Henry O.;Guenther, B. D.;Brown, Elliott R.</t>
  </si>
  <si>
    <t>Cambridge;Durham;Columbus</t>
  </si>
  <si>
    <t>Massachusetts Institute of Technology;Duke University;The Ohio State University</t>
  </si>
  <si>
    <t>60022195;60008724;60003500</t>
  </si>
  <si>
    <t>Goyette T.M.</t>
  </si>
  <si>
    <t>Femtosecond demodulation source for high-resolution submillimeter spectroscopy</t>
  </si>
  <si>
    <t>10.1063/1.115391</t>
  </si>
  <si>
    <t>2-s2.0-0001757106</t>
  </si>
  <si>
    <t>['turn antenna', 'tandem mirror', 'rf power', 'radiation spectrum', 'plasma production', 'new scheme', 'mode conversion', 'ion heating', 'electron density', 'could remove', 'central cell', 'achieved value', '165 kw', '1020 ev']</t>
  </si>
  <si>
    <t>A new scheme of plasma production and ion heating in the central cell of the tandem mirror is demonstrated. Helicon mode plasma production in combination with two ion species plasma heating by mode conversion of a fast Alfven wave into a slow Alfven wave realizes ion heating of a high density plasma, and could remove the density limitation caused by the conventional scheme using slow ion cyclotron waves. The achieved value of products of electron density and average ion temperature is 9*1020 eV.m-3 for an RF power of 165 kW. Analysis of wave damping indicates that matching the radiation spectrum of the antenna with the damping spectrum results in efficient plasma production. The phased dual double-half-turn antenna is suitable for helicon wave spectrum control.</t>
  </si>
  <si>
    <t>75-85</t>
  </si>
  <si>
    <t>I06</t>
  </si>
  <si>
    <t>Nuclear Fusion</t>
  </si>
  <si>
    <t>60011001;60011001;60011001;60011001</t>
  </si>
  <si>
    <t>7005212632;56102798000;54975895700;6701429033</t>
  </si>
  <si>
    <t>Takeno, H.;Yasaka, Y.;Sakai, O.;Itatani, R.</t>
  </si>
  <si>
    <t>Takeno H.</t>
  </si>
  <si>
    <t>High density central cell plasma production and ion heating by helicon wave damping and its mode conversion into a slow Alfven wave</t>
  </si>
  <si>
    <t>10.1088/0029-5515/35/1/I06</t>
  </si>
  <si>
    <t>2-s2.0-0003098319</t>
  </si>
  <si>
    <t>['super attenuator', 'sa turn', 'sa ),', 'results guarantee', 'resonance structure', 'quite adequate', 'optical components', 'horizontal directions', 'filter element', 'device designed', 'calculated performances', 'attenuation spectra', '10 hz', '1 khz']</t>
  </si>
  <si>
    <t>A magnetic gas spring (MGS) has been developed to be the filter element of the super attenuator (SA), the device designed to support the optical components of the gravitational interferometric antenna VIRGO. Measurements have been performed on a MGS in order to study the resonance structure of the attenuation spectra in both the vertical and horizontal directions. Results guarantee an attenuation of at least 40 dB almost everywhere from 10 Hz to 1 kHz. By using experimental data the calculated performances of the SA turn out to be quite adequate for the VIRGO project requirements. ¬© 1995 American Institute of Physics.</t>
  </si>
  <si>
    <t>115-119</t>
  </si>
  <si>
    <t>60028868;60028868;60028868;60028868;60028868;60028868;60028868;60028868;60028868;60028868;60028868;60028868;60113231;60113231;60000745</t>
  </si>
  <si>
    <t>35225713700;35227009000;6603424528;7004046447;56212286300;7004011473;22943966700;23015157600;57189876378;35272707300;7003569996;35315212300;7003777189;56243143200;35225772100</t>
  </si>
  <si>
    <t>Braccini, S.;Bradaschia, C.;Del Fabbro, R.;Di Virgilio, A.;Flaminio, R.;Galeotti, S.;Giazotto, A.;Kautzky, H.;Montelatici, V.;Morganti, M.;Passuello, D.;Zhang, Z.;Di Fiore, L.;Calloni, E.;Holloway, L. E.</t>
  </si>
  <si>
    <t>Italy;Italy;United States</t>
  </si>
  <si>
    <t>Naples;Pisa;Urbana</t>
  </si>
  <si>
    <t>Istituto Nazionale di Fisica Nucleare, Sezione di Napoli;Universit√† di Pisa;University of Illinois Urbana-Champaign</t>
  </si>
  <si>
    <t>60113231;60028868;60000745</t>
  </si>
  <si>
    <t>Vertical and horizontal transfer function measurements on a magnetic gas spring</t>
  </si>
  <si>
    <t>10.1063/1.1146433</t>
  </si>
  <si>
    <t>2-s2.0-0011001032</t>
  </si>
  <si>
    <t>['well correlated', 'turn solenoid', 'surface area', 'small volume', 'sharp minimum', 'series resistor', 'section 0', 'second experiment', 'observations suggest', 'larger volumes', 'introduced coaxially', 'induce voltages', 'highly correlated', 'frequency shift', 'first experiment', 'electromagnetic method', 'electromagnetic field', 'apart inside', '967 ).', '5 cm2', '40 mhz', '100 ml']</t>
  </si>
  <si>
    <t>Two experimental investigations of the electromagnetic method to measure body composition are presented. In the first experiment, the impedance of a single-loop transmitting antenna, located at the centre of a 150 m helical receiving coil, was observed to have a sharp minimum at 2.40 MHz. The impedance of the antenna at this frequency with respect to a series resistor was observed to go through a maximum when a small volume of 1% saline, of cross-section 0.5 cm2, was introduced coaxially into the coil. The frequency shift for larger volumes of saline (&gt;0.81) was highly correlated with the surface area of the liquid (r=0.998, 0.997) and less well correlated with volume (r=0.966, 0.967). In the second experiment, a five-turn solenoid, 2 m long and 1.5 m in diameter, was used to induce voltages in two coaxial receiving antennae placed 1 m apart inside the solenoid. The differential induced voltage was observed to vary as coaxial saline phantoms were traversed through the solenoid, with the variation being well correlated with the surface area of the liquid (r=0.993, 0.996) and less well correlated with the volume of liquid in the phantom (r=0.987, 0.958) for volumes above 100 ml. These observations suggest that the (resonant or non-resonant) electromagnetic field only responds to surface eddy currents in a coaxial saline phantom and therefore the TOBEC method may not be valid.</t>
  </si>
  <si>
    <t>659-670</t>
  </si>
  <si>
    <t>Physics in Medicine and Biology</t>
  </si>
  <si>
    <t>7101638726;7004989992;56649794200</t>
  </si>
  <si>
    <t>Sutcliffe, J. F.;Smye, S. W.;Smith, M. A.</t>
  </si>
  <si>
    <t>Sutcliffe J.F.</t>
  </si>
  <si>
    <t>A further assessment of an electromagnetic method to measure body composition</t>
  </si>
  <si>
    <t>10.1088/0031-9155/40/4/011</t>
  </si>
  <si>
    <t>2-s2.0-0028949142</t>
  </si>
  <si>
    <t>['wfhl resided', 'trichoplusia ni', 'stereoisomer blend', 'separately injected', 'pheromone redundancy', 'optical isomers', 'first suggested', 'field experiments', 'favorably compares', 'equally attractive', 'electroantennographic detection', 'either one', 'binary combinations', 'behavioural activity', 'attract males', '6 times', '3 r', '1 pg', ')- 3']</t>
  </si>
  <si>
    <t>(3 R, 13 R)-dimethylheptadecane | (3 R, 13 S)-dimetylheptadecane | (3 S, 13 R)-3, 13-dimethylheptadecane | (3 S, 13 S)-dimethylheptadecane | Chirality | dimethylhydrocarbons | electrophysiological recording | stereoselective synthesis</t>
  </si>
  <si>
    <t>(3 S, 13 R)-3, 13-Dimethylheptadecane [(3 S, 13 R)-3, 13-dime-17Hy] is the major pheromone component of the western false hemlock looper (WFHL), Nepytia freemani. In comparative gas chromotographic-electroantennographic detection (GC-EAD) analyses of stereoselectively synthesized isomers, 1 pg of (3 S, 13 R)-dime-17Hy elicited significantly stronger electrophysiological responses by male WFHL antennae than did 1 pg of separately injected (3 R, 13 R)-, (3 R, 13 S)- or (3 S, 13 S)-3, 13-dime-17Hy. In field experiments with individually tested stereoisomers. (3 S, 13 R)-3, 13-dime-17Hy was the only stereoisomer to attract males, but the four-stereoisomer blend was 3.6 times more attractive. Quaternary and all binary combinations of (3 S, 13 R)-3, 13-dime-17Hy with the other stereoisomers were equally attractive, suggesting that synergisytic behavioral activity in WFHL resided with either one of (3 R, 13 R)-, (3 R, 13 S)-, or (3 S, 13 S)-3, 13-dime-17Hy. Because optical isomers of (di)methylhydrocarbons do not separate on currently available columns, it remains unknown whether female WFHL also produce a four-stereoisomer pheromone blend. Substitutionality of pheromone stereoisomers without loss of behavioural activity has not previously been reported, but favorably compares with the concept of pheromone redundancy that was first suggested for the multiple pheromone component blend of the cabbage looper moth, Trichoplusia ni. ¬© 1995 Plenum Publishing Corporation.</t>
  </si>
  <si>
    <t>2027-2045</t>
  </si>
  <si>
    <t>60018491;60018491;60018491;60018491</t>
  </si>
  <si>
    <t>14065431500;7006335669;7006196798;7003978932</t>
  </si>
  <si>
    <t>Skip King, G. G.;Gries, Regine;Gries, Gerhard;Slessor, K. N.</t>
  </si>
  <si>
    <t>Burnaby</t>
  </si>
  <si>
    <t>Simon Fraser University</t>
  </si>
  <si>
    <t>Skip King G.</t>
  </si>
  <si>
    <t>Optical isomers of 3,13-dimethylheptadecane: Sex pheromone components of the western false hemlock looper, Nepytia freemani (Lepidoptera: Geometridae)</t>
  </si>
  <si>
    <t>10.1007/BF02033860</t>
  </si>
  <si>
    <t>2-s2.0-0029173704</t>
  </si>
  <si>
    <t>['¬© 1995', 'would remove', 'without food', 'variously treated', 'universal occurrence', 'though whether', 'single meal', 'simple molecules', 'sated isopods', 'rights reserved', 'predatory fishes', 'prandial activity', 'observed frequently', 'moulting individuals', 'long time', 'long periods', 'live scampi', 'isopods react', 'ingested live', 'immediate vicinity', 'gut contents', 'francis group', 'food odour', 'displays attributes', 'crustacean tissue', 'chemical signals', 'brief burst']</t>
  </si>
  <si>
    <t>The marine benthic isopod Natatolana borealis (Lilljeborg) displays attributes of a voracious omnivorous scavenger. It exhibited no preference for particular carrion types when given the choice between fish or crustacean tissue (variously treated) in situ. It was not attracted to live scampi (Nephrops norvegicus). Cannibalism of damaged or moulting individuals was observed frequently in the laboratory. Gut contents from field-collected animals frequently contained the remains of polychaetes and crustaceans, though whether these had been ingested live is unknown. Natatolana borealis processes food in the manner of a ‚Äòbatch reactor‚Äô. It bolts food rapidly and unselectively, stores it in its extensible anterior hindgut, then takes a long time (weeks) to digest a single meal. It is inferred to have a high assimilation efficiency and can survive for long periods (months) without food. Sated isopods do not respond to food, but engage in a brief burst of post-prandial activity that would remove them from the immediate vicinity of a food-fall, and hence the attentions of predatory fishes. Response to food odour was kinetic and involved sensory organs situated on both pairs of antennae. The chemical signals to which the isopods react are thought to be simple molecules of universal occurrence. ¬© 1995, Taylor &amp; Francis Group, LLC. All rights reserved.</t>
  </si>
  <si>
    <t>181-196</t>
  </si>
  <si>
    <t>Ophelia</t>
  </si>
  <si>
    <t>60014176;60014176</t>
  </si>
  <si>
    <t>7403041614;55900158000</t>
  </si>
  <si>
    <t>Wong, Y. M.;Moore, P. G.</t>
  </si>
  <si>
    <t>Millport</t>
  </si>
  <si>
    <t>University Marine Biological Station</t>
  </si>
  <si>
    <t>Wong Y.</t>
  </si>
  <si>
    <t>Biology of feeding in the scavenging isopod natatolana borealis (isopoda: Cirolanidae)</t>
  </si>
  <si>
    <t>10.1080/00785326.1995.10429830</t>
  </si>
  <si>
    <t>2-s2.0-0029177940</t>
  </si>
  <si>
    <t>['tf coils', 'often unavailable', 'obtain information', 'midplane ports', 'entrant viewports', 'entrant bellows']</t>
  </si>
  <si>
    <t>In advanced tokamak research involving complex magnetic geometries, midplane visible plasma TV images can indicate the need for tokamak control corrections not evident from other diagnostics. Suitable midplane viewports are often unavailable. The PBX-M plasma TV system uses four tangential midplane vacuum viewports. One tangential vacuum viewport is on a standard re-entrant midplane port flange. The other three vacuum viewports are tangentially aligned along the inside vessel wall and connected to port flanges 40 cm from the midplane via 60-cm-long re-entrant bellows. Fiber optic bundles transmit images from the re-entrant viewports through the off-midplane ports and out to TV cameras positioned beyond the TF coils. The VCR recorded images from each discharge were used to obtain information not available from other diagnostics. ¬© 1995 American Institute of Physics.</t>
  </si>
  <si>
    <t>591-593</t>
  </si>
  <si>
    <t>60018020;60018020;60018020;60018020;60018020</t>
  </si>
  <si>
    <t>7006745883;6602439290;6701343720;6507920502;7004527185</t>
  </si>
  <si>
    <t>Kugel, H. W.;Gettelfinger, G.;Semler, J.;Thorsland, E.;Timberlake, J.</t>
  </si>
  <si>
    <t>Princeton Plasma Physics Laboratory</t>
  </si>
  <si>
    <t>Kugel H.</t>
  </si>
  <si>
    <t>Versatile TV system for PBX-M plasma control</t>
  </si>
  <si>
    <t>10.1063/1.1146296</t>
  </si>
  <si>
    <t>2-s2.0-0029185324</t>
  </si>
  <si>
    <t>121-136</t>
  </si>
  <si>
    <t>Annales des sciences naturelles. Zoologie et biologie animale</t>
  </si>
  <si>
    <t>Faucheux, M. J.</t>
  </si>
  <si>
    <t>Sensilla on the antennae, mouthparts, tarsi and ovipositor of the sunflower moth, Homoeosoma electellum (Hulster) (Lepidoptera, Pyralidae): A scanning electron microscopic study</t>
  </si>
  <si>
    <t>2-s2.0-0029188836</t>
  </si>
  <si>
    <t>['wavelength measurements', 'uniform plasma', 'theoretical calculations', 'radially non', 'langmuir probes', 'helicon waves', 'dot probes', '=+ 1', '500 g', '20 mtorr', '1013 cm']</t>
  </si>
  <si>
    <t>Helicon waves were excited by a Nagoya type III antenna in a steady state argon magnetized plasma column with DC magnetic field B0=400-500 G, electron density 1012-1013 cm-3 and neutral species pressure about 20 mTorr. Wavelength measurements made with B-dot probes at the edge of the plasma column show the presence of multimode standing helicon waves. Azimuthal mode numbers m=+1, 0 and -1 were detected with m=+1 dominant. Radial density profiles were measured with Langmuir probes. The wavelength measurements are shown to agree with theoretical calculations of helicon waves in radially non-uniform plasma.</t>
  </si>
  <si>
    <t>337-344</t>
  </si>
  <si>
    <t>60032179;60032179;60032179;60032179;60032179;60032179</t>
  </si>
  <si>
    <t>7406314391;6603739347;57197429941;7006072211;57216377464;57213486308</t>
  </si>
  <si>
    <t>Chen, R. T.S.;Breun, R. A.;Gross, S.;Hershkowitz, N.;Hsieh, M. K.J.;Jacobs, J.</t>
  </si>
  <si>
    <t>Chen R.T.S.</t>
  </si>
  <si>
    <t>Experimental studies of multimode helicon plasma waves</t>
  </si>
  <si>
    <t>10.1088/0963-0252/4/3/003</t>
  </si>
  <si>
    <t>2-s2.0-0029352490</t>
  </si>
  <si>
    <t>['noise ratio', 'higher responsivity', 'damaged silicon', 'antennas based']</t>
  </si>
  <si>
    <t>Antennas based on commercially available GaAs as a photoconductor with a subnanosecond photocarrier lifetime have been used to detect subpicosecond free-space electromagnetic radiation (THz pulses). At low optical gating intensities (‚â§1 mW/100 Œºm2), GaAs based antennas exhibit a higher responsivity and signal-to-noise ratio than typical antennas based on radiation-damaged silicon-on-sapphire.¬© 1995 American Institute of Physics.</t>
  </si>
  <si>
    <t>60025534;60025534;60025534</t>
  </si>
  <si>
    <t>57198851198;6603260937;7410280543</t>
  </si>
  <si>
    <t>Sun, F. G.;Wagoner, G. A.;Zhang, X. C.</t>
  </si>
  <si>
    <t>Troy</t>
  </si>
  <si>
    <t>Rensselaer Polytechnic Institute</t>
  </si>
  <si>
    <t>Sun F.</t>
  </si>
  <si>
    <t>Measurement of free-space terahertz pulses via long-lifetime photoconductors</t>
  </si>
  <si>
    <t>10.1063/1.115047</t>
  </si>
  <si>
    <t>2-s2.0-0029378010</t>
  </si>
  <si>
    <t>['wkb solutions', 'wave equations', 'vacuum transition', 'used near', 'remain finite', 'power flux', 'plasma surface', 'plasma edge', 'perpendicular wavelength', 'negligible compared', 'maxwell equations', 'large plasmas', 'known case', 'ion cyclotron', 'incident waves', 'flr contributions', 'flr approximation', 'define unambiguously', 'conditions guarantee', 'compressional component', 'causal solution', 'boundary conditions', 'analytic results', 'also shown', 'additional condition']</t>
  </si>
  <si>
    <t>The boundary conditions appropriate to the finite Larmor radius (FLR) wave equations that describe wave propagation in the ion cyclotron and lower hybrid frequency ranges in plasmas have been derived. These equations possess three independent solutions, one more than the Maxwell equations in vacuum; to establish the additional condition at a plasma-boundary interface needed to define unambiguously the causal solution in the plasma, it is shown that HF diamagnetic currents (proportional to the gradients of the equilibrium plasma parameters) remain finite in the limit in which the thickness of the plasma-vacuum transition is assumed to be negligible compared with the perpendicular wavelength of the incident waves. The discontinuity of the compressional component of the wave field due to these HF surface currents can be expressed in terms of the FLR contributions to the coefficients of the wave equations, so that the FLR boundary conditions can be formulated in a fully explicit manner. It is also shown that these conditions guarantee the continuity of the power flux through the plasma surface. These boundary conditions have been used to obtain analytic expressions for the surface impedance matrix of a plasma in the FLR approximation, assuming that the WKB solutions to the wave equations can be used near the plasma edge. These analytic results can be used to check numerical solutions of the wave equations against a known case, and to speed up the solution of antenna coupling problems in large plasmas.</t>
  </si>
  <si>
    <t>1265-1280</t>
  </si>
  <si>
    <t>I09</t>
  </si>
  <si>
    <t>Brambilla, M.</t>
  </si>
  <si>
    <t>Brambilla M.</t>
  </si>
  <si>
    <t>Evaluation of the surface admittance matrix of a plasma in the finite Larmor radius approximation</t>
  </si>
  <si>
    <t>10.1088/0029-5515/35/10/I09</t>
  </si>
  <si>
    <t>2-s2.0-0029381223</t>
  </si>
  <si>
    <t>['thick septa', 'remote handling', 'reflector waveguides', 'passive waveguides', 'new concept', 'mechanical robustness', 'large number', 'front ends', 'form short', 'electron density', 'easily replaceable', 'drivers ).', 'dependences upon', 'coupling properties', 'cooling ducts', 'also studied', 'adjacent waveguides', 'adequate phasing', 'active waveguides']</t>
  </si>
  <si>
    <t>A new concept-the reflector waveguide array-is proposed to improve and simplify the design of continuous wave lower hybrid (LH) launchers for steady state reactor applications. Mechanical robustness of the antenna and efficient heat removal are provided by a thick wall waveguide structure that can accommodate a large number of cooling ducts. The plasma facing mouthpiece could be made of the same material as the reactor first wall and could be easily replaceable through remote handling. In order to compensate for the increased horizontal distance between adjacent waveguides, the front ends of the thick septa are grooved to form short ( equivalent to lambda /4) passive waveguides that act as reflectors between the radiofrequency powered waveguides (drivers). Then, for an adequate phasing between the active waveguides, the total electric field at the reflector waveguide apertures varies coherently with the one in the drivers to launch a highly directional slow wave. It is shown that the coupling properties of such an array and the directivity of the radiated power spectrum are similar to those of present day launchers. Their dependences upon the depth of the reflector waveguides, and the electron density and its gradient are investigated. The effect of changing the phase between the drivers is also studied. The proposed reflector LH antenna would provide enough flexibility to vary the N// spectrum for plasma control purposes in a steady state fusion reactor.</t>
  </si>
  <si>
    <t>1213-1223</t>
  </si>
  <si>
    <t>I05</t>
  </si>
  <si>
    <t>60007816;60007816;60007816</t>
  </si>
  <si>
    <t>6701629156;7003729827;7102026019</t>
  </si>
  <si>
    <t>Bibet, P.;Litaudon, X.;Moreau, D.</t>
  </si>
  <si>
    <t>Gif-sur-Yvette</t>
  </si>
  <si>
    <t>Commissariat a L'Energie Atomique CEA</t>
  </si>
  <si>
    <t>Bibet P.</t>
  </si>
  <si>
    <t>Conceptual study of a reflector waveguide array for launching lower hybrid waves in reactor grade plasmas</t>
  </si>
  <si>
    <t>10.1088/0029-5515/35/10/I05</t>
  </si>
  <si>
    <t>2-s2.0-0029381232</t>
  </si>
  <si>
    <t>['transport equation', 'successive mode', 'second scenario', 'reproducible discharges', 'qualitatively similar', 'predominantly minority', 'power goes', 'power absorbed', 'performed sinusoidally', 'modulation analysis', 'minority ions', 'ion heating', 'icrh power', 'h )-', 'good confinement', 'global energy', 'fundamental mode', 'fraction absorbed', 'field side', 'equilibrium measurement', 'eigenfunction expansion', 'diamagnetic look', 'detailed analysis', 'careful investigation', 'anisotropic contribution', 'also show', '50 %)', '2 pi']</t>
  </si>
  <si>
    <t>Modulation of the ICRH power amplitude has been performed sinusoidally in TEXTOR over a wide modulation frequency range in an (H)-D plasma. From an analysis of reproducible discharges in which the ICRH is modulated at a relatively high modulation frequency Omega /2 pi (50-300 Hz), we observe that only a fraction (about 50%) of the ICRH power is transferred to the plasma with a good energy confinement time. We also show that the analysis of a single modulated discharge already provides part of the information. The analysis is supported by a careful investigation of the non-stationary energy response obtained from the diamagnetic look and from the equilibrium measurement. The eigenfunction expansion of the transport equation for global energy in which each successive mode has a particular absorption coefficient and a decreasing confinement time indicates that about 50% of the ICRH power is coupled to the fundamental mode with the best confinement time. The remainder of the power goes to other modes with decreasing confinement times. Such a time-dependent analysis allows us therefore to distinguish between the fraction of the power absorbed by the core of the plasma (good confinement) and the fraction absorbed by the edge (bad confinement). The conclusions of this modulation analysis are qualitatively similar for high-field side (HFS) antennae with predominantly direct electron heating and for low-field side (LFS) antennae with predominantly minority-ion heating. In the second scenario, a detailed analysis has been provided to account for the anisotropic contribution to the energy of the minority ions.</t>
  </si>
  <si>
    <t>1141-1168</t>
  </si>
  <si>
    <t>60004280;60004280;60004280;60004280</t>
  </si>
  <si>
    <t>22992896400;7403189436;7006450633;6603675835</t>
  </si>
  <si>
    <t>Lebeau, D.;Koch, R.;Messiaen, A. M.;Vandenplas, P. E.</t>
  </si>
  <si>
    <t>Koninklijke Militaire School - Ecole Royale Militaire</t>
  </si>
  <si>
    <t>Lebeau D.</t>
  </si>
  <si>
    <t>ICRH power absorption measurements from analysis of RF sinusoidal low-frequency modulation experiments in TEXTOR</t>
  </si>
  <si>
    <t>10.1088/0741-3335/37/10/006</t>
  </si>
  <si>
    <t>2-s2.0-0029389246</t>
  </si>
  <si>
    <t>['waves excited', 'wavenumbers ny', 'wavenumber spectrum', 'waveguide eigenmodes', 'wave equation', 'various angles', 'real 3', 'plasma surface', 'plasma heating', 'plasma edge', 'plane parallel', 'numerical solution', 'iter scale', 'fourier sum', 'form e', 'finite element', 'electrodynamic characteristics', 'developed model', 'current drive', 'computational model', 'complete set', 'arbitrary orientation', 'antenna parameters', 'allows one', '1 excited', '..., n']</t>
  </si>
  <si>
    <t>A computational model is developed that allows one to estimate in a real 3-D geometry the electrodynamic characteristics of complicated waveguide antennas ('grills') generating plasma waves in the lower hybrid frequency band. The antenna coupling efficiency and the shape of the wavenumber spectrum are found as a solution of a self-consistent problem taking into account a complete set of waveguide eigenmodes and finite waveguide dimensions in both directions and an arbitrary orientation to the plasma magnetic field. Electric and magnetic fields inside the waveguides are equated to the outside fields represented as a Fourier sum over wavenumbers Ny, Nz in the plane parallel to the plasma surface. The fields at the plasma edge are determined by the 2*2 plasma surface impedance matrix found as a numerical solution of the wave equation in the cold plasma approximation using the finite element (Galerkin) method. The solution is found on a 1-D mesh, i=1, 2, ..., N, in the form E(xi,Ny,Nz) exp(i(Nyy+Nzz- omega t)) so that the fourth order differential equation with appropriate boundary conditions is reduced to a set of 4N+2 algebraic equations. The developed model is applied to modelling a quite new antenna design for generating the fast H waves, which can be used for plasma heating and current drive in tokamaks of ITER scale. The antenna parameters are optimized to obtain the best coupling efficiency. The structure of waves excited in the plasma at various angles between the antenna and the plasma magnetic field is considered. The nature of the waves with Nz&lt;1 excited by the grill is discussed.</t>
  </si>
  <si>
    <t>1341-1356</t>
  </si>
  <si>
    <t>I02</t>
  </si>
  <si>
    <t>60000297;60000297</t>
  </si>
  <si>
    <t>6603600927;6603415983</t>
  </si>
  <si>
    <t>Irzak, M. A.;Shcherbinin, O. N.</t>
  </si>
  <si>
    <t>Ioffe Institute</t>
  </si>
  <si>
    <t>Irzak M.</t>
  </si>
  <si>
    <t>Theory of waveguide antennas for plasma heating and current drive</t>
  </si>
  <si>
    <t>10.1088/0029-5515/35/11/I02</t>
  </si>
  <si>
    <t>2-s2.0-0029396069</t>
  </si>
  <si>
    <t>['wavenumber resolution', 'studying small', 'hybrid resonance', 'feasible tool', 'considerably slowed', 'backscattered signal']</t>
  </si>
  <si>
    <t>The radar enhanced scattering (RES) diagnostic is shown to be a feasible tool for studying small-scale plasma fluctuations and waves. This method is based on the effect that an RF wave launched into the plasma is considerably slowed down near the hybrid resonance so that the backscattered signal is received with a large time delay. Fairly good spatial and wavenumber resolution of this diagnostic are demonstrated in various laboratory plasmas.</t>
  </si>
  <si>
    <t>11A</t>
  </si>
  <si>
    <t>60057797;60057797;60057797;60057797;60057797;60057797;60057797;60057797;60057797;60057797;60057797;60057797;60057797;60057797</t>
  </si>
  <si>
    <t>24598824100;7801343132;7003349699;6701575167;7003363810;7003541965;6602598721;57196669318;6701867283;6701500052;6602864409;22996191900;6603452354;22995738700</t>
  </si>
  <si>
    <t>Arkhipenko, V. I.;Bruesehaber, B.;Budnikov, V. N.;Esipov, L. A.;Gusakov, E. Z.;Its, E. R.;Kaganskaya, N. M.;Kraemer, M.;Novik, K. M.;Piliya, A. D.;Selenin, V. L.;Yu Shorikov, V.;Simonchik, L. V.;Yu Stepanov, A.</t>
  </si>
  <si>
    <t>Belarus</t>
  </si>
  <si>
    <t>Minsk</t>
  </si>
  <si>
    <t>B. I. Stepanov Institute of Physics</t>
  </si>
  <si>
    <t>Arkhipenko V.</t>
  </si>
  <si>
    <t>Investigation of small-scale plasma fluctuations by radar backscattering in the upper hybrid resonance</t>
  </si>
  <si>
    <t>10.1088/0741-3335/37/11A/025</t>
  </si>
  <si>
    <t>2-s2.0-0029404170</t>
  </si>
  <si>
    <t>['upper cut', 'two methods', 'tore supra', 'spectral method', 'spatial resolution', 'reflecting surface', 'receiving antenna', 'radial profile', 'principle behind', 'observation frequency', 'length variation', 'harmonic x', 'equatorial plane', 'electron distributions', 'ece spectra', 'dynamic method', 'density perturbations']</t>
  </si>
  <si>
    <t>The possibility of measuring the radial profile of fast-electron distributions from ECE spectra is discussed. The most usual ECE diagnostic set-up, i.e. the second-harmonic X-mode, observed by low-field side antennae in the equatorial plane, can be used by exploiting the reflection of spontaneously emitted radiation by the upper cut-off layer and the length of the sightline between the reflecting surface and the receiving antenna. The emitted intensity depends on this length, which introduces an element of spatial resolution in the suprathermal ECE spectra. Two methods are proposed. First, a dynamic method is described in which the length of the sightline is varied by density perturbations. Second, a spectral method is discussed that uses the length variation of the sightline with the observation frequency. A proof of the principle behind both methods is given for a lower hybrid current driven discharge in Tore Supra in which a pellet was injected.</t>
  </si>
  <si>
    <t>1299-1309</t>
  </si>
  <si>
    <t>60029419;;60029419;</t>
  </si>
  <si>
    <t>6506909879;57222990696;57193364420;7004550857</t>
  </si>
  <si>
    <t>Schokker, B. C.;Talvard, M.;Cardozo, N. J.L.;Giruzzi, G.</t>
  </si>
  <si>
    <t>Nieuwegein</t>
  </si>
  <si>
    <t>FOM Institute for Plasma Physics - Rijnhuizen</t>
  </si>
  <si>
    <t>Schokker B.C.</t>
  </si>
  <si>
    <t>Measurements of the suprathermal electron density profile by electron cyclotron emission at the upper cut-off layer in Tore Supra</t>
  </si>
  <si>
    <t>10.1088/0741-3335/37/11/009</t>
  </si>
  <si>
    <t>2-s2.0-0029404742</t>
  </si>
  <si>
    <t>['wave measurements', 'theoretical values', 'resulting relations', 'motorized probe', 'gave us', 'dispersion relation', 'density relations', 'case wavefronts', 'bernstein waves', 'article demonstrates']</t>
  </si>
  <si>
    <t>This article is based on wave experiments performed in the toroidal plasma device Blaamann, and a comparison between experimental and theoretical values for the dispersion relation. A motorized probe, which could be moved in two axial directions, gave us the opportunity to investigate spatial dependencies, in our case wavefronts of ion-Bernstein waves. The article demonstrates how wave measurements of this kind can be used for obtaining ion temperature and density relations between the ion species H+, H2+ and H3+ in a weakly ionized hydrogen gas. The resulting relations are compared with what was obtained in a similar experimental set-up in the plasma device Thorello in Italy.</t>
  </si>
  <si>
    <t>1263-1275</t>
  </si>
  <si>
    <t>60021255;;60021255</t>
  </si>
  <si>
    <t>6505888917;6603928175;7401712249</t>
  </si>
  <si>
    <t>Gronvoll, E.;Trulsen, J.;Armstrong, R. J.</t>
  </si>
  <si>
    <t>Tromso</t>
  </si>
  <si>
    <t>UiT The Arctic University of Norway</t>
  </si>
  <si>
    <t>Gronvoll E.</t>
  </si>
  <si>
    <t>Electrostatic ion-Bernstein waves in the Blaamann device</t>
  </si>
  <si>
    <t>10.1088/0741-3335/37/11/006</t>
  </si>
  <si>
    <t>2-s2.0-0029407312</t>
  </si>
  <si>
    <t>['position parameter', 'planars arrays', 'linears arrays', 'general approach', 'easily extended', 'dielectric substrat', 'corporate ).']</t>
  </si>
  <si>
    <t>This article presents many approaches to synthesize non periodic antennas arrays fed by microstrip line printed on the dielectric substrat (serie and corporate). First, by simple action upon the position parameter, linears arrays are synthesized. After, planars arrays are easily extended. A general approach for synthesizing corporate fed antennas arrays is elaborated. Optimisation methods used are minimax and relaxation with constraints.</t>
  </si>
  <si>
    <t>43-48</t>
  </si>
  <si>
    <t>Mekkioui, Zahera</t>
  </si>
  <si>
    <t>Algeria</t>
  </si>
  <si>
    <t>Tlemcen</t>
  </si>
  <si>
    <t>Universit√© Abou Bekr Belkaid Tlemcen</t>
  </si>
  <si>
    <t>Mekkioui Z.</t>
  </si>
  <si>
    <t>Synthesis of shaped patterns with series &amp; corporate fed microstrip patch arrays</t>
  </si>
  <si>
    <t>2-s2.0-0029426120</t>
  </si>
  <si>
    <t>['wide range', 'tokamak plasma', 'theoretical models', 'plasmas heated', 'new class', 'identified experimentally', 'first experiments', 'damping rates', 'antennas external']</t>
  </si>
  <si>
    <t>Results from the first experiments to drive Alfven eigenmodes (AEs) with antennas external to a tokamak plasma are presented. In ohmically heated plasma discharges, direct experimental measurements of the damping of toroidicity induced AEs (TAEs) have allowed an identification of different regimes corresponding to different dominant TAE absorption mechanisms with a wide range of damping rates, 10-3 Œ≥/w 10-1. In plasmas heated by ion cyclotron resonance heating, neutral beam injection heating, lower hybrid heating and high plasma current ohmic heating, a new class of weakly damped Alfven eigenmodes, the kinetic Alfven eigenmodes, predicted in theoretical models that include finite Larmor radius and finite parallel electric field effects, has been identified experimentally.</t>
  </si>
  <si>
    <t>1485-1495</t>
  </si>
  <si>
    <t>60028186;60028186;60028186;60028186;60028186;60028186;60028186;60028186;60028186;60028186;60028186;60028186;60028186;60028186;60028186;60028186;60028186;60028186;60028186;60028186</t>
  </si>
  <si>
    <t>7005195752;7201547237;7006945161;6506798872;6603936866;7004928598;7404497658;6602481979;7006832103;7006674222;6602396088;7006695965;7005524697;56614456300;24440646200;6701414627;7103047341;7005806022;6506895628;56277076300</t>
  </si>
  <si>
    <t>Fasoli, A.;Lister, J. B.;Sharapov, S. E.;Ali-Arshad, S.;Bosia, G.;Borba, D.;Campbell, D. J.;Deliyanakis, N.;Dobbing, J. A.;Gormezano, C.;Holties, H. A.;Huysmans, G. T.A.;Jacquinot, J.;Jaun, A.;Kerner, W.;Lavanchy, P.;Moret, J. M.;Porte, L.;Santagiustina, A.;Villard, L.</t>
  </si>
  <si>
    <t>Overview of Alfven eigenmode experiments in JET</t>
  </si>
  <si>
    <t>10.1088/0029-5515/35/12/I09</t>
  </si>
  <si>
    <t>2-s2.0-0029428632</t>
  </si>
  <si>
    <t>['triton burnup', 'three pairs', 'routinely used', 'profile monitor', 'noise immunity', 'new antenna', 'neutron emission', 'information gathered', 'impurity ions', 'faraday cup', 'comprehensive set', 'completely new', 'also deduced', 'activation system', 'absolute calibration']</t>
  </si>
  <si>
    <t>A comprehensive set of fast particle diagnostics is routinely used at JET. Some are in the process of being upgraded and others, completely new, are being prepared for use during the forthcoming tritium experiments. For fusion product studies, the strength and profile of the charged particle birth distribution is obtained by measuring the neutron emission with three pairs of absolutely calibrated fission chambers and a two-camera profile monitor. Information on the DD neutron energy spectrum is deduced from a time-of-flight neutron spectrometer. Neutrons of 14 MeV energy from triton burnup are measured using silicon diodes and a high energy branch of the profile monitor. Absolute calibration is obtained with an activation system. A prototype lost alpha particle detector (Faraday cup) has been tested in the laboratory and has been installed inside JET so that its noise immunity can be tested. Two 14 MeV neutron spectrometers are under commissioning and a third is under construction. A high energy neutral particle analyser is routinely used to diagnose fast RF driven particles and will also be available for alpha particle studies. The intensity of RF driven fast particles is also deduced by the spectroscopy of gamma rays emitted in reactions with impurity ions in the plasma. The gamma ray measuring branch of the neutron profile monitor adds spatial resolution to the measurement. A new antenna for measuring ion cyclotron emission (ICE) and a gyrotron for alpha particle scattering experiments are in the process of being commissioned. Active charge exchange spectroscopy to investigate the low energy range of the alpha particle population is being considered. Where appropriate, information gathered with these systems is presented to illustrate their performance.</t>
  </si>
  <si>
    <t>1609-1617</t>
  </si>
  <si>
    <t>I24</t>
  </si>
  <si>
    <t>60025104;60025104;60025104;60025104;60025104;60025104;60025104;60025104;60025104;60025104;60025104</t>
  </si>
  <si>
    <t>7005152182;35430666300;7004044118;7102792905;6701846198;6701399415;8624136400;53164301600;7102821596;6603734071;7004241518</t>
  </si>
  <si>
    <t>Sadler, G. J.;Adams, J. M.;Cecil, F. E.;Cottrell, G. A.;Gondhalekar, A.;Hoekzema, J. A.;Jarvis, O. N.;Loughlin, M. J.;Marcus, F. B.;Van Belle, P.;Von Hellermann, M.</t>
  </si>
  <si>
    <t>Sadler G.</t>
  </si>
  <si>
    <t>Fast particle diagnostics at JET: Status and plans</t>
  </si>
  <si>
    <t>10.1088/0029-5515/35/12/I24</t>
  </si>
  <si>
    <t>2-s2.0-0029429810</t>
  </si>
  <si>
    <t>['sexual recognition', 'setal brushes', 'mature males', 'mature females', 'male carriers', 'male attenders', 'females shows', 'distinctive armature', 'benthic searchers']</t>
  </si>
  <si>
    <t>Analysis of amphipods in which mature males search pelagically for females shows that they are distinguished by elongate second antennae when compared to mature females or to mature males of species which are benthic searchers, male carriers and male attenders. Therefore, it is concluded that pelagic searching males locate females by contact as is true of benthic searchers and male carriers. The distinctive armature of the antenna (calceoli, setal brushes) of mature pelagic searching males are considered to be involved in sexual recognition during contact and not function as distance sensory receptors.</t>
  </si>
  <si>
    <t>303-317</t>
  </si>
  <si>
    <t>Polskie Archiwum Hydrobiologii</t>
  </si>
  <si>
    <t>Steele, D. H.</t>
  </si>
  <si>
    <t>St John's</t>
  </si>
  <si>
    <t>Memorial University of Newfoundland</t>
  </si>
  <si>
    <t>Steele D.</t>
  </si>
  <si>
    <t>Sexual dimorphism in mature gammaridean amphipods</t>
  </si>
  <si>
    <t>2-s2.0-0029434948</t>
  </si>
  <si>
    <t>['upper bound', 'magnetic antenna', 'insertion impedance', 'equivalent circuits', 'distributed parameters', 'conducting medium']</t>
  </si>
  <si>
    <t>Equivalent circuits are analyzed and compared for single circular loops in air and immersed in a conducting medium. Problems in which the insertion impedance is estimated and the equivalent capacitance calculated are posed and solved for magnetic antennas used in passive inductive detectors of various constructions placed in a conducting medium. An upper bound is determined for the frequency below which it is correct to replace a magnetic antenna with distributed parameters by an equivalent lumped parameter circuit.</t>
  </si>
  <si>
    <t>Zimin, E. G.</t>
  </si>
  <si>
    <t>Zimin E.</t>
  </si>
  <si>
    <t>Equivalent circuits for low-frequency magnetic antennas in conducting media</t>
  </si>
  <si>
    <t>2-s2.0-0029453188</t>
  </si>
  <si>
    <t>['wave field', 'using models', 'statistical characteristics', 'stable distributions', 'determined along', 'average characteristics', 'also presented']</t>
  </si>
  <si>
    <t>It is proposed that the statistical characteristics of active phased antenna arrays be investigated by using models of their wave fields whose structure is based on stable distributions. As an illustration of this proposal, the average characteristics of a transmitting active phased antenna array are determined along with the dispersion of the wave field. The results of calculations are also presented.</t>
  </si>
  <si>
    <t>126-135</t>
  </si>
  <si>
    <t>Maslov, O. N.</t>
  </si>
  <si>
    <t>Maslov O.</t>
  </si>
  <si>
    <t>Simulation of the statistical characteristics of active phased antenna arrays using stable distributions</t>
  </si>
  <si>
    <t>2-s2.0-0029454089</t>
  </si>
  <si>
    <t>['wave frequency', 'temporal harmonics', 'system made', 'polarization parameters', 'phase features', 'paper contains', 'one another', 'normally incident', 'nonlinear scattering', 'experimental investigation', 'electromagnetic wave', 'dipoles lie']</t>
  </si>
  <si>
    <t>When an electromagnetic wave is normally incident on a system made up of two symmetric nonlinearly loaded dipoles separated spatially and orthogonal to one another, scattered waves appear at the temporal harmonics of the wave frequency. This paper contains a theoretical and experimental investigation of the polarization parameters of these waves, taking into account the amplitude and phase features of nonlinear scattering. The centers of the dipoles lie on the axis of propagation of the electromagnetic wave.</t>
  </si>
  <si>
    <t>Gorbachev, A. A.</t>
  </si>
  <si>
    <t>Polarization properties of a nonlinear scatterer modeled as a pair of dipoles</t>
  </si>
  <si>
    <t>2-s2.0-0029454842</t>
  </si>
  <si>
    <t>['whose surface', 'transparency parameters', 'polarization coefficient', 'high far', 'equals unity', 'arbitrary shape']</t>
  </si>
  <si>
    <t>By designing the transparency parameters of a grid of arbitrary shape, a spherical shell antenna is synthesized at whose surface the polarization coefficient (ellipticity) equals unity (with respect to the electric field). This ensures a high far-field polarization coefficient in almost all directions for an antenna whose radius is not too small.</t>
  </si>
  <si>
    <t>27-33</t>
  </si>
  <si>
    <t>6603869177;6508005602</t>
  </si>
  <si>
    <t>Fedyanovich, V. I.;Dutikov, M. D.</t>
  </si>
  <si>
    <t>Fedyanovich V.</t>
  </si>
  <si>
    <t>Synthesis of a spherical antenna with almost circular polarization</t>
  </si>
  <si>
    <t>2-s2.0-0029457263</t>
  </si>
  <si>
    <t>['work attempts', 'loop antenna', 'frequency k0', 'electric vector', 'boundary s1']</t>
  </si>
  <si>
    <t>This work attempts to investigate the characteristics of radiation from backgroundless cylindrical antennas over a hand of frequencies. The case of a single-loop antenna with boundary S1 and frequency k0 is discussed. Furthermore, it is assumed that the semitransparent surface S1 is realized by a grating of closely-spaced strips parallel to the electric vector.</t>
  </si>
  <si>
    <t>34-37</t>
  </si>
  <si>
    <t>7003498132;7004714672;7006135844</t>
  </si>
  <si>
    <t>Korshunova, E. N.;Sivov, A. N.;Shatrov, A. D.</t>
  </si>
  <si>
    <t>Korshunova E.</t>
  </si>
  <si>
    <t>Frequency characteristics of resonator antennas synthesized according to a preset excitation and directivity diagram</t>
  </si>
  <si>
    <t>2-s2.0-0029457554</t>
  </si>
  <si>
    <t>['yield distortion', 'surface charge', 'rooftop method', 'rooftop calculations', 'numerically equivalent', 'numerical method', 'linear functions', 'galerkin method', 'free solutions', 'equivalence leads', 'differential system', 'current distribution', 'continuous piecewise']</t>
  </si>
  <si>
    <t>The current distribution on a planar bowtie antenna is computed by several different numerical methods. The majority of these methods, including those where the surface charge is approximated by continuous piecewise-linear functions and those based on the Galerkin method, lead to distortion of the solution, whereas the ‚Ä≥rooftop‚Ä≥ method gives a solution without distortion. Using the rooftop method is numerically equivalent to solving the integro-differential system for the ‚Ä≥scalar potential‚Ä≥. This equivalence leads to a criterion for a numerical method to yield distortion-free solutions, based on rooftop calculations.</t>
  </si>
  <si>
    <t>94-104</t>
  </si>
  <si>
    <t>Druchinin, S. V.A.</t>
  </si>
  <si>
    <t>Druchinin S.</t>
  </si>
  <si>
    <t>Criterion for distortion-free solutions to the electric-field integral equation when it is solved by the method of moments</t>
  </si>
  <si>
    <t>2-s2.0-0029458575</t>
  </si>
  <si>
    <t>['semitransparent surface', 'first traveling', 'field distribution', 'elevation multiplied']</t>
  </si>
  <si>
    <t>A procedure for generating a semitransparent surface with a prespecified field distribution on it is used to design an empty spherical shell, i.e., without dielectric filler. The field distribution on the shell is an arbitrary real function of the elevation multiplied by the first traveling-wave azimuthal harmonic.</t>
  </si>
  <si>
    <t>Fedyanovich, V. N.;Dutikov, M. D.</t>
  </si>
  <si>
    <t>Fedyanovich V.N.</t>
  </si>
  <si>
    <t>Synthesis of a miniature antenna with a spherical semitransparent surface</t>
  </si>
  <si>
    <t>2-s2.0-0029461617</t>
  </si>
  <si>
    <t>['square waveguides', 'scanning angle', 'reflection coefficients', 'rectangular aperture', 'reactive impedance', 'paper compares', 'circular waveguides', 'circular apertures', 'circular aperture', 'area square']</t>
  </si>
  <si>
    <t>This paper compares the normalized reactive impedances of equal-area square and circular apertures in waveguides of circular and square cross section. The characteristics of scattering by a rectangular aperture are investigated when the aperture is located in the plane of a junction between rectangular and circular waveguides and rectangular and square waveguides. The reactive impedance of a circular aperture in circular and square waveguides with the same cross sectional areas is computed. The dependence of the modulus of the reflection coefficients on the scanning angle is discussed for phased antenna arrays made up of equal-area square and circular waveguides.</t>
  </si>
  <si>
    <t>Bodrov, V. V.</t>
  </si>
  <si>
    <t>Bodrov V.</t>
  </si>
  <si>
    <t>Electrodynamic characteristics of equal-area circular and square waveguides and apertures</t>
  </si>
  <si>
    <t>2-s2.0-0029461618</t>
  </si>
  <si>
    <t>['tracking sensor', 'technologies needed', 'softmount interface', 'small terminal', 'small antenna', 'secure communications', 'recent advances', 'realised due', 'preferred choice', 'potential advantages', 'paper together', 'optical technology', 'manned spacecraft', 'main features', 'low mass', 'leo spacecraft', 'leo orbits', 'esa funding', 'combined acquisition', 'chief applications', 'applications due', '50 kg']</t>
  </si>
  <si>
    <t>Applications for line-of-sight communications links between spacecraft include data relay from LEO spacecraft, telecommunications between satellites in GSO or LEO orbits, secure communications in military satellite constellations, and links to manned spacecraft. Optical technology will be the preferred choice for many such applications due to potential advantages of small antenna (telescope) size and low mass and power. MMS has been leading the development of the technologies needed for such terminals under the ESA funded SILEX programme and two flight models are now under integration. In parallel a second generation terminal known as the Small Optical User Terminal (SOUT) has been developed to elegant breadboard level under ESA funding. The advantages of low mass and power can now be realised due to recent advances in semiconductor laser technology. MMS has combined its experience in SILEX and SOUT to produce a concept for a small terminal which will be attractive to users in the near-term. This retains essential features of the SOUT such as the softmount interface, combined acquisition and tracking sensor, and fibre coupled lasers. It also minimizes cost by re-using SILEX derived electronics and other space qualified elements. The terminal has a 7 cm diameter telescope, a mass below 50 kg, and will provide a 50 Mbps data link with SILEX. The main features of the terminal are presented in this paper together with the chief applications which are envisaged.</t>
  </si>
  <si>
    <t>257-267</t>
  </si>
  <si>
    <t>Space Communications</t>
  </si>
  <si>
    <t>60086242;60086242</t>
  </si>
  <si>
    <t>7005799136;7102324320</t>
  </si>
  <si>
    <t>Gatenby, P.;Laurent, B.</t>
  </si>
  <si>
    <t>Ottobrunn</t>
  </si>
  <si>
    <t>Airbus Defence and Space</t>
  </si>
  <si>
    <t>Gatenby P.</t>
  </si>
  <si>
    <t>Small laser terminal for operational intersatellite links</t>
  </si>
  <si>
    <t>2-s2.0-0029462393</t>
  </si>
  <si>
    <t>['system development', 'specific methods', 'scientific directions', 'scientific cycle', 'radio engineering', 'principal link', 'comprehensive analysis', 'basic characteristics']</t>
  </si>
  <si>
    <t>The basic characteristics of specific methods, obtained as a result of scientific research efforts directed at solving particular problems, are considered for examples of methods of radio engineering, electronics, and radio engineering systems. The principal link in the scientific cycle of system development is determined. A comprehensive analysis has made it possible to verify the role and place of specific methods in the development of scientific directions.</t>
  </si>
  <si>
    <t>63-69</t>
  </si>
  <si>
    <t>Ogorodniychuk, L. D.</t>
  </si>
  <si>
    <t>Ogorodniychuk L.</t>
  </si>
  <si>
    <t>Role and place of scientific methods in the development of certain scientific directions (for example of radio engineering sciences)</t>
  </si>
  <si>
    <t>2-s2.0-0029482181</t>
  </si>
  <si>
    <t>['phase errors', 'normally distributed']</t>
  </si>
  <si>
    <t>Algorithms are obtained that can be implemented in practice for estimating the two angular coordinates of a signal source including also the removal of the phase measurement ambiguity. The phase errors are assumed to be normally distributed with a known correlation matrix. Formulas are given for calculating the direction-finding accuracy characteristics.</t>
  </si>
  <si>
    <t>99-105</t>
  </si>
  <si>
    <t>6508063084;7202950806</t>
  </si>
  <si>
    <t>Armizonov, A. N.;Denisov, V. P.</t>
  </si>
  <si>
    <t>Application of maximum likelihood method to the processing of signals in phase direction finders with planar antenna arrays</t>
  </si>
  <si>
    <t>2-s2.0-0029482327</t>
  </si>
  <si>
    <t>['type computer', 'ibm pc', 'directivity pattern', 'arranged arbitrarily', 'antenna array']</t>
  </si>
  <si>
    <t>An algorithm is developed for calculating the effect of a multilayer dielectric cylindrical dome on the directivity pattern of an antenna array, arranged arbitrarily with respect to the dome, on the basis of rigorous electrodynamic theory. The algorithm is implemented in the form of programs for an IBM PC-type computer. The numerical results obtained are analyzed.</t>
  </si>
  <si>
    <t>7006839310;6603577134</t>
  </si>
  <si>
    <t>Bodrov, V. V.;Surkova, I. V.</t>
  </si>
  <si>
    <t>Effect of a multilayer cylindrical dome on the directivity pattern of an antenna array, arranged arbitrarily with respect to the dome</t>
  </si>
  <si>
    <t>2-s2.0-0029483076</t>
  </si>
  <si>
    <t>['next couple', 'millimeter waves', 'commercially available', 'cars within', 'automotive industry', 'advanced application']</t>
  </si>
  <si>
    <t>The most advanced application of millimeter waves is still the collision avoidance radar. However, the system is expected to be commercially available in cars within the next couple of years. The technology and applications for millimeter waves in the automotive industry are described.</t>
  </si>
  <si>
    <t>60085149;60085149</t>
  </si>
  <si>
    <t>7004699658;7004589090</t>
  </si>
  <si>
    <t>Daembkes, H.;Luy, J. F.</t>
  </si>
  <si>
    <t>Daimler AG</t>
  </si>
  <si>
    <t>Daembkes H.</t>
  </si>
  <si>
    <t>Millimetrewave components and systems for automotive applications</t>
  </si>
  <si>
    <t>2-s2.0-0029487476</t>
  </si>
  <si>
    <t>['well defined', 'retrieval algorithm', 'range requirements', 'probing radar', 'optimum ground', 'new geometry', 'investigate experimentally', 'image reconstruction', 'close targets']</t>
  </si>
  <si>
    <t>An electromagnetic scale model, with well defined and variable electrical parameters, has been constructed, to investigate experimentally the optimum ground-probing radar strategies for use in extremely lossy conditions. A new geometry is proposed that reduces the dynamic-range requirements of a ground-probing radar, allows the permittivity of the medium to be estimated, and provides a clear time window for close targets to be detected. An image-retrieval algorithm is described for image reconstruction.</t>
  </si>
  <si>
    <t>306-312</t>
  </si>
  <si>
    <t>60001881;60001881;60001881</t>
  </si>
  <si>
    <t>7501502109;6603451186;7007084505</t>
  </si>
  <si>
    <t>Lee, K. C.;Junkin, G.;Kingsley, S. P.</t>
  </si>
  <si>
    <t>New strategy to locate buried objects in highly lossy ground</t>
  </si>
  <si>
    <t>10.1049/ip-rsn:19952148</t>
  </si>
  <si>
    <t>2-s2.0-0029487912</t>
  </si>
  <si>
    <t>['simply connected', 'exactly transform', 'allows us']</t>
  </si>
  <si>
    <t>We have derived a method that allows us to exactly transform the fields of given primary sources into the field of a required directivity diagram. We use this method to synthesize bulk antennas with simply connected and doubly connected internal cavities.</t>
  </si>
  <si>
    <t>83-86</t>
  </si>
  <si>
    <t>Synthesis of the shape and transparency of the walls of an open resonator based on a prespecified excitation and radiation diagram</t>
  </si>
  <si>
    <t>2-s2.0-0029488001</t>
  </si>
  <si>
    <t>['vectorial case', 'variables occurring', 'trapping problem', 'technique exploits', 'synthesis problem', 'synthesis algorithm', 'spurious solutions', 'sets involved', 'projection algorithm', 'possible constraints', 'new technique', 'fundamental difficulty', 'full three', 'excitation coefficients', 'conventional choice', 'conformal arrays', 'choice makes']</t>
  </si>
  <si>
    <t>A new technique for the synthesis of conformal arrays in the full three-dimensional and vectorial case is presented. The technique exploits a generalised projection algorithm, and can easily be extended to deal with possible constraints on the excitation coefficients. To alleviate the most fundamental difficulty of the power synthesis problem, i.e. the possibility for the synthesis algorithm of being trapped by spurious solutions, a non-conventional choice for the variables occurring in the synthesis problem is made, following recent results in reflector antennas power synthesis. This choice makes the geometry of the sets involved in the projection algorithm more favourable from the point of view of the trapping problem. Numerical examples demonstrating the performances of the method are presented.</t>
  </si>
  <si>
    <t>Bucci, O. M.;D'Elia, G.;Romito, G.</t>
  </si>
  <si>
    <t>Power synthesis of conformal arrays by a generalised projection method</t>
  </si>
  <si>
    <t>10.1049/ip-map:19952290</t>
  </si>
  <si>
    <t>2-s2.0-0029489135</t>
  </si>
  <si>
    <t>['temperature superconductors', 'significant improvements', 'monopole bases', 'directly connected']</t>
  </si>
  <si>
    <t>Electrically small perfectly conducting superdirective monopole arrays above lossy metal groundplanes are analysed at 500 MHz using a moment method incorporating Sommerfeld terms. It is shown that significant improvements in efficiency are obtained when small perfectly conducting discs, which can be realised using high-temperature superconductors, are attached to the monopole bases, compared with the monopoles being directly connected to the groundplanes.</t>
  </si>
  <si>
    <t>462-466</t>
  </si>
  <si>
    <t>Improving efficiencies of superdirective arrays of monopoles over lossy groundplanes by using superconducting disc overlays</t>
  </si>
  <si>
    <t>10.1049/ip-map:19952358</t>
  </si>
  <si>
    <t>2-s2.0-0029490872</t>
  </si>
  <si>
    <t>['wave analysis', 'tunable characteristic', 'swr bandwidth', 'scan characteristics', 'resonant frequency', 'numerical results', 'input swr', 'input impedance', 'infinite array', 'ground plane', 'floquet theorem', 'experimental data', 'computed results', 'broadside direction']</t>
  </si>
  <si>
    <t>The tunable characteristic of an aperture-coupled microstrip antenna with an airgap between the substrate and the ground plane is investigated. Numerical results on input impedance, SWR bandwidth, resonant frequency and far-field radiation patterns are given. Computed results of input SWR against frequency are compared with experimental data. The scan characteristics of an infinite array of aperture-coupled microstrip antennas with an airgap are also studied using a full-wave analysis. The periodic spectral Green's functions are derived by the Floquet theorem. The calculated reflection coefficients versus scan angle in an arbitrary scan plane and against frequency when scanning at the broadside direction are presented.</t>
  </si>
  <si>
    <t>485-488</t>
  </si>
  <si>
    <t>7006646156;7102473419;55510527400;7501501369</t>
  </si>
  <si>
    <t>Au, T. M.;Tong, K. F.;Luk, K. M.;Lee, K. F.</t>
  </si>
  <si>
    <t>Au T.</t>
  </si>
  <si>
    <t>Analysis of aperture-coupled microstrip antenna and array with an airgap</t>
  </si>
  <si>
    <t>10.1049/ip-map:19952237</t>
  </si>
  <si>
    <t>2-s2.0-0029491257</t>
  </si>
  <si>
    <t>['wave equations', 'isotropic media', 'investigated numerically', 'evolution equations', 'dispersion characteristics', 'coupled waveguides']</t>
  </si>
  <si>
    <t>Wave equations are obtained for the media being investigated and evolution equations are obtained on the basis of them, whose solutions determine all components of the vectors E‚Üí and H‚Üí. Hybrid natural waves are considered in slot-coupled waveguides, filled with layers of nonuniform anisotropic magnetodielectrics. The dispersion characteristics are investigated numerically for the cases of anisotropic and isotropic media.</t>
  </si>
  <si>
    <t>47-54</t>
  </si>
  <si>
    <t>6602889861;6603157435</t>
  </si>
  <si>
    <t>Adonina, A. I.;Slyusarev, A. I.</t>
  </si>
  <si>
    <t>Adonina A.</t>
  </si>
  <si>
    <t>Vector problem for nonuniform, nonstationary anisotropic media</t>
  </si>
  <si>
    <t>2-s2.0-0029491711</t>
  </si>
  <si>
    <t>['remote subscribers', 'one cabinet', 'latest advances', 'fha 1', 'even outdoors', 'easily installed', 'access network', 'access multiplexer']</t>
  </si>
  <si>
    <t>The FHA 1.5 GHz digital radio relay system featuring a built-in access multiplexer has been designed to extend the access network down to the most remote subscribers. It supports both analog and digital interfaces suited to plain telephone networks or an ISDN. This fully integrated system is contained in one cabinet which can be quickly and easily installed, even outdoors. Whether used alone or with additional distribution equipment, it brings the benefits of the latest advances in digital radio technology on the access network.</t>
  </si>
  <si>
    <t>45-52</t>
  </si>
  <si>
    <t>Commutation and Transmission</t>
  </si>
  <si>
    <t>Cordier, P.</t>
  </si>
  <si>
    <t>Cordier P.</t>
  </si>
  <si>
    <t>FHA: 1.5 GHz digital radio relay system</t>
  </si>
  <si>
    <t>2-s2.0-0029491844</t>
  </si>
  <si>
    <t>['type arrays', 'signal powers', 'coordinate pairs']</t>
  </si>
  <si>
    <t>Algorithms are proposed for determining the coordinate pairs of radiation sources using the data of two orthogonal linear antenna arrays and matrix-type arrays. One-dimensional and two-dimensional data matrices are used to estimate the coordinates. An algorithm is given for estimating the number of sources and the coordinate pairs regardless of the ratio of the signal powers.</t>
  </si>
  <si>
    <t>102-107</t>
  </si>
  <si>
    <t>Bunyak, Yu A.</t>
  </si>
  <si>
    <t>Bunyak Y.</t>
  </si>
  <si>
    <t>Determination of the coordinates of radiation sources using the method of factorization of the data reading matrices of antenna arrays</t>
  </si>
  <si>
    <t>2-s2.0-0029491981</t>
  </si>
  <si>
    <t>['paper presents', 'panel used', 'geometrical factors', 'environmental problems', 'electrical parameters', 'directional properties', 'broadcast fm']</t>
  </si>
  <si>
    <t>The paper presents an approximate numerical technique for estimation of the EM field distribution in the vicinity of broadcast FM and TV antenna systems. This technique is needed to estimate health hazards and other environmental problems. It is based on the geometrical factors of the system, the directional properties of the panel used, powers and voltage phases supplying the panels and the electrical parameters of the ground.</t>
  </si>
  <si>
    <t>136-142</t>
  </si>
  <si>
    <t>100326608;100326608</t>
  </si>
  <si>
    <t>6507464853;6507604884</t>
  </si>
  <si>
    <t>Kaluski, Marek;Stasierski, Lech</t>
  </si>
  <si>
    <t>Wroclaw</t>
  </si>
  <si>
    <t>Inst of Telecommunications</t>
  </si>
  <si>
    <t>Kaluski M.</t>
  </si>
  <si>
    <t>Electromagnetic field estimation in the vicinity of panel antenna system for FM and TV broadcasting</t>
  </si>
  <si>
    <t>10.1109/11.476523</t>
  </si>
  <si>
    <t>2-s2.0-0029493496</t>
  </si>
  <si>
    <t>['wire structure', 'symmetrical dipole', 'moment method', 'metal surface', 'electrical characteristics', 'cylindrical groove']</t>
  </si>
  <si>
    <t>The effect of a flat metal surface with a cylindrical groove on the electrical characteristics of a symmetrical dipole is investigated. The analysis is based on a replacement of the metal surface by a wire structure and the moment method.</t>
  </si>
  <si>
    <t>62-67</t>
  </si>
  <si>
    <t>Levin, B. M.</t>
  </si>
  <si>
    <t>Levin B.</t>
  </si>
  <si>
    <t>Symmetrical dipole on the axis of a finite-length groove</t>
  </si>
  <si>
    <t>2-s2.0-0029506012</t>
  </si>
  <si>
    <t>['quantum dot', 'effective coupling', 'current distribution', 'assisted tunneling', 'additional resonance', '2 results', '155 ghz']</t>
  </si>
  <si>
    <t>We investigate the influence of high frequency microwave radiation on single electron tunneling through a quantum dot. Effective coupling of the radiation to the quantum dot is achieved by an on-chip integrated broadband antenna. Simulations of the current distribution on the antenna are shown. We find that radiation with a frequency of ŒΩ=155 GHz, which corresponds to half of the bare charging energy Ec/2 results in an additional conductance peak within the Coulomb blockade regime. This additional resonance is attributed to photon-assisted tunneling. ¬© 1995 American Institute of Physics.</t>
  </si>
  <si>
    <t>60016924;60016924;60016924;60016924;60016924</t>
  </si>
  <si>
    <t>7005717526;7102156885;7004109084;7005675121;56253646600</t>
  </si>
  <si>
    <t>Blick, R. H.;Haug, R. J.;Van Der Weide, D. W.;Von Klitzing, K.;Eberl, K.</t>
  </si>
  <si>
    <t>Max Planck Institute for Solid State Research</t>
  </si>
  <si>
    <t>Blick R.</t>
  </si>
  <si>
    <t>Photon-assisted tunneling through a quantum dot at high microwave frequencies</t>
  </si>
  <si>
    <t>10.1063/1.114406</t>
  </si>
  <si>
    <t>2-s2.0-0029509199</t>
  </si>
  <si>
    <t>['wideband signals', 'whole width', 'two receivers', 'threshold detection', 'tdfcsd ),', 'spread uniformly', 'spectrum signals', 'spectrum signal', 'spatially separated', 'simple time', 'signal component', 'receiver system', 'receiver bandwidth', 'real time', 'one metre', 'noise ratio', 'noise components', 'integrating acousto', 'fourier transform', 'final processing', 'domain filter', 'cross correlation', 'cross correlating', 'correlation function', 'ccf ),', 'authors present', 'arbitrary form', '1 ghz']</t>
  </si>
  <si>
    <t>The authors present a technique for the detection of spread-spectrum signals, of arbitrary form, even when the signal power spectral density (PSD) is well below the surveillance receiver noise spectral density, using a pair of antennas with broadband (1 GHz or more) receivers. Cross correlating the outputs of two receivers, spatially separated by a distance of the order of one metre or more, produces a cross-correlation function (CCF), in which the noise components are spread uniformly over the whole width, while the signal component, the narrow autocorrelation function (ACF) of the spread-spectrum signal, is concentrated in the centre. A simple time-domain filter can select this narrow centre portion of the CCF, rejecting the remainder which contains only noise. Taking the Fourier transform of this windowed CCF produces the `time-domain filtered cross spectral density' (TDFCSD), in which the signal to noise ratio is independent of receiver bandwidth. Spread-spectrum signals can then be both detected and characterized, in an extremely sensitive broadband system, by threshold detection in this TDFCSD. An analysis of the performance of this dual-receiver system is presented. A computer simulation illustrates the signal processing process involved, and shows excellent agreement with the analysis. A time-integrating acousto-optic correlator may be used to perform the cross correlation and time domain filtering of wideband signals in real time. Final processing of the much reduced data set to obtain the TDFCSD can be carried out digitally.</t>
  </si>
  <si>
    <t>286-292</t>
  </si>
  <si>
    <t>60024779;60024779</t>
  </si>
  <si>
    <t>7102646794;7006953401</t>
  </si>
  <si>
    <t>Houghton, A. W.;Reeve, C. D.</t>
  </si>
  <si>
    <t>Plymouth</t>
  </si>
  <si>
    <t>University of Plymouth</t>
  </si>
  <si>
    <t>Houghton A.</t>
  </si>
  <si>
    <t>Detection of spread-spectrum signals using the time-domain filtered cross spectral density</t>
  </si>
  <si>
    <t>10.1049/ip-rsn:19952150</t>
  </si>
  <si>
    <t>2-s2.0-0029510081</t>
  </si>
  <si>
    <t>['dynamic characteristics', 'correlation matrix', 'convergence rate']</t>
  </si>
  <si>
    <t>The dynamic characteristics are investigated and estimates of the convergence rate are obtained for an adaptive spatial signal processing algorithm that uses the maximum entropy method for estimating the correlation matrix.</t>
  </si>
  <si>
    <t>63-71</t>
  </si>
  <si>
    <t>6701509526;6507532009</t>
  </si>
  <si>
    <t>Sverdlik, M. B.;Shpatakovskiy, V. E.</t>
  </si>
  <si>
    <t>Sverdlik M.</t>
  </si>
  <si>
    <t>Dynamic properties of MEM spatial signal processing algorithm</t>
  </si>
  <si>
    <t>2-s2.0-0029511022</t>
  </si>
  <si>
    <t>['theoretical methods', 'theoretical designs', 'required performance', 'extensive use', 'dual polarisation', 'band operation']</t>
  </si>
  <si>
    <t>The development of the complex feed system for the Tasmanian Earth Resources Satellite Station (TERSS) is described. The feed system provides simultaneous S/X-band operation with dual polarisation and tracking capabilities within a compact coaxial waveguide arrangement. Extensive use of theoretical methods was necessary to achieve the required performance and the agreement with measured data verified the theoretical designs.</t>
  </si>
  <si>
    <t>60029470;60029470;60029470;60029470</t>
  </si>
  <si>
    <t>7201399131;57197449545;7004319686;7202832083</t>
  </si>
  <si>
    <t>James, G. L.;Clark, P. R.;Graves, G. R.;Bird, T. S.</t>
  </si>
  <si>
    <t>James G.</t>
  </si>
  <si>
    <t>S/X-band feed for the Tasmanian earth resources satellite station (TERSS)</t>
  </si>
  <si>
    <t>2-s2.0-0029512571</t>
  </si>
  <si>
    <t>['useful tool', 'high concentration', 'geometrical constraints', 'dye molecules', 'antenna behaviour', '200 nm']</t>
  </si>
  <si>
    <t>Artificial antennae | cationic dyes | F√∂rster energy transfer | zeolite L microcrystals</t>
  </si>
  <si>
    <t>The antenna behaviour of oxonine and pyronine loaded zeolite L microcrystals is investigated. The geometrical constraints of this system exclude aggregation and therefore self quenching of electronic excitation energy even at very high concentration and lead to a highly anisotropic antenna system based on F√∂rster energy transfer. Microcrystals with size of the order of 100 to 200 nm are found to be optimal for realising an efficient light harvesting antenna. Solvatochromy is shown to be a useful tool to distinguish between dye molecules on the surface and inside of zeolite L microcrystals. The method is expected to be applicable to other zeolite/dye systems also. ¬© 1995 Indian Academy of Sciences.</t>
  </si>
  <si>
    <t>753-767</t>
  </si>
  <si>
    <t>Proceedings of the Indian Academy of Sciences - Chemical Sciences</t>
  </si>
  <si>
    <t>Cationic dye molecules in zeolite L as artificial antenna</t>
  </si>
  <si>
    <t>10.1007/BF02869967</t>
  </si>
  <si>
    <t>2-s2.0-0029513547</t>
  </si>
  <si>
    <t>['triple reflections', 'thus validating', 'test sites', 'radar cross', 'physical theory', 'orthogonality loss', 'obtuse angles', 'numerical results', 'mechanical stresses', 'geometrical optics', 'experimental data', 'excellent agreement', 'construction defects', 'calculate single', 'anechoic chamber', 'analysis takes']</t>
  </si>
  <si>
    <t>Synthetic aperture radar external calibration requires the use of trihedral corner reflectors deployed on test sites. Construction defects and mechanical stresses can affect the orthogonality of the corner reflector faces, with an effect on their radar cross-section. A model for evaluating backscattering properties of perfectly conductive trihedral corner reflectors, with internal angles deviating from orthogonality, has been developed. The combination of geometrical optics and physical optics methods has been used to calculate single, double and triple reflections. Moreover, the analysis takes into account single diffraction contributions which are described by means of the physical theory of diffraction. The radar cross-section of a set of trihedral corner reflectors with right, acute and obtuse angles has been then measured in an anechoic chamber. The numerical results and the experimental data are in excellent agreement, thus validating the model which foresees a decrease in the radar cross-section as a consequence of the orthogonality loss.</t>
  </si>
  <si>
    <t>441-446</t>
  </si>
  <si>
    <t>100338805;100338805;100338805</t>
  </si>
  <si>
    <t>7102694227;35567712500;7003426558</t>
  </si>
  <si>
    <t>Ferrara, G.;Mattia, F.;Posa, F.</t>
  </si>
  <si>
    <t>Istituto Universitario Navale</t>
  </si>
  <si>
    <t>Ferrara G.</t>
  </si>
  <si>
    <t>Backscattering study on non-orthogonal trihedral corner reflectors</t>
  </si>
  <si>
    <t>10.1049/ip-map:19952235</t>
  </si>
  <si>
    <t>2-s2.0-0029513553</t>
  </si>
  <si>
    <t>['wireless modem', 'uniform fdtd', 'small size', 'resonant frequency', 'reflecting plane', 'printed monopole', 'personal communications', 'operating frequency', 'high directivity', 'ground plane', 'good gain', 'good features', 'expected behaviour', 'acting like']</t>
  </si>
  <si>
    <t>The behaviour of the printed monopole when used with a finite ground plane differs considerably from the expected behaviour in an infinite ground plane. When the ground plane is small, this influences the resonant frequency, acting like a reflecting plane. The polarisation is not linear, and the dependence of the operating frequency with the dimensions of the monopole is not linear. For that reason this monopole with a finite ground size is called a coupled patch antenna. This antenna has very good features for personal communications, i.e. very small size, good gain and high directivity. The antenna is designed for use with a wireless modem but can be used in any personal communications system. The analysis of the performance is achieved by using the non-uniform FDTD in combination with the recently developed perfect matching layer superabsorbing boundary condition.</t>
  </si>
  <si>
    <t>495-497</t>
  </si>
  <si>
    <t>7102070588;6507417499;7501662188;7006562937</t>
  </si>
  <si>
    <t>Navarro, E. A.;Sangary, N. T.;Wu, C.;Litva, J.</t>
  </si>
  <si>
    <t>Navarro E.</t>
  </si>
  <si>
    <t>Analysis of a coupled patch antenna with application in personal communications</t>
  </si>
  <si>
    <t>10.1049/ip-map:19952236</t>
  </si>
  <si>
    <t>2-s2.0-0029513554</t>
  </si>
  <si>
    <t>['whose parameters', 'symmetric relative', 'reflection coefficients', 'radio waves', 'meter range', 'measurement results', 'layered earth', 'computed values']</t>
  </si>
  <si>
    <t>We discuss a method for measuring the reflection coefficients of radio waves in the ten-meter range from a semiconducting terrestrial surface using a vertical antenna array with a family of beams that are symmetric relative to the horizon. We present measurement results involving the reception of signals after traversing a radio propagation path 1200 km in length. We show that the experimental and computed values of the Fresnel coefficients coincide only for a model of a two-layered Earth, whose parameters can be recovered rather accurately from the measurement results.</t>
  </si>
  <si>
    <t>54-57</t>
  </si>
  <si>
    <t>7003684032;6602449699</t>
  </si>
  <si>
    <t>Sodin, L. G.;Fal'Kovich, I. S.</t>
  </si>
  <si>
    <t>Sodin L.</t>
  </si>
  <si>
    <t>Measurement of the Fresnel coefficients using a vertical phased array of antennas</t>
  </si>
  <si>
    <t>2-s2.0-0029514150</t>
  </si>
  <si>
    <t>['usual techniques', 'sommerfield integrals', 'integral equation', 'input impedance', 'exponential approximations']</t>
  </si>
  <si>
    <t>The corresponding electric field integral equation for an antenna horizontally placed over an imperfectly conducting halfspace is solved by a variant of the boundary-element method originally developed for such operators. Sommerfield integrals, appearing in the kernel of the integral equation, are evaluated by means of exponential approximations. This approach shows numerous advantages over the usual techniques of solving such an equation, particularly in calculating the input impedance.</t>
  </si>
  <si>
    <t>435-440</t>
  </si>
  <si>
    <t>60006948;60006948</t>
  </si>
  <si>
    <t>7004103789;6602731544</t>
  </si>
  <si>
    <t>Poljak, D.;Roje, V.</t>
  </si>
  <si>
    <t>Croatia</t>
  </si>
  <si>
    <t>Split</t>
  </si>
  <si>
    <t>Sveuƒçili≈°te u Splitu</t>
  </si>
  <si>
    <t>Poljak D.</t>
  </si>
  <si>
    <t>Boundary-element approach to calculation of wire antenna parameters in the presence of dissipative halfspace</t>
  </si>
  <si>
    <t>10.1049/ip-map:19952356</t>
  </si>
  <si>
    <t>2-s2.0-0029514702</t>
  </si>
  <si>
    <t>['united airlines', 'trial purposes', 'scanning antenna', 'radar transciever', 'providing aircraft', 'lear astronics', 'hud ).', 'guide enhances', 'dspu ),']</t>
  </si>
  <si>
    <t>The Autonomous Landing Guide (alg) is a new navigational aid being developed by GEC-RDS and Lear Astronics. This guide enhances the vision of the flight crew using a millimeter radar system. The alg system comprises four main subsystems; a scanning antenna, millimetric (94GHz) radar transciever, digital signal processor unit (dspu), and head up display (hud). At present, alg is in preproduction with a view to certification by the US Federal Aviation Authority. Both United Airlines and North West Air are involved in this project and will be providing aircraft for trial purposes.</t>
  </si>
  <si>
    <t>16-18</t>
  </si>
  <si>
    <t>New Electronics</t>
  </si>
  <si>
    <t>Klein, Robert H.</t>
  </si>
  <si>
    <t>Klein R.H.</t>
  </si>
  <si>
    <t>Eyesight to the blind</t>
  </si>
  <si>
    <t>2-s2.0-0029515738</t>
  </si>
  <si>
    <t>['receiver parameters', 'receiver elements', 'quasideterminate signals', 'paper discusses', 'optimum matching', 'nonlinear distortions', 'input bias', 'essentially eliminate', 'antenna input']</t>
  </si>
  <si>
    <t>This paper discusses the possibility of improving the characteristics of systems for the optimum joint detection and estimation of the parameters of quasideterminate signals by means of an optimum adaptive control of the input bias and the gain of the receiver elements, located as close as possible to the antenna input. Optimum matching of the receiver parameters with the statistics of the signals being analyzed is used to make it possible to essentially eliminate the appearance of nonlinear distortions.</t>
  </si>
  <si>
    <t>89-105</t>
  </si>
  <si>
    <t>7101893403;7801491268</t>
  </si>
  <si>
    <t>Platonov, A. A.;Szabatin, J.</t>
  </si>
  <si>
    <t>Platonov A.</t>
  </si>
  <si>
    <t>Joint detection and estimation of signal parameters in the presence of a statistically matched control of the receiver with a finite linear range</t>
  </si>
  <si>
    <t>2-s2.0-0029516410</t>
  </si>
  <si>
    <t>['paper examines', 'numerical analysis', 'microstrip antennas', 'large mesh', 'fine features', 'exorbitant amount', 'electronic packages', 'computational time', 'complex structures', 'accurate modeling']</t>
  </si>
  <si>
    <t>This paper examines the modeling of complex structures having fine features such as electronic packages and microstrip antennas. The numerical analysis is carried out using the finite difference time domain (FDTD) method. One of the fundamental problems associated with analyzing this class of structures is that accurate modeling of their fine features typically requires a large mesh and an exorbitant amount of computational time. The basics of FDTD and its application to electronic package structures are discussed.</t>
  </si>
  <si>
    <t>60021293;60021293;60021293</t>
  </si>
  <si>
    <t>7402414103;6602901687;55197051100</t>
  </si>
  <si>
    <t>Becker, Wiren D.;Chebolu, Siva;Mittra, Raj</t>
  </si>
  <si>
    <t>Armonk</t>
  </si>
  <si>
    <t>International Business Machines</t>
  </si>
  <si>
    <t>Becker W.</t>
  </si>
  <si>
    <t>Finite difference time domain modeling of high speed electronic packages</t>
  </si>
  <si>
    <t>2-s2.0-0029516580</t>
  </si>
  <si>
    <t>['statistical model', 'passive sub', 'paper discusses', 'harmonic scatterers', 'experimental results', 'electromagnetic field']</t>
  </si>
  <si>
    <t>This paper discusses the scattering of an electromagnetic field by a system of passive sub-harmonic scatterers when a monochromatic electromagnetic wave is incident on the system, using a statistical model of the signal. Experimental results are presented.</t>
  </si>
  <si>
    <t>57-60</t>
  </si>
  <si>
    <t>Gorbachev, P. A.</t>
  </si>
  <si>
    <t>Gorbachev P.</t>
  </si>
  <si>
    <t>Signal generation by a system of passive subharmonic scatterers</t>
  </si>
  <si>
    <t>2-s2.0-0029516724</t>
  </si>
  <si>
    <t>['uniform spectrum', 'sufficiently stable', 'state noise', 'remain close', 'radar system', 'optimality property', 'nonuniform spectrum', 'noise sample', 'noise power', 'doppler shift', 'binary detection', 'analysis show', 'algorithm loses']</t>
  </si>
  <si>
    <t>The problem of the binary detection of a signal in a fixed resolution element from the delay and Doppler shift of the frequency in a background of nonsteady-state Gaussian noise with a nonuniform spectrum is considered for the case of a radar system with a multilobe receiver antenna directivity pattern. The recommended contrast detection algorithm for a uniform noise sample (steady-state noise with a uniform spectrum) is the uniformly most powerful invariant rule. When the noise sample is nonuniform, the algorithm loses the optimality property but, as the results of an analysis show, its characteristics are sufficiently stable and remain close to optimum for an extremely steep linear variation of the noise power with respect to the delay and frequency.</t>
  </si>
  <si>
    <t>6602777311;6506117938</t>
  </si>
  <si>
    <t>Gutin, V. S.;Sirotinin, V. I.</t>
  </si>
  <si>
    <t>Gutin V.</t>
  </si>
  <si>
    <t>Algorithm for the contrast detection of signals in a nonsteady-state noise background</t>
  </si>
  <si>
    <t>2-s2.0-0029516953</t>
  </si>
  <si>
    <t>['first approximation', 'dissipative theorem', 'analytical formula']</t>
  </si>
  <si>
    <t>An analytical formula for calculating the thermal noise spectral density of the suspension of a free-mass laser gravitation antenna is obtained in the first approximation of the smooth perturbation method on the basis of the fluctuational and dissipative theorem for continuous (or distributed) systems.</t>
  </si>
  <si>
    <t>56423205700;7005584223;7101836147</t>
  </si>
  <si>
    <t>Gusev, A. V.;Kulagin, V. V.;Rudenko, V. N.</t>
  </si>
  <si>
    <t>On the thermal noise of the suspension of a free-mass laser gravitation antenna</t>
  </si>
  <si>
    <t>2-s2.0-0029517862</t>
  </si>
  <si>
    <t>['urban conditions', 'spatial filtering', 'proposed algorithms', 'obtaining superresolution', 'multipath fields', 'directional properties']</t>
  </si>
  <si>
    <t>The directional properties of a phased antenna array for obtaining superresolution and spatial filtering of interference in multipath fields are analyzed. An example is given that confirms the applicability of the proposed algorithms under urban conditions.</t>
  </si>
  <si>
    <t>Yakubov, V. P.</t>
  </si>
  <si>
    <t>Yakubov V.</t>
  </si>
  <si>
    <t>Superresolution and spatial filtering of interference in multipath fields</t>
  </si>
  <si>
    <t>2-s2.0-0029518061</t>
  </si>
  <si>
    <t>['various numbers', 'square approximation', 'radiators specified', 'radiator array', 'quadratic functional', 'quadratic constraints', 'phase synthesis', 'near field', 'given point', 'field intensity', 'discrete points', 'dimensional problem', 'conditional extrema', 'computer program', 'annular array']</t>
  </si>
  <si>
    <t>We discuss the two-dimensional problem of phase synthesis of a complex field distribution in the near field of an annular array of radiators specified in the form of discrete points. The problem is solved in the mean-square approximation, and reduces to minimization of a quadratic functional with quadratic constraints. In order to find the conditional extrema of this functional, we use a numerical iteration algorithm. Results are presented for synthesis of a prespecified field distribution in the near field using a radiator array of electric current filaments such that the field intensity is concentrated at a given point; various numbers of elements in the radiator array are used. The characteristics of the computer program we wrote to implement this synthesis are described.</t>
  </si>
  <si>
    <t>49-54</t>
  </si>
  <si>
    <t>7006076565;57204744238</t>
  </si>
  <si>
    <t>Chaplin, A. F.;Kondrat'Ev, A. S.</t>
  </si>
  <si>
    <t>Phase synthesis of an annular array of radiators based on a prespecified near field</t>
  </si>
  <si>
    <t>2-s2.0-0029518084</t>
  </si>
  <si>
    <t>['spatial structure', 'spatial spectra', 'principal components', 'model description', 'microwave field', 'mesoscale components', 'experimental data', 'averaging scales', 'atmosphere system']</t>
  </si>
  <si>
    <t>The principal components of the spatial structure of the thermo-microwave field of the ocean-atmosphere system are isolated. The averaging scales of the experimental data that ensure obtaining statistically stable estimates of the parameters of the spatial spectra of the synoptic and mesoscale components of the field are substantiated. A model description is proposed for the synoptic and mesoscale components of the spatial spectra, based on the results of an analysis of experimental data.</t>
  </si>
  <si>
    <t>108-116</t>
  </si>
  <si>
    <t>Savorskiy, V. P.</t>
  </si>
  <si>
    <t>Savorskiy V.</t>
  </si>
  <si>
    <t>Spatial spectra of the thermo-microwave field of the ocean-atmosphere system</t>
  </si>
  <si>
    <t>2-s2.0-0029519179</t>
  </si>
  <si>
    <t>['monopulse system', 'mechanical modifications', 'lower cost', 'geostationary satellite', 'current system', 'beam positioning', 'article describes']</t>
  </si>
  <si>
    <t>The article describes an electronic tracking system designed to calculate pointing error of an earth station antenna pointing towards a geostationary satellite. The system has the advantage of providing performance equivalent to the monopulse system but at lower cost and it can replace the current system with no mechanical modifications. The beam positioning is obtained without mechanical movement and is therefore very fast.</t>
  </si>
  <si>
    <t>6507024595;7006153097;6503863001;7003974930</t>
  </si>
  <si>
    <t>Khammouni, A.;Bourgeois, A.;Hunot, C.;Blot, J. P.</t>
  </si>
  <si>
    <t>Khammouni A.</t>
  </si>
  <si>
    <t>Electronic tracking antenna in large earth stations</t>
  </si>
  <si>
    <t>2-s2.0-0029519302</t>
  </si>
  <si>
    <t>['whistler type', 'triplet splitting', 'principal maxima', 'paper considers', 'observation point', 'magnetoactive plasma', 'length l', 'finite length', 'electric dipole', 'distance r', 'directivity pattern', 'caustic region', 'account leads']</t>
  </si>
  <si>
    <t>This paper considers the unique features associated with the formation of the directivity pattern of an electric dipole, exciting electromagnetic waves in the whistler type in a magnetoactive plasma at frequencies below the lower hybrid frequency. It is shown that taking the finite length of the dipole and the self-consistent current distribution in it into account leads to a triplet splitting of the principal maxima of the directivity pattern of the dipole in the caustic region. The variation of the directivity pattern of the dipole is analyzed as a function of the ratio of its length L to the distance R to the observation point. It is shown that the triplet splitting effect of the dipole directivity pattern maxima appears when L/R &gt; 0.02.</t>
  </si>
  <si>
    <t>94-101</t>
  </si>
  <si>
    <t>6603276155;6603557132</t>
  </si>
  <si>
    <t>Yeremin, S. M.;Strelnikov, V. N.</t>
  </si>
  <si>
    <t>Yeremin S.</t>
  </si>
  <si>
    <t>Triplet splitting of directivity pattern of electric dipole in a magnetoactive plasma</t>
  </si>
  <si>
    <t>2-s2.0-0029521704</t>
  </si>
  <si>
    <t>['ultrawide bandwidth', 'space electro', 'simple cross', 'pockels effect', 'optical pulses', 'optic sampling', 'optic effect', 'linear electro', 'correlation signal', 'alternative method']</t>
  </si>
  <si>
    <t>Free-space electro-optic sampling is an alternative method for the characterization of freely propagating terahertz beams with subpicosecond temporal resolution. In contrast to resonant photoconductive dipole antennas, free-space electro-optic sampling via the linear electro-optic effect (Pockels effect) offers a flat frequency response over an ultrawide bandwidth and the potential for a simple cross-correlation signal of the terahertz and optical pulses. ¬© 1995 American Institute of Physics.</t>
  </si>
  <si>
    <t>60025534;60025534</t>
  </si>
  <si>
    <t>7404603068;7410280543</t>
  </si>
  <si>
    <t>Wu, Q.;Zhang, X. C.</t>
  </si>
  <si>
    <t>Free-space electro-optic sampling of terahertz beams</t>
  </si>
  <si>
    <t>10.1063/1.114909</t>
  </si>
  <si>
    <t>2-s2.0-0029522012</t>
  </si>
  <si>
    <t>['time algorithms', 'synthesize space', 'sources based', 'rayleigh criterion', 'radiation located', 'multistep procedure', 'geometrically arbitrary', 'angular coordinates', 'analysis hypothesis']</t>
  </si>
  <si>
    <t>Recently, a multistep procedure was proposed for estimating the number and angular coordinates of sources of radiation located in a single resolution element based on the Rayleigh criterion. The procedure has potential for use with antenna arrays whose element positions are geometrically arbitrary. However, the transition from equidistant line antenna arrays to more complicated arrays significantly complicates the synthesis of a procedure for estimating the angular coordinates of sources based on analysis hypothesis. In this study, the procedure is used to synthesize space-time algorithms for estimating the number and angular coordinates of radiation sources located in the same resolution element according to the Rayleigh criterion for a planar rectangular antenna array.</t>
  </si>
  <si>
    <t>58-69</t>
  </si>
  <si>
    <t>Sychev, M. I.</t>
  </si>
  <si>
    <t>Sychev M.</t>
  </si>
  <si>
    <t>Estimating the number and angular coordinates of closely spaced sources of radiation based on space-time sampling at the output of a rectangular antenna array</t>
  </si>
  <si>
    <t>2-s2.0-0029528762</t>
  </si>
  <si>
    <t>['input impedance']</t>
  </si>
  <si>
    <t>The effect of the nonlinear double layer capacitance on the input impedance of a low-frequency loop antenna, located in the magnetoactive ionospheric plasma, is investigated.</t>
  </si>
  <si>
    <t>53-56</t>
  </si>
  <si>
    <t>6603779009;6701398779;6602991222</t>
  </si>
  <si>
    <t>Akindinov, V. V.;Lishin, I. V.;Sorokina, R. K.</t>
  </si>
  <si>
    <t>Akindinov V.</t>
  </si>
  <si>
    <t>Nonlinear input impedance of low-frequency loop antenna in ionospheric plasma</t>
  </si>
  <si>
    <t>2-s2.0-0029530276</t>
  </si>
  <si>
    <t>['tapered slot', 'line antenna', 'conductor edges', 'collocation technique', 'boundary condition']</t>
  </si>
  <si>
    <t>collocation technique | Equivalent source | filamentary current | method of moments | slot-line antenna</t>
  </si>
  <si>
    <t>An equivalent source model for the analysis of curved edge tapered slot-line antenna is developed, which employs effective filamentary currents along the conductor edges of the slot, but forces the electric field produced by the currents to satisfy the boundary condition on the whole conductor surface. This idea is implemented by method of moments with collocation technique, and applied to analyze a tapered slot-line antenna with arbitrarily curved edge. ¬© 1995 Plenum Publishing Corporation.</t>
  </si>
  <si>
    <t>2223-2229</t>
  </si>
  <si>
    <t>60005244;60005244;60013983</t>
  </si>
  <si>
    <t>56892513600;7409424720;55040562900</t>
  </si>
  <si>
    <t>Kang, Kai;Zhang, Wen Xun;Tsang, K. F.</t>
  </si>
  <si>
    <t>Hong Kong;China</t>
  </si>
  <si>
    <t>Kowloon;Nanjing</t>
  </si>
  <si>
    <t>City University of Hong Kong;Southeast University</t>
  </si>
  <si>
    <t>60013983;60005244</t>
  </si>
  <si>
    <t>Kang K.</t>
  </si>
  <si>
    <t>Equivalent source analysis of curved edge tapered slot-line antennas</t>
  </si>
  <si>
    <t>10.1007/BF02073422</t>
  </si>
  <si>
    <t>2-s2.0-0029532164</t>
  </si>
  <si>
    <t>['vertical polarization', 'sighting plane', 'sea surface', 'remote sensing', 'remote diagnostics', 'polarization angle', 'plane perpendicular', 'new direction', 'microwave band', 'experimental investigations', 'emission wavelength', 'different polarizations', 'brightness temperature', 'arbitrary polarization', '45 ¬∞']</t>
  </si>
  <si>
    <t>As the result of theoretical and experimental investigations of the fluctuations of the sea surface microwave emission at different polarizations, it is shown that the spectrum of fluctuations of the brightness temperature of a wavy sea surface at vertical polarization is determined by the spectrum of slopes in the sighting plane, and for a polarization angle of 45¬∞ it is determined by the spectrum of the slopes in the plane perpendicular to the sighting plane. A theory is developed that describes the brightness temperature fluctuations of the sea surface at an arbitrary polarization and that takes into account the large-scale (compared with the emission wavelength) waviness. The prospects of the new direction of remote diagnostics of the state of the sea surface in the microwave band - a spectral polarization method of remote sensing - are pointed out.</t>
  </si>
  <si>
    <t>103-113</t>
  </si>
  <si>
    <t>6602358861;57194863064;57214448643;6601942405</t>
  </si>
  <si>
    <t>Bubukin, I. T.;Stankevich, K. S.;Ivanov, V. P.;Agafonov, M. I.</t>
  </si>
  <si>
    <t>Bubukin I.</t>
  </si>
  <si>
    <t>Polarization investigations of sea surface microwave emission fluctuations</t>
  </si>
  <si>
    <t>2-s2.0-0029533438</t>
  </si>
  <si>
    <t>['wideband analysis', 'space domain', 'space dependence', 'smooth functions', 'series form', 'rapidly filled', 'pertaining green', 'numerical integration', 'novel formulation', 'microstrip circuits', 'maintaining accuracy', 'legendre polynomials', 'latter show', 'computation time', 'analytic form', 'allowing saving']</t>
  </si>
  <si>
    <t>A popular fullwave analysis method for microstrip circuits is based on integral equation techniques solved by the method of moments. A novel formulation in the space domain of the pertaining Green's functions is investigated. The latter show a series form where the space dependence is in the analytic form of Legendre polynomials and the coefficients, determined by numerical integration, are discovered to be smooth functions of frequency. From these properties, the matrix of moments is rapidly filled, allowing saving of computation time, while maintaining accuracy in a wideband analysis.</t>
  </si>
  <si>
    <t>421-428</t>
  </si>
  <si>
    <t>7003360986;6506717001;7102946227</t>
  </si>
  <si>
    <t>Laheurte, J. M.;Rousta, M.;Marchetti, S.</t>
  </si>
  <si>
    <t>Laheurte J.M.</t>
  </si>
  <si>
    <t>Improved frequency domain analysis of microstrip circuits by the method of moments</t>
  </si>
  <si>
    <t>10.1049/ip-map:19952265</t>
  </si>
  <si>
    <t>2-s2.0-0029535701</t>
  </si>
  <si>
    <t>['user interface', 'transceiver unit', 'provided using', 'performed using', 'network consists', 'msat system', 'msat ).', 'mobile terminals', 'mobile satellite', 'mitsubishi electric', 'data communications', 'article reports']</t>
  </si>
  <si>
    <t>This article reports on the MSAT system and mobile terminal equipment developed by Mitsubishi Electric for use with Mobile Satellite (MSAT). The network consists of a feeder-link earth station, network communications controller, network operations center and mobile terminals. Voice, facsimile and data communications are provided using the single channel per carrier/frequency division multiple access method, and access is performed using the demand assignment multiple access method. The mobile terminal equipment consists of an L-band antenna unit, a transceiver unit and a user interface.</t>
  </si>
  <si>
    <t>13-15</t>
  </si>
  <si>
    <t>Mitsubishi Electric Advance</t>
  </si>
  <si>
    <t>Aoki, Katsuhiko</t>
  </si>
  <si>
    <t>Lagos</t>
  </si>
  <si>
    <t>Cent</t>
  </si>
  <si>
    <t>Aoki K.</t>
  </si>
  <si>
    <t>Mobile terminal equipment for MSAT</t>
  </si>
  <si>
    <t>2-s2.0-0029537686</t>
  </si>
  <si>
    <t>['radiation patterns', 'physical optics', 'moment method', 'latter via', 'geometric theory', 'former via', 'effective design', 'cellular handset', 'calculated values', 'antenna mounted', 'actual measurements']</t>
  </si>
  <si>
    <t>Effective design of cellular phone antennas requires technologies to predict the radiation patterns of an antenna mounted in a cellular handset, and to determine the effects of the user's body on those patterns. Presented in this article is an analysis of the former via the moment method and the latter via the geometric theory of diffraction and physical optics, comparing the calculated values against actual measurements.</t>
  </si>
  <si>
    <t>101152941;101152941</t>
  </si>
  <si>
    <t>7201413504;55254086800</t>
  </si>
  <si>
    <t>Yoshikawa, Yukihiro;Endo, Tsutomu</t>
  </si>
  <si>
    <t>PHS Business Cent</t>
  </si>
  <si>
    <t>Yoshikawa Y.</t>
  </si>
  <si>
    <t>Simulation technology for the antenna radiation patterns of cellular phones</t>
  </si>
  <si>
    <t>2-s2.0-0029537687</t>
  </si>
  <si>
    <t>['special attention', 'residential areas', 'extensive set', 'em pollution', 'antenna park']</t>
  </si>
  <si>
    <t>An extensive set of measurements for the purpose of mapping of the EM pollution in the vicinity of an Antenna Park is given. The EM power density is compared with three international standard limits. Special attention has been paid to residential areas. An increased EM pollution was found in areas where construction of buildings is planned for the future. In view of these plans, reformation of the park and spreading of the antennas have to be done.</t>
  </si>
  <si>
    <t>130-135</t>
  </si>
  <si>
    <t>60015331;60015331;60015331;60015331;60015331</t>
  </si>
  <si>
    <t>7005683394;22995779600;7004379571;6506946501;6507012055</t>
  </si>
  <si>
    <t>Sahalos, John N.;Vafiadis, Elias E.;Samaras, Theodore S.;Babas, Dimitrios G.;Koukourlis, Sotirios S.</t>
  </si>
  <si>
    <t>Sahalos J.</t>
  </si>
  <si>
    <t>EM field measurements in the vicinity of an antenna park for radiation hazard purposes</t>
  </si>
  <si>
    <t>10.1109/11.476522</t>
  </si>
  <si>
    <t>2-s2.0-0029538054</t>
  </si>
  <si>
    <t>['tremendously simplified', 'transmission problem', 'traditional analysis', 'tapering profile', 'reflection property', 'reflection characteristics', 'radiation problem', 'eigen mode', 'carefully investigated', 'analysis procedure']</t>
  </si>
  <si>
    <t>The reflection characteristics of the planar surface wave antennas with different tapering profiles are analyzed by a method which transforms the radiation problem into the transmission problem of the eigen mode in the partially dielectric filled planar waveguide to avoid the difficulty of the field source problem which is met in the traditional analysis. As a result, the analysis procedure is tremendously simplified. The effect of the tapering profile on the reflection property is carefully investigated and extensive numerical results are given to establish useful guidelines for the design of the planar surface wave antennas. ¬© 1995 Plenum Publishing Corporation.</t>
  </si>
  <si>
    <t>2195-2207</t>
  </si>
  <si>
    <t>60019118;60012370</t>
  </si>
  <si>
    <t>13614168600;7403589710</t>
  </si>
  <si>
    <t>Xu, Shanjia;Peng, S. T.</t>
  </si>
  <si>
    <t>China;Taiwan</t>
  </si>
  <si>
    <t>Hefei;Hsinchu</t>
  </si>
  <si>
    <t>University of Science and Technology of China;National Chiao Tung University</t>
  </si>
  <si>
    <t>Xu S.</t>
  </si>
  <si>
    <t>Reflection analysis for planar surface wave antennas with different tapering profiles</t>
  </si>
  <si>
    <t>10.1007/BF02073420</t>
  </si>
  <si>
    <t>2-s2.0-0029540705</t>
  </si>
  <si>
    <t>['operate based', 'interference suppression', 'efficiency criterion', 'combined devices', 'antenna arrays', 'adaptation algorithm']</t>
  </si>
  <si>
    <t>It is shown that when antenna arrays are used in combination with other devices for dealing with interference, the adaptation algorithm should operate based on an efficiency criterion that takes into account the coefficient of interference suppression of the combined devices.</t>
  </si>
  <si>
    <t>Zvyagin, A. I.</t>
  </si>
  <si>
    <t>Zvyagin A.</t>
  </si>
  <si>
    <t>Optimal signal processing using an adaptive antenna array combined with other devices for suppressing interference</t>
  </si>
  <si>
    <t>2-s2.0-0029542344</t>
  </si>
  <si>
    <t>['theoretical derivations', 'subspace algorithms', 'sources disappear', 'simulation examples', 'interesting disadvantage', 'inherent problem', 'false peaks', 'authors show', 'angular spectrum', 'adaptive eigen']</t>
  </si>
  <si>
    <t>Adaptive eigen-subspace algorithms have advantages in tracking nonstationary signal parameters, for example, the directions of arrival in array signal processing. Most adaptive eigenstructure methods can track all moving and suddenly appearing sources. However, an interesting disadvantage of these algorithms is that they fail to track suddenly disappearing sources. As a result of this failure, false peaks will occur in the angular spectrum at the directions where the sources disappear. The authors show this inherent problem of adaptive eigen-subspace algorithms by theoretical derivations and simulation examples.</t>
  </si>
  <si>
    <t>277-280</t>
  </si>
  <si>
    <t>60014982;60014982</t>
  </si>
  <si>
    <t>8938955500;7201963579</t>
  </si>
  <si>
    <t>Yang, J. F.;Hung, J. H.</t>
  </si>
  <si>
    <t>Yang J.</t>
  </si>
  <si>
    <t>Adaptive eigen-subspace algorithms for tracking suddenly disappearing sources</t>
  </si>
  <si>
    <t>10.1049/ip-rsn:19952111</t>
  </si>
  <si>
    <t>2-s2.0-0029542981</t>
  </si>
  <si>
    <t>['phase synthesis', 'numerical studies', 'fourier series', 'antenna arrays', 'allows us']</t>
  </si>
  <si>
    <t>We propose a method for amplitude-phase synthesis of antenna arrays with arbitrary geometry based on a prespecified directivity diagram. The method makes use of the possibility of expanding the prespecified directivity diagram, and that of an individual array radiator, in Fourier series. This allows us to formulate a simple numerical algorithm. We present the results of numerical studies that confirm the correctness of this method.</t>
  </si>
  <si>
    <t>7004903129;6504596687</t>
  </si>
  <si>
    <t>Gabriel'yan, D. D.;Mishenko, S. W.</t>
  </si>
  <si>
    <t>Method of amplitude-phase synthesis for antenna arrays with arbitrary geometry</t>
  </si>
  <si>
    <t>2-s2.0-0029544754</t>
  </si>
  <si>
    <t>['wave channels', 'special attention', 'radio signals', 'propagation velocity', 'numerical values', 'fundamental difference', 'fourier integral', 'electromagnetic waves']</t>
  </si>
  <si>
    <t>The energy and nonenergy (derivable from the Fourier integral) group propagation velocities of electromagnetic waves are compared, the fundamental difference between these concepts is pointed out, and examples are given of the coincidence and noncoincidence of their numerical values. Special attention is devoted to the errors that are permissible in estimating the propagation velocity of radio signals in wave channels with frequency-dependent radio wave attenuation; the causes and consequences of these errors are analyzed.</t>
  </si>
  <si>
    <t>41-47</t>
  </si>
  <si>
    <t>Verbin, Yu P.</t>
  </si>
  <si>
    <t>Verbin Y.</t>
  </si>
  <si>
    <t>On estimating the propagation velocity of radio signals</t>
  </si>
  <si>
    <t>2-s2.0-0029544755</t>
  </si>
  <si>
    <t>['supports may', 'structural joints', 'several places', 'many supports', 'arise mostly']</t>
  </si>
  <si>
    <t>How a structure should be supported? How many supports should be applied and where they should be located? These are questions which arise mostly when designing large span structures such as space truss roofs bridges or tall antenna masts. In general there are several places at which supports may be situated. For trusses and frames these are structural joints. It is clear that the cost of the structural system depends strongly upon the number of supports and their locations. The latter ones may take place in different environments including rock sand, mud or bottom of a river.</t>
  </si>
  <si>
    <t>183-190</t>
  </si>
  <si>
    <t>Journal of the International Association for Shell and Spatial Structures</t>
  </si>
  <si>
    <t>60016848;60016848;60016848</t>
  </si>
  <si>
    <t>7003534170;7402814445;6602437330</t>
  </si>
  <si>
    <t>Gutkowski, W.;Bauer, J.;Iwanow, Z.</t>
  </si>
  <si>
    <t>Institute of Fundamental Technological Research of the Polish Academy of Sciences</t>
  </si>
  <si>
    <t>Gutkowski W.</t>
  </si>
  <si>
    <t>Optimum support of large span structures</t>
  </si>
  <si>
    <t>2-s2.0-0029544924</t>
  </si>
  <si>
    <t>['tem lens', 'paper examines', 'irradiating array']</t>
  </si>
  <si>
    <t>This paper examines the problem of synthesizing contour directivity patterns on the basis of a multibeam hybrid antenna consisting of a TEM lens and irradiating array.</t>
  </si>
  <si>
    <t>80-89</t>
  </si>
  <si>
    <t>55973232200;6504588237;6603601497;7102805466;7102244510</t>
  </si>
  <si>
    <t>Savenko, P. A.;Podlevskiy, B. M.;Tkach, M. D.;Golub, V. M.;Romanenko, V. Ya</t>
  </si>
  <si>
    <t>Savenko P.</t>
  </si>
  <si>
    <t>Numerical solution of the problem of synthesizing a multibeam antenna consisting of a TEM lens and an irradiating array</t>
  </si>
  <si>
    <t>2-s2.0-0029545659</t>
  </si>
  <si>
    <t>['new type']</t>
  </si>
  <si>
    <t>A new type of planar resonator antenna, containing two coupled transmission resonators operating at a coupling exceeding critical, is proposed, implemented, and tested.</t>
  </si>
  <si>
    <t>6603550149;7005504917;7004714672;7006135844</t>
  </si>
  <si>
    <t>Korshunova, Ye N.;Korshunov, I. P.;Sivov, A. N.;Shatrov, A. D.</t>
  </si>
  <si>
    <t>Korshunova Y.</t>
  </si>
  <si>
    <t>Planar antenna containing two coupled transmission resonators</t>
  </si>
  <si>
    <t>2-s2.0-0029545864</t>
  </si>
  <si>
    <t>['value without', 'theoretical study', 'suitable values', 'prespecified frequency', 'incident radiation', 'e .,', "controllability ,'", 'control voltage', 'control efficiency', 'configuration chose', '3 db']</t>
  </si>
  <si>
    <t>We have carried out a theoretical study of controllable reflecting surfaces based on ferroelectrics, in which we calculated the surface reflection coefficient numerically. We estimated the control efficiency of the surface by evaluating is 'controllability,' i.e., the differences between the energy reflection coefficient from the surface in the presence of a control voltage and its value without a control voltage, measured in decibels. We used these calculations to show that a controllability of 27.3 db is achievable for configuration chose here and suitable values of the control voltage, the prespecified frequency of the incident radiation, and the characteristics of the ferroelectric.</t>
  </si>
  <si>
    <t>6506513509;7006611133</t>
  </si>
  <si>
    <t>Bedareva, I. S.;Koshevaya, S. V.</t>
  </si>
  <si>
    <t>Bedareva I.</t>
  </si>
  <si>
    <t>Controllable reflecting surfaces based on ferroelectrics</t>
  </si>
  <si>
    <t>2-s2.0-0029545895</t>
  </si>
  <si>
    <t>['small signal', 'simple strategy', 'significantly lower', 'numerical experiments', 'norm algorithm', 'noise ratios', 'music algorithms', 'location errors', 'finding performance', 'direction finder', 'considerably better', 'combined algorithm', 'basic algorithms']</t>
  </si>
  <si>
    <t>A simple strategy for using direction finding algorithms of different types simultaneously, which can be used for the synthesis of a new combined direction finder, is examined. A generalization of the minimum-norm algorithm as well as the well-known MUSIC algorithm are used as the basic algorithms for this direction finder. It is shown by means of numerical experiments that the combined algorithm is considerably better in direction-finding performance than the minimum-norm and MUSIC algorithms. In particular, the errors in the location of sources for the combined algorithm are significantly lower at small signal-to-noise ratios than the location errors of the minimum-norm and MUSIC algorithms.</t>
  </si>
  <si>
    <t>54-60</t>
  </si>
  <si>
    <t>Gershman, A. B.</t>
  </si>
  <si>
    <t>Combined direction finding using various types of high-resolution direction finders</t>
  </si>
  <si>
    <t>2-s2.0-0029546316</t>
  </si>
  <si>
    <t>['system depends', 'noise ratio', 'interference immunity', 'input fields', 'indicator signal', 'bias characteristics']</t>
  </si>
  <si>
    <t>Implementation of an information processing algorithm in the frequency domain raises the need to obtain spectral estimates. The interference immunity of the system depends on the bias characteristics and the errors of these estimates, which are determined by the parameters of the fast Fourier transform algorithm. Expressions are obtained for calculating the indicator signal/noise ratio, which depends not only on the characteristics and parameters of the input fields but also on the number of discrete time readings of the fast Fourier transform algorithm. An example of an estimation of the interference immunity of such a system is given.</t>
  </si>
  <si>
    <t>Gusev, V. G.</t>
  </si>
  <si>
    <t>Gusev V.</t>
  </si>
  <si>
    <t>Estimate of the rejection efficiency of local interferences by an adaptive wideband spatial-frequency processing system, implemented on the basis of the fast Fourier transform algorithm</t>
  </si>
  <si>
    <t>2-s2.0-0029546470</t>
  </si>
  <si>
    <t>['volume using', 'v ).', 'space l2', 'realizability condition']</t>
  </si>
  <si>
    <t>The current synthesis problem is solved in some volume using the given directivity pattern. The solution is obtained in the form of a series that converges in terms of the norm of the space L2(V). The realizability condition of the patterns by currents with a density J ‚àà L2(V) is found. An example is given.</t>
  </si>
  <si>
    <t>22-28</t>
  </si>
  <si>
    <t>Fel'd, Ya N.</t>
  </si>
  <si>
    <t>Fel'd Y.</t>
  </si>
  <si>
    <t>Synthesis of currents in a given volume using the directivity pattern</t>
  </si>
  <si>
    <t>2-s2.0-0029546591</t>
  </si>
  <si>
    <t>['satisfactory agreement', 'radiation patterns', 'measurements indicated', 'better efficiency', 'antenna configuration']</t>
  </si>
  <si>
    <t>Slot-coupled microstrip patch arrays fed by rectangular overmoded cavities are described and their radiation characteristics analysed using simplified cavity models both for the illuminating and patch resonant cavities. In particular, 4 √ó 4 single cavity-fed and 8 √ó 8 stepped cavity-fed patch arrays were built and studied. With regard to the radiation patterns and directivity the measurements indicated a satisfactory agreement with the theory. The measured relative gain bandwidth ranges from 1.2% to 3.1% depending on the antenna configuration. Compared with a similar size microstripline network-fed patch array the 8 √ó 8 stepped cavity-fed patch array antenna has better efficiency and much lower side lobes.</t>
  </si>
  <si>
    <t>452-456</t>
  </si>
  <si>
    <t>60005700;60005700</t>
  </si>
  <si>
    <t>7003466830;7006587951</t>
  </si>
  <si>
    <t>Jassim, A. M.;Hristov, H. D.</t>
  </si>
  <si>
    <t>Varna</t>
  </si>
  <si>
    <t>Technical University of Varna</t>
  </si>
  <si>
    <t>Jassim A.</t>
  </si>
  <si>
    <t>Cavity feed technique for slot-coupled microstrip patch array antenna</t>
  </si>
  <si>
    <t>10.1049/ip-map:19952224</t>
  </si>
  <si>
    <t>2-s2.0-0029547885</t>
  </si>
  <si>
    <t>['uniformly weighted', 'spherical shell', 'sinc function', 'radiation pattern', 'omnidirectional elements', 'main beam', 'linear arrays', 'elementary shells', '4œä steradians']</t>
  </si>
  <si>
    <t>By applying appropriate phase weights, an array of omnidirectional elements on a spherical shell can be made to scan the main beam over 4œÄ steradians. Although the general analytic solution for the radiation pattern appears to be intractable, the result when the elements are uniformly weighted in amplitude is a sinc function. This result is applied to derive the radiation pattern from a fully or partially filled spherical array with uniform amplitude weighting throughout. The established optimal aperture distributions used with linear arrays are adapted to obtain volume distributions to apply to the elementary shells in a fully filled sphere to obtain the corresponding radiation pattern characteristics.</t>
  </si>
  <si>
    <t>498-500</t>
  </si>
  <si>
    <t>Voles, R.</t>
  </si>
  <si>
    <t>RV Consultancy</t>
  </si>
  <si>
    <t>Voles R.</t>
  </si>
  <si>
    <t>Spherical shell and volume arrays</t>
  </si>
  <si>
    <t>10.1049/ip-map:19952238</t>
  </si>
  <si>
    <t>2-s2.0-0029547886</t>
  </si>
  <si>
    <t>['shield selectively', 'sensing configurations', 'radiation power', 'pacing outputs', 'pacemaker circuitry', 'model 8448', 'microwave range', 'metal fibres', 'lead connector', 'fabric made', 'eight patients', 'diathermy head', '50 w']</t>
  </si>
  <si>
    <t>Microwaves | Pacemaker interference | Sensing configuration unipolar bipolar | Shielding vest | Therapeutic diathermy</t>
  </si>
  <si>
    <t>The intention of our study was to expand our knowledge of pacemaker interference mechanisms in the microwave range. A ventricular bipolar lead was implanted in eight patients, and a single chamber demand pacemaker (Legend Plus ¬Æ, model 8448, Medtronic Inc.) placed subcutaneously in the right pectoral region. After obtaining informed consent the patients were exposed to constant as well as pulsed electromagnetic fields generated by a 2450 MHz therapeutic diathermy. Constant electromagnetic fields did not influence the pacemakers. With pulsed fields generated by moving the diathermy head, inhibition of pacing outputs was obtainable in all eight pulse generators with as little as 10 W radiation power. In order to distinguish which parts of the pacing system functioned as an antenna, the system was shield selectively by means of pieces of fabric made of a mixture of cotton and metal fibres, including specific components i.e. the pacemaker can, lead and connector. At the radiation power of 50 W, only the lead connector at the nominal pacemaker sensitivity, and the pacemaker circuitry at the highest pacemaker sensitivity were found to be coupling the interference. The results were the same in both (uni- and bipolar) sensing configurations.</t>
  </si>
  <si>
    <t>296-300</t>
  </si>
  <si>
    <t>European Journal of Cardiac Pacing and Electrophysiology</t>
  </si>
  <si>
    <t>60030280;60030280;60030280;60030280;60030280;60030280</t>
  </si>
  <si>
    <t>6602676945;7102319193;35201707300;7006514891;57060213400;57198227811</t>
  </si>
  <si>
    <t>Danilovic, D.;Djordjevic, M.;Ohm, O. J.;Pavlovic, S. U.;Stojanov, P.;Zivkovic, M.</t>
  </si>
  <si>
    <t>Bergen</t>
  </si>
  <si>
    <t>Haukeland Universitetssjukehus</t>
  </si>
  <si>
    <t>Danilovic D.</t>
  </si>
  <si>
    <t>Microwave coupling of pacing system components: A study using a 2450 MHz interference signal</t>
  </si>
  <si>
    <t>2-s2.0-0029549261</t>
  </si>
  <si>
    <t>['shifted relative', 'second p2', 'recent data', 'reaction center', 'q brunch', 'purple bacteria', 'inactive c', 'fluorescence spectra', 'enormously red', 'concept accounts', 'antenna bchls', 'absorption spectra']</t>
  </si>
  <si>
    <t>A new hypothetical concept of the reaction center (RC) and the core BChl antenna is developed which claims to fit all up to date experimental data. In particular, the concept accounts for a number of findings still waiting for an explanation: a) the 'red' shifts of the core BChl absorption peaks relative to those in their corresponding core BChls; b) the reason why in purple bacteria the second P2-P800-BPH-Q brunch of RC is inactive c) recent data /1,2/ on a small excitation portion which escapes from the excited RC special pair back to antenna BChls; d) why the primary electron donor is not monomer but a pair of /B/Chls; e) the reason why the fluorescence spectra of the RC special pairs are enormously red-shifted relative to their absorption spectra.</t>
  </si>
  <si>
    <t>833-840</t>
  </si>
  <si>
    <t>Biochemistry and Molecular Biology International</t>
  </si>
  <si>
    <t>Borisov Yu., A.</t>
  </si>
  <si>
    <t>Lomonosov Moscow State University</t>
  </si>
  <si>
    <t>Borisov Yu. A.</t>
  </si>
  <si>
    <t>New concept of energy migration and trapping in purple bacteria. Charge transfer-polaron model</t>
  </si>
  <si>
    <t>2-s2.0-0029550572</t>
  </si>
  <si>
    <t>['wild type', 'weak light', 'upon return', 'synechocystis sp', 'several weeks', 'resulting mutants', 'rate independent', 'provides chlorophyll', 'protochlorophyllide reduction', 'protochlorophyllide accumulated', 'photosystems ii', 'pcc 6803', 'mutant cultures', 'limited neither', 'likely originates', 'less strain', 'intact cells', 'greening occurred', 'fully light', 'directly associated', 'darkness except', 'continuous light', 'component involved', 'component different', 'chlorophyll biosynthesized', 'chlorophyll biosynthesis', '77 k', '685 nm', '6 h', '50 œºe', '15 min']</t>
  </si>
  <si>
    <t>chlorophyl-binding proteins | chlorophyll synthesis | cyanobacteria | photosynthesis | thylakoid membranes</t>
  </si>
  <si>
    <t>Part of the chlL gene encoding a component involved in light-independent protochlorophyllide reduction was deleted in wild type and in a photosystem I-less strain of Synechocystis sp. PCC 6803. In resulting mutants, chlorophyll biosynthesis was fully light-dependent. When these mutants were propagated under light-activated heterotrophic growth conditions (in darkness except for 15 min of weak light a day) for several weeks, essentially no chlorophyll was detectable but protochlorophyllide accumulated. Upon return of the chlL- mutant cultures to continuous light, within the first 6 h chlorophyll was synthesized at the expense of protochlorophyllide at a rate independent of the presence of photosystem I. Chlorophyll biosynthesized during this time gave rise to a 685 nm fluorescence emission peak at 77 K in intact cells. This peak most likely originates from a component different from those known to be directly associated with photosystems II and I. Development of 695 and 725 nm peaks (indicative of intact photosystem II and photosystem I, respectively) required longer exposures to light. After 6 h of greening, the rate of chlorophyll synthesis slowed as protochlorophyllide was depleted. In the chlL- strain, greening occurred at the same rate at two different light intensities (5 and 50 ŒºE m-2s-1), indicating that also at low light intensity the amount of light is not rate-limiting for protochlorophyllide reduction. Thus, in this system the rate of chlorophyll biosynthesis is limited neither by biosynthesis of photosystems nor by the light-dependent protochlorophyllide reduction. We suggest the presence of a chlorophyll-binding 'chelator' protein (with 77 K fluorescence emission at 685 nm) that binds newly synthesized chlorophyll and that provides chlorophyll for newly synthesized photosynthetic reaction centers and antennae. ¬© 1995 Kluwer Academic Publishers.</t>
  </si>
  <si>
    <t>933-945</t>
  </si>
  <si>
    <t>57001792000;7005345187</t>
  </si>
  <si>
    <t>Wu, Qingyu;Vermaas, Wim F.J.</t>
  </si>
  <si>
    <t>Light-dependent chlorophyll a biosynthesis upon chlL deletion in wild-type and photosystem I-less strains of the cyanobacterium Synechocystis sp. PCC 6803</t>
  </si>
  <si>
    <t>10.1007/BF00014967</t>
  </si>
  <si>
    <t>2-s2.0-0029557009</t>
  </si>
  <si>
    <t>['superheterodyne receiver', 'substantially improved', 'single channelizer', 'multiple antenna', 'homodyne receiver', 'f systems', 'basic form']</t>
  </si>
  <si>
    <t>The homodyne receiver, in particular the variation with a channelizer in the Offset Frequency path, is a useful and cost effective solution to the problem of broadband, multiple antenna, D/F systems. In its basic form, the Homodyne Receiver sensitivity is similar to the sensitivity of a Crystal Video Receiver. By using a single channelizer, the sensitivity is substantially improved, approaching that of the superheterodyne receiver.</t>
  </si>
  <si>
    <t>Sullivan, William B.</t>
  </si>
  <si>
    <t>Franklin</t>
  </si>
  <si>
    <t>Wide Band Systems, Inc</t>
  </si>
  <si>
    <t>Sullivan W.</t>
  </si>
  <si>
    <t>Microwave homodyne receivers</t>
  </si>
  <si>
    <t>2-s2.0-0029632007</t>
  </si>
  <si>
    <t>['taking mmics', 'observation radars', 'new generation', 'leo constellations', 'first demonstration', 'fifteen years', 'cost reduction', 'camp ).', 'becoming next', 'become necessary', 'active antennas']</t>
  </si>
  <si>
    <t>MMICs are now finding their way into the world of space electronics due to drives toward miniaturization, cost reduction and reliability - fifteen years after their first demonstration. MMICs have first been introduced into GEO Telecommunication satellites with a new generation of compact channel amplifier (CAMP). Receiver and solid-state power amplifiers (SSPA) are becoming next in line. After the first convincing demonstrations, MMICs have now become necessary in realizing future satellites with active antennas, observation radars or systems such as LEO constellations. A review of the circuits and applications that are taking MMICs into space is presented.</t>
  </si>
  <si>
    <t>Cazaux, Jean Luis</t>
  </si>
  <si>
    <t>Toulouse</t>
  </si>
  <si>
    <t>Thales Alenia Space</t>
  </si>
  <si>
    <t>Cazaux J.</t>
  </si>
  <si>
    <t>MMICs for space-borne systems: status and potential</t>
  </si>
  <si>
    <t>2-s2.0-0029632008</t>
  </si>
  <si>
    <t>['personal computers', 'manufacturers diagnostic', 'ideal environment', 'excellent example', 'compliance test', 'assurance inspection']</t>
  </si>
  <si>
    <t>In a non-ideal environment, obtaining repeatable radiated emission measurements sometimes involves taking special precautions, especially during a manufacturers diagnostic or pre-compliance test or a distributor's goods-in quality-assurance inspection. An excellent example is provided by the personal computers. They are rich in potential emission sources, and are subject to fierce competitive cost-cutting that can compromise EMC performance.</t>
  </si>
  <si>
    <t>Test and Measurement Europe</t>
  </si>
  <si>
    <t>Beckett, J. R.</t>
  </si>
  <si>
    <t>Farnell Instruments</t>
  </si>
  <si>
    <t>Beckett J.</t>
  </si>
  <si>
    <t>Ensure compliance with new EMI standards</t>
  </si>
  <si>
    <t>2-s2.0-0029632013</t>
  </si>
  <si>
    <t>['standard deviation', 'several positions', 'resonant peak', 'previous result', 'moisture content', 'instantaneous method', 'developed using', 'cavity resonator', '08 %,']</t>
  </si>
  <si>
    <t>An instantaneous method for measuring the moisture content in an aggregate such as sand is developed using a microwave coaxial cavity resonator with an outer slot antenna. We measure the attenuation of the resonant peak of the cavity resonator, which is related to the moisture content of the aggregate. The resonator is movable so that the moisture can be measured at the several positions in a pile of the aggregate. The standard deviation in the measured moisture content is 0.08%, which is better than our previous result.</t>
  </si>
  <si>
    <t>429-431</t>
  </si>
  <si>
    <t>Measurement Science and Technology</t>
  </si>
  <si>
    <t>Nakayama, S.</t>
  </si>
  <si>
    <t>Kato</t>
  </si>
  <si>
    <t>Hyogo University of Teacher Education</t>
  </si>
  <si>
    <t>Nakayama S.</t>
  </si>
  <si>
    <t>Development of a microwave moisture sensor for aggregates</t>
  </si>
  <si>
    <t>10.1088/0957-0233/6/4/014</t>
  </si>
  <si>
    <t>2-s2.0-0038016158</t>
  </si>
  <si>
    <t>['time constants', 'study suggest', 'noise characteristics', 'fœ ≥', 'effect transistors', 'control devices']</t>
  </si>
  <si>
    <t>The effects of reactive ion etching (RIE) and Fowler-Nordheim (FN) gate current stresses upon both the 1/fŒ≥ and random telegraph signal (RTS) noise characteristics of submicrometer gate area metal oxide semiconductor field-effect transistors has been analyzed. While control devices exhibit the Lorentzian noise spectra and discrete switching behavior attributable to single oxide defects, the first layer metal antenna devices exhibit degraded RTSs and near ideal 1/f noise characteristics. An evolution of this 1/fbehavior has been reproduced in control devices by subjecting them to a series of UV illuminated FN gate current stresses. Results of this study suggest that multiple oxide traps with a distribution in time constants are generated during RIE and that the amount of oxide degradation generated during plasma etching may be more substantial than that produced during plasma ashing.¬© 1995 American Institute of Physics.</t>
  </si>
  <si>
    <t>60007278;60007278;60003537;60003537</t>
  </si>
  <si>
    <t>7404842157;57203774853;7004933184;55492767800</t>
  </si>
  <si>
    <t>Martin, Scott T.;Li, G. P.;Worley, Eugene;White, Joe</t>
  </si>
  <si>
    <t>Martin S.</t>
  </si>
  <si>
    <t>Degraded noise characteristics of submicrometer area field effect transistors subjected to plasma etching and Fowler-Nordheim stress</t>
  </si>
  <si>
    <t>10.1063/1.114809</t>
  </si>
  <si>
    <t>2-s2.0-0038442878</t>
  </si>
  <si>
    <t>['tftr plasmas', 'tftr ).', 'system probes', 'small penetration', 'reflectometer system', 'reflectometer launcher', 'r 0', 'presented along', 'plasma using', 'icrf antenna', 'frequency differential', 'faraday shield', 'extraordinary mode', 'difference frequency', 'data analysis', '125 mhz', '118 ghz']</t>
  </si>
  <si>
    <t>Edge electron density profile measurements, including the scrape-off layer, have been made during ion cyclotron range of frequency (ICRF) heating with the two-frequency differential-phase reflectometer installed on an ICRF antenna on the Tokamak fusion test reactor (TFTR). This system probes the plasma using the extraordinary mode with two signals swept from 90 to 118 GHz, while maintaining a fixed-difference frequency of 125 MHz. The extraordinary mode is used to obtain density profiles in the range of 1√ó1011-3√ó10 13 cm-3 in high-field (4.5-4.9 T) full-size (R 0=2.62 m, a=0.96 m) TFTR plasmas. The reflectometer launcher is located in an ICRF antenna and views the plasma through a small penetration in the center of the Faraday shield. A 26-m-long overmoded waveguide run connects the launcher to the reflectometer microwave electronics. Profile measurements made with this reflectometer system will be presented along with a discussion of the characteristics of this differential phase reflectometer and data analysis. ¬© 1995 American Institute of Physics.</t>
  </si>
  <si>
    <t>863-865</t>
  </si>
  <si>
    <t>60024266;60024266;60024266;60024266;60024266;60024266;60024266;60024266</t>
  </si>
  <si>
    <t>7201565452;7004674569;7004191043;22991892700;35371212800;57202314574;56814450500;57202528890</t>
  </si>
  <si>
    <t>Hanson, G. R.;Wilgen, J. B.;Bigelow, T. S.;Collazo, I.;England, A. C.;Murakami, M.;Rasmussen, D. A.;Wilson, J. R.</t>
  </si>
  <si>
    <t>Hanson G.R.</t>
  </si>
  <si>
    <t>Differential-phase reflectometry for edge profile measurements on Tokamak fusion test reactor</t>
  </si>
  <si>
    <t>10.1063/1.1146187</t>
  </si>
  <si>
    <t>2-s2.0-0039742645</t>
  </si>
  <si>
    <t>['transducer system', 'transducer circuit', 'theoretical analysis', 'stripline circuit', 'small antenna', 'resonant bar', 'quantum limit', 'proof mass', 'primary purpose', 'piezoelectric actuators', 'noise temperature', 'massive antenna', 'johnson noise', 'enabling us', 'electromechanical transducer', 'effect transistors', 'detector agree', 'capacitive segments', 'bridge circuit', '5400 times', '3 mk', '200 000', '2 k']</t>
  </si>
  <si>
    <t>We report on the design and testing of an ultrasensitive, electromechanical transducer for use on resonant mass gravitational wave antennae. The transducer is a superconducting, radio frequency resonant bridge circuit operating near 200 MHz. We have minimized several important sources of noise in this transducer system. The Johnson noise of the transducer circuit is reduced through using a superconducting niobium stripline circuit and low-loss insulating materials. At a temperature of 4.2 K we have achieved unloaded electrical quality factors of 200 000. The bridge circuit is balanced by piezoelectric actuators which control the spacing between the proof mass and capacitive segments of the stripline circuit and we have achieved a residual bridge imbalance of 3√ó10 -7. Finally, low noise cryogenically cooled field-effect transistors are used for the first amplifier stage, enabling us to obtain an amplifier noise level which is 5400 times the quantum limit. The transducer, which has a 0.080 kg proof mass, was affixed to the end of a prototype, resonant bar, gravitational wave antenna with a mass of approximately 100 kg. The primary purpose of this small antenna was to evaluate the transducer, which is designed to be mounted on a much more massive antenna. Our theoretical analysis and measurements of the detector agree and indicate a burst noise temperature of 1.8 K using the 100 kg bar. This corresponds to a gravity wave burst sensitivity of h=1.1√ó10-16, in terms of relative strain amplitude. With no other improvements, if the transducer mechanically resonant frequency were tuned to and installed on a 2000 kg antenna, the antenna would reach a noise temperature of 1.3 mK, which is equivalent to a gravitational wave burst sensitivity, h‚âà5.7√ó10-19. ¬© 1995 American Institute of Physics.</t>
  </si>
  <si>
    <t>106-114</t>
  </si>
  <si>
    <t>60027165;60027165;60027165;60027165;60074845</t>
  </si>
  <si>
    <t>57199375624;7004544285;22962695600;56170530600;22967435100</t>
  </si>
  <si>
    <t>Fisher, M. A.;Bocko, M. F.;Marchese, L. E.;Zhang, G.;Karim, M.</t>
  </si>
  <si>
    <t>Rochester;Rochester</t>
  </si>
  <si>
    <t>St. John Fisher College;University of Rochester</t>
  </si>
  <si>
    <t>60074845;60027165</t>
  </si>
  <si>
    <t>Fisher M.A.</t>
  </si>
  <si>
    <t>Radio frequency superconducting parametric transducer for gravitational wave antennae</t>
  </si>
  <si>
    <t>10.1063/1.1145275</t>
  </si>
  <si>
    <t>2-s2.0-0039950597</t>
  </si>
  <si>
    <t>['x mode', 'vacuum windows', 'tftr ).', 'take advantage', 'spectrum analyzer', 'significant enhancements', 'scattered signals', 'scattered signal', 'plasma resonances', 'noise ratio', 'magnetic field', 'gyrotron power', 'frequency spectrum', 'energetic ions', 'also provide', 'acceptable signal', '200 megasample', '1 kw']</t>
  </si>
  <si>
    <t>A 60 GHz gyrotron collective Thomson scattering alpha particle diagnostic has been implemented for the D-T period on the Tokamak Fusion Test Reactor (TFTR). Gyrotron power of 0.1-1 kW in pulses of up to 1 s can be launched in X mode. Efficient corrugated waveguides are used with antennas and vacuum windows of the TFTR Microwave Scattering system. A multichannel synchronous detector receiver system and spectrum analyzer acquire the scattered signals. A 200 megasample/s digitizer and spectrum analyzer are used to resolve fine structure in the frequency spectrum. By scattering nearly perpendicular to the magnetic field, this experiment will take advantage of an enhancement of the scattered signal which results from the interaction of energetic ions with plasma resonances in the lower hybrid frequency range. Significant enhancements are expected with D-T fusion alpha particles, which should be detectable with gyrotron power of less than 1 kW, while maintaining an acceptable signal-to-noise ratio. This diagnostic will be the first experimental test of recent collective Thomson scattering models and should also provide an indication of the presence of energetic alpha particles in the core of TFTR. ¬© 1995 American Institute of Physics.</t>
  </si>
  <si>
    <t>484-486</t>
  </si>
  <si>
    <t>60022717;60022717;60022717;60018020;60018020;60026358;60026358;60026358;60025104</t>
  </si>
  <si>
    <t>6603883237;7004200722;55216863400;35350498700;56415174700;7003931056;36921272200;57198966664;56210163700</t>
  </si>
  <si>
    <t>Machuzak, John S.;Woskov, Paul P.;Gilmore, James;Bretz, Norton L.;Park, Hyeon K.;Aamodt, Richard E.;Cheung, Peter Y.;Russell, David A.;Bindslev, Henrik</t>
  </si>
  <si>
    <t>United States;United Kingdom;United States;United States</t>
  </si>
  <si>
    <t>Boulder;;Cambridge;Princeton</t>
  </si>
  <si>
    <t>Lodestar Research Corporation;EFDA-JET;Plasma Science and Fusion Center;Princeton Plasma Physics Laboratory</t>
  </si>
  <si>
    <t>60026358;60025104;60022717;60018020</t>
  </si>
  <si>
    <t>Machuzak J.S.</t>
  </si>
  <si>
    <t>TFTR 60 GHz alpha particle collective Thomson scattering diagnostic</t>
  </si>
  <si>
    <t>10.1063/1.1146323</t>
  </si>
  <si>
    <t>2-s2.0-0040127776</t>
  </si>
  <si>
    <t>['western australia', 'turning point', 'strain sensitivity', 'q antenna', 'potential sensitivity', 'parametric transducer', 'exceed 10']</t>
  </si>
  <si>
    <t>A frequency domain approach is applied to the University of Western Australia's resonant bar detector to determine its potential sensitivity and calculate the limiting noise sources. To understand its behavior the sensitivity is calculated as a function of various noise components. To minimize seismic noise upconversion, the system is operated in the cold damping regime at the turning point in the antenna frequency versus pump frequency characteristic. For this configuration it is shown that the spectral strain sensitivity of a high-Q antenna with a parametric transducer can exceed 10-21 ‚àöHz with approximately a 20 Hz bandwidth, using existing microwave technology. This corresponds to a strain sensitivity of less than 10-19 for a 1 ms gravitational pulse. ¬© 1995 American Institute of Physics.</t>
  </si>
  <si>
    <t>2751-2759</t>
  </si>
  <si>
    <t>60031806;60031806</t>
  </si>
  <si>
    <t>35377760800;22974326500</t>
  </si>
  <si>
    <t>Tobar, Michael Edmund;Blair, David Gerald</t>
  </si>
  <si>
    <t>Tobar M.</t>
  </si>
  <si>
    <t>Sensitivity analysis of a resonant-mass gravitational wave antenna with a parametric transducer</t>
  </si>
  <si>
    <t>10.1063/1.1146503</t>
  </si>
  <si>
    <t>2-s2.0-0041137470</t>
  </si>
  <si>
    <t>['rate coefficients', 'molecular fluorine', 'materials processing', 'fluorine levels', 'electron temperature', 'electron impact', 'appropriate modelling', '9 cm3', '5 ev', '3p 4d7', '3p 2p3']</t>
  </si>
  <si>
    <t>Time resolved spectroscopy and electron concentration measurements were performed on an Ar-He-F2 mixture excited by an external rf antenna creating a plasma with features of a plasma source generated by a Helicon reactor commonly used in materials processing. The low pressure range and the simplified chemistry allow an appropriate modelling of some processes and lead to the determination of some fundamental data concerning atomic and molecular fluorine. We give a F2 direct dissociation coefficient by electron impact of about 2.0√ó10-9 cm3 s-1 for an electron temperature of 5 eV. Excitation rate coefficients of some fluorine levels (3p 2P3/2, 3p 4D7/2, and 3p‚Ä≤ 2F7/2) are given as well as rate coefficients of line emissions following F2 dissociation by electron impact. ¬© 1995 American Institute of Physics.</t>
  </si>
  <si>
    <t>4733-4739</t>
  </si>
  <si>
    <t>Journal of Applied Physics</t>
  </si>
  <si>
    <t>60029689;60029689</t>
  </si>
  <si>
    <t>6505802148;6604081488</t>
  </si>
  <si>
    <t>Elyaakoubi, Mustapha;Ranson, Pierre</t>
  </si>
  <si>
    <t>Orleans</t>
  </si>
  <si>
    <t>Universite d'Orleans</t>
  </si>
  <si>
    <t>Elyaakoubi M.</t>
  </si>
  <si>
    <t>Time resolved study of a reactive low pressure plasma: Determination of basic data on electron-fluorine collisions</t>
  </si>
  <si>
    <t>10.1063/1.360743</t>
  </si>
  <si>
    <t>2-s2.0-0142101242</t>
  </si>
  <si>
    <t>['¬© 1995', 'surface element', 'producing multibeam', 'physical optics', 'parametric equations', 'good agreement', 'geometric parameters', 'calculated patterns']</t>
  </si>
  <si>
    <t>multibeam antenna | parabolic torus reflector antenna | single offset antenna</t>
  </si>
  <si>
    <t>The parametric equations and,the formulas of unit normal vector, and surface element for a parabolic torus reflector antenna are derived and the mechanism of producing multibeam is proposed. Based on physical optics, the radiation pattern formulas for the antenna are given, with which the effects of geometric parameters, on the antenna are studied.The good agreement between the calculated patterns and the measured ones shows that the theory is helpful for designing parabolic torus antennas. ¬© 1995.</t>
  </si>
  <si>
    <t>1520-1531</t>
  </si>
  <si>
    <t>Science in China (Scientia Sinica) Series A</t>
  </si>
  <si>
    <t>60023813;101404270;60023813</t>
  </si>
  <si>
    <t>25937952700;7409835803;25939120700</t>
  </si>
  <si>
    <t xml:space="preserve">Du Biao, ;Yang Kezhong, ;Zhong Shunshi, </t>
  </si>
  <si>
    <t>Shanghai;Shijiazhuang</t>
  </si>
  <si>
    <t>Shanghai University;Ministry of Information Industry</t>
  </si>
  <si>
    <t>60023813;101404270</t>
  </si>
  <si>
    <t>Du Biao</t>
  </si>
  <si>
    <t>Theoretical analysis of a parabolic torus reflector antenna with mult beam</t>
  </si>
  <si>
    <t>2-s2.0-0342379727</t>
  </si>
  <si>
    <t>['whistler wave', 'solid materials', 'repeller materials', 'point cusp', 'magnetic induction', 'magnetic flux', 'line cusp', 'ion source', 'helical antenna', 'extracting ions', 'electrode repeller', 'cylindrical surface', 'configuration longer', 'atomic flux']</t>
  </si>
  <si>
    <t>An ion source of electron-cyclotron resonance using cusp magnetic field is designed. The field is generated with two cylindrical magnets polarized parallel to the axis of symmetry. Lines of magnetic induction are in this configuration longer than in conventional cusp machines. The plasma electrons escaping from a line cusp are repelled by applying negative potential to an electrode repeller. The repeller of low work function emits additional electrons. A whistler wave is launched through a helical antenna at a point cusp to produce overdense plasmas. An intense ion beam is formed by extracting ions at the other point cusp where the magnetic flux is focused. The repeller materials are sputtered at the line cusp and ionized in the plasma. The atomic flux from the cylindrical surface is focused at the center of plasma to give abundant ions from the solid materials. ¬© 1995 American Institute of Physics.</t>
  </si>
  <si>
    <t>3873-3875</t>
  </si>
  <si>
    <t>60032632;60032632</t>
  </si>
  <si>
    <t>24487412000;35377242500</t>
  </si>
  <si>
    <t>Ishii, S.;Kato, Y.</t>
  </si>
  <si>
    <t>Imizu</t>
  </si>
  <si>
    <t>Toyama Prefectural University</t>
  </si>
  <si>
    <t>Ishii S.</t>
  </si>
  <si>
    <t>Improved design of cusp-type electron-cyclotron resonance ion sources</t>
  </si>
  <si>
    <t>10.1063/1.1145452</t>
  </si>
  <si>
    <t>2-s2.0-0346952155</t>
  </si>
  <si>
    <t>['temporal measurements', 'strike point', 'single pass', 'plasma detachment', 'pass method', 'new 250', 'mechanical design', 'leg system', 'design constraints', 'cutoff density']</t>
  </si>
  <si>
    <t>A new 250-GHz, two-frequency microwave interferometer system has been developed to diagnose divertor plasmas on DIII-D. This diagnostic will measure the line-averaged density across both the inner and outer, lower divertor legs. With a cutoff density of over 7√ó1014 cm-3, temporal measurements of edge localized modes (ELMs) and plasma detachment are expected. The outer-leg system will use a double-pass method while the inner-leg system will be single pass. Two special three-dimensional (3D) carbon composite tiles are used, one to protect the microwave antennas mounted directly under the strike point and the other as the outer-leg reflecting surface. Performance, design constraints, and the thermal-mechanical design of the 3D carbon composite tiles are discussed. ¬© 1995 American Institute of Physics.</t>
  </si>
  <si>
    <t>422-424</t>
  </si>
  <si>
    <t>60026175;60026175;60026175;60026175;60026175</t>
  </si>
  <si>
    <t>22971245200;7004057663;6506433473;57197308341;7004851644</t>
  </si>
  <si>
    <t>James, R. A.;Nilson, D. G.;Stever, R. D.;Hill, D. N.;Casper, T. A.</t>
  </si>
  <si>
    <t>Livermore</t>
  </si>
  <si>
    <t>Lawrence Livermore National Laboratory</t>
  </si>
  <si>
    <t>James R.A.</t>
  </si>
  <si>
    <t>A 250-GHz microwave interferometer for divertor experiments on DIII-D</t>
  </si>
  <si>
    <t>10.1063/1.1146365</t>
  </si>
  <si>
    <t>2-s2.0-1542752215</t>
  </si>
  <si>
    <t>['¬© 1995', 'type locality', 'south africa', 'ring operator', 'rhinobranchipus martensigen', 'recent modifications', 'new species', 'new genus', 'male antennae', 'linnean society', 'et sp', 'considered endangered', 'confamilial genera', 'cape province', 'called clypeus', 'basal part']</t>
  </si>
  <si>
    <t>Rhinobranchipus martensigen. et sp. nov.(Anostraca: Branchipodidae) was collected from a shallow temporary pool in the surroundings of Grahamstown (Cape Province, South Africa) (33{ring operator}18‚Ä≤S, 26{ring operator}32‚Ä≤E).Rhinobranchipusshares partial fusion of the chitinized basal parts of the male antennae, the so-called clypeus, with other Branchipodidae. The new genus is distinguished from confamilial genera by the morphology of the basal part of the penes. The new species, known from its type locality only, should be considered endangered, if it has not already become extinct as a result of recent modifications of its habitat. ¬© 1995 The Linnean Society of London.</t>
  </si>
  <si>
    <t>Brendonck, Luc</t>
  </si>
  <si>
    <t>Brendonck L.</t>
  </si>
  <si>
    <t>10.1006/zjls.1995.0042</t>
  </si>
  <si>
    <t>2-s2.0-21844512534</t>
  </si>
  <si>
    <t>['type transition', 'rotational k', 'linear element', 'insb bolometer', 'harmonic power', 'fundamental frequency', 'focused onto', 'dichroic plate', 'absorption cell', '2nd harmonic']</t>
  </si>
  <si>
    <t>The rotational K-structure (K = 0,‚Ä¶6) of the a-type transition (J = 65 ‚àí 64) of the symmetric top molecule methylcyanide, CH3CN, has been recorded at 1.2 THz employing a newly designed quasi-optical frequency multiplier. A planar Schottky diode is used as non-linear element for producing the harmonic power and is mounted in the focus of an off-axis antenna across a short single ridged waveguide. The 2nd harmonic of the fundamental frequency is filtered with a dichroic plate and is focused onto the InSb bolometer after passing an absorption cell. The multiplier is driven by a high power backward wave oscillator with a fundamental frequency near 600 GHz. ¬© Verlag der Zeitschrift f√ºr Naturforschung</t>
  </si>
  <si>
    <t>1182-1186</t>
  </si>
  <si>
    <t>Zeitschrift fur Naturforschung - Section A Journal of Physical Sciences</t>
  </si>
  <si>
    <t>60024025;60024025;60024025;60024025;60024025</t>
  </si>
  <si>
    <t>7003968225;12758137900;6603603902;6701768579;7004569088</t>
  </si>
  <si>
    <t>Lewen, F.;Belov, S. P.;Maiwald, F.;Klaus, T. H.;Winnewisser, G.</t>
  </si>
  <si>
    <t>Koln</t>
  </si>
  <si>
    <t>University of Cologne</t>
  </si>
  <si>
    <t>Lewen F.</t>
  </si>
  <si>
    <t>A Quasi-Optical Multiplier for Terahertz Spectroscopy</t>
  </si>
  <si>
    <t>10.1515/zna-1995-1223</t>
  </si>
  <si>
    <t>2-s2.0-21844517209</t>
  </si>
  <si>
    <t>['specific density', 'slightly protruding', 'second antennae', 'resting eggs', 'mouth opening', 'like grains', 'leptodora kindtii', 'lake water', 'hairs forming', 'fine net', 'embryonic cells', 'earlier reports']</t>
  </si>
  <si>
    <t>The specific density of the resting eggs of Leptodora kindtii is higher than that of lake water, which contrasts with earlier reports. Scanning electron microscopy (SEM) shows resting eggs of L. kindtii as smooth spheres covered with a thin scaly skin. Damaged eggs released foam-like grains which probably were embryonic cells. Details of the second antennae of the adults from SEM micrographs show featherlike bristles and hairs forming a fine net which function as paddles. The carapace of the adults is thorny on the abdomen but not on the head and thorax. The mouth is slightly protruding and the mouth opening is elongated. ¬© 1995 BRILL.</t>
  </si>
  <si>
    <t>Dubendorf</t>
  </si>
  <si>
    <t>IGW</t>
  </si>
  <si>
    <t>Specific density of resting eggs and adult morphology of leptodora kindtii (Focke, 1844) (Cladocera)</t>
  </si>
  <si>
    <t>10.1163/156854095X01961</t>
  </si>
  <si>
    <t>2-s2.0-34948827704</t>
  </si>
  <si>
    <t>['prototype system', 'new configuration', 'larger bandwidth', 'judicious placement', 'four cuts', 'existing devices', 'cylindrical bar', 'broad range', 'bandwidth detector', 'antennae could', 'allows tuning']</t>
  </si>
  <si>
    <t>We describe a new configuration for a resonant mass gravitational wave antenna which allows tuning over a broad range. The antenna is expected to have a larger bandwidth than existing devices because of the use of a pivot and lever structure created by judicious placement of four cuts into a cylindrical bar. A set of such antennae could be used to synthesize a broad-bandwidth detector. The results of tests on a prototype system are presented.</t>
  </si>
  <si>
    <t>1437-1441</t>
  </si>
  <si>
    <t>36855221100;22974326500</t>
  </si>
  <si>
    <t>Thwaites, J. H.;Blair, D. G.</t>
  </si>
  <si>
    <t>Thwaites J.</t>
  </si>
  <si>
    <t>Cantilever coupled impedance matching read-out for resonant bar gravitational wave antennae</t>
  </si>
  <si>
    <t>10.1088/0957-0233/6/10/002</t>
  </si>
  <si>
    <t>2-s2.0-36149031341</t>
  </si>
  <si>
    <t>['supply information', 'relativistic stars', 'phase modulation', 'particularly rich', 'optical detectors', 'neutron stars', 'inverse problem', 'inspiral waveform', 'independent polarization', 'gamma ray', 'fundamental physics', 'enough data', 'cosmological parameters', 'coordinated observations', 'complete solution', 'black holes']</t>
  </si>
  <si>
    <t>Laser interferometric gravitational wave detectors are likely to participate in coordinated observations with each other, with resonant bar antennae, and with neutrino, gamma ray, and optical detectors. Gravitational waves carry information about the physics of their source and about cosmological parameters. In order to extract this information, one is faced with the inverse problem of reconstructing the gravitational wave signal from the noisy data acquired by a network of detectors. This problem is reviewed here and it is shown how three interferometric antennae can yield, in principle, enough data for a complete solution. The inspiral waveform of a coalescing binary system of neutron stars or black holes is particularly rich in the physics it conveys about the relativistic stars. The amplitudes of each independent polarization of the wave, together with measurements of its phase modulation, supply information that can be inverted to yield a distance to the source. The importance to fundamental physics and astronomy, of a network of detectors with the potential to solve inverse problems such as these, is discussed.</t>
  </si>
  <si>
    <t>677-686</t>
  </si>
  <si>
    <t>Inverse Problems</t>
  </si>
  <si>
    <t>Nicholson, D.</t>
  </si>
  <si>
    <t>Nicholson D.</t>
  </si>
  <si>
    <t>Inverse problems in gravitational wave astronomy</t>
  </si>
  <si>
    <t>10.1088/0266-5611/11/4/005</t>
  </si>
  <si>
    <t>2-s2.0-36149032794</t>
  </si>
  <si>
    <t>['unified description', 'space wavelength', 'resulting plasma', 'power flows', 'potential user', 'plasma sources', 'plasma properties', 'particular needs', 'moved transversely', 'methodical design', 'many applications', 'longitudinal distribution', 'line applicators', 'leaves us', 'large surfaces', 'kind provide', 'four systems', 'establish guidelines', 'essential aspects', 'electromagnetic wave', 'distances large', 'applicators first', 'antenna applicators']</t>
  </si>
  <si>
    <t>Microwave plasma sources using elongated field applicators that extend over distances large in comparison with the free-space wavelength are in demand for many applications, mainly for the processing of large surfaces of materials that can be moved transversely with respect to the applicator. Various long applicators have been presented in the literature but no unified description is available to assist the potential user in selecting the one best suited for his or her particular needs. This paper is intended to meet this need. All applicators of this kind provide an electromagnetic wave from which originates the electric field sustaining the discharge. However, they differ in some essential aspects which reflect on their performance and on the modelling of the resulting plasma. We propose to classify these applicators first into two main categories according to the way the power flows to the plasma: (i) transmission-line applicators; and (ii) antenna applicators. Then, in each category, we need to distinguish two possible wave characters: travelling and standing. This leaves us with four systems to examine. For each of these systems, we briefly approach discharge modelling, mainly to examine the longitudinal distribution of plasma properties and establish guidelines for the methodical design and operation of these plasma sources. Finally, we evaluate the advantages and disadvantages of the four systems.</t>
  </si>
  <si>
    <t>379-397</t>
  </si>
  <si>
    <t>60009507;60009507</t>
  </si>
  <si>
    <t>7005896376;7007168253</t>
  </si>
  <si>
    <t>Zakrzewski, Z.;Moisan, M.</t>
  </si>
  <si>
    <t>Zakrzewski Z.</t>
  </si>
  <si>
    <t>Plasma sources using long linear microwave field applicators: Main features, classification and modelling</t>
  </si>
  <si>
    <t>10.1088/0963-0252/4/3/008</t>
  </si>
  <si>
    <t>2-s2.0-36149034433</t>
  </si>
  <si>
    <t>['wave parameters', 'wave antenna', 'surface waves', 'spw ).', 'plasma impedance', 'main plasma', 'impedance due', 'electrostatic waves', 'calculated using']</t>
  </si>
  <si>
    <t>The analysis of the plasma impedance with respect to the coupling of electrostatic waves is described in this paper. We consider the impedance due to bulk (EPW, IBW) and surface waves (SPW). The impedance is calculated using the hypothesis of a magnetized homogeneous plasma and is evaluated with respect to a slow-wave antenna, for the main plasma and wave parameters.</t>
  </si>
  <si>
    <t>763-771</t>
  </si>
  <si>
    <t>Study of plasma impedance for electrostatic waves coupling</t>
  </si>
  <si>
    <t>10.1088/0741-3335/37/7/006</t>
  </si>
  <si>
    <t>2-s2.0-36149034900</t>
  </si>
  <si>
    <t>['uniaxial material', 'uniaxial bianisotropic', 'straightforwardly derived', 'proposed theory', 'present consideration', 'practical way', 'potential applications', 'microwave technology', 'manufactured either', 'magnetized ferrite', 'isotropic medium', 'integral forms', 'free maxwell', 'field representations', 'ferrite medium', 'characteristic waves', 'certain manner', 'antireflection shielding', 'antenna design', 'analysis reveals', 'addition theorem']</t>
  </si>
  <si>
    <t>The uniaxial bianisotropic-ferrite medium is a generalization of the well-studied magnetically biased ferrite and uniaxial material. It can be manufactured either by immersing randomly oriented short helices and Œ©-shaped particles in a magnetically biased ferrite, or by arranging short conductive helices in a magnetized ferrite in a certain manner. It has potential applications in microwave technology, antenna design, and antireflection shielding. In the present consideration, based on the concept of characteristic waves and the method of angular spectral expansion, field representations in uniaxial bianisotropic-ferrite medium are developed. The analysis reveals the solutions of source-free Maxwell's equations for uniaxial bianisotropic-ferrite medium can be represented in sum-integral forms of the circular cylindrical vector wave functions. The addition theorem of vector wave functions for uniaxial bianisotropic-ferrite medium can be straightforwardly derived from that of vector wave functions for isotropic medium. An application of the proposed theory in scattering is presented to show how to use these formulations in a practical way. ¬© 1995 American Institute of Physics.</t>
  </si>
  <si>
    <t>2889-2895</t>
  </si>
  <si>
    <t>7402806145;7406522234;7406634514</t>
  </si>
  <si>
    <t>Cheng, Dajun;Lin, Weigan;Zhao, Yushen</t>
  </si>
  <si>
    <t>Cheng D.</t>
  </si>
  <si>
    <t>Field representations in uniaxial bianisotropic-ferrite medium by cylindrical vector wave functions</t>
  </si>
  <si>
    <t>10.1063/1.358703</t>
  </si>
  <si>
    <t>2-s2.0-36448998844</t>
  </si>
  <si>
    <t>['western australia', 'vlbi experiments', 'southern hemisphere', 'imaging capability', 'forthcoming space', 'economical improvement', 'diameter provide', 'commercial antennas']</t>
  </si>
  <si>
    <t>Groundstation antennas located in Western Australia have been used as elements in the Southern Hemisphere very long baseline interferometry (VLBI) experiment. These commercial antennas of 27.5 and 15 m diameter provide a very economical improvement to the imaging capability of this array and the practice of using such antennas can be extended to other sites in the Southern Hemisphere in preparation for the forthcoming space-VLBI experiments. ¬© 1995 American Institute of Physics.</t>
  </si>
  <si>
    <t>995-999</t>
  </si>
  <si>
    <t>60031806;60031806;60031806;60005920;60005920;60005920;60005920;60005920;60009037</t>
  </si>
  <si>
    <t>26633659400;22974326500;22987479700;35588969500;7007125062;7003412348;56482774200;7003727686;7201370075</t>
  </si>
  <si>
    <t>Costa, M. E.;Blair, D. G.;Buckingham, M. J.;Sinclair, M. W.;Ferris, R. H.;Jauncey, D. L.;Reynolds, J. E.;Tzioumis, A. K.;Preston, R. A.</t>
  </si>
  <si>
    <t>Australia;United States;Australia</t>
  </si>
  <si>
    <t>Perth;Pasadena;Sydney</t>
  </si>
  <si>
    <t>The University of Western Australia;Jet Propulsion Laboratory;Australia Telescope National Facility</t>
  </si>
  <si>
    <t>60031806;60009037;60005920</t>
  </si>
  <si>
    <t>Costa M.</t>
  </si>
  <si>
    <t>Application of commercial antennas to very long baseline interferometry radio astronomy</t>
  </si>
  <si>
    <t>10.1063/1.1145634</t>
  </si>
  <si>
    <t>2-s2.0-36448998954</t>
  </si>
  <si>
    <t>['tunnel junction', 'potential use', 'mixing element', 'mixer performance', 'heterodyne mixer', 'frequency range', 'dipole antenna', 'db bandwidth', 'art waveguide', '8 ghz', '115 ghz', '106 ghz']</t>
  </si>
  <si>
    <t>A heterodyne mixer with a micromachined horn antenna and a superconductor-insulator- superconductor (SIS) tunnel junction as mixing element is tested in the W-band (75-115 GHz) frequency range. Micromachined integrated horn antennas consist of a dipole antenna suspended on a thin Si 3N4 dielectric membrane inside a pyramidal cavity etched in silicon. The mixer performance is optimized by using a backing plane behind the dipole antenna to tune out the capacitance of the tunnel junction. The lowest receiver noise temperature of 30¬±3 K (without any correction) is measured at 106 GHz with a 3-dB bandwidth of 8 GHz. This sensitivity is comparable to the state-of-the-art waveguide and quasi-optical SIS receivers, showing the potential use of micromachined horn antennas in imaging arrays.¬© 1996 American Institute of Physics.</t>
  </si>
  <si>
    <t>24288157900;8232049100;7403214762</t>
  </si>
  <si>
    <t>De Lange, Gert;Jacobson, Brian R.;Hu, Qing</t>
  </si>
  <si>
    <t>De Lange G.</t>
  </si>
  <si>
    <t>A low-noise micromachined millimeter-wave heterodyne mixer using Nb superconducting tunnel junctions</t>
  </si>
  <si>
    <t>2-s2.0-36448998997</t>
  </si>
  <si>
    <t>['wave devices', 'spatial mapping', 'silicon millimeter', 'sapphire antenna', 'powerful method', 'photoconductive silicon', 'induced second', 'harmonic generation', 'electric field', 'efishg technique', 'contactless sampling']</t>
  </si>
  <si>
    <t>Electric field-induced second-harmonic generation (EFISHG) is shown to be a very powerful method for contactless sampling of high-speed electrical signals on silicon millimeter-wave devices. We present picosecond resolution EFISHG measurements of 2 GHz sinusoidal signals on a photoconductive silicon-on-sapphire antenna. We further demonstrate the application of the EFISHG technique for spatial mapping of free-running microwave signals in silicon. ¬© 1996 American Institute of Physics.</t>
  </si>
  <si>
    <t>60016653;60016653;60016653;60016653;60016653;60016653;60016653</t>
  </si>
  <si>
    <t>6505988928;35618357500;7004387964;7003519023;7102250137;7004848584;7202054618</t>
  </si>
  <si>
    <t>Ohlhoff, C.;Meyer, C.;L√ºpke, G.;L√∂ffler, T.;Pfeifer, T.;Roskos, H. G.;Kurz, H.</t>
  </si>
  <si>
    <t>Rheinisch-Westf√§lische Technische Hochschule Aachen</t>
  </si>
  <si>
    <t>Ohlhoff C.</t>
  </si>
  <si>
    <t>Optical second-harmonic probe for silicon millimeter-wave circuits</t>
  </si>
  <si>
    <t>2-s2.0-36448999398</t>
  </si>
  <si>
    <t>['¬± 2', 'type shape', 'si etching', 'radiated powers', 'radial profile', 'plasma source', 'optimum conditions', 'multiannular antenna', 'h deposition', 'etching rate', 'electron density', 'deposition rate', '280 mm']</t>
  </si>
  <si>
    <t>A large-diameter uniform electron cyclotron resonance plasma is produced by using multiannular antenna which has a capability of adjusting the radiated powers from two annular slits driven by two microwave sources. The radial profile of the ion saturation current can be varied from hollow to hill-type shape by controlling radial profile of radiated microwave power of the multiannular antenna. In optimum conditions, the plasma has ¬±2.9% uniformity over 280 mm in diameter with electron density of 6√ó10 10cm-3. This plasma source is applied to a-Si:H deposition and c-Si etching. It is shown that the radial profile of the deposition rate as well as that of the etching rate can be controlled by changing the radial power radiation profile. ¬© 1996 American Institute of Physics.</t>
  </si>
  <si>
    <t>56102798000;14631007200</t>
  </si>
  <si>
    <t>Yasaka, Yasuyoshi;Nakamura, Tomokazu</t>
  </si>
  <si>
    <t>Yasaka Y.</t>
  </si>
  <si>
    <t>Control of process uniformity by using electron cyclotron resonance plasma produced by multiannular antenna</t>
  </si>
  <si>
    <t>2-s2.0-36449000274</t>
  </si>
  <si>
    <t>['uncorrected double', 'tuning circuit', 'theoretical prediction', 'slot antenna', 'physical temperature', 'ohmic loss', 'normal metal', 'measured using', 'large margin', 'junction configuration', 'gap frequency', 'frequency response', 'aluminum normal', '840 k', '5 k', '1042 ghz']</t>
  </si>
  <si>
    <t>We describe a 1 THz quasioptical SIS mixer which uses a twin-slot antenna, an antireflection-coated silicon hyperhemispherical lens, Nb/Al-oxide/Nb tunnel junctions, and an aluminum normal-metal tuning circuit in a two-junction configuration. Since the mixer operates substantially above the gap frequency of niobium (ŒΩ&gt;2Œî/h‚àº700 GHz), a normal metal is used in the tuning circuit in place of niobium to reduce the Ohmic loss. The frequency response of the device was measured using a Fourier transform spectrometer and agrees reasonably well with the theoretical prediction. At 1042 GHz, the uncorrected double-sideband receiver noise temperature is 840 K when the physical temperature of the mixer is 2.5 K. This is the first SIS mixer which outperforms GaAs Schottky diode mixers by a large margin at 1 THz.¬© 1996 American Institute of Physics.</t>
  </si>
  <si>
    <t>60031581;60031581;60031581;60031581;60009037</t>
  </si>
  <si>
    <t>6602197091;6701310156;7004482405;7401766885;23974476000</t>
  </si>
  <si>
    <t>Bin, M.;Gaidis, M. C.;Zmuidzinas, J.;Phillips, T. G.;Leduc, H. G.</t>
  </si>
  <si>
    <t>Bin M.</t>
  </si>
  <si>
    <t>Low-noise 1 THz niobium superconducting tunnel junction mixer with a normal metal tuning circuit</t>
  </si>
  <si>
    <t>2-s2.0-36449001049</t>
  </si>
  <si>
    <t>['within 5', 'r wave', 'produced using', 'plasma uniformity', 'multislot antenna', 'large diameter', 'l wave', 'helium plasma', 'electron density', 'cutoff density', '45 ghz', '20 cm']</t>
  </si>
  <si>
    <t>An electron cyclotron resonance plasma with large diameter, uniform, and high electron density is produced using a multislot antenna. The uniformity of the plasma is within 5% over 20 cm in diameter. The electron density of the helium plasma in front of a substrate is 7√ó1010 cm -3, while the electron density without the substrate is higher than the cutoff density for 2.45 GHz. The effect of the magnetic field configuration on plasma uniformity is investigated. Both of the R wave (electron cyclotron wave) and L wave are found to be excited in the plasma. ¬© 1995 American Institute of Physics.</t>
  </si>
  <si>
    <t>5423-5427</t>
  </si>
  <si>
    <t>60011047;60011047;60011047;60011047</t>
  </si>
  <si>
    <t>35331347100;55722024900;7102082310;55572797300</t>
  </si>
  <si>
    <t>Ueda, Yoko;Tanaka, Masayoshi;Shinohara, Shunjiro;Kawai, Yoshinobu</t>
  </si>
  <si>
    <t>Production of a large diameter electron cyclotron resonance plasma using a multislot antenna for plasma application</t>
  </si>
  <si>
    <t>10.1063/1.1146063</t>
  </si>
  <si>
    <t>2-s2.0-36449001932</t>
  </si>
  <si>
    <t>['wave detectors', 'wave detection', 'temperature sensor', 'temperature millimeter', 'radiation absorber', 'planar circuits', 'nb film', 'incident radiation', 'impedance matched', 'fabricate room', '15 %,', '10 w']</t>
  </si>
  <si>
    <t>We have combined silicon micromachining technology with planar circuits to fabricate room-temperature niobium microbolometers for millimeter-wave detection. In this type of detector, a thin niobium film, with a dimension much smaller than the wavelength and fabricated on a 1 Œºm thick Si 3N4 membrane, acts both as a radiation absorber and temperature sensor. Incident radiation is coupled into the microbolometer by a 0.37Œª dipole antenna of center frequency 95 GHz with a 3 dB bandwidth of 15%, which is impedance matched with the Nb film. An electrical noise equivalent power (NEP) of 4.5√ó10-10 W/Hz has been achieved. This is comparable to the best commercial room-temperature millimeter-wave detectors. ¬© 1996 American Institute of Physics.</t>
  </si>
  <si>
    <t>56349566100;24288157900;7403214762</t>
  </si>
  <si>
    <t>Rahman, Arifur;De Lange, Gert;Hu, Qing</t>
  </si>
  <si>
    <t>Rahman A.</t>
  </si>
  <si>
    <t>Micromachined room-temperature microbolometers for millimeter-wave detection</t>
  </si>
  <si>
    <t>2-s2.0-36449002801</t>
  </si>
  <si>
    <t>['viscous flow', 'superconductor mixer', 'single nb', 'nb trilayer', 'matching circuits', 'magnetic vortexes', 'local oscillator', 'frequency range', 'flow oscillator', 'achieved within', '560 k', '490 ghz', '455 ghz']</t>
  </si>
  <si>
    <t>An integrated quasioptical receiver consisting of a planar double dipole antenna, superconductor-insulator-superconductor mixer and a superconducting local oscillator (LO) with matching circuits has been designed, fabricated and tested in the frequency range 360-490 GHz. A flux-flow oscillator (FFO) based on unidirectional and viscous flow of magnetic vortexes in a long Josephson tunnel junction, is employed as a local oscillator. All components of the receiver are integrated on a 4 mm√ó4 mm√ó0.2 mm crystalline quartz substrate using a single Nb-AlOx-Nb trilayer. The lowest DSB noise temperature of 470-560 K has been achieved within a frequency range of 425-455 GHz. ¬© 1996 American Institute of Physics.</t>
  </si>
  <si>
    <t>60029225;60029225;60029225;60029225;60001512;60001512;60001512;60001512;60001512</t>
  </si>
  <si>
    <t>7004791063;7004148528;57193618079;7003412133;7801445325;7005065120;55934844400;8931414500;6701849147</t>
  </si>
  <si>
    <t>Koshelets, Valery P.;Shitov, Sergey V.;Filippenko, Lyudmila V.;Baryshev, Andrey M.;Golstein, Hans;De Graauw, Thijs;Luinge, Willem;Schaeffer, Harry;Van De Stadt, Herman</t>
  </si>
  <si>
    <t>Koshelets V.</t>
  </si>
  <si>
    <t>First Implementation of a superconducting integrated receiver at 450 GHz</t>
  </si>
  <si>
    <t>10.1063/1.115950</t>
  </si>
  <si>
    <t>2-s2.0-36449004003</t>
  </si>
  <si>
    <t>['radiated power', 'driving frequency', 'dipole antenna', 'antenna performance']</t>
  </si>
  <si>
    <t>Photonic band gap crystals have been used as a perfectly reflecting substrate for planar dipole antennas in the 12-15 GHz regime. The position, orientation, and driving frequency of the dipole antenna on the photonic band gap crystal surface, have been optimized for antenna performance and directionality. Virtually no radiated power is lost to the photonic crystal resulting in gains and radiation efficiencies larger than antennas on other conventional dielectric substrates.¬© 1995 American Institute of Physics.</t>
  </si>
  <si>
    <t>60008023;60008023;60008023-60014808;60008023;60008023;60008023</t>
  </si>
  <si>
    <t>57211687131;7102076788;7005956635;8396750600;7003341982;7403581673</t>
  </si>
  <si>
    <t>Cheng, S. D.;Biswas, R.;Ozbay, E.;McCalmont, S.;Tuttle, G.;Ho, K. M.</t>
  </si>
  <si>
    <t>Ankara;Ames</t>
  </si>
  <si>
    <t>Bilkent √úniversitesi;Ames Laboratory</t>
  </si>
  <si>
    <t>60014808;60008023</t>
  </si>
  <si>
    <t>Cheng S.</t>
  </si>
  <si>
    <t>Optimized dipole antennas on photonic band gap crystals</t>
  </si>
  <si>
    <t>10.1063/1.114906</t>
  </si>
  <si>
    <t>2-s2.0-36449004709</t>
  </si>
  <si>
    <t>['ultrafast electro', 'sensors suitable', 'recent study', 'optic sensors', 'infrared imaging', 'detection geometry', 'coherent measurement']</t>
  </si>
  <si>
    <t>We report our recent study of ultrafast electro-optic field sensors for the coherent measurement of freely propagating subpicosecond pulsed electromagnetic waves (THz beams). The sensitivity and bandwidth of these electro-optic sensors are comparable with the conventional ultrafast photoconductive dipole antennas. The simplicity of the detection geometry and capability of optical parallel processing make these sensors suitable for real-time 2D subpicosecond far-infrared imaging. ¬© 1996 American Institute of Physics.</t>
  </si>
  <si>
    <t>Ultrafast electro-optic field sensors</t>
  </si>
  <si>
    <t>2-s2.0-36449005755</t>
  </si>
  <si>
    <t>['strip dipole', 'radiative gain', 'radiation reflected', 'free space', 'copolarized directivity', 'constructive interference', '0 ghz']</t>
  </si>
  <si>
    <t>A strip dipole on a (111)-oriented face centered cubic photonic crystal is found to have a copolarized directivity and radiative gain of 9.1 and 7.2¬±1.4, respectively, along the zenith and at a frequency in the first stop band of 18.0 GHz. Under the same conditions, the maximum copolarized directivity and radiative gain were 10.0 and 8.1¬±1.6, respectively, in the H-plane 5¬∞down from the zenith. The zenithal results correspond to a 5.5-times greater radiation intensity than displayed by the same dipole in free space. From power balance measurements, only 10% of this enhancement is attributed to superior power transfer between the generator and antenna. The remainder is associated with constructive interference between the primary antenna radiation and radiation reflected from the crystal.¬© 1996 American Institute of Physics.</t>
  </si>
  <si>
    <t>60022195;60022195</t>
  </si>
  <si>
    <t>57223745182;6602297101</t>
  </si>
  <si>
    <t>Brown, E. R.;McMahon, O. B.</t>
  </si>
  <si>
    <t>High zenithal directivity from a dipole antenna on a photonic crystal</t>
  </si>
  <si>
    <t>10.1063/1.115959</t>
  </si>
  <si>
    <t>2-s2.0-36449006403</t>
  </si>
  <si>
    <t>['terahertz frequencies', 'radiation frequency', 'planar antenna', 'phonon relaxation', 'nbc microbolometer', 'hot electrons', 'high diffusivity', 'diffusion transport', '8 cm2']</t>
  </si>
  <si>
    <t>The crossover between the electron-phonon relaxation and the diffusion transport of hot electrons in an NbC microbolometer has been studied. At least an 80 ps relaxation time can be achieved in 0.2 Œºm long bridges of the material with a diffusivity of 8 cm2/s. The high diffusivity is accompanied by a large sheet resistance (‚âà10 Œ©) that simplifies the match of the mixer device made of NbC to planar antenna at terahertz frequencies. The intrinsic noise mechanisms imply a very low mixer noise temperature of the order of a few tens of Kelvin, independent on the radiation frequency. ¬© 1996 American Institute of Physics.</t>
  </si>
  <si>
    <t>60068676-60009037;60068676;60009114;60009114</t>
  </si>
  <si>
    <t>7003936384;55403960000;6701848841;57208121544</t>
  </si>
  <si>
    <t>Karasik, B. S.;Il'In, K. S.;Pechen, E. V.;Krasnosvobodtsev, S. I.</t>
  </si>
  <si>
    <t>Russian Federation;Russian Federation;United States</t>
  </si>
  <si>
    <t>Moscow;Moscow;Pasadena</t>
  </si>
  <si>
    <t>Moscow Pedagogical State University;P.N. Lebedev Physical Institute of the Russian Academy of Sciences;Jet Propulsion Laboratory</t>
  </si>
  <si>
    <t>60068676;60009114;60009037</t>
  </si>
  <si>
    <t>Diffusion cooling mechanism in a hot-electron NbC microbolometer mixer</t>
  </si>
  <si>
    <t>10.1063/1.115886</t>
  </si>
  <si>
    <t>2-s2.0-36449008868</t>
  </si>
  <si>
    <t>['wave antenna', 'tiny millimeter', 'technique may', 'small height', 'semiconducting wafers', 'printed circuits', 'oxide superconductors', 'operation consists', 'nondestructive testing', 'dielectric constant', 'contactless mapping', 'conducting polymers', '100 œºm']</t>
  </si>
  <si>
    <t>We demonstrate a technique for contactless mapping of resistivity or dielectric constant of surfaces and films with a spatial resolution better than 100 Œºm. This technique may be used for the nondestructive testing of semiconducting wafers, conducting polymers, oxide superconductors, and printed circuits. The principle of operation consists of the scanning of a tiny millimeter-wave antenna at a very small height above an inhomogeneous conducting surface and measuring the intensity and phase of the reflected (transmitted) wave. We use a specially designed resonant slit antenna and achieve subwavelength spatial resolution of Œª/50.¬© 1996 American Institute of Physics.</t>
  </si>
  <si>
    <t>60007903;60007903</t>
  </si>
  <si>
    <t>7004092573;56021982000</t>
  </si>
  <si>
    <t>Golosovsky, Michael;Davidov, Dan</t>
  </si>
  <si>
    <t>Jerusalem</t>
  </si>
  <si>
    <t>Hebrew University of Jerusalem</t>
  </si>
  <si>
    <t>Golosovsky M.</t>
  </si>
  <si>
    <t>Novel millimeter-wave near-field resistivity microscope</t>
  </si>
  <si>
    <t>2-s2.0-36449009142</t>
  </si>
  <si>
    <t>['runaway discharges', 'run period', 'rf antenna', 'paper summarizes', 'materials induced', 'energies higher', 'deuterium discharges', 'alcator c', 'activation measurements']</t>
  </si>
  <si>
    <t>This paper summarizes the results from activation measurements of the limiter and the rf antenna in Alcator C-MOD. The measurements were taken after the run period from May to October of 1993, during which hydrogen and deuterium discharges were studied. We conclude that bremsstrahlung photons generated by runaway electrons striking these materials induced most of the high threshold activation reactions. This means that electrons with energies higher than 10 MeV must have been generated in runaway discharges. ¬© 1995 American Institute of Physics.</t>
  </si>
  <si>
    <t>942-944</t>
  </si>
  <si>
    <t>60022717;60022717;60022717;60022717</t>
  </si>
  <si>
    <t>7006989036;7101727595;7102372491;7102555668</t>
  </si>
  <si>
    <t>Borr√°s, M. C.;Fiore, C. L.;Wenzel, K. W.;Takase, Y.</t>
  </si>
  <si>
    <t>Plasma Science and Fusion Center</t>
  </si>
  <si>
    <t>Borr√°s M.</t>
  </si>
  <si>
    <t>Photon activation of the Alcator C-MOD limiter and rf antenna</t>
  </si>
  <si>
    <t>10.1063/1.1146214</t>
  </si>
  <si>
    <t>2-s2.0-36449009616</t>
  </si>
  <si>
    <t>['resonant antennas', 'proper algorithms', 'possible plans']</t>
  </si>
  <si>
    <t>The principles of the gravitational wave detection by means of resonant antennas are illustrated and a review of the resonant antenna experiments in the world is given. The importance to perform coincidence experiments and to analyze the data with proper algorithms is stressed. Finally, possible plans for the future resonant antennas are indicated. ¬© 1995 Birkh√§user-Verlag.</t>
  </si>
  <si>
    <t>357-371</t>
  </si>
  <si>
    <t>Rendiconti del Seminario Matematico e Fisico di Milano</t>
  </si>
  <si>
    <t>60027509-60016340</t>
  </si>
  <si>
    <t>Pizzella, Guido</t>
  </si>
  <si>
    <t>Rome;Frascati</t>
  </si>
  <si>
    <t>Universit√† degli Studi di Roma "Tor Vergata";INFN, Laboratori Nazionali Di Frascati</t>
  </si>
  <si>
    <t>60027509;60016340</t>
  </si>
  <si>
    <t>Resonant detectors for gravitational waves</t>
  </si>
  <si>
    <t>10.1007/BF02925265</t>
  </si>
  <si>
    <t>2-s2.0-52449140492</t>
  </si>
  <si>
    <t>['variable phase', 'shifting system', 'shifted replicas', 'range 2', 'properly feed', 'plasma device', 'phase differences', 'maintained equal', 'generate phase', 'adjacent outputs', '3 ¬∞', '100 ¬∞,', '10 mhz', '0 ¬∞']</t>
  </si>
  <si>
    <t>A variable phase-shifting system, able to generate phase-shifted replicas of the same reference input signal, has been designed to properly feed the antenna system within a plasma device. The system is based on a phase-locked loop used as a voltage controlled phase shifter and is able to provide four phase-shifted output signals. The phase differences between adjacent outputs can be varied between 0¬∞ and 100¬∞, and are maintained equal to each other, with a precision of less than 3¬∞ in the range 2.5-10 MHz. ¬© 1995 American Institute of Physics.</t>
  </si>
  <si>
    <t>2888-2891</t>
  </si>
  <si>
    <t>60030318;60030318;60030318;60030318;60030318;60030318;60030318;60030318;60030318</t>
  </si>
  <si>
    <t>23014416600;57201413052;57201370571;36671795100;57201282091;57201369994;6603918183;7004438555;22995022400</t>
  </si>
  <si>
    <t>Ferrucci, L.;Casanova, M. R.;Maglione, V.;Montiron, G.;Riccardi, C.;Barisoni, D.;Fontanesi, M.;Galassi, A.;Sindoni, E.</t>
  </si>
  <si>
    <t>Ferrucci L.</t>
  </si>
  <si>
    <t>Radio frequency phase shifters for launching waves in a magnetized plasma</t>
  </si>
  <si>
    <t>10.1063/1.1145573</t>
  </si>
  <si>
    <t>2-s2.0-5644267560</t>
  </si>
  <si>
    <t>['microstrip antennas', 'mathematical model', 'low frequency', 'high frequency', 'emi margin', 'electromagnetic compatibility', 'antenna gain']</t>
  </si>
  <si>
    <t>Aircraft antennas | Distribution of antennas | Electromagnetic compatibility | Microstrip antennas</t>
  </si>
  <si>
    <t>The mathematical model of electromagnetic compatibility and the distribution of aircraft antenna system have been investigated. The solutions of the antenna gain and electromagnetic interference margin in the regions of low frequency, resonance and high frequency were discussed. By using the basic analytical method of the EMI margin the distributed antenna system can be determined. The main program flow chart of distributed antenna design were given, and illustrated with examples of the microstrip antennas.</t>
  </si>
  <si>
    <t>65-72</t>
  </si>
  <si>
    <t>Journal of Systems Engineering and Electronics</t>
  </si>
  <si>
    <t>60014966;60014966-108406786;60014966</t>
  </si>
  <si>
    <t>7405920084;57191716944;35777303500</t>
  </si>
  <si>
    <t>Wang, B. F.;Wang, S. Z.;Yao, Y. L.</t>
  </si>
  <si>
    <t>China;</t>
  </si>
  <si>
    <t>Beijing;</t>
  </si>
  <si>
    <t>Peking University;Tientsin College of Radio Mechinery</t>
  </si>
  <si>
    <t>60014966;108406786</t>
  </si>
  <si>
    <t>The electromagnetic compatibility and distribution of antenna system</t>
  </si>
  <si>
    <t>2-s2.0-77950403644</t>
  </si>
  <si>
    <t>['quite unique', 'pleopodal setae', 'outer ramus', 'numerous spines', 'northern japan', 'koysama sp', 'first time', 'erimoensis sp', 'antenna 2']</t>
  </si>
  <si>
    <t>Two new species of Paramoera (Amphipoda, Gammaridea) are described from Hokkaido, northern Japan: P. koysama sp. nov. is characterized by the spines on the peduncular articles 3 and 4 of antenna 2 and the modified outer ramus of the male pleopod 2; P. erimoensis sp. nov. is distinguished by numerous spines on the concave article 5 of the male pereiopod 7 and the strangely transformed outer ramus of the male pleopod 2. Modification of the outer ramus of the male pleopod 2 is reported for the first time in this genus. Particularly, the structure of pleopodal setae in P. erimoensis sp. nov. is quite unique in the Amphipoda. Ecological information suggests that P. koysama has a diadromous life cycle. ¬© 1995 BRILL.</t>
  </si>
  <si>
    <t>7103092169;55219777200</t>
  </si>
  <si>
    <t>Kuribayashi, Keiko;Kyono, Masaki</t>
  </si>
  <si>
    <t>Kuribayashi K.</t>
  </si>
  <si>
    <t>Two new species of the genus paramoera (Amphipoda, gammaridea) from hokkaido, northern japan, with special reference to their strangely transformed second pleopod</t>
  </si>
  <si>
    <t>10.1163/156854095X01970</t>
  </si>
  <si>
    <t>2-s2.0-77954293533</t>
  </si>
  <si>
    <t>['quite unique', 'pleopodal setae', 'outer ramus', 'numerous spines', 'northern japan', 'koysama sp', 'first time', 'erimoensis sp', 'arc described', 'antenna 2']</t>
  </si>
  <si>
    <t>Two new species of Paramoera (Amphipoda, Gammaridea) arc described from Hokkaido, northern Japan: P. koysama sp. nov. is characterized by the spines on the peduncular articles 3 and 4 of antenna 2 and the modified outer ramus of the male pleopod 2; P. erimoensis sp. nov. is distinguished by numerous spines on the concave article 5 of the male pereiopod 7 and the strangely transformed outer ramus of the male pleopod 2. Modification of the outer ramus of the male pleopod 2 is reported for the first time in this genus. Particularly, the structure of pleopodal setae in P. erimoensis sp. nov. is quite unique in the Amphipoda. Ecological information suggests that P. koysama has a diadromous life cycle. ¬© 1995 BRILL.</t>
  </si>
  <si>
    <t>2-s2.0-84861102501</t>
  </si>
  <si>
    <t>['¬© 1995', 'rights reserved', 'model results']</t>
  </si>
  <si>
    <t>Mobile satellite communication | Radiowave propagation</t>
  </si>
  <si>
    <t>A simple deterministic propagation model for non-urban satellite mobile applications is presented and discussed. Model results are compared with measurements. ¬© 1995, IEE. All rights reserved.</t>
  </si>
  <si>
    <t>2212-2213</t>
  </si>
  <si>
    <t>60026134;60026134;60026134</t>
  </si>
  <si>
    <t>57194938155;8693261000;56002725700</t>
  </si>
  <si>
    <t>Perez-Fontan, E.;Baptista, J. P.V.Poiares;Castro, A. V.</t>
  </si>
  <si>
    <t>Vigo</t>
  </si>
  <si>
    <t>Universidade de Vigo</t>
  </si>
  <si>
    <t>Perez-Fontan E.</t>
  </si>
  <si>
    <t>Simple numerical propagation model for non-urban mobile applications</t>
  </si>
  <si>
    <t>10.1049/el:19951511</t>
  </si>
  <si>
    <t>2-s2.0-0029638892</t>
  </si>
  <si>
    <t>['¬© 1995', 'theoretical results', 'rights reserved', 'one substrate', 'numerical model', 'microstrip antenna', 'large bandwidth', 'high gain', 'good agreement', 'fed slot', 'fed aperture', 'efficient amelioration', 'easily connected', 'cpw line', 'authors propose', 'active components']</t>
  </si>
  <si>
    <t>Coplanar waveguides | Microstrip antennas</t>
  </si>
  <si>
    <t>The authors propose an efficient amelioration of the concept of large bandwidth aperture-coupled microstrip antennas by coupling a CPW line-fed slot to a microstrip antenna. The CPW-fed aperture-coupled microstrip antenna investigated has a large bandwidth with high gain and low crosspolarisation levels, is compact with only one substrate, and may be easily connected to both passive and active components. A numerical model has been developed and the theoretical results are in good agreement with the experiments. ¬© 1995, IEE. All rights reserved.</t>
  </si>
  <si>
    <t>2139-2140</t>
  </si>
  <si>
    <t>60110755;60110755;60110755</t>
  </si>
  <si>
    <t>6603047426;7003360986;7003385210</t>
  </si>
  <si>
    <t>Giauffret, L.;Laheurte, J. M.;Papiernik, A.</t>
  </si>
  <si>
    <t>Giauffret L.</t>
  </si>
  <si>
    <t>Experimental and theoretical investigations of new compact large bandwidth aperture-coupled microstrip antenna</t>
  </si>
  <si>
    <t>10.1049/el:19951475</t>
  </si>
  <si>
    <t>2-s2.0-0029638914</t>
  </si>
  <si>
    <t>['¬© 1995', 'successfully applied', 'rights reserved', 'possible explanations', 'moment solution', 'low frequencies', 'line modelling', 'less accurate', 'good agreement', 'dipole antennas', 'current distribution']</t>
  </si>
  <si>
    <t>Antennas | Numerical methods | Transmission line matrix method</t>
  </si>
  <si>
    <t>The transmission-line modelling (TLM) method has been successfully applied to compute many open boundary problems, such as current distribution on antennas and antenna radiation patterns. The method is further exploited to calculate the impedance of dipole antennas. A good agreement with the moment solution has been obtained over a wide frequency range. However, it was observed that the method is less accurate at low frequencies. Possible explanations are given for this shortcoming. ¬© 1995, IEE. All rights reserved.</t>
  </si>
  <si>
    <t>2138-2139</t>
  </si>
  <si>
    <t>60020661;60001359;60001359</t>
  </si>
  <si>
    <t>57207851348;7004582770;6603784474</t>
  </si>
  <si>
    <t>Huang, Y.;Mirshekar-Syahkal, D.;Dilworth, I. J.</t>
  </si>
  <si>
    <t>Liverpool;Colchester</t>
  </si>
  <si>
    <t>University of Liverpool;University of Essex</t>
  </si>
  <si>
    <t>60020661;60001359</t>
  </si>
  <si>
    <t>Huang Y.</t>
  </si>
  <si>
    <t>Calculation of antenna input impedance by TLM method</t>
  </si>
  <si>
    <t>10.1049/el:19951500</t>
  </si>
  <si>
    <t>2-s2.0-0029638921</t>
  </si>
  <si>
    <t>['¬© 1995', 'thus making', 'technique applies', 'synthesises dispersion', 'rights reserved', 'interferers appear', 'adaptive technique']</t>
  </si>
  <si>
    <t>Adaptive antenna arrays | Array signal processing</t>
  </si>
  <si>
    <t>An adaptive technique is presented that produces array pattern troughs in response to discrete interference sources. The technique applies a transform to the sample covariance matrix that synthesises dispersion, thus making the interferers appear to cover a greater angular extent. ¬© 1995, IEE. All rights reserved.</t>
  </si>
  <si>
    <t>2141-2142</t>
  </si>
  <si>
    <t>Zatman, M.</t>
  </si>
  <si>
    <t>Production of adaptive array troughs by dispersion synthesis</t>
  </si>
  <si>
    <t>10.1049/el:19951486</t>
  </si>
  <si>
    <t>2-s2.0-0029638939</t>
  </si>
  <si>
    <t>['¬© 1995', 'small handset', 'rights reserved', 'limited size', 'handset difficult', 'forward link', 'coded modulation', 'authors propose']</t>
  </si>
  <si>
    <t>Fading | Rayleigh channels | Trellis coded modulation</t>
  </si>
  <si>
    <t>The performance of trellis-coded modulation with finite interleaver size degrades in a very slow fading channel. In this case antenna diversity is effective. In personal communication systems, however, the limited size and complexity of the handset make diversity implementation at the handset difficult. The authors propose a scheme for obtaining interleaving effects by switching base station antennas in a forward link, without additional software or hardware in a small handset. Computer simulation shows that this scheme has significant performance gain in a slow fading forward link. ¬© 1995, IEE. All rights reserved.</t>
  </si>
  <si>
    <t>2153-2154</t>
  </si>
  <si>
    <t>60001558;60001558;60001558;60016912</t>
  </si>
  <si>
    <t>6603748752;56517044900;57189091190;7601569193</t>
  </si>
  <si>
    <t>Hahm, Y. K.;Jung, G. Y.;Kim, Y. S.;Park, H. K.</t>
  </si>
  <si>
    <t>Seoul;Daejeon</t>
  </si>
  <si>
    <t>Yonsei University;Electronics and Telecommunications Research Institute</t>
  </si>
  <si>
    <t>60016912;60001558</t>
  </si>
  <si>
    <t>Hahm Y.K.</t>
  </si>
  <si>
    <t>TCM with preswitching diversity in slow Rayleigh fading forward link</t>
  </si>
  <si>
    <t>10.1049/el:19951473</t>
  </si>
  <si>
    <t>2-s2.0-0029638953</t>
  </si>
  <si>
    <t>['‚ âé0', '¬© 1995', 'significant fraction', 'serendipitously discovered', 'rights reserved', 'radio emission', 'psr b1937', 'observations carried', 'new pulsar', 'lies outside', 'later confirmed', 'jodrell bank', 'imaging observations', 'highly polarized', 'electron layer', 'dispersion measure', 'direction l', 'aligned rotator', '7 kpc', '3 ms', '18 ¬∞.']</t>
  </si>
  <si>
    <t>Ism: Structure | Pulsars: Individual (PSR J0218+4232) | Surveys</t>
  </si>
  <si>
    <t>We report the discovery of a field binary millisecond pulsar, J0218+4232, with a period of 2.3 ms and in a 2.0 day binary orbit with a ‚âÉ0.16 MQ companion. The new pulsar was serendipitously discovered as a steep-spectrum, highly polarized, compact radio source during imaging observations at Westerbork, and was later confirmed to be a pulsar with observations carried out with the 76 m antenna at Jodrell Bank. With a dispersion measure of 61 pc cm-3, it lies outside the electron layer in the direction l = 140¬∞, b = -18¬∞. At a distance of more than 5.7 kpc, it is the farthest known field millisecond pulsar and has a radio luminosity L400 comparable to that of PSR B1937+21. It appears that a significant fraction of the radio emission is not pulsed. This, together with the extremely broad pulse profile, suggests that we are looking at an aligned rotator. ¬© 1995. The American Astronomical Society. All rights reserved. Printed in U.S.A.</t>
  </si>
  <si>
    <t>L55-L58</t>
  </si>
  <si>
    <t>60024185;60025529-60011173;60024185;60031581-60003771</t>
  </si>
  <si>
    <t>55958112100;7004416493;57190586777;35395323300</t>
  </si>
  <si>
    <t>Navarro, Jos√©;de Bruyn, A. G.;Frail, D. A.;Kulkarni, S. R.</t>
  </si>
  <si>
    <t>United States;Netherlands;United States;Netherlands;United Kingdom</t>
  </si>
  <si>
    <t>Pasadena;Dwingeloo;Charlottesville;Groningen;Manchester</t>
  </si>
  <si>
    <t>California Institute of Technology;Netherlands Foundation for Research in Astronomy;National Radio Astronomy Observatory;University of Groningen, Kapteyn Astronomical Institute;The University of Manchester</t>
  </si>
  <si>
    <t>60031581;60025529;60024185;60011173;60003771</t>
  </si>
  <si>
    <t>A very luminous binary millisecond pulsar</t>
  </si>
  <si>
    <t>10.1086/309816</t>
  </si>
  <si>
    <t>2-s2.0-0029498734</t>
  </si>
  <si>
    <t>['¬© 1995', 'whole process', 'times difference', 'three alcohols', 'statistically investigated', 'spectral properties', 'saturated concentrations', 'saturated buffers', 'morphologically irreversible', 'morphologic changes', 'monomeric form', 'key factor', 'electron microscopy', 'distribution may', 'complete information', 'complete conversion', 'chlorobium tepidum', 'bacteriochlorophyll c', 'alcohol concentration', 'aggregated state']</t>
  </si>
  <si>
    <t>(Green bacterium) | Alcohol treatment | Antenna | Chlorosome | Hydrodynamic diameter | Morphology</t>
  </si>
  <si>
    <t>Chlorosomes from Chlorobium tepidum have been treated with alcohol-saturated buffers, followed by dilution to the buffers with half the saturated concentrations. Morphologic changes during this process have been statistically investigated by dynamic light scattering technique combined with electron microscopy to obtain the complete information on shape, size and distribution, while spectral properties have been studied by absorption, CD and magnetic circular dichroism. Three alcohols (1-hexanol, 1-butanol and phenol) have been found to produce nearly reversible conversion of absorption spectra despite the more than 15-times difference in the alcohol concentration. It is shown that the degree of saturation, not the alcohol concentration, is the key factor for the complete conversion of bacteriochlorophyll c in chlorosomes from the aggregated state to the monomeric form. We have observed substantial changes in the shape, size and distribution at each step of the treatment with 1-hexanol, indicating that the whole process is morphologically irreversible. Comparison of the morphologic changes with the corresponding spectroscopic behaviour suggests that the relative overall size rather than the shape and distribution may be a more important factor affecting the spectral properties. ¬© 1995.</t>
  </si>
  <si>
    <t>187-196</t>
  </si>
  <si>
    <t>60008435;60008435;60008435;60008435;60028586;60008435</t>
  </si>
  <si>
    <t>16164731000;36121030600;7003931155;55628545000;7006461138;7103347251</t>
  </si>
  <si>
    <t>Wang, Zheng Yu;Marx, Giselher;Umetsu, Mitsuo;Kobayashi, Masayuski;Mimuro, Mamoru;Nozawa, Tsunenori</t>
  </si>
  <si>
    <t>Okazaki;Sendai</t>
  </si>
  <si>
    <t>National Institutes of Natural Sciences - National Institute for Basic Biology;Tohoku University</t>
  </si>
  <si>
    <t>60028586;60008435</t>
  </si>
  <si>
    <t>Wang Z.Y.</t>
  </si>
  <si>
    <t>Morphology and spectroscopy of chlorosomes from Chlorobium tepidum by alcohol treatments</t>
  </si>
  <si>
    <t>10.1016/0005-2728(95)00113-1</t>
  </si>
  <si>
    <t>2-s2.0-0028804243</t>
  </si>
  <si>
    <t>['¬© 1995', 'unusually flat', 'temperature dependences', 'substantial part', 'substantial increase', 'studied species', 'somewhat different', 'semiquinone anions', 'rate constants', 'range 4', 'quinone complex', 'qa -;', 'protonatable group', 'possibly reflecting', 'ph dependence', 'ph 7', 'ph 10', 'latter group', 'kbp observed', 'kap decreases', 'gelatinosus appears', 'energetic behaviour', 'direct route', 'defined residues']</t>
  </si>
  <si>
    <t>Photosynthesis | Proton | Purple bacterium | Reaction center</t>
  </si>
  <si>
    <t>The pH and temperature dependences of the free energy stabilization of the QA- and QB- semiquinone anions (QA and QB are respectively the primary and secondary quinone electron acceptors) were studied in antenna-reaction centre complex from Rubriviuax (R.) gelatinosus. This was achieved by measuring the rate constants of the P+QA- (kAP and P+QB- (kBP) (P is the primary electron donor) charge recombination processes by flash-induced absorption spectroscopy. Despite the high primary sequence analogies of the QA and QB protein pockets between R. gelatinosus and the much more studied species as Rps. viridis, Rb. sphaeroides and Rb. capsulatus, the energetic behaviour of the quinone complex of R. gelatinosus appears to be somewhat different: (i) above pH 10, kAP decreases, whereas it increases in Rps. uiridis; this suggests the presence of a protonatable group that stabilizes I- (I is a bacteriopheophytin electron acceptor) rather than QA-; (ii) the pH dependence of kBP is unusually flat in the range 4-7.5, possibly reflecting that a substantial part of the P+QB- charge recombination proceeds via the direct route through the protein by an electron tunnelling mechanism, at variance to what is observed in the three species mentioned above; (iii) the very substantial increase of kBP observed above pH 7.5 is reasonably well described by the presence of two apparent protonatable groups: pK1QB = 9.4, pK2QB-= 11 and pK2QB = 8.5, pK2QB-= 9.4. The latter group was not reported in Rps. viridis, Rb. sphaeroides or Rb. capsulatus. We conclude that the apparent pK values measured here in R. gelatinosus may reflect the contribution as a whole of several and/or distant groups rather than of well-defined residues. ¬© 1995.</t>
  </si>
  <si>
    <t>180-186</t>
  </si>
  <si>
    <t>6602818994;7004140450</t>
  </si>
  <si>
    <t>Agalidis, Ileana;Sebban, Pierre</t>
  </si>
  <si>
    <t>Agalidis I.</t>
  </si>
  <si>
    <t>Energetics of the quinone electron acceptor complex in Rubrivivax gelatinosus</t>
  </si>
  <si>
    <t>10.1016/0005-2728(95)00110-7</t>
  </si>
  <si>
    <t>2-s2.0-0028823214</t>
  </si>
  <si>
    <t>['‚ âé0', 'type species', 'transfer time', 'time constant', 'shifted b850', 'report studies', 'reaction center', 'rb .)', 'probe measurement', 'like structures', 'lh2 mutants', 'lh1 transfer', 'lh1 antennae', 'increasing blue', 'fs pulses', 'experiments reveal', 'energy transfer', 'color pump', 'b850 process', 'b850 band', 'acceptor excitations', '77 k', '7 ps', '296 k']</t>
  </si>
  <si>
    <t>We report studies of energy transfer from the 800-nm absorbing pigment (B800) to the 850-nm absorbing pigment (B850) of the LH2 peripheral antenna complex and from LH2 to the core antenna complex (LH1) in Rhodobacter (Rb.) sphaeroides. The B800 to B850 process was studied in membranes from a LH2- reaction center (no LH1) mutant of Rb. sphaeroides and the LH2 to LH1 transfer was studied in both the wild-type species and in LH2 mutants with blue-shifted B850. The measurements were performed by using ‚âÉ 100-fs pulses to probe the formation of acceptor excitations in a two-color pump-probe measurement. Our experiments reveal a B800 to B850 transfer time of ‚âÉ0.7 ps at 296 K and energy transfer from LH2 to LH1 is characterized by a time constant of ‚âÉ3 ps at 296 K and ‚âÉ5 ps at 77 K. In the blue-shifted B850 mutants, the transfer time from B850 to LH1 becomes gradually longer with increasing blue-shift of the B850 band as a result of the decreasing spectral overlap between the antennae. The results have been used to produce a model for the association between the ring-like structures that are characteristic of both the LH2 and LH1 antennae.</t>
  </si>
  <si>
    <t>12333-12337</t>
  </si>
  <si>
    <t>60029170;60029170;60068852;60001881;60001881;60001881;60029170</t>
  </si>
  <si>
    <t>7102293476;6603603940;6701855945;8247663200;7103071035;13105070700;7006706612</t>
  </si>
  <si>
    <t>Hess, S.;Chachisvilis, M.;Timpmann, K.;Jones, M. R.;Fowler, G. J.S.;Hunter, C. N.;Sundstr√∂m, V.</t>
  </si>
  <si>
    <t>Estonia;Sweden;United Kingdom</t>
  </si>
  <si>
    <t>Tallinn;Lund;Sheffield</t>
  </si>
  <si>
    <t>Academia Scientiarum Estoniae;Lunds Universitet;The University of Sheffield</t>
  </si>
  <si>
    <t>60068852;60029170;60001881</t>
  </si>
  <si>
    <t>Temporally and spectrally resolved subpicosecond energy transfer within the peripheral antenna complex (LH2) and from LH2 to the core antenna complex in photosynthetic purple bacteria</t>
  </si>
  <si>
    <t>10.1073/pnas.92.26.12333</t>
  </si>
  <si>
    <t>2-s2.0-0029585473</t>
  </si>
  <si>
    <t>weighted matrix_7:3</t>
  </si>
  <si>
    <t>weighted matrix_5:5</t>
  </si>
  <si>
    <t>weighted matrix_3:7</t>
  </si>
  <si>
    <t>if</t>
  </si>
  <si>
    <t>fund_sponsor</t>
  </si>
  <si>
    <t>fund_no</t>
  </si>
  <si>
    <t>fund_acr</t>
  </si>
  <si>
    <t>openaccess</t>
  </si>
  <si>
    <t>max-min</t>
  </si>
  <si>
    <t>citation_norm</t>
  </si>
  <si>
    <t>average_citation</t>
  </si>
  <si>
    <t>citedby_count</t>
  </si>
  <si>
    <t>Rake Keyword</t>
  </si>
  <si>
    <t>authkeywords</t>
  </si>
  <si>
    <t>description</t>
  </si>
  <si>
    <t>pageRange</t>
  </si>
  <si>
    <t>article_number</t>
  </si>
  <si>
    <t>issueIdentifier</t>
  </si>
  <si>
    <t>volume</t>
  </si>
  <si>
    <t>aggregationType</t>
  </si>
  <si>
    <t>eIssn</t>
  </si>
  <si>
    <t>source_id</t>
  </si>
  <si>
    <t>issn</t>
  </si>
  <si>
    <t>sjr_norm</t>
  </si>
  <si>
    <t>sjr</t>
  </si>
  <si>
    <t>publicationName</t>
  </si>
  <si>
    <t>coverDisplayDate</t>
  </si>
  <si>
    <t>Year Gap</t>
  </si>
  <si>
    <t>Year</t>
  </si>
  <si>
    <t>coverDate</t>
  </si>
  <si>
    <t>author_afids</t>
  </si>
  <si>
    <t>author_ids</t>
  </si>
  <si>
    <t>author_names</t>
  </si>
  <si>
    <t>author_count</t>
  </si>
  <si>
    <t>affiliation_country</t>
  </si>
  <si>
    <t>affiliation_city</t>
  </si>
  <si>
    <t>affilname</t>
  </si>
  <si>
    <t>afid</t>
  </si>
  <si>
    <t>creator</t>
  </si>
  <si>
    <t>subtypeDescription</t>
  </si>
  <si>
    <t>subtype</t>
  </si>
  <si>
    <t>title</t>
  </si>
  <si>
    <t>pubmed_id</t>
  </si>
  <si>
    <t>pii</t>
  </si>
  <si>
    <t>doi</t>
  </si>
  <si>
    <t>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</si>
</sst>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2"/>
      <color theme="1"/>
      <name val="Calibri"/>
      <family val="2"/>
      <scheme val="minor"/>
    </font>
    <font>
      <sz val="12"/>
      <color rgb="FF006100"/>
      <name val="Calibri"/>
      <family val="2"/>
      <scheme val="minor"/>
    </font>
    <font>
      <sz val="12"/>
      <color rgb="FF9C0006"/>
      <name val="Calibri"/>
      <family val="2"/>
      <scheme val="minor"/>
    </font>
    <font>
      <sz val="12"/>
      <color rgb="FF3F3F76"/>
      <name val="Calibri"/>
      <family val="2"/>
      <scheme val="minor"/>
    </font>
    <font>
      <sz val="12"/>
      <color rgb="FFFF0000"/>
      <name val="Calibri"/>
      <family val="2"/>
      <scheme val="minor"/>
    </font>
    <font>
      <b/>
      <sz val="12"/>
      <color theme="1"/>
      <name val="Calibri"/>
      <family val="2"/>
      <scheme val="minor"/>
    </font>
    <font>
      <b/>
      <sz val="12"/>
      <color rgb="FF3F3F76"/>
      <name val="Calibri"/>
      <family val="2"/>
      <scheme val="minor"/>
    </font>
    <font>
      <b/>
      <sz val="11"/>
      <color theme="1"/>
      <name val="Calibri"/>
      <family val="2"/>
      <scheme val="minor"/>
    </font>
    <font>
      <b/>
      <sz val="12"/>
      <color rgb="FF006100"/>
      <name val="Calibri"/>
      <family val="2"/>
      <scheme val="minor"/>
    </font>
    <font>
      <b/>
      <sz val="12"/>
      <color rgb="FF9C0006"/>
      <name val="Calibri"/>
      <family val="2"/>
      <scheme val="minor"/>
    </font>
  </fonts>
  <fills count="8">
    <fill>
      <patternFill patternType="none"/>
    </fill>
    <fill>
      <patternFill patternType="gray125"/>
    </fill>
    <fill>
      <patternFill patternType="solid">
        <fgColor rgb="FFC6EFCE"/>
      </patternFill>
    </fill>
    <fill>
      <patternFill patternType="solid">
        <fgColor rgb="FFFFC7CE"/>
      </patternFill>
    </fill>
    <fill>
      <patternFill patternType="solid">
        <fgColor rgb="FFFFCC99"/>
      </patternFill>
    </fill>
    <fill>
      <patternFill patternType="solid">
        <fgColor rgb="FFFFFF00"/>
        <bgColor indexed="64"/>
      </patternFill>
    </fill>
    <fill>
      <patternFill patternType="solid">
        <fgColor theme="2" tint="-9.9978637043366805E-2"/>
        <bgColor indexed="64"/>
      </patternFill>
    </fill>
    <fill>
      <patternFill patternType="solid">
        <fgColor theme="2"/>
        <bgColor indexed="64"/>
      </patternFill>
    </fill>
  </fills>
  <borders count="3">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s>
  <cellStyleXfs count="4">
    <xf numFmtId="0" fontId="0" fillId="0" borderId="0"/>
    <xf numFmtId="0" fontId="1" fillId="2" borderId="0" applyNumberFormat="0" applyBorder="0" applyAlignment="0" applyProtection="0"/>
    <xf numFmtId="0" fontId="2" fillId="3" borderId="0" applyNumberFormat="0" applyBorder="0" applyAlignment="0" applyProtection="0"/>
    <xf numFmtId="0" fontId="3" fillId="4" borderId="1" applyNumberFormat="0" applyAlignment="0" applyProtection="0"/>
  </cellStyleXfs>
  <cellXfs count="21">
    <xf numFmtId="0" fontId="0" fillId="0" borderId="0" xfId="0"/>
    <xf numFmtId="0" fontId="3" fillId="4" borderId="1" xfId="3"/>
    <xf numFmtId="0" fontId="0" fillId="5" borderId="0" xfId="0" applyFill="1"/>
    <xf numFmtId="2" fontId="1" fillId="0" borderId="0" xfId="1" applyNumberFormat="1" applyFill="1"/>
    <xf numFmtId="2" fontId="1" fillId="2" borderId="0" xfId="1" applyNumberFormat="1"/>
    <xf numFmtId="2" fontId="0" fillId="5" borderId="0" xfId="0" applyNumberFormat="1" applyFill="1"/>
    <xf numFmtId="16" fontId="0" fillId="0" borderId="0" xfId="0" applyNumberFormat="1"/>
    <xf numFmtId="0" fontId="2" fillId="3" borderId="0" xfId="2"/>
    <xf numFmtId="164" fontId="0" fillId="0" borderId="0" xfId="0" applyNumberFormat="1"/>
    <xf numFmtId="0" fontId="0" fillId="6" borderId="0" xfId="0" applyFill="1"/>
    <xf numFmtId="17" fontId="0" fillId="0" borderId="0" xfId="0" applyNumberFormat="1"/>
    <xf numFmtId="0" fontId="4" fillId="0" borderId="0" xfId="0" applyFont="1"/>
    <xf numFmtId="0" fontId="0" fillId="7" borderId="0" xfId="0" applyFill="1"/>
    <xf numFmtId="0" fontId="6" fillId="0" borderId="1" xfId="3" applyFont="1" applyFill="1"/>
    <xf numFmtId="0" fontId="7" fillId="0" borderId="2" xfId="0" applyFont="1" applyBorder="1" applyAlignment="1">
      <alignment horizontal="center" vertical="top"/>
    </xf>
    <xf numFmtId="0" fontId="5" fillId="0" borderId="0" xfId="0" applyFont="1"/>
    <xf numFmtId="2" fontId="8" fillId="0" borderId="0" xfId="1" applyNumberFormat="1" applyFont="1" applyFill="1"/>
    <xf numFmtId="2" fontId="5" fillId="0" borderId="0" xfId="0" applyNumberFormat="1" applyFont="1"/>
    <xf numFmtId="0" fontId="7" fillId="0" borderId="0" xfId="0" applyFont="1" applyAlignment="1">
      <alignment horizontal="center" vertical="top"/>
    </xf>
    <xf numFmtId="0" fontId="9" fillId="0" borderId="0" xfId="2" applyFont="1" applyFill="1" applyBorder="1" applyAlignment="1">
      <alignment horizontal="center" vertical="top"/>
    </xf>
    <xf numFmtId="164" fontId="5" fillId="0" borderId="0" xfId="0" applyNumberFormat="1" applyFont="1"/>
  </cellXfs>
  <cellStyles count="4">
    <cellStyle name="Bad" xfId="2" builtinId="27"/>
    <cellStyle name="Good" xfId="1" builtinId="26"/>
    <cellStyle name="Input" xfId="3"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ear_data/antenna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tenna_all"/>
      <sheetName val="Sheet2"/>
      <sheetName val="&lt;=1980"/>
      <sheetName val="&lt;=1985"/>
      <sheetName val="1995"/>
      <sheetName val="1994"/>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B9CAB-34C5-0447-A4A3-3390300574CC}">
  <dimension ref="A1:AW365"/>
  <sheetViews>
    <sheetView tabSelected="1" topLeftCell="AC1" workbookViewId="0">
      <selection activeCell="AN2" sqref="AN2"/>
    </sheetView>
  </sheetViews>
  <sheetFormatPr baseColWidth="10" defaultRowHeight="16" x14ac:dyDescent="0.2"/>
  <sheetData>
    <row r="1" spans="1:49" s="12" customFormat="1" x14ac:dyDescent="0.2">
      <c r="A1" s="15"/>
      <c r="B1" s="15" t="s">
        <v>4097</v>
      </c>
      <c r="C1" s="15" t="s">
        <v>4096</v>
      </c>
      <c r="D1" s="15" t="s">
        <v>4095</v>
      </c>
      <c r="E1" s="15" t="s">
        <v>4094</v>
      </c>
      <c r="F1" s="15" t="s">
        <v>4093</v>
      </c>
      <c r="G1" s="15" t="s">
        <v>4092</v>
      </c>
      <c r="H1" s="15" t="s">
        <v>4091</v>
      </c>
      <c r="I1" s="15" t="s">
        <v>4090</v>
      </c>
      <c r="J1" s="15" t="s">
        <v>4089</v>
      </c>
      <c r="K1" s="15" t="s">
        <v>4088</v>
      </c>
      <c r="L1" s="15" t="s">
        <v>4087</v>
      </c>
      <c r="M1" s="15" t="s">
        <v>4086</v>
      </c>
      <c r="N1" s="15" t="s">
        <v>4085</v>
      </c>
      <c r="O1" s="15" t="s">
        <v>4084</v>
      </c>
      <c r="P1" s="15" t="s">
        <v>4083</v>
      </c>
      <c r="Q1" s="15" t="s">
        <v>4082</v>
      </c>
      <c r="R1" s="20" t="s">
        <v>4081</v>
      </c>
      <c r="S1" s="15" t="s">
        <v>4080</v>
      </c>
      <c r="T1" s="15" t="s">
        <v>4080</v>
      </c>
      <c r="U1" s="15" t="s">
        <v>4079</v>
      </c>
      <c r="V1" s="20" t="s">
        <v>4078</v>
      </c>
      <c r="W1" s="15" t="s">
        <v>4077</v>
      </c>
      <c r="X1" s="14" t="s">
        <v>4076</v>
      </c>
      <c r="Y1" s="19" t="s">
        <v>4075</v>
      </c>
      <c r="Z1" s="18" t="s">
        <v>4060</v>
      </c>
      <c r="AA1" s="15" t="s">
        <v>4074</v>
      </c>
      <c r="AB1" s="15" t="s">
        <v>4073</v>
      </c>
      <c r="AC1" s="15" t="s">
        <v>4072</v>
      </c>
      <c r="AD1" s="15" t="s">
        <v>4071</v>
      </c>
      <c r="AE1" s="15" t="s">
        <v>4070</v>
      </c>
      <c r="AF1" s="15" t="s">
        <v>4069</v>
      </c>
      <c r="AG1" s="15" t="s">
        <v>4068</v>
      </c>
      <c r="AH1" s="15" t="s">
        <v>4067</v>
      </c>
      <c r="AI1" s="15" t="s">
        <v>4066</v>
      </c>
      <c r="AJ1" s="15" t="s">
        <v>4065</v>
      </c>
      <c r="AK1" s="14" t="s">
        <v>4064</v>
      </c>
      <c r="AL1" s="15" t="s">
        <v>4063</v>
      </c>
      <c r="AM1" s="17" t="s">
        <v>4062</v>
      </c>
      <c r="AN1" s="16" t="s">
        <v>4061</v>
      </c>
      <c r="AO1" s="16" t="s">
        <v>4060</v>
      </c>
      <c r="AP1" s="15" t="s">
        <v>4059</v>
      </c>
      <c r="AQ1" s="15" t="s">
        <v>4058</v>
      </c>
      <c r="AR1" s="15" t="s">
        <v>4057</v>
      </c>
      <c r="AS1" s="15" t="s">
        <v>4056</v>
      </c>
      <c r="AT1" s="14" t="s">
        <v>4055</v>
      </c>
      <c r="AU1" s="13" t="s">
        <v>4054</v>
      </c>
      <c r="AV1" s="13" t="s">
        <v>4053</v>
      </c>
      <c r="AW1" s="13" t="s">
        <v>4052</v>
      </c>
    </row>
    <row r="2" spans="1:49" x14ac:dyDescent="0.2">
      <c r="A2">
        <v>0</v>
      </c>
      <c r="B2" t="s">
        <v>4051</v>
      </c>
      <c r="C2" t="s">
        <v>4050</v>
      </c>
      <c r="E2">
        <v>11607622</v>
      </c>
      <c r="F2" t="s">
        <v>4049</v>
      </c>
      <c r="G2" t="s">
        <v>6</v>
      </c>
      <c r="H2" t="s">
        <v>5</v>
      </c>
      <c r="I2" t="s">
        <v>45</v>
      </c>
      <c r="J2" t="s">
        <v>4048</v>
      </c>
      <c r="K2" t="s">
        <v>4047</v>
      </c>
      <c r="L2" t="s">
        <v>4046</v>
      </c>
      <c r="M2" t="s">
        <v>4045</v>
      </c>
      <c r="N2">
        <v>7</v>
      </c>
      <c r="O2" t="s">
        <v>4044</v>
      </c>
      <c r="P2" t="s">
        <v>4043</v>
      </c>
      <c r="Q2" t="s">
        <v>4042</v>
      </c>
      <c r="R2" s="8">
        <v>35052</v>
      </c>
      <c r="S2" s="9">
        <f t="shared" ref="S2:S65" si="0">YEAR(R2)</f>
        <v>1995</v>
      </c>
      <c r="T2" s="9">
        <v>1995</v>
      </c>
      <c r="U2" s="9">
        <f t="shared" ref="U2:U65" si="1">2022-T2</f>
        <v>27</v>
      </c>
      <c r="V2" s="8">
        <v>35052</v>
      </c>
      <c r="W2" t="s">
        <v>332</v>
      </c>
      <c r="X2" s="2">
        <v>5.0110000000000001</v>
      </c>
      <c r="Y2" s="7">
        <f t="shared" ref="Y2:Y65" si="2">(X2-$Z$4)/($Z$3-$Z$4)</f>
        <v>0.13376578308107098</v>
      </c>
      <c r="AA2">
        <v>278424</v>
      </c>
      <c r="AB2">
        <v>21121</v>
      </c>
      <c r="AD2" t="s">
        <v>3</v>
      </c>
      <c r="AE2">
        <v>92</v>
      </c>
      <c r="AF2">
        <v>26</v>
      </c>
      <c r="AH2" t="s">
        <v>4041</v>
      </c>
      <c r="AI2" t="s">
        <v>4040</v>
      </c>
      <c r="AK2" t="s">
        <v>4039</v>
      </c>
      <c r="AL2">
        <v>112</v>
      </c>
      <c r="AM2" s="5">
        <f t="shared" ref="AM2:AM65" si="3">AL2/U2</f>
        <v>4.1481481481481479</v>
      </c>
      <c r="AN2" s="4">
        <f t="shared" ref="AN2:AN65" si="4">(AM2-$AO$4)/($AO$3-$AO$4)</f>
        <v>6.2826931437306296E-3</v>
      </c>
      <c r="AO2" s="3"/>
      <c r="AP2">
        <v>1</v>
      </c>
      <c r="AR2" t="s">
        <v>1</v>
      </c>
      <c r="AT2" s="2" t="s">
        <v>7</v>
      </c>
      <c r="AU2" s="1">
        <f t="shared" ref="AU2:AU65" si="5">(Y2*0.7+AN2*0.3)*100</f>
        <v>9.5520856099868858</v>
      </c>
      <c r="AV2" s="1">
        <f t="shared" ref="AV2:AV65" si="6">(Y2*0.5+AN2*0.5)*100</f>
        <v>7.0024238112400798</v>
      </c>
      <c r="AW2" s="1">
        <f t="shared" ref="AW2:AW65" si="7">(Y2*0.3+AN2*0.7)*100</f>
        <v>4.4527620124932739</v>
      </c>
    </row>
    <row r="3" spans="1:49" x14ac:dyDescent="0.2">
      <c r="A3">
        <v>1</v>
      </c>
      <c r="B3" t="s">
        <v>4038</v>
      </c>
      <c r="C3" t="s">
        <v>4037</v>
      </c>
      <c r="D3">
        <v>5272895001107</v>
      </c>
      <c r="E3">
        <v>8534672</v>
      </c>
      <c r="F3" t="s">
        <v>4036</v>
      </c>
      <c r="G3" t="s">
        <v>6</v>
      </c>
      <c r="H3" t="s">
        <v>5</v>
      </c>
      <c r="I3" t="s">
        <v>4035</v>
      </c>
      <c r="N3">
        <v>2</v>
      </c>
      <c r="O3" t="s">
        <v>4034</v>
      </c>
      <c r="P3" t="s">
        <v>4033</v>
      </c>
      <c r="Q3" t="s">
        <v>73</v>
      </c>
      <c r="R3" s="8">
        <v>35045</v>
      </c>
      <c r="S3" s="9">
        <f t="shared" si="0"/>
        <v>1995</v>
      </c>
      <c r="T3" s="9">
        <v>1995</v>
      </c>
      <c r="U3" s="9">
        <f t="shared" si="1"/>
        <v>27</v>
      </c>
      <c r="V3" s="8">
        <v>35045</v>
      </c>
      <c r="W3" t="s">
        <v>419</v>
      </c>
      <c r="X3" s="2">
        <v>1.59</v>
      </c>
      <c r="Y3" s="7">
        <f t="shared" si="2"/>
        <v>4.2444141907583888E-2</v>
      </c>
      <c r="Z3">
        <v>37.460999999999999</v>
      </c>
      <c r="AA3">
        <v>52728</v>
      </c>
      <c r="AB3">
        <v>16791</v>
      </c>
      <c r="AD3" t="s">
        <v>3</v>
      </c>
      <c r="AE3">
        <v>1232</v>
      </c>
      <c r="AF3">
        <v>3</v>
      </c>
      <c r="AH3" t="s">
        <v>4032</v>
      </c>
      <c r="AI3" t="s">
        <v>4031</v>
      </c>
      <c r="AJ3" t="s">
        <v>4030</v>
      </c>
      <c r="AK3" t="s">
        <v>4029</v>
      </c>
      <c r="AL3">
        <v>4</v>
      </c>
      <c r="AM3" s="5">
        <f t="shared" si="3"/>
        <v>0.14814814814814814</v>
      </c>
      <c r="AN3" s="4">
        <f t="shared" si="4"/>
        <v>2.2438189799037963E-4</v>
      </c>
      <c r="AO3" s="3">
        <v>660.25</v>
      </c>
      <c r="AP3">
        <v>1</v>
      </c>
      <c r="AR3" t="s">
        <v>1</v>
      </c>
      <c r="AT3" s="2" t="s">
        <v>7</v>
      </c>
      <c r="AU3" s="1">
        <f t="shared" si="5"/>
        <v>2.9778213904705835</v>
      </c>
      <c r="AV3" s="1">
        <f t="shared" si="6"/>
        <v>2.1334261902787133</v>
      </c>
      <c r="AW3" s="1">
        <f t="shared" si="7"/>
        <v>1.2890309900868431</v>
      </c>
    </row>
    <row r="4" spans="1:49" x14ac:dyDescent="0.2">
      <c r="A4">
        <v>2</v>
      </c>
      <c r="B4" t="s">
        <v>4028</v>
      </c>
      <c r="C4" t="s">
        <v>4027</v>
      </c>
      <c r="D4">
        <v>5272895001131</v>
      </c>
      <c r="F4" t="s">
        <v>4026</v>
      </c>
      <c r="G4" t="s">
        <v>6</v>
      </c>
      <c r="H4" t="s">
        <v>5</v>
      </c>
      <c r="I4" t="s">
        <v>4025</v>
      </c>
      <c r="J4" t="s">
        <v>4024</v>
      </c>
      <c r="K4" t="s">
        <v>4023</v>
      </c>
      <c r="L4" t="s">
        <v>4022</v>
      </c>
      <c r="M4" t="s">
        <v>8</v>
      </c>
      <c r="N4">
        <v>6</v>
      </c>
      <c r="O4" t="s">
        <v>4021</v>
      </c>
      <c r="P4" t="s">
        <v>4020</v>
      </c>
      <c r="Q4" t="s">
        <v>4019</v>
      </c>
      <c r="R4" s="8">
        <v>35045</v>
      </c>
      <c r="S4" s="9">
        <f t="shared" si="0"/>
        <v>1995</v>
      </c>
      <c r="T4" s="9">
        <v>1995</v>
      </c>
      <c r="U4" s="9">
        <f t="shared" si="1"/>
        <v>27</v>
      </c>
      <c r="V4" s="8">
        <v>35045</v>
      </c>
      <c r="W4" t="s">
        <v>419</v>
      </c>
      <c r="X4" s="2">
        <v>1.59</v>
      </c>
      <c r="Y4" s="7">
        <f t="shared" si="2"/>
        <v>4.2444141907583888E-2</v>
      </c>
      <c r="Z4">
        <v>0</v>
      </c>
      <c r="AA4">
        <v>52728</v>
      </c>
      <c r="AB4">
        <v>16791</v>
      </c>
      <c r="AD4" t="s">
        <v>3</v>
      </c>
      <c r="AE4">
        <v>1232</v>
      </c>
      <c r="AF4">
        <v>3</v>
      </c>
      <c r="AH4" t="s">
        <v>4018</v>
      </c>
      <c r="AI4" t="s">
        <v>4017</v>
      </c>
      <c r="AJ4" t="s">
        <v>4016</v>
      </c>
      <c r="AK4" t="s">
        <v>4015</v>
      </c>
      <c r="AL4">
        <v>38</v>
      </c>
      <c r="AM4" s="5">
        <f t="shared" si="3"/>
        <v>1.4074074074074074</v>
      </c>
      <c r="AN4" s="4">
        <f t="shared" si="4"/>
        <v>2.1316280309086064E-3</v>
      </c>
      <c r="AO4" s="3">
        <v>0</v>
      </c>
      <c r="AP4">
        <v>1</v>
      </c>
      <c r="AR4">
        <v>7750872</v>
      </c>
      <c r="AT4" s="2" t="s">
        <v>7</v>
      </c>
      <c r="AU4" s="1">
        <f t="shared" si="5"/>
        <v>3.0350387744581302</v>
      </c>
      <c r="AV4" s="1">
        <f t="shared" si="6"/>
        <v>2.2287884969246248</v>
      </c>
      <c r="AW4" s="1">
        <f t="shared" si="7"/>
        <v>1.4225382193911189</v>
      </c>
    </row>
    <row r="5" spans="1:49" x14ac:dyDescent="0.2">
      <c r="A5">
        <v>3</v>
      </c>
      <c r="B5" t="s">
        <v>4014</v>
      </c>
      <c r="C5" t="s">
        <v>4013</v>
      </c>
      <c r="F5" t="s">
        <v>4012</v>
      </c>
      <c r="G5" t="s">
        <v>6</v>
      </c>
      <c r="H5" t="s">
        <v>5</v>
      </c>
      <c r="I5" t="s">
        <v>281</v>
      </c>
      <c r="J5" t="s">
        <v>4011</v>
      </c>
      <c r="K5" t="s">
        <v>4010</v>
      </c>
      <c r="L5" t="s">
        <v>4009</v>
      </c>
      <c r="M5" t="s">
        <v>4008</v>
      </c>
      <c r="N5">
        <v>4</v>
      </c>
      <c r="O5" t="s">
        <v>4007</v>
      </c>
      <c r="P5" t="s">
        <v>4006</v>
      </c>
      <c r="Q5" t="s">
        <v>4005</v>
      </c>
      <c r="R5" s="8">
        <v>35043</v>
      </c>
      <c r="S5" s="9">
        <f t="shared" si="0"/>
        <v>1995</v>
      </c>
      <c r="T5" s="9">
        <v>1995</v>
      </c>
      <c r="U5" s="9">
        <f t="shared" si="1"/>
        <v>27</v>
      </c>
      <c r="V5" s="8">
        <v>35043</v>
      </c>
      <c r="W5" t="s">
        <v>409</v>
      </c>
      <c r="X5" s="2">
        <v>2.3759999999999999</v>
      </c>
      <c r="Y5" s="7">
        <f t="shared" si="2"/>
        <v>6.3425963001521576E-2</v>
      </c>
      <c r="AA5" t="s">
        <v>408</v>
      </c>
      <c r="AB5">
        <v>26765</v>
      </c>
      <c r="AC5">
        <v>15384357</v>
      </c>
      <c r="AD5" t="s">
        <v>3</v>
      </c>
      <c r="AE5">
        <v>455</v>
      </c>
      <c r="AF5">
        <v>1</v>
      </c>
      <c r="AH5" t="s">
        <v>4004</v>
      </c>
      <c r="AI5" t="s">
        <v>4003</v>
      </c>
      <c r="AJ5" t="s">
        <v>4002</v>
      </c>
      <c r="AK5" t="s">
        <v>4001</v>
      </c>
      <c r="AL5">
        <v>86</v>
      </c>
      <c r="AM5" s="5">
        <f t="shared" si="3"/>
        <v>3.1851851851851851</v>
      </c>
      <c r="AN5" s="4">
        <f t="shared" si="4"/>
        <v>4.8242108067931616E-3</v>
      </c>
      <c r="AO5" s="3"/>
      <c r="AP5">
        <v>1</v>
      </c>
      <c r="AR5" t="s">
        <v>1</v>
      </c>
      <c r="AT5" s="2">
        <v>5.8739999999999997</v>
      </c>
      <c r="AU5" s="1">
        <f t="shared" si="5"/>
        <v>4.584543734310305</v>
      </c>
      <c r="AV5" s="1">
        <f t="shared" si="6"/>
        <v>3.4125086904157365</v>
      </c>
      <c r="AW5" s="1">
        <f t="shared" si="7"/>
        <v>2.2404736465211688</v>
      </c>
    </row>
    <row r="6" spans="1:49" x14ac:dyDescent="0.2">
      <c r="A6">
        <v>4</v>
      </c>
      <c r="B6" t="s">
        <v>4000</v>
      </c>
      <c r="C6" t="s">
        <v>3999</v>
      </c>
      <c r="F6" t="s">
        <v>3998</v>
      </c>
      <c r="G6" t="s">
        <v>6</v>
      </c>
      <c r="H6" t="s">
        <v>5</v>
      </c>
      <c r="I6" t="s">
        <v>3997</v>
      </c>
      <c r="J6" t="s">
        <v>3996</v>
      </c>
      <c r="K6" t="s">
        <v>3995</v>
      </c>
      <c r="L6" t="s">
        <v>3994</v>
      </c>
      <c r="M6" t="s">
        <v>269</v>
      </c>
      <c r="N6">
        <v>4</v>
      </c>
      <c r="O6" t="s">
        <v>3993</v>
      </c>
      <c r="P6" t="s">
        <v>3992</v>
      </c>
      <c r="Q6" t="s">
        <v>3991</v>
      </c>
      <c r="R6" s="8">
        <v>35040</v>
      </c>
      <c r="S6" s="9">
        <f t="shared" si="0"/>
        <v>1995</v>
      </c>
      <c r="T6" s="9">
        <v>1995</v>
      </c>
      <c r="U6" s="9">
        <f t="shared" si="1"/>
        <v>27</v>
      </c>
      <c r="V6" s="8">
        <v>35040</v>
      </c>
      <c r="W6" t="s">
        <v>390</v>
      </c>
      <c r="X6" s="2">
        <v>0.375</v>
      </c>
      <c r="Y6" s="7">
        <f t="shared" si="2"/>
        <v>1.0010410827260351E-2</v>
      </c>
      <c r="AA6">
        <v>135194</v>
      </c>
      <c r="AB6">
        <v>24918</v>
      </c>
      <c r="AD6" t="s">
        <v>3</v>
      </c>
      <c r="AE6">
        <v>31</v>
      </c>
      <c r="AF6">
        <v>25</v>
      </c>
      <c r="AH6" t="s">
        <v>3990</v>
      </c>
      <c r="AI6" t="s">
        <v>3989</v>
      </c>
      <c r="AJ6" t="s">
        <v>3988</v>
      </c>
      <c r="AK6" t="s">
        <v>3987</v>
      </c>
      <c r="AL6">
        <v>2</v>
      </c>
      <c r="AM6" s="5">
        <f t="shared" si="3"/>
        <v>7.407407407407407E-2</v>
      </c>
      <c r="AN6" s="4">
        <f t="shared" si="4"/>
        <v>1.1219094899518981E-4</v>
      </c>
      <c r="AO6" s="3"/>
      <c r="AP6">
        <v>0</v>
      </c>
      <c r="AR6" t="s">
        <v>1</v>
      </c>
      <c r="AT6" s="2">
        <v>1.3140000000000001</v>
      </c>
      <c r="AU6" s="1">
        <f t="shared" si="5"/>
        <v>0.70409448637808025</v>
      </c>
      <c r="AV6" s="1">
        <f t="shared" si="6"/>
        <v>0.5061300888127771</v>
      </c>
      <c r="AW6" s="1">
        <f t="shared" si="7"/>
        <v>0.30816569124747378</v>
      </c>
    </row>
    <row r="7" spans="1:49" x14ac:dyDescent="0.2">
      <c r="A7">
        <v>5</v>
      </c>
      <c r="B7" t="s">
        <v>3986</v>
      </c>
      <c r="C7" t="s">
        <v>3985</v>
      </c>
      <c r="F7" t="s">
        <v>3984</v>
      </c>
      <c r="G7" t="s">
        <v>6</v>
      </c>
      <c r="H7" t="s">
        <v>5</v>
      </c>
      <c r="I7" t="s">
        <v>329</v>
      </c>
      <c r="J7">
        <v>60022195</v>
      </c>
      <c r="K7" t="s">
        <v>114</v>
      </c>
      <c r="L7" t="s">
        <v>113</v>
      </c>
      <c r="M7" t="s">
        <v>4</v>
      </c>
      <c r="N7">
        <v>1</v>
      </c>
      <c r="O7" t="s">
        <v>3983</v>
      </c>
      <c r="P7">
        <v>7004085526</v>
      </c>
      <c r="Q7">
        <v>60022195</v>
      </c>
      <c r="R7" s="8">
        <v>35040</v>
      </c>
      <c r="S7" s="9">
        <f t="shared" si="0"/>
        <v>1995</v>
      </c>
      <c r="T7" s="9">
        <v>1995</v>
      </c>
      <c r="U7" s="9">
        <f t="shared" si="1"/>
        <v>27</v>
      </c>
      <c r="V7" s="8">
        <v>35040</v>
      </c>
      <c r="W7" t="s">
        <v>390</v>
      </c>
      <c r="X7" s="2">
        <v>0.375</v>
      </c>
      <c r="Y7" s="7">
        <f t="shared" si="2"/>
        <v>1.0010410827260351E-2</v>
      </c>
      <c r="AA7">
        <v>135194</v>
      </c>
      <c r="AB7">
        <v>24918</v>
      </c>
      <c r="AD7" t="s">
        <v>3</v>
      </c>
      <c r="AE7">
        <v>31</v>
      </c>
      <c r="AF7">
        <v>25</v>
      </c>
      <c r="AH7" t="s">
        <v>3982</v>
      </c>
      <c r="AI7" t="s">
        <v>3981</v>
      </c>
      <c r="AJ7" t="s">
        <v>3980</v>
      </c>
      <c r="AK7" t="s">
        <v>3979</v>
      </c>
      <c r="AL7">
        <v>132</v>
      </c>
      <c r="AM7" s="5">
        <f t="shared" si="3"/>
        <v>4.8888888888888893</v>
      </c>
      <c r="AN7" s="4">
        <f t="shared" si="4"/>
        <v>7.404602633682528E-3</v>
      </c>
      <c r="AO7" s="3"/>
      <c r="AP7">
        <v>0</v>
      </c>
      <c r="AR7" t="s">
        <v>1</v>
      </c>
      <c r="AT7" s="2">
        <v>1.3140000000000001</v>
      </c>
      <c r="AU7" s="1">
        <f t="shared" si="5"/>
        <v>0.92286683691870042</v>
      </c>
      <c r="AV7" s="1">
        <f t="shared" si="6"/>
        <v>0.87075067304714404</v>
      </c>
      <c r="AW7" s="1">
        <f t="shared" si="7"/>
        <v>0.81863450917558744</v>
      </c>
    </row>
    <row r="8" spans="1:49" x14ac:dyDescent="0.2">
      <c r="A8">
        <v>6</v>
      </c>
      <c r="B8" t="s">
        <v>3978</v>
      </c>
      <c r="C8" t="s">
        <v>3977</v>
      </c>
      <c r="F8" t="s">
        <v>3976</v>
      </c>
      <c r="G8" t="s">
        <v>6</v>
      </c>
      <c r="H8" t="s">
        <v>5</v>
      </c>
      <c r="I8" t="s">
        <v>3975</v>
      </c>
      <c r="J8" t="s">
        <v>3974</v>
      </c>
      <c r="K8" t="s">
        <v>3973</v>
      </c>
      <c r="L8" t="s">
        <v>3972</v>
      </c>
      <c r="M8" t="s">
        <v>12</v>
      </c>
      <c r="N8">
        <v>3</v>
      </c>
      <c r="O8" t="s">
        <v>3971</v>
      </c>
      <c r="P8" t="s">
        <v>3970</v>
      </c>
      <c r="Q8" t="s">
        <v>3969</v>
      </c>
      <c r="R8" s="8">
        <v>35040</v>
      </c>
      <c r="S8" s="9">
        <f t="shared" si="0"/>
        <v>1995</v>
      </c>
      <c r="T8" s="9">
        <v>1995</v>
      </c>
      <c r="U8" s="9">
        <f t="shared" si="1"/>
        <v>27</v>
      </c>
      <c r="V8" s="8">
        <v>35040</v>
      </c>
      <c r="W8" t="s">
        <v>390</v>
      </c>
      <c r="X8" s="2">
        <v>0.375</v>
      </c>
      <c r="Y8" s="7">
        <f t="shared" si="2"/>
        <v>1.0010410827260351E-2</v>
      </c>
      <c r="AA8">
        <v>135194</v>
      </c>
      <c r="AB8">
        <v>24918</v>
      </c>
      <c r="AD8" t="s">
        <v>3</v>
      </c>
      <c r="AE8">
        <v>31</v>
      </c>
      <c r="AF8">
        <v>25</v>
      </c>
      <c r="AH8" t="s">
        <v>3968</v>
      </c>
      <c r="AI8" t="s">
        <v>3967</v>
      </c>
      <c r="AJ8" t="s">
        <v>3966</v>
      </c>
      <c r="AK8" t="s">
        <v>3965</v>
      </c>
      <c r="AL8">
        <v>0</v>
      </c>
      <c r="AM8" s="5">
        <f t="shared" si="3"/>
        <v>0</v>
      </c>
      <c r="AN8" s="4">
        <f t="shared" si="4"/>
        <v>0</v>
      </c>
      <c r="AO8" s="3"/>
      <c r="AP8">
        <v>0</v>
      </c>
      <c r="AR8" t="s">
        <v>1</v>
      </c>
      <c r="AT8" s="2">
        <v>1.3140000000000001</v>
      </c>
      <c r="AU8" s="1">
        <f t="shared" si="5"/>
        <v>0.70072875790822453</v>
      </c>
      <c r="AV8" s="1">
        <f t="shared" si="6"/>
        <v>0.5005205413630176</v>
      </c>
      <c r="AW8" s="1">
        <f t="shared" si="7"/>
        <v>0.30031232481781051</v>
      </c>
    </row>
    <row r="9" spans="1:49" x14ac:dyDescent="0.2">
      <c r="A9">
        <v>7</v>
      </c>
      <c r="B9" t="s">
        <v>3964</v>
      </c>
      <c r="C9" t="s">
        <v>3963</v>
      </c>
      <c r="F9" t="s">
        <v>3962</v>
      </c>
      <c r="G9" t="s">
        <v>6</v>
      </c>
      <c r="H9" t="s">
        <v>5</v>
      </c>
      <c r="I9" t="s">
        <v>3961</v>
      </c>
      <c r="J9">
        <v>60110755</v>
      </c>
      <c r="K9" t="s">
        <v>209</v>
      </c>
      <c r="L9" t="s">
        <v>208</v>
      </c>
      <c r="M9" t="s">
        <v>79</v>
      </c>
      <c r="N9">
        <v>3</v>
      </c>
      <c r="O9" t="s">
        <v>3960</v>
      </c>
      <c r="P9" t="s">
        <v>3959</v>
      </c>
      <c r="Q9" t="s">
        <v>3958</v>
      </c>
      <c r="R9" s="8">
        <v>35040</v>
      </c>
      <c r="S9" s="9">
        <f t="shared" si="0"/>
        <v>1995</v>
      </c>
      <c r="T9" s="9">
        <v>1995</v>
      </c>
      <c r="U9" s="9">
        <f t="shared" si="1"/>
        <v>27</v>
      </c>
      <c r="V9" s="8">
        <v>35040</v>
      </c>
      <c r="W9" t="s">
        <v>390</v>
      </c>
      <c r="X9" s="2">
        <v>0.375</v>
      </c>
      <c r="Y9" s="7">
        <f t="shared" si="2"/>
        <v>1.0010410827260351E-2</v>
      </c>
      <c r="AA9">
        <v>135194</v>
      </c>
      <c r="AB9">
        <v>24918</v>
      </c>
      <c r="AD9" t="s">
        <v>3</v>
      </c>
      <c r="AE9">
        <v>31</v>
      </c>
      <c r="AF9">
        <v>25</v>
      </c>
      <c r="AH9" t="s">
        <v>3957</v>
      </c>
      <c r="AI9" t="s">
        <v>3956</v>
      </c>
      <c r="AJ9" t="s">
        <v>3955</v>
      </c>
      <c r="AK9" t="s">
        <v>3954</v>
      </c>
      <c r="AL9">
        <v>3</v>
      </c>
      <c r="AM9" s="5">
        <f t="shared" si="3"/>
        <v>0.1111111111111111</v>
      </c>
      <c r="AN9" s="4">
        <f t="shared" si="4"/>
        <v>1.682864234927847E-4</v>
      </c>
      <c r="AO9" s="3"/>
      <c r="AP9">
        <v>0</v>
      </c>
      <c r="AR9" t="s">
        <v>1</v>
      </c>
      <c r="AT9" s="2">
        <v>1.3140000000000001</v>
      </c>
      <c r="AU9" s="1">
        <f t="shared" si="5"/>
        <v>0.70577735061300817</v>
      </c>
      <c r="AV9" s="1">
        <f t="shared" si="6"/>
        <v>0.50893486253765674</v>
      </c>
      <c r="AW9" s="1">
        <f t="shared" si="7"/>
        <v>0.31209237446230542</v>
      </c>
    </row>
    <row r="10" spans="1:49" x14ac:dyDescent="0.2">
      <c r="A10">
        <v>8</v>
      </c>
      <c r="B10" t="s">
        <v>3953</v>
      </c>
      <c r="C10" t="s">
        <v>3952</v>
      </c>
      <c r="F10" t="s">
        <v>3951</v>
      </c>
      <c r="G10" t="s">
        <v>6</v>
      </c>
      <c r="H10" t="s">
        <v>5</v>
      </c>
      <c r="I10" t="s">
        <v>3950</v>
      </c>
      <c r="J10">
        <v>60026134</v>
      </c>
      <c r="K10" t="s">
        <v>3949</v>
      </c>
      <c r="L10" t="s">
        <v>3948</v>
      </c>
      <c r="M10" t="s">
        <v>19</v>
      </c>
      <c r="N10">
        <v>3</v>
      </c>
      <c r="O10" t="s">
        <v>3947</v>
      </c>
      <c r="P10" t="s">
        <v>3946</v>
      </c>
      <c r="Q10" t="s">
        <v>3945</v>
      </c>
      <c r="R10" s="8">
        <v>35040</v>
      </c>
      <c r="S10" s="9">
        <f t="shared" si="0"/>
        <v>1995</v>
      </c>
      <c r="T10" s="9">
        <v>1995</v>
      </c>
      <c r="U10" s="9">
        <f t="shared" si="1"/>
        <v>27</v>
      </c>
      <c r="V10" s="8">
        <v>35040</v>
      </c>
      <c r="W10" t="s">
        <v>390</v>
      </c>
      <c r="X10" s="2">
        <v>0.375</v>
      </c>
      <c r="Y10" s="7">
        <f t="shared" si="2"/>
        <v>1.0010410827260351E-2</v>
      </c>
      <c r="AA10">
        <v>135194</v>
      </c>
      <c r="AB10">
        <v>24918</v>
      </c>
      <c r="AD10" t="s">
        <v>3</v>
      </c>
      <c r="AE10">
        <v>31</v>
      </c>
      <c r="AF10">
        <v>25</v>
      </c>
      <c r="AH10" t="s">
        <v>3944</v>
      </c>
      <c r="AI10" t="s">
        <v>3943</v>
      </c>
      <c r="AJ10" t="s">
        <v>3942</v>
      </c>
      <c r="AK10" t="s">
        <v>3941</v>
      </c>
      <c r="AL10">
        <v>5</v>
      </c>
      <c r="AM10" s="5">
        <f t="shared" si="3"/>
        <v>0.18518518518518517</v>
      </c>
      <c r="AN10" s="4">
        <f t="shared" si="4"/>
        <v>2.804773724879745E-4</v>
      </c>
      <c r="AO10" s="3"/>
      <c r="AP10">
        <v>0</v>
      </c>
      <c r="AR10" t="s">
        <v>1</v>
      </c>
      <c r="AT10" s="2">
        <v>1.3140000000000001</v>
      </c>
      <c r="AU10" s="1">
        <f t="shared" si="5"/>
        <v>0.70914307908286378</v>
      </c>
      <c r="AV10" s="1">
        <f t="shared" si="6"/>
        <v>0.51454440998741624</v>
      </c>
      <c r="AW10" s="1">
        <f t="shared" si="7"/>
        <v>0.31994574089196876</v>
      </c>
    </row>
    <row r="11" spans="1:49" x14ac:dyDescent="0.2">
      <c r="A11">
        <v>9</v>
      </c>
      <c r="B11" t="s">
        <v>3940</v>
      </c>
      <c r="C11" t="s">
        <v>374</v>
      </c>
      <c r="F11" t="s">
        <v>3935</v>
      </c>
      <c r="G11" t="s">
        <v>6</v>
      </c>
      <c r="H11" t="s">
        <v>5</v>
      </c>
      <c r="I11" t="s">
        <v>3934</v>
      </c>
      <c r="J11">
        <v>60014652</v>
      </c>
      <c r="K11" t="s">
        <v>314</v>
      </c>
      <c r="L11" t="s">
        <v>313</v>
      </c>
      <c r="M11" t="s">
        <v>14</v>
      </c>
      <c r="N11">
        <v>2</v>
      </c>
      <c r="O11" t="s">
        <v>3933</v>
      </c>
      <c r="P11" t="s">
        <v>3932</v>
      </c>
      <c r="Q11" t="s">
        <v>312</v>
      </c>
      <c r="R11" s="8">
        <v>35034</v>
      </c>
      <c r="S11" s="9">
        <f t="shared" si="0"/>
        <v>1995</v>
      </c>
      <c r="T11" s="9">
        <v>1995</v>
      </c>
      <c r="U11" s="9">
        <f t="shared" si="1"/>
        <v>27</v>
      </c>
      <c r="V11" s="8">
        <v>1995</v>
      </c>
      <c r="W11" t="s">
        <v>369</v>
      </c>
      <c r="X11" s="2">
        <v>0.27800000000000002</v>
      </c>
      <c r="Y11" s="7">
        <f t="shared" si="2"/>
        <v>7.4210512266090073E-3</v>
      </c>
      <c r="AA11" t="s">
        <v>368</v>
      </c>
      <c r="AB11">
        <v>21402</v>
      </c>
      <c r="AD11" t="s">
        <v>3</v>
      </c>
      <c r="AE11">
        <v>68</v>
      </c>
      <c r="AF11">
        <v>6</v>
      </c>
      <c r="AH11" t="s">
        <v>373</v>
      </c>
      <c r="AI11" t="s">
        <v>3939</v>
      </c>
      <c r="AK11" t="s">
        <v>3938</v>
      </c>
      <c r="AL11">
        <v>1</v>
      </c>
      <c r="AM11" s="5">
        <f t="shared" si="3"/>
        <v>3.7037037037037035E-2</v>
      </c>
      <c r="AN11" s="4">
        <f t="shared" si="4"/>
        <v>5.6095474497594906E-5</v>
      </c>
      <c r="AO11" s="3"/>
      <c r="AP11">
        <v>0</v>
      </c>
      <c r="AR11" t="s">
        <v>1</v>
      </c>
      <c r="AT11" s="2">
        <v>0.52900000000000003</v>
      </c>
      <c r="AU11" s="1">
        <f t="shared" si="5"/>
        <v>0.52115645009755829</v>
      </c>
      <c r="AV11" s="1">
        <f t="shared" si="6"/>
        <v>0.37385733505533009</v>
      </c>
      <c r="AW11" s="1">
        <f t="shared" si="7"/>
        <v>0.22655822001310186</v>
      </c>
    </row>
    <row r="12" spans="1:49" x14ac:dyDescent="0.2">
      <c r="A12">
        <v>10</v>
      </c>
      <c r="B12" t="s">
        <v>3937</v>
      </c>
      <c r="C12" t="s">
        <v>3936</v>
      </c>
      <c r="F12" t="s">
        <v>3935</v>
      </c>
      <c r="G12" t="s">
        <v>6</v>
      </c>
      <c r="H12" t="s">
        <v>5</v>
      </c>
      <c r="I12" t="s">
        <v>3934</v>
      </c>
      <c r="J12">
        <v>60014652</v>
      </c>
      <c r="K12" t="s">
        <v>314</v>
      </c>
      <c r="L12" t="s">
        <v>313</v>
      </c>
      <c r="M12" t="s">
        <v>14</v>
      </c>
      <c r="N12">
        <v>2</v>
      </c>
      <c r="O12" t="s">
        <v>3933</v>
      </c>
      <c r="P12" t="s">
        <v>3932</v>
      </c>
      <c r="Q12" t="s">
        <v>312</v>
      </c>
      <c r="R12" s="8">
        <v>35034</v>
      </c>
      <c r="S12" s="9">
        <f t="shared" si="0"/>
        <v>1995</v>
      </c>
      <c r="T12" s="9">
        <v>1995</v>
      </c>
      <c r="U12" s="9">
        <f t="shared" si="1"/>
        <v>27</v>
      </c>
      <c r="V12" s="8">
        <v>1995</v>
      </c>
      <c r="W12" t="s">
        <v>369</v>
      </c>
      <c r="X12" s="2">
        <v>0.27800000000000002</v>
      </c>
      <c r="Y12" s="7">
        <f t="shared" si="2"/>
        <v>7.4210512266090073E-3</v>
      </c>
      <c r="AA12" t="s">
        <v>368</v>
      </c>
      <c r="AB12">
        <v>21402</v>
      </c>
      <c r="AD12" t="s">
        <v>3</v>
      </c>
      <c r="AE12">
        <v>68</v>
      </c>
      <c r="AF12">
        <v>8</v>
      </c>
      <c r="AH12" t="s">
        <v>373</v>
      </c>
      <c r="AI12" t="s">
        <v>3931</v>
      </c>
      <c r="AK12" t="s">
        <v>3930</v>
      </c>
      <c r="AL12">
        <v>6</v>
      </c>
      <c r="AM12" s="5">
        <f t="shared" si="3"/>
        <v>0.22222222222222221</v>
      </c>
      <c r="AN12" s="4">
        <f t="shared" si="4"/>
        <v>3.365728469855694E-4</v>
      </c>
      <c r="AO12" s="3"/>
      <c r="AP12">
        <v>0</v>
      </c>
      <c r="AR12" t="s">
        <v>1</v>
      </c>
      <c r="AT12" s="2">
        <v>0.52900000000000003</v>
      </c>
      <c r="AU12" s="1">
        <f t="shared" si="5"/>
        <v>0.52957077127219754</v>
      </c>
      <c r="AV12" s="1">
        <f t="shared" si="6"/>
        <v>0.38788120367972884</v>
      </c>
      <c r="AW12" s="1">
        <f t="shared" si="7"/>
        <v>0.24619163608726008</v>
      </c>
    </row>
    <row r="13" spans="1:49" x14ac:dyDescent="0.2">
      <c r="A13">
        <v>11</v>
      </c>
      <c r="B13" t="s">
        <v>3929</v>
      </c>
      <c r="F13" t="s">
        <v>3928</v>
      </c>
      <c r="G13" t="s">
        <v>6</v>
      </c>
      <c r="H13" t="s">
        <v>5</v>
      </c>
      <c r="I13" t="s">
        <v>220</v>
      </c>
      <c r="J13" t="s">
        <v>3927</v>
      </c>
      <c r="K13" t="s">
        <v>3926</v>
      </c>
      <c r="L13" t="s">
        <v>3925</v>
      </c>
      <c r="M13" t="s">
        <v>3924</v>
      </c>
      <c r="N13">
        <v>3</v>
      </c>
      <c r="O13" t="s">
        <v>3923</v>
      </c>
      <c r="P13" t="s">
        <v>3922</v>
      </c>
      <c r="Q13" t="s">
        <v>3921</v>
      </c>
      <c r="R13" s="8">
        <v>35034</v>
      </c>
      <c r="S13" s="9">
        <f t="shared" si="0"/>
        <v>1995</v>
      </c>
      <c r="T13" s="9">
        <v>1995</v>
      </c>
      <c r="U13" s="9">
        <f t="shared" si="1"/>
        <v>27</v>
      </c>
      <c r="V13" s="8">
        <v>1995</v>
      </c>
      <c r="W13" t="s">
        <v>3920</v>
      </c>
      <c r="X13" s="2">
        <v>0.30099999999999999</v>
      </c>
      <c r="Y13" s="7">
        <f t="shared" si="2"/>
        <v>8.0350230906809754E-3</v>
      </c>
      <c r="AA13">
        <v>10044132</v>
      </c>
      <c r="AB13">
        <v>58655</v>
      </c>
      <c r="AD13" t="s">
        <v>3</v>
      </c>
      <c r="AE13">
        <v>6</v>
      </c>
      <c r="AF13">
        <v>1</v>
      </c>
      <c r="AH13" t="s">
        <v>3919</v>
      </c>
      <c r="AI13" t="s">
        <v>3918</v>
      </c>
      <c r="AJ13" t="s">
        <v>3917</v>
      </c>
      <c r="AK13" t="s">
        <v>3916</v>
      </c>
      <c r="AL13">
        <v>2</v>
      </c>
      <c r="AM13" s="5">
        <f t="shared" si="3"/>
        <v>7.407407407407407E-2</v>
      </c>
      <c r="AN13" s="4">
        <f t="shared" si="4"/>
        <v>1.1219094899518981E-4</v>
      </c>
      <c r="AO13" s="3"/>
      <c r="AP13">
        <v>0</v>
      </c>
      <c r="AR13" t="s">
        <v>1</v>
      </c>
      <c r="AT13" s="2">
        <v>1.1859999999999999</v>
      </c>
      <c r="AU13" s="1">
        <f t="shared" si="5"/>
        <v>0.56581734481752388</v>
      </c>
      <c r="AV13" s="1">
        <f t="shared" si="6"/>
        <v>0.40736070198380825</v>
      </c>
      <c r="AW13" s="1">
        <f t="shared" si="7"/>
        <v>0.24890405915009256</v>
      </c>
    </row>
    <row r="14" spans="1:49" x14ac:dyDescent="0.2">
      <c r="A14">
        <v>12</v>
      </c>
      <c r="B14" t="s">
        <v>3915</v>
      </c>
      <c r="C14" t="s">
        <v>3914</v>
      </c>
      <c r="F14" t="s">
        <v>3913</v>
      </c>
      <c r="G14" t="s">
        <v>6</v>
      </c>
      <c r="H14" t="s">
        <v>5</v>
      </c>
      <c r="I14" t="s">
        <v>3912</v>
      </c>
      <c r="J14">
        <v>60030318</v>
      </c>
      <c r="K14" t="s">
        <v>32</v>
      </c>
      <c r="L14" t="s">
        <v>31</v>
      </c>
      <c r="M14" t="s">
        <v>30</v>
      </c>
      <c r="N14">
        <v>9</v>
      </c>
      <c r="O14" t="s">
        <v>3911</v>
      </c>
      <c r="P14" t="s">
        <v>3910</v>
      </c>
      <c r="Q14" t="s">
        <v>3909</v>
      </c>
      <c r="R14" s="8">
        <v>35034</v>
      </c>
      <c r="S14" s="9">
        <f t="shared" si="0"/>
        <v>1995</v>
      </c>
      <c r="T14" s="9">
        <v>1995</v>
      </c>
      <c r="U14" s="9">
        <f t="shared" si="1"/>
        <v>27</v>
      </c>
      <c r="V14" s="8">
        <v>1995</v>
      </c>
      <c r="W14" t="s">
        <v>2708</v>
      </c>
      <c r="X14" s="2">
        <v>0.60499999999999998</v>
      </c>
      <c r="Y14" s="7">
        <f t="shared" si="2"/>
        <v>1.6150129467980032E-2</v>
      </c>
      <c r="AA14">
        <v>346748</v>
      </c>
      <c r="AB14">
        <v>15563</v>
      </c>
      <c r="AD14" t="s">
        <v>3</v>
      </c>
      <c r="AE14">
        <v>66</v>
      </c>
      <c r="AF14">
        <v>4</v>
      </c>
      <c r="AH14" t="s">
        <v>3908</v>
      </c>
      <c r="AI14" t="s">
        <v>3907</v>
      </c>
      <c r="AK14" t="s">
        <v>3906</v>
      </c>
      <c r="AL14">
        <v>4</v>
      </c>
      <c r="AM14" s="5">
        <f t="shared" si="3"/>
        <v>0.14814814814814814</v>
      </c>
      <c r="AN14" s="4">
        <f t="shared" si="4"/>
        <v>2.2438189799037963E-4</v>
      </c>
      <c r="AO14" s="3"/>
      <c r="AP14">
        <v>0</v>
      </c>
      <c r="AR14" t="s">
        <v>1</v>
      </c>
      <c r="AT14" s="2">
        <v>1.5229999999999999</v>
      </c>
      <c r="AU14" s="1">
        <f t="shared" si="5"/>
        <v>1.1372405196983135</v>
      </c>
      <c r="AV14" s="1">
        <f t="shared" si="6"/>
        <v>0.81872556829852061</v>
      </c>
      <c r="AW14" s="1">
        <f t="shared" si="7"/>
        <v>0.50021061689872759</v>
      </c>
    </row>
    <row r="15" spans="1:49" x14ac:dyDescent="0.2">
      <c r="A15">
        <v>13</v>
      </c>
      <c r="B15" t="s">
        <v>3905</v>
      </c>
      <c r="C15" t="s">
        <v>3904</v>
      </c>
      <c r="F15" t="s">
        <v>3903</v>
      </c>
      <c r="G15" t="s">
        <v>6</v>
      </c>
      <c r="H15" t="s">
        <v>5</v>
      </c>
      <c r="I15" t="s">
        <v>456</v>
      </c>
      <c r="J15" t="s">
        <v>3902</v>
      </c>
      <c r="K15" t="s">
        <v>3901</v>
      </c>
      <c r="L15" t="s">
        <v>3900</v>
      </c>
      <c r="M15" t="s">
        <v>75</v>
      </c>
      <c r="N15">
        <v>1</v>
      </c>
      <c r="O15" t="s">
        <v>3899</v>
      </c>
      <c r="P15">
        <v>7003386560</v>
      </c>
      <c r="Q15" t="s">
        <v>3898</v>
      </c>
      <c r="R15" s="8">
        <v>35034</v>
      </c>
      <c r="S15" s="9">
        <f t="shared" si="0"/>
        <v>1995</v>
      </c>
      <c r="T15" s="9">
        <v>1995</v>
      </c>
      <c r="U15" s="9">
        <f t="shared" si="1"/>
        <v>27</v>
      </c>
      <c r="V15" s="8">
        <v>35034</v>
      </c>
      <c r="W15" t="s">
        <v>3897</v>
      </c>
      <c r="X15" s="2" t="s">
        <v>7</v>
      </c>
      <c r="Y15" s="7" t="e">
        <f t="shared" si="2"/>
        <v>#VALUE!</v>
      </c>
      <c r="AA15">
        <v>3707377</v>
      </c>
      <c r="AB15">
        <v>12100157201</v>
      </c>
      <c r="AD15" t="s">
        <v>3</v>
      </c>
      <c r="AE15">
        <v>65</v>
      </c>
      <c r="AF15">
        <v>1</v>
      </c>
      <c r="AH15" t="s">
        <v>3896</v>
      </c>
      <c r="AI15" t="s">
        <v>3895</v>
      </c>
      <c r="AK15" t="s">
        <v>3894</v>
      </c>
      <c r="AL15">
        <v>0</v>
      </c>
      <c r="AM15" s="5">
        <f t="shared" si="3"/>
        <v>0</v>
      </c>
      <c r="AN15" s="4">
        <f t="shared" si="4"/>
        <v>0</v>
      </c>
      <c r="AO15" s="3"/>
      <c r="AP15">
        <v>0</v>
      </c>
      <c r="AR15" t="s">
        <v>1</v>
      </c>
      <c r="AT15" s="2" t="s">
        <v>7</v>
      </c>
      <c r="AU15" s="1" t="e">
        <f t="shared" si="5"/>
        <v>#VALUE!</v>
      </c>
      <c r="AV15" s="1" t="e">
        <f t="shared" si="6"/>
        <v>#VALUE!</v>
      </c>
      <c r="AW15" s="1" t="e">
        <f t="shared" si="7"/>
        <v>#VALUE!</v>
      </c>
    </row>
    <row r="16" spans="1:49" x14ac:dyDescent="0.2">
      <c r="A16">
        <v>14</v>
      </c>
      <c r="B16" t="s">
        <v>3893</v>
      </c>
      <c r="C16" t="s">
        <v>3892</v>
      </c>
      <c r="F16" t="s">
        <v>3891</v>
      </c>
      <c r="G16" t="s">
        <v>6</v>
      </c>
      <c r="H16" t="s">
        <v>5</v>
      </c>
      <c r="I16" t="s">
        <v>3890</v>
      </c>
      <c r="J16">
        <v>60022717</v>
      </c>
      <c r="K16" t="s">
        <v>3889</v>
      </c>
      <c r="L16" t="s">
        <v>113</v>
      </c>
      <c r="M16" t="s">
        <v>4</v>
      </c>
      <c r="N16">
        <v>4</v>
      </c>
      <c r="O16" t="s">
        <v>3888</v>
      </c>
      <c r="P16" t="s">
        <v>3887</v>
      </c>
      <c r="Q16" t="s">
        <v>3886</v>
      </c>
      <c r="R16" s="8">
        <v>35034</v>
      </c>
      <c r="S16" s="9">
        <f t="shared" si="0"/>
        <v>1995</v>
      </c>
      <c r="T16" s="9">
        <v>1995</v>
      </c>
      <c r="U16" s="9">
        <f t="shared" si="1"/>
        <v>27</v>
      </c>
      <c r="V16" s="8">
        <v>1995</v>
      </c>
      <c r="W16" t="s">
        <v>2708</v>
      </c>
      <c r="X16" s="2">
        <v>0.60499999999999998</v>
      </c>
      <c r="Y16" s="7">
        <f t="shared" si="2"/>
        <v>1.6150129467980032E-2</v>
      </c>
      <c r="AA16">
        <v>346748</v>
      </c>
      <c r="AB16">
        <v>15563</v>
      </c>
      <c r="AD16" t="s">
        <v>3</v>
      </c>
      <c r="AE16">
        <v>66</v>
      </c>
      <c r="AF16">
        <v>1</v>
      </c>
      <c r="AH16" t="s">
        <v>3885</v>
      </c>
      <c r="AI16" t="s">
        <v>3884</v>
      </c>
      <c r="AK16" t="s">
        <v>3883</v>
      </c>
      <c r="AL16">
        <v>1</v>
      </c>
      <c r="AM16" s="5">
        <f t="shared" si="3"/>
        <v>3.7037037037037035E-2</v>
      </c>
      <c r="AN16" s="4">
        <f t="shared" si="4"/>
        <v>5.6095474497594906E-5</v>
      </c>
      <c r="AO16" s="3"/>
      <c r="AP16">
        <v>0</v>
      </c>
      <c r="AR16" t="s">
        <v>1</v>
      </c>
      <c r="AT16" s="2">
        <v>1.5229999999999999</v>
      </c>
      <c r="AU16" s="1">
        <f t="shared" si="5"/>
        <v>1.1321919269935299</v>
      </c>
      <c r="AV16" s="1">
        <f t="shared" si="6"/>
        <v>0.81031124712388147</v>
      </c>
      <c r="AW16" s="1">
        <f t="shared" si="7"/>
        <v>0.48843056725423262</v>
      </c>
    </row>
    <row r="17" spans="1:49" x14ac:dyDescent="0.2">
      <c r="A17">
        <v>15</v>
      </c>
      <c r="B17" t="s">
        <v>3882</v>
      </c>
      <c r="F17" t="s">
        <v>3881</v>
      </c>
      <c r="G17" t="s">
        <v>6</v>
      </c>
      <c r="H17" t="s">
        <v>5</v>
      </c>
      <c r="I17" t="s">
        <v>3880</v>
      </c>
      <c r="J17">
        <v>60007903</v>
      </c>
      <c r="K17" t="s">
        <v>3879</v>
      </c>
      <c r="L17" t="s">
        <v>3878</v>
      </c>
      <c r="M17" t="s">
        <v>144</v>
      </c>
      <c r="N17">
        <v>2</v>
      </c>
      <c r="O17" t="s">
        <v>3877</v>
      </c>
      <c r="P17" t="s">
        <v>3876</v>
      </c>
      <c r="Q17" t="s">
        <v>3875</v>
      </c>
      <c r="R17" s="8">
        <v>35034</v>
      </c>
      <c r="S17" s="9">
        <f t="shared" si="0"/>
        <v>1995</v>
      </c>
      <c r="T17" s="9">
        <v>1995</v>
      </c>
      <c r="U17" s="9">
        <f t="shared" si="1"/>
        <v>27</v>
      </c>
      <c r="V17" s="8">
        <v>1995</v>
      </c>
      <c r="W17" t="s">
        <v>21</v>
      </c>
      <c r="X17" s="2">
        <v>1.1819999999999999</v>
      </c>
      <c r="Y17" s="7">
        <f t="shared" si="2"/>
        <v>3.1552814927524625E-2</v>
      </c>
      <c r="AA17">
        <v>36951</v>
      </c>
      <c r="AB17">
        <v>27030</v>
      </c>
      <c r="AD17" t="s">
        <v>3</v>
      </c>
      <c r="AH17">
        <v>1579</v>
      </c>
      <c r="AI17" t="s">
        <v>3874</v>
      </c>
      <c r="AK17" t="s">
        <v>3873</v>
      </c>
      <c r="AL17">
        <v>10</v>
      </c>
      <c r="AM17" s="5">
        <f t="shared" si="3"/>
        <v>0.37037037037037035</v>
      </c>
      <c r="AN17" s="4">
        <f t="shared" si="4"/>
        <v>5.60954744975949E-4</v>
      </c>
      <c r="AO17" s="3"/>
      <c r="AP17">
        <v>0</v>
      </c>
      <c r="AR17" t="s">
        <v>1</v>
      </c>
      <c r="AT17" s="2">
        <v>3.7909999999999999</v>
      </c>
      <c r="AU17" s="1">
        <f t="shared" si="5"/>
        <v>2.2255256872760021</v>
      </c>
      <c r="AV17" s="1">
        <f t="shared" si="6"/>
        <v>1.6056884836250289</v>
      </c>
      <c r="AW17" s="1">
        <f t="shared" si="7"/>
        <v>0.98585127997405508</v>
      </c>
    </row>
    <row r="18" spans="1:49" x14ac:dyDescent="0.2">
      <c r="A18">
        <v>16</v>
      </c>
      <c r="B18" t="s">
        <v>3872</v>
      </c>
      <c r="C18" t="s">
        <v>3871</v>
      </c>
      <c r="F18" t="s">
        <v>3870</v>
      </c>
      <c r="G18" t="s">
        <v>6</v>
      </c>
      <c r="H18" t="s">
        <v>5</v>
      </c>
      <c r="I18" t="s">
        <v>223</v>
      </c>
      <c r="J18" t="s">
        <v>3869</v>
      </c>
      <c r="K18" t="s">
        <v>3868</v>
      </c>
      <c r="L18" t="s">
        <v>3867</v>
      </c>
      <c r="M18" t="s">
        <v>3866</v>
      </c>
      <c r="N18">
        <v>4</v>
      </c>
      <c r="O18" t="s">
        <v>3865</v>
      </c>
      <c r="P18" t="s">
        <v>3864</v>
      </c>
      <c r="Q18" t="s">
        <v>3863</v>
      </c>
      <c r="R18" s="8">
        <v>35034</v>
      </c>
      <c r="S18" s="9">
        <f t="shared" si="0"/>
        <v>1995</v>
      </c>
      <c r="T18" s="9">
        <v>1995</v>
      </c>
      <c r="U18" s="9">
        <f t="shared" si="1"/>
        <v>27</v>
      </c>
      <c r="V18" s="8">
        <v>1995</v>
      </c>
      <c r="W18" t="s">
        <v>21</v>
      </c>
      <c r="X18" s="2">
        <v>1.1819999999999999</v>
      </c>
      <c r="Y18" s="7">
        <f t="shared" si="2"/>
        <v>3.1552814927524625E-2</v>
      </c>
      <c r="AA18">
        <v>36951</v>
      </c>
      <c r="AB18">
        <v>27030</v>
      </c>
      <c r="AD18" t="s">
        <v>3</v>
      </c>
      <c r="AH18">
        <v>2285</v>
      </c>
      <c r="AI18" t="s">
        <v>3862</v>
      </c>
      <c r="AK18" t="s">
        <v>3861</v>
      </c>
      <c r="AL18">
        <v>4</v>
      </c>
      <c r="AM18" s="5">
        <f t="shared" si="3"/>
        <v>0.14814814814814814</v>
      </c>
      <c r="AN18" s="4">
        <f t="shared" si="4"/>
        <v>2.2438189799037963E-4</v>
      </c>
      <c r="AO18" s="3"/>
      <c r="AP18">
        <v>0</v>
      </c>
      <c r="AR18" t="s">
        <v>1</v>
      </c>
      <c r="AT18" s="2">
        <v>3.7909999999999999</v>
      </c>
      <c r="AU18" s="1">
        <f t="shared" si="5"/>
        <v>2.2154285018664353</v>
      </c>
      <c r="AV18" s="1">
        <f t="shared" si="6"/>
        <v>1.5888598412757502</v>
      </c>
      <c r="AW18" s="1">
        <f t="shared" si="7"/>
        <v>0.96229118068506536</v>
      </c>
    </row>
    <row r="19" spans="1:49" x14ac:dyDescent="0.2">
      <c r="A19">
        <v>17</v>
      </c>
      <c r="B19" t="s">
        <v>3860</v>
      </c>
      <c r="C19" t="s">
        <v>3859</v>
      </c>
      <c r="F19" t="s">
        <v>3858</v>
      </c>
      <c r="G19" t="s">
        <v>6</v>
      </c>
      <c r="H19" t="s">
        <v>5</v>
      </c>
      <c r="I19" t="s">
        <v>352</v>
      </c>
      <c r="J19">
        <v>60022195</v>
      </c>
      <c r="K19" t="s">
        <v>114</v>
      </c>
      <c r="L19" t="s">
        <v>113</v>
      </c>
      <c r="M19" t="s">
        <v>4</v>
      </c>
      <c r="N19">
        <v>2</v>
      </c>
      <c r="O19" t="s">
        <v>3857</v>
      </c>
      <c r="P19" t="s">
        <v>3856</v>
      </c>
      <c r="Q19" t="s">
        <v>3855</v>
      </c>
      <c r="R19" s="8">
        <v>35034</v>
      </c>
      <c r="S19" s="9">
        <f t="shared" si="0"/>
        <v>1995</v>
      </c>
      <c r="T19" s="9">
        <v>1995</v>
      </c>
      <c r="U19" s="9">
        <f t="shared" si="1"/>
        <v>27</v>
      </c>
      <c r="V19" s="8">
        <v>1995</v>
      </c>
      <c r="W19" t="s">
        <v>21</v>
      </c>
      <c r="X19" s="2">
        <v>1.1819999999999999</v>
      </c>
      <c r="Y19" s="7">
        <f t="shared" si="2"/>
        <v>3.1552814927524625E-2</v>
      </c>
      <c r="AA19">
        <v>36951</v>
      </c>
      <c r="AB19">
        <v>27030</v>
      </c>
      <c r="AD19" t="s">
        <v>3</v>
      </c>
      <c r="AH19">
        <v>1300</v>
      </c>
      <c r="AI19" t="s">
        <v>3854</v>
      </c>
      <c r="AK19" t="s">
        <v>3853</v>
      </c>
      <c r="AL19">
        <v>14</v>
      </c>
      <c r="AM19" s="5">
        <f t="shared" si="3"/>
        <v>0.51851851851851849</v>
      </c>
      <c r="AN19" s="4">
        <f t="shared" si="4"/>
        <v>7.853366429663287E-4</v>
      </c>
      <c r="AO19" s="3"/>
      <c r="AP19">
        <v>0</v>
      </c>
      <c r="AR19" t="s">
        <v>1</v>
      </c>
      <c r="AT19" s="2">
        <v>3.7909999999999999</v>
      </c>
      <c r="AU19" s="1">
        <f t="shared" si="5"/>
        <v>2.2322571442157133</v>
      </c>
      <c r="AV19" s="1">
        <f t="shared" si="6"/>
        <v>1.6169075785245477</v>
      </c>
      <c r="AW19" s="1">
        <f t="shared" si="7"/>
        <v>1.0015580128333816</v>
      </c>
    </row>
    <row r="20" spans="1:49" x14ac:dyDescent="0.2">
      <c r="A20">
        <v>18</v>
      </c>
      <c r="B20" t="s">
        <v>3852</v>
      </c>
      <c r="F20" t="s">
        <v>3851</v>
      </c>
      <c r="G20" t="s">
        <v>6</v>
      </c>
      <c r="H20" t="s">
        <v>5</v>
      </c>
      <c r="I20" t="s">
        <v>103</v>
      </c>
      <c r="J20">
        <v>60025534</v>
      </c>
      <c r="K20" t="s">
        <v>2860</v>
      </c>
      <c r="L20" t="s">
        <v>2859</v>
      </c>
      <c r="M20" t="s">
        <v>4</v>
      </c>
      <c r="N20">
        <v>2</v>
      </c>
      <c r="O20" t="s">
        <v>3330</v>
      </c>
      <c r="P20" t="s">
        <v>3329</v>
      </c>
      <c r="Q20" t="s">
        <v>3328</v>
      </c>
      <c r="R20" s="8">
        <v>35034</v>
      </c>
      <c r="S20" s="9">
        <f t="shared" si="0"/>
        <v>1995</v>
      </c>
      <c r="T20" s="9">
        <v>1995</v>
      </c>
      <c r="U20" s="9">
        <f t="shared" si="1"/>
        <v>27</v>
      </c>
      <c r="V20" s="8">
        <v>1995</v>
      </c>
      <c r="W20" t="s">
        <v>21</v>
      </c>
      <c r="X20" s="2">
        <v>1.1819999999999999</v>
      </c>
      <c r="Y20" s="7">
        <f t="shared" si="2"/>
        <v>3.1552814927524625E-2</v>
      </c>
      <c r="AA20">
        <v>36951</v>
      </c>
      <c r="AB20">
        <v>27030</v>
      </c>
      <c r="AD20" t="s">
        <v>3</v>
      </c>
      <c r="AH20">
        <v>1604</v>
      </c>
      <c r="AI20" t="s">
        <v>3850</v>
      </c>
      <c r="AK20" t="s">
        <v>3849</v>
      </c>
      <c r="AL20">
        <v>83</v>
      </c>
      <c r="AM20" s="5">
        <f t="shared" si="3"/>
        <v>3.074074074074074</v>
      </c>
      <c r="AN20" s="4">
        <f t="shared" si="4"/>
        <v>4.6559243833003772E-3</v>
      </c>
      <c r="AO20" s="3"/>
      <c r="AP20">
        <v>0</v>
      </c>
      <c r="AR20" t="s">
        <v>1</v>
      </c>
      <c r="AT20" s="2">
        <v>3.7909999999999999</v>
      </c>
      <c r="AU20" s="1">
        <f t="shared" si="5"/>
        <v>2.3483747764257346</v>
      </c>
      <c r="AV20" s="1">
        <f t="shared" si="6"/>
        <v>1.81043696554125</v>
      </c>
      <c r="AW20" s="1">
        <f t="shared" si="7"/>
        <v>1.2724991546567652</v>
      </c>
    </row>
    <row r="21" spans="1:49" x14ac:dyDescent="0.2">
      <c r="A21">
        <v>19</v>
      </c>
      <c r="B21" t="s">
        <v>3848</v>
      </c>
      <c r="C21" t="s">
        <v>3847</v>
      </c>
      <c r="F21" t="s">
        <v>3846</v>
      </c>
      <c r="G21" t="s">
        <v>6</v>
      </c>
      <c r="H21" t="s">
        <v>5</v>
      </c>
      <c r="I21" t="s">
        <v>3845</v>
      </c>
      <c r="J21" t="s">
        <v>3844</v>
      </c>
      <c r="K21" t="s">
        <v>3843</v>
      </c>
      <c r="L21" t="s">
        <v>3842</v>
      </c>
      <c r="M21" t="s">
        <v>167</v>
      </c>
      <c r="N21">
        <v>6</v>
      </c>
      <c r="O21" t="s">
        <v>3841</v>
      </c>
      <c r="P21" t="s">
        <v>3840</v>
      </c>
      <c r="Q21" t="s">
        <v>3839</v>
      </c>
      <c r="R21" s="8">
        <v>35034</v>
      </c>
      <c r="S21" s="9">
        <f t="shared" si="0"/>
        <v>1995</v>
      </c>
      <c r="T21" s="9">
        <v>1995</v>
      </c>
      <c r="U21" s="9">
        <f t="shared" si="1"/>
        <v>27</v>
      </c>
      <c r="V21" s="8">
        <v>1995</v>
      </c>
      <c r="W21" t="s">
        <v>21</v>
      </c>
      <c r="X21" s="2">
        <v>1.1819999999999999</v>
      </c>
      <c r="Y21" s="7">
        <f t="shared" si="2"/>
        <v>3.1552814927524625E-2</v>
      </c>
      <c r="AA21">
        <v>36951</v>
      </c>
      <c r="AB21">
        <v>27030</v>
      </c>
      <c r="AD21" t="s">
        <v>3</v>
      </c>
      <c r="AE21">
        <v>67</v>
      </c>
      <c r="AH21">
        <v>3399</v>
      </c>
      <c r="AI21" t="s">
        <v>3838</v>
      </c>
      <c r="AK21" t="s">
        <v>3837</v>
      </c>
      <c r="AL21">
        <v>60</v>
      </c>
      <c r="AM21" s="5">
        <f t="shared" si="3"/>
        <v>2.2222222222222223</v>
      </c>
      <c r="AN21" s="4">
        <f t="shared" si="4"/>
        <v>3.3657284698556944E-3</v>
      </c>
      <c r="AO21" s="3"/>
      <c r="AP21">
        <v>0</v>
      </c>
      <c r="AR21" t="s">
        <v>1</v>
      </c>
      <c r="AT21" s="2">
        <v>3.7909999999999999</v>
      </c>
      <c r="AU21" s="1">
        <f t="shared" si="5"/>
        <v>2.3096688990223946</v>
      </c>
      <c r="AV21" s="1">
        <f t="shared" si="6"/>
        <v>1.745927169869016</v>
      </c>
      <c r="AW21" s="1">
        <f t="shared" si="7"/>
        <v>1.1821854407156374</v>
      </c>
    </row>
    <row r="22" spans="1:49" x14ac:dyDescent="0.2">
      <c r="A22">
        <v>20</v>
      </c>
      <c r="B22" t="s">
        <v>3836</v>
      </c>
      <c r="C22" t="s">
        <v>3835</v>
      </c>
      <c r="F22" t="s">
        <v>3834</v>
      </c>
      <c r="G22" t="s">
        <v>6</v>
      </c>
      <c r="H22" t="s">
        <v>5</v>
      </c>
      <c r="I22" t="s">
        <v>3833</v>
      </c>
      <c r="J22" t="s">
        <v>234</v>
      </c>
      <c r="K22" t="s">
        <v>233</v>
      </c>
      <c r="L22" t="s">
        <v>232</v>
      </c>
      <c r="M22" t="s">
        <v>231</v>
      </c>
      <c r="N22">
        <v>9</v>
      </c>
      <c r="O22" t="s">
        <v>3832</v>
      </c>
      <c r="P22" t="s">
        <v>3831</v>
      </c>
      <c r="Q22" t="s">
        <v>3830</v>
      </c>
      <c r="R22" s="8">
        <v>35034</v>
      </c>
      <c r="S22" s="9">
        <f t="shared" si="0"/>
        <v>1995</v>
      </c>
      <c r="T22" s="9">
        <v>1995</v>
      </c>
      <c r="U22" s="9">
        <f t="shared" si="1"/>
        <v>27</v>
      </c>
      <c r="V22" s="8">
        <v>1995</v>
      </c>
      <c r="W22" t="s">
        <v>21</v>
      </c>
      <c r="X22" s="2">
        <v>1.1819999999999999</v>
      </c>
      <c r="Y22" s="7">
        <f t="shared" si="2"/>
        <v>3.1552814927524625E-2</v>
      </c>
      <c r="AA22">
        <v>36951</v>
      </c>
      <c r="AB22">
        <v>27030</v>
      </c>
      <c r="AD22" t="s">
        <v>3</v>
      </c>
      <c r="AH22">
        <v>1273</v>
      </c>
      <c r="AI22" t="s">
        <v>3829</v>
      </c>
      <c r="AK22" t="s">
        <v>3828</v>
      </c>
      <c r="AL22">
        <v>12</v>
      </c>
      <c r="AM22" s="5">
        <f t="shared" si="3"/>
        <v>0.44444444444444442</v>
      </c>
      <c r="AN22" s="4">
        <f t="shared" si="4"/>
        <v>6.7314569397113879E-4</v>
      </c>
      <c r="AO22" s="3"/>
      <c r="AP22">
        <v>0</v>
      </c>
      <c r="AR22" t="s">
        <v>1</v>
      </c>
      <c r="AT22" s="2">
        <v>3.7909999999999999</v>
      </c>
      <c r="AU22" s="1">
        <f t="shared" si="5"/>
        <v>2.2288914157458577</v>
      </c>
      <c r="AV22" s="1">
        <f t="shared" si="6"/>
        <v>1.6112980310747882</v>
      </c>
      <c r="AW22" s="1">
        <f t="shared" si="7"/>
        <v>0.99370464640371847</v>
      </c>
    </row>
    <row r="23" spans="1:49" x14ac:dyDescent="0.2">
      <c r="A23">
        <v>21</v>
      </c>
      <c r="B23" t="s">
        <v>3827</v>
      </c>
      <c r="F23" t="s">
        <v>3826</v>
      </c>
      <c r="G23" t="s">
        <v>6</v>
      </c>
      <c r="H23" t="s">
        <v>5</v>
      </c>
      <c r="I23" t="s">
        <v>3825</v>
      </c>
      <c r="J23">
        <v>60022195</v>
      </c>
      <c r="K23" t="s">
        <v>114</v>
      </c>
      <c r="L23" t="s">
        <v>113</v>
      </c>
      <c r="M23" t="s">
        <v>4</v>
      </c>
      <c r="N23">
        <v>3</v>
      </c>
      <c r="O23" t="s">
        <v>3824</v>
      </c>
      <c r="P23" t="s">
        <v>3823</v>
      </c>
      <c r="Q23" t="s">
        <v>242</v>
      </c>
      <c r="R23" s="8">
        <v>35034</v>
      </c>
      <c r="S23" s="9">
        <f t="shared" si="0"/>
        <v>1995</v>
      </c>
      <c r="T23" s="9">
        <v>1995</v>
      </c>
      <c r="U23" s="9">
        <f t="shared" si="1"/>
        <v>27</v>
      </c>
      <c r="V23" s="8">
        <v>1995</v>
      </c>
      <c r="W23" t="s">
        <v>21</v>
      </c>
      <c r="X23" s="2">
        <v>1.1819999999999999</v>
      </c>
      <c r="Y23" s="7">
        <f t="shared" si="2"/>
        <v>3.1552814927524625E-2</v>
      </c>
      <c r="AA23">
        <v>36951</v>
      </c>
      <c r="AB23">
        <v>27030</v>
      </c>
      <c r="AD23" t="s">
        <v>3</v>
      </c>
      <c r="AH23">
        <v>2020</v>
      </c>
      <c r="AI23" t="s">
        <v>3822</v>
      </c>
      <c r="AK23" t="s">
        <v>3821</v>
      </c>
      <c r="AL23">
        <v>2</v>
      </c>
      <c r="AM23" s="5">
        <f t="shared" si="3"/>
        <v>7.407407407407407E-2</v>
      </c>
      <c r="AN23" s="4">
        <f t="shared" si="4"/>
        <v>1.1219094899518981E-4</v>
      </c>
      <c r="AO23" s="3"/>
      <c r="AP23">
        <v>0</v>
      </c>
      <c r="AR23" t="s">
        <v>1</v>
      </c>
      <c r="AT23" s="2">
        <v>3.7909999999999999</v>
      </c>
      <c r="AU23" s="1">
        <f t="shared" si="5"/>
        <v>2.2120627733965792</v>
      </c>
      <c r="AV23" s="1">
        <f t="shared" si="6"/>
        <v>1.5832502938259909</v>
      </c>
      <c r="AW23" s="1">
        <f t="shared" si="7"/>
        <v>0.95443781425540197</v>
      </c>
    </row>
    <row r="24" spans="1:49" x14ac:dyDescent="0.2">
      <c r="A24">
        <v>22</v>
      </c>
      <c r="B24" t="s">
        <v>3820</v>
      </c>
      <c r="C24" t="s">
        <v>3819</v>
      </c>
      <c r="F24" t="s">
        <v>3818</v>
      </c>
      <c r="G24" t="s">
        <v>6</v>
      </c>
      <c r="H24" t="s">
        <v>5</v>
      </c>
      <c r="I24" t="s">
        <v>289</v>
      </c>
      <c r="J24">
        <v>60011047</v>
      </c>
      <c r="K24" t="s">
        <v>288</v>
      </c>
      <c r="L24" t="s">
        <v>82</v>
      </c>
      <c r="M24" t="s">
        <v>14</v>
      </c>
      <c r="N24">
        <v>4</v>
      </c>
      <c r="O24" t="s">
        <v>3817</v>
      </c>
      <c r="P24" t="s">
        <v>3816</v>
      </c>
      <c r="Q24" t="s">
        <v>3815</v>
      </c>
      <c r="R24" s="8">
        <v>35034</v>
      </c>
      <c r="S24" s="9">
        <f t="shared" si="0"/>
        <v>1995</v>
      </c>
      <c r="T24" s="9">
        <v>1995</v>
      </c>
      <c r="U24" s="9">
        <f t="shared" si="1"/>
        <v>27</v>
      </c>
      <c r="V24" s="8">
        <v>1995</v>
      </c>
      <c r="W24" t="s">
        <v>2708</v>
      </c>
      <c r="X24" s="2">
        <v>0.60499999999999998</v>
      </c>
      <c r="Y24" s="7">
        <f t="shared" si="2"/>
        <v>1.6150129467980032E-2</v>
      </c>
      <c r="AA24">
        <v>346748</v>
      </c>
      <c r="AB24">
        <v>15563</v>
      </c>
      <c r="AD24" t="s">
        <v>3</v>
      </c>
      <c r="AE24">
        <v>66</v>
      </c>
      <c r="AF24">
        <v>12</v>
      </c>
      <c r="AH24" t="s">
        <v>3814</v>
      </c>
      <c r="AI24" t="s">
        <v>3813</v>
      </c>
      <c r="AK24" t="s">
        <v>3812</v>
      </c>
      <c r="AL24">
        <v>12</v>
      </c>
      <c r="AM24" s="5">
        <f t="shared" si="3"/>
        <v>0.44444444444444442</v>
      </c>
      <c r="AN24" s="4">
        <f t="shared" si="4"/>
        <v>6.7314569397113879E-4</v>
      </c>
      <c r="AO24" s="3"/>
      <c r="AP24">
        <v>0</v>
      </c>
      <c r="AR24" t="s">
        <v>1</v>
      </c>
      <c r="AT24" s="2">
        <v>1.5229999999999999</v>
      </c>
      <c r="AU24" s="1">
        <f t="shared" si="5"/>
        <v>1.1507034335777364</v>
      </c>
      <c r="AV24" s="1">
        <f t="shared" si="6"/>
        <v>0.8411637580975585</v>
      </c>
      <c r="AW24" s="1">
        <f t="shared" si="7"/>
        <v>0.5316240826173807</v>
      </c>
    </row>
    <row r="25" spans="1:49" x14ac:dyDescent="0.2">
      <c r="A25">
        <v>23</v>
      </c>
      <c r="B25" t="s">
        <v>3811</v>
      </c>
      <c r="F25" t="s">
        <v>3810</v>
      </c>
      <c r="G25" t="s">
        <v>6</v>
      </c>
      <c r="H25" t="s">
        <v>5</v>
      </c>
      <c r="I25" t="s">
        <v>3809</v>
      </c>
      <c r="J25" t="s">
        <v>237</v>
      </c>
      <c r="K25" t="s">
        <v>236</v>
      </c>
      <c r="L25" t="s">
        <v>235</v>
      </c>
      <c r="M25" t="s">
        <v>13</v>
      </c>
      <c r="N25">
        <v>5</v>
      </c>
      <c r="O25" t="s">
        <v>3808</v>
      </c>
      <c r="P25" t="s">
        <v>3807</v>
      </c>
      <c r="Q25" t="s">
        <v>3806</v>
      </c>
      <c r="R25" s="8">
        <v>35034</v>
      </c>
      <c r="S25" s="9">
        <f t="shared" si="0"/>
        <v>1995</v>
      </c>
      <c r="T25" s="9">
        <v>1995</v>
      </c>
      <c r="U25" s="9">
        <f t="shared" si="1"/>
        <v>27</v>
      </c>
      <c r="V25" s="8">
        <v>1995</v>
      </c>
      <c r="W25" t="s">
        <v>21</v>
      </c>
      <c r="X25" s="2">
        <v>1.1819999999999999</v>
      </c>
      <c r="Y25" s="7">
        <f t="shared" si="2"/>
        <v>3.1552814927524625E-2</v>
      </c>
      <c r="AA25">
        <v>36951</v>
      </c>
      <c r="AB25">
        <v>27030</v>
      </c>
      <c r="AD25" t="s">
        <v>3</v>
      </c>
      <c r="AH25">
        <v>1714</v>
      </c>
      <c r="AI25" t="s">
        <v>3805</v>
      </c>
      <c r="AK25" t="s">
        <v>3804</v>
      </c>
      <c r="AL25">
        <v>9</v>
      </c>
      <c r="AM25" s="5">
        <f t="shared" si="3"/>
        <v>0.33333333333333331</v>
      </c>
      <c r="AN25" s="4">
        <f t="shared" si="4"/>
        <v>5.048592704783541E-4</v>
      </c>
      <c r="AO25" s="3"/>
      <c r="AP25">
        <v>0</v>
      </c>
      <c r="AR25" t="s">
        <v>1</v>
      </c>
      <c r="AT25" s="2">
        <v>3.7909999999999999</v>
      </c>
      <c r="AU25" s="1">
        <f t="shared" si="5"/>
        <v>2.2238428230410738</v>
      </c>
      <c r="AV25" s="1">
        <f t="shared" si="6"/>
        <v>1.6028837099001487</v>
      </c>
      <c r="AW25" s="1">
        <f t="shared" si="7"/>
        <v>0.98192459675922361</v>
      </c>
    </row>
    <row r="26" spans="1:49" x14ac:dyDescent="0.2">
      <c r="A26">
        <v>24</v>
      </c>
      <c r="B26" t="s">
        <v>3803</v>
      </c>
      <c r="F26" t="s">
        <v>3802</v>
      </c>
      <c r="G26" t="s">
        <v>6</v>
      </c>
      <c r="H26" t="s">
        <v>5</v>
      </c>
      <c r="I26" t="s">
        <v>3801</v>
      </c>
      <c r="J26">
        <v>60011001</v>
      </c>
      <c r="K26" t="s">
        <v>207</v>
      </c>
      <c r="L26" t="s">
        <v>190</v>
      </c>
      <c r="M26" t="s">
        <v>14</v>
      </c>
      <c r="N26">
        <v>2</v>
      </c>
      <c r="O26" t="s">
        <v>3800</v>
      </c>
      <c r="P26" t="s">
        <v>3799</v>
      </c>
      <c r="Q26" t="s">
        <v>2355</v>
      </c>
      <c r="R26" s="8">
        <v>35034</v>
      </c>
      <c r="S26" s="9">
        <f t="shared" si="0"/>
        <v>1995</v>
      </c>
      <c r="T26" s="9">
        <v>1995</v>
      </c>
      <c r="U26" s="9">
        <f t="shared" si="1"/>
        <v>27</v>
      </c>
      <c r="V26" s="8">
        <v>1995</v>
      </c>
      <c r="W26" t="s">
        <v>21</v>
      </c>
      <c r="X26" s="2">
        <v>1.1819999999999999</v>
      </c>
      <c r="Y26" s="7">
        <f t="shared" si="2"/>
        <v>3.1552814927524625E-2</v>
      </c>
      <c r="AA26">
        <v>36951</v>
      </c>
      <c r="AB26">
        <v>27030</v>
      </c>
      <c r="AD26" t="s">
        <v>3</v>
      </c>
      <c r="AH26">
        <v>1476</v>
      </c>
      <c r="AI26" t="s">
        <v>3798</v>
      </c>
      <c r="AK26" t="s">
        <v>3797</v>
      </c>
      <c r="AL26">
        <v>0</v>
      </c>
      <c r="AM26" s="5">
        <f t="shared" si="3"/>
        <v>0</v>
      </c>
      <c r="AN26" s="4">
        <f t="shared" si="4"/>
        <v>0</v>
      </c>
      <c r="AO26" s="3"/>
      <c r="AP26">
        <v>0</v>
      </c>
      <c r="AR26" t="s">
        <v>1</v>
      </c>
      <c r="AT26" s="2">
        <v>3.7909999999999999</v>
      </c>
      <c r="AU26" s="1">
        <f t="shared" si="5"/>
        <v>2.2086970449267236</v>
      </c>
      <c r="AV26" s="1">
        <f t="shared" si="6"/>
        <v>1.5776407463762312</v>
      </c>
      <c r="AW26" s="1">
        <f t="shared" si="7"/>
        <v>0.94658444782573881</v>
      </c>
    </row>
    <row r="27" spans="1:49" x14ac:dyDescent="0.2">
      <c r="A27">
        <v>25</v>
      </c>
      <c r="B27" t="s">
        <v>3796</v>
      </c>
      <c r="F27" t="s">
        <v>3795</v>
      </c>
      <c r="G27" t="s">
        <v>6</v>
      </c>
      <c r="H27" t="s">
        <v>5</v>
      </c>
      <c r="I27" t="s">
        <v>3794</v>
      </c>
      <c r="J27">
        <v>60016653</v>
      </c>
      <c r="K27" t="s">
        <v>3793</v>
      </c>
      <c r="L27" t="s">
        <v>297</v>
      </c>
      <c r="M27" t="s">
        <v>9</v>
      </c>
      <c r="N27">
        <v>7</v>
      </c>
      <c r="O27" t="s">
        <v>3792</v>
      </c>
      <c r="P27" t="s">
        <v>3791</v>
      </c>
      <c r="Q27" t="s">
        <v>3790</v>
      </c>
      <c r="R27" s="8">
        <v>35034</v>
      </c>
      <c r="S27" s="9">
        <f t="shared" si="0"/>
        <v>1995</v>
      </c>
      <c r="T27" s="9">
        <v>1995</v>
      </c>
      <c r="U27" s="9">
        <f t="shared" si="1"/>
        <v>27</v>
      </c>
      <c r="V27" s="8">
        <v>1995</v>
      </c>
      <c r="W27" t="s">
        <v>21</v>
      </c>
      <c r="X27" s="2">
        <v>1.1819999999999999</v>
      </c>
      <c r="Y27" s="7">
        <f t="shared" si="2"/>
        <v>3.1552814927524625E-2</v>
      </c>
      <c r="AA27">
        <v>36951</v>
      </c>
      <c r="AB27">
        <v>27030</v>
      </c>
      <c r="AD27" t="s">
        <v>3</v>
      </c>
      <c r="AH27">
        <v>1699</v>
      </c>
      <c r="AI27" t="s">
        <v>3789</v>
      </c>
      <c r="AK27" t="s">
        <v>3788</v>
      </c>
      <c r="AL27">
        <v>4</v>
      </c>
      <c r="AM27" s="5">
        <f t="shared" si="3"/>
        <v>0.14814814814814814</v>
      </c>
      <c r="AN27" s="4">
        <f t="shared" si="4"/>
        <v>2.2438189799037963E-4</v>
      </c>
      <c r="AO27" s="3"/>
      <c r="AP27">
        <v>0</v>
      </c>
      <c r="AR27" t="s">
        <v>1</v>
      </c>
      <c r="AT27" s="2">
        <v>3.7909999999999999</v>
      </c>
      <c r="AU27" s="1">
        <f t="shared" si="5"/>
        <v>2.2154285018664353</v>
      </c>
      <c r="AV27" s="1">
        <f t="shared" si="6"/>
        <v>1.5888598412757502</v>
      </c>
      <c r="AW27" s="1">
        <f t="shared" si="7"/>
        <v>0.96229118068506536</v>
      </c>
    </row>
    <row r="28" spans="1:49" x14ac:dyDescent="0.2">
      <c r="A28">
        <v>26</v>
      </c>
      <c r="B28" t="s">
        <v>3787</v>
      </c>
      <c r="F28" t="s">
        <v>3786</v>
      </c>
      <c r="G28" t="s">
        <v>6</v>
      </c>
      <c r="H28" t="s">
        <v>5</v>
      </c>
      <c r="I28" t="s">
        <v>3785</v>
      </c>
      <c r="J28">
        <v>60022195</v>
      </c>
      <c r="K28" t="s">
        <v>114</v>
      </c>
      <c r="L28" t="s">
        <v>113</v>
      </c>
      <c r="M28" t="s">
        <v>4</v>
      </c>
      <c r="N28">
        <v>3</v>
      </c>
      <c r="O28" t="s">
        <v>3784</v>
      </c>
      <c r="P28" t="s">
        <v>3783</v>
      </c>
      <c r="Q28" t="s">
        <v>242</v>
      </c>
      <c r="R28" s="8">
        <v>35034</v>
      </c>
      <c r="S28" s="9">
        <f t="shared" si="0"/>
        <v>1995</v>
      </c>
      <c r="T28" s="9">
        <v>1995</v>
      </c>
      <c r="U28" s="9">
        <f t="shared" si="1"/>
        <v>27</v>
      </c>
      <c r="V28" s="8">
        <v>1995</v>
      </c>
      <c r="W28" t="s">
        <v>21</v>
      </c>
      <c r="X28" s="2">
        <v>1.1819999999999999</v>
      </c>
      <c r="Y28" s="7">
        <f t="shared" si="2"/>
        <v>3.1552814927524625E-2</v>
      </c>
      <c r="AA28">
        <v>36951</v>
      </c>
      <c r="AB28">
        <v>27030</v>
      </c>
      <c r="AD28" t="s">
        <v>3</v>
      </c>
      <c r="AH28">
        <v>1862</v>
      </c>
      <c r="AI28" t="s">
        <v>3782</v>
      </c>
      <c r="AK28" t="s">
        <v>3781</v>
      </c>
      <c r="AL28">
        <v>0</v>
      </c>
      <c r="AM28" s="5">
        <f t="shared" si="3"/>
        <v>0</v>
      </c>
      <c r="AN28" s="4">
        <f t="shared" si="4"/>
        <v>0</v>
      </c>
      <c r="AO28" s="3"/>
      <c r="AP28">
        <v>0</v>
      </c>
      <c r="AR28" t="s">
        <v>1</v>
      </c>
      <c r="AT28" s="2">
        <v>3.7909999999999999</v>
      </c>
      <c r="AU28" s="1">
        <f t="shared" si="5"/>
        <v>2.2086970449267236</v>
      </c>
      <c r="AV28" s="1">
        <f t="shared" si="6"/>
        <v>1.5776407463762312</v>
      </c>
      <c r="AW28" s="1">
        <f t="shared" si="7"/>
        <v>0.94658444782573881</v>
      </c>
    </row>
    <row r="29" spans="1:49" x14ac:dyDescent="0.2">
      <c r="A29">
        <v>27</v>
      </c>
      <c r="B29" t="s">
        <v>3780</v>
      </c>
      <c r="C29" t="s">
        <v>3779</v>
      </c>
      <c r="F29" t="s">
        <v>3778</v>
      </c>
      <c r="G29" t="s">
        <v>6</v>
      </c>
      <c r="H29" t="s">
        <v>5</v>
      </c>
      <c r="I29" t="s">
        <v>3777</v>
      </c>
      <c r="J29" t="s">
        <v>3776</v>
      </c>
      <c r="K29" t="s">
        <v>3775</v>
      </c>
      <c r="L29" t="s">
        <v>3774</v>
      </c>
      <c r="M29" t="s">
        <v>3773</v>
      </c>
      <c r="N29">
        <v>9</v>
      </c>
      <c r="O29" t="s">
        <v>3772</v>
      </c>
      <c r="P29" t="s">
        <v>3771</v>
      </c>
      <c r="Q29" t="s">
        <v>3770</v>
      </c>
      <c r="R29" s="8">
        <v>35034</v>
      </c>
      <c r="S29" s="9">
        <f t="shared" si="0"/>
        <v>1995</v>
      </c>
      <c r="T29" s="9">
        <v>1995</v>
      </c>
      <c r="U29" s="9">
        <f t="shared" si="1"/>
        <v>27</v>
      </c>
      <c r="V29" s="8">
        <v>1995</v>
      </c>
      <c r="W29" t="s">
        <v>2708</v>
      </c>
      <c r="X29" s="2">
        <v>0.60499999999999998</v>
      </c>
      <c r="Y29" s="7">
        <f t="shared" si="2"/>
        <v>1.6150129467980032E-2</v>
      </c>
      <c r="AA29">
        <v>346748</v>
      </c>
      <c r="AB29">
        <v>15563</v>
      </c>
      <c r="AD29" t="s">
        <v>3</v>
      </c>
      <c r="AE29">
        <v>66</v>
      </c>
      <c r="AF29">
        <v>2</v>
      </c>
      <c r="AH29" t="s">
        <v>3769</v>
      </c>
      <c r="AI29" t="s">
        <v>3768</v>
      </c>
      <c r="AK29" t="s">
        <v>3767</v>
      </c>
      <c r="AL29">
        <v>2</v>
      </c>
      <c r="AM29" s="5">
        <f t="shared" si="3"/>
        <v>7.407407407407407E-2</v>
      </c>
      <c r="AN29" s="4">
        <f t="shared" si="4"/>
        <v>1.1219094899518981E-4</v>
      </c>
      <c r="AO29" s="3"/>
      <c r="AP29">
        <v>0</v>
      </c>
      <c r="AR29" t="s">
        <v>1</v>
      </c>
      <c r="AT29" s="2">
        <v>1.5229999999999999</v>
      </c>
      <c r="AU29" s="1">
        <f t="shared" si="5"/>
        <v>1.1338747912284579</v>
      </c>
      <c r="AV29" s="1">
        <f t="shared" si="6"/>
        <v>0.81311602084876111</v>
      </c>
      <c r="AW29" s="1">
        <f t="shared" si="7"/>
        <v>0.49235725046906426</v>
      </c>
    </row>
    <row r="30" spans="1:49" x14ac:dyDescent="0.2">
      <c r="A30">
        <v>28</v>
      </c>
      <c r="B30" t="s">
        <v>3766</v>
      </c>
      <c r="C30" t="s">
        <v>3765</v>
      </c>
      <c r="F30" t="s">
        <v>3764</v>
      </c>
      <c r="G30" t="s">
        <v>6</v>
      </c>
      <c r="H30" t="s">
        <v>5</v>
      </c>
      <c r="I30" t="s">
        <v>3763</v>
      </c>
      <c r="J30">
        <v>60005465</v>
      </c>
      <c r="K30" t="s">
        <v>219</v>
      </c>
      <c r="L30" t="s">
        <v>218</v>
      </c>
      <c r="M30" t="s">
        <v>183</v>
      </c>
      <c r="N30">
        <v>3</v>
      </c>
      <c r="O30" t="s">
        <v>3762</v>
      </c>
      <c r="P30" t="s">
        <v>3761</v>
      </c>
      <c r="Q30" t="s">
        <v>401</v>
      </c>
      <c r="R30" s="8">
        <v>35034</v>
      </c>
      <c r="S30" s="9">
        <f t="shared" si="0"/>
        <v>1995</v>
      </c>
      <c r="T30" s="9">
        <v>1995</v>
      </c>
      <c r="U30" s="9">
        <f t="shared" si="1"/>
        <v>27</v>
      </c>
      <c r="V30" s="8">
        <v>1995</v>
      </c>
      <c r="W30" t="s">
        <v>3650</v>
      </c>
      <c r="X30" s="2">
        <v>0.69899999999999995</v>
      </c>
      <c r="Y30" s="7">
        <f t="shared" si="2"/>
        <v>1.8659405782013295E-2</v>
      </c>
      <c r="AA30">
        <v>218979</v>
      </c>
      <c r="AB30">
        <v>28132</v>
      </c>
      <c r="AD30" t="s">
        <v>3</v>
      </c>
      <c r="AE30">
        <v>77</v>
      </c>
      <c r="AF30">
        <v>7</v>
      </c>
      <c r="AH30" t="s">
        <v>3760</v>
      </c>
      <c r="AI30" t="s">
        <v>3759</v>
      </c>
      <c r="AK30" t="s">
        <v>3758</v>
      </c>
      <c r="AL30">
        <v>9</v>
      </c>
      <c r="AM30" s="5">
        <f t="shared" si="3"/>
        <v>0.33333333333333331</v>
      </c>
      <c r="AN30" s="4">
        <f t="shared" si="4"/>
        <v>5.048592704783541E-4</v>
      </c>
      <c r="AO30" s="3"/>
      <c r="AP30">
        <v>0</v>
      </c>
      <c r="AR30" t="s">
        <v>1</v>
      </c>
      <c r="AT30" s="2">
        <v>2.5459999999999998</v>
      </c>
      <c r="AU30" s="1">
        <f t="shared" si="5"/>
        <v>1.3213041828552812</v>
      </c>
      <c r="AV30" s="1">
        <f t="shared" si="6"/>
        <v>0.95821325262458246</v>
      </c>
      <c r="AW30" s="1">
        <f t="shared" si="7"/>
        <v>0.59512232239388352</v>
      </c>
    </row>
    <row r="31" spans="1:49" x14ac:dyDescent="0.2">
      <c r="A31">
        <v>29</v>
      </c>
      <c r="B31" t="s">
        <v>3757</v>
      </c>
      <c r="C31" t="s">
        <v>3756</v>
      </c>
      <c r="F31" t="s">
        <v>3755</v>
      </c>
      <c r="G31" t="s">
        <v>6</v>
      </c>
      <c r="H31" t="s">
        <v>5</v>
      </c>
      <c r="I31" t="s">
        <v>363</v>
      </c>
      <c r="J31">
        <v>60030318</v>
      </c>
      <c r="K31" t="s">
        <v>32</v>
      </c>
      <c r="L31" t="s">
        <v>31</v>
      </c>
      <c r="M31" t="s">
        <v>30</v>
      </c>
      <c r="N31">
        <v>3</v>
      </c>
      <c r="O31" t="s">
        <v>362</v>
      </c>
      <c r="P31" t="s">
        <v>361</v>
      </c>
      <c r="Q31" t="s">
        <v>360</v>
      </c>
      <c r="R31" s="8">
        <v>35034</v>
      </c>
      <c r="S31" s="9">
        <f t="shared" si="0"/>
        <v>1995</v>
      </c>
      <c r="T31" s="9">
        <v>1995</v>
      </c>
      <c r="U31" s="9">
        <f t="shared" si="1"/>
        <v>27</v>
      </c>
      <c r="V31" s="8">
        <v>1995</v>
      </c>
      <c r="W31" t="s">
        <v>22</v>
      </c>
      <c r="X31" s="2">
        <v>1.3280000000000001</v>
      </c>
      <c r="Y31" s="7">
        <f t="shared" si="2"/>
        <v>3.5450201542937994E-2</v>
      </c>
      <c r="AA31">
        <v>7413335</v>
      </c>
      <c r="AB31">
        <v>29251</v>
      </c>
      <c r="AD31" t="s">
        <v>3</v>
      </c>
      <c r="AE31">
        <v>37</v>
      </c>
      <c r="AF31">
        <v>7</v>
      </c>
      <c r="AG31">
        <v>6</v>
      </c>
      <c r="AH31" t="s">
        <v>3754</v>
      </c>
      <c r="AI31" t="s">
        <v>3753</v>
      </c>
      <c r="AK31" t="s">
        <v>3752</v>
      </c>
      <c r="AL31">
        <v>2</v>
      </c>
      <c r="AM31" s="5">
        <f t="shared" si="3"/>
        <v>7.407407407407407E-2</v>
      </c>
      <c r="AN31" s="4">
        <f t="shared" si="4"/>
        <v>1.1219094899518981E-4</v>
      </c>
      <c r="AO31" s="3"/>
      <c r="AP31">
        <v>0</v>
      </c>
      <c r="AR31" t="s">
        <v>1</v>
      </c>
      <c r="AT31" s="2">
        <v>2.4580000000000002</v>
      </c>
      <c r="AU31" s="1">
        <f t="shared" si="5"/>
        <v>2.4848798364755154</v>
      </c>
      <c r="AV31" s="1">
        <f t="shared" si="6"/>
        <v>1.7781196245966593</v>
      </c>
      <c r="AW31" s="1">
        <f t="shared" si="7"/>
        <v>1.071359412717803</v>
      </c>
    </row>
    <row r="32" spans="1:49" x14ac:dyDescent="0.2">
      <c r="A32">
        <v>30</v>
      </c>
      <c r="B32" t="s">
        <v>3751</v>
      </c>
      <c r="C32" t="s">
        <v>3750</v>
      </c>
      <c r="F32" t="s">
        <v>3749</v>
      </c>
      <c r="G32" t="s">
        <v>6</v>
      </c>
      <c r="H32" t="s">
        <v>5</v>
      </c>
      <c r="I32" t="s">
        <v>3748</v>
      </c>
      <c r="J32">
        <v>60009507</v>
      </c>
      <c r="K32" t="s">
        <v>132</v>
      </c>
      <c r="L32" t="s">
        <v>131</v>
      </c>
      <c r="M32" t="s">
        <v>20</v>
      </c>
      <c r="N32">
        <v>2</v>
      </c>
      <c r="O32" t="s">
        <v>3747</v>
      </c>
      <c r="P32" t="s">
        <v>3746</v>
      </c>
      <c r="Q32" t="s">
        <v>3745</v>
      </c>
      <c r="R32" s="8">
        <v>35034</v>
      </c>
      <c r="S32" s="9">
        <f t="shared" si="0"/>
        <v>1995</v>
      </c>
      <c r="T32" s="9">
        <v>1995</v>
      </c>
      <c r="U32" s="9">
        <f t="shared" si="1"/>
        <v>27</v>
      </c>
      <c r="V32" s="8">
        <v>1995</v>
      </c>
      <c r="W32" t="s">
        <v>2693</v>
      </c>
      <c r="X32" s="2">
        <v>0.9</v>
      </c>
      <c r="Y32" s="7">
        <f t="shared" si="2"/>
        <v>2.4024985985424845E-2</v>
      </c>
      <c r="AA32">
        <v>9630252</v>
      </c>
      <c r="AB32">
        <v>29614</v>
      </c>
      <c r="AD32" t="s">
        <v>3</v>
      </c>
      <c r="AE32">
        <v>4</v>
      </c>
      <c r="AF32">
        <v>3</v>
      </c>
      <c r="AG32">
        <v>8</v>
      </c>
      <c r="AH32" t="s">
        <v>3744</v>
      </c>
      <c r="AI32" t="s">
        <v>3743</v>
      </c>
      <c r="AK32" t="s">
        <v>3742</v>
      </c>
      <c r="AL32">
        <v>75</v>
      </c>
      <c r="AM32" s="5">
        <f t="shared" si="3"/>
        <v>2.7777777777777777</v>
      </c>
      <c r="AN32" s="4">
        <f t="shared" si="4"/>
        <v>4.207160587319618E-3</v>
      </c>
      <c r="AO32" s="3"/>
      <c r="AP32">
        <v>0</v>
      </c>
      <c r="AR32" t="s">
        <v>1</v>
      </c>
      <c r="AT32" s="2" t="s">
        <v>7</v>
      </c>
      <c r="AU32" s="1">
        <f t="shared" si="5"/>
        <v>1.8079638365993276</v>
      </c>
      <c r="AV32" s="1">
        <f t="shared" si="6"/>
        <v>1.411607328637223</v>
      </c>
      <c r="AW32" s="1">
        <f t="shared" si="7"/>
        <v>1.0152508206751187</v>
      </c>
    </row>
    <row r="33" spans="1:49" x14ac:dyDescent="0.2">
      <c r="A33">
        <v>31</v>
      </c>
      <c r="B33" t="s">
        <v>3741</v>
      </c>
      <c r="C33" t="s">
        <v>3740</v>
      </c>
      <c r="F33" t="s">
        <v>3739</v>
      </c>
      <c r="G33" t="s">
        <v>6</v>
      </c>
      <c r="H33" t="s">
        <v>5</v>
      </c>
      <c r="I33" t="s">
        <v>3738</v>
      </c>
      <c r="J33">
        <v>60023998</v>
      </c>
      <c r="K33" t="s">
        <v>39</v>
      </c>
      <c r="L33" t="s">
        <v>38</v>
      </c>
      <c r="M33" t="s">
        <v>37</v>
      </c>
      <c r="N33">
        <v>1</v>
      </c>
      <c r="O33" t="s">
        <v>3737</v>
      </c>
      <c r="P33">
        <v>57213499952</v>
      </c>
      <c r="Q33">
        <v>60023998</v>
      </c>
      <c r="R33" s="8">
        <v>35034</v>
      </c>
      <c r="S33" s="9">
        <f t="shared" si="0"/>
        <v>1995</v>
      </c>
      <c r="T33" s="9">
        <v>1995</v>
      </c>
      <c r="U33" s="9">
        <f t="shared" si="1"/>
        <v>27</v>
      </c>
      <c r="V33" s="8">
        <v>1995</v>
      </c>
      <c r="W33" t="s">
        <v>3736</v>
      </c>
      <c r="X33" s="2">
        <v>1.0029999999999999</v>
      </c>
      <c r="Y33" s="7">
        <f t="shared" si="2"/>
        <v>2.6774512159312348E-2</v>
      </c>
      <c r="AA33">
        <v>2665611</v>
      </c>
      <c r="AB33">
        <v>28497</v>
      </c>
      <c r="AD33" t="s">
        <v>3</v>
      </c>
      <c r="AE33">
        <v>11</v>
      </c>
      <c r="AF33">
        <v>4</v>
      </c>
      <c r="AG33">
        <v>5</v>
      </c>
      <c r="AH33" t="s">
        <v>3735</v>
      </c>
      <c r="AI33" t="s">
        <v>3734</v>
      </c>
      <c r="AK33" t="s">
        <v>3733</v>
      </c>
      <c r="AL33">
        <v>2</v>
      </c>
      <c r="AM33" s="5">
        <f t="shared" si="3"/>
        <v>7.407407407407407E-2</v>
      </c>
      <c r="AN33" s="4">
        <f t="shared" si="4"/>
        <v>1.1219094899518981E-4</v>
      </c>
      <c r="AO33" s="3"/>
      <c r="AP33">
        <v>0</v>
      </c>
      <c r="AR33" t="s">
        <v>1</v>
      </c>
      <c r="AT33" s="2">
        <v>2.407</v>
      </c>
      <c r="AU33" s="1">
        <f t="shared" si="5"/>
        <v>1.8775815796217197</v>
      </c>
      <c r="AV33" s="1">
        <f t="shared" si="6"/>
        <v>1.3443351554153768</v>
      </c>
      <c r="AW33" s="1">
        <f t="shared" si="7"/>
        <v>0.81108873120903369</v>
      </c>
    </row>
    <row r="34" spans="1:49" x14ac:dyDescent="0.2">
      <c r="A34">
        <v>32</v>
      </c>
      <c r="B34" t="s">
        <v>3732</v>
      </c>
      <c r="C34" t="s">
        <v>3731</v>
      </c>
      <c r="F34" t="s">
        <v>3730</v>
      </c>
      <c r="G34" t="s">
        <v>6</v>
      </c>
      <c r="H34" t="s">
        <v>5</v>
      </c>
      <c r="I34" t="s">
        <v>3729</v>
      </c>
      <c r="J34">
        <v>60031806</v>
      </c>
      <c r="K34" t="s">
        <v>357</v>
      </c>
      <c r="L34" t="s">
        <v>356</v>
      </c>
      <c r="M34" t="s">
        <v>34</v>
      </c>
      <c r="N34">
        <v>2</v>
      </c>
      <c r="O34" t="s">
        <v>3728</v>
      </c>
      <c r="P34" t="s">
        <v>3727</v>
      </c>
      <c r="Q34" t="s">
        <v>3640</v>
      </c>
      <c r="R34" s="8">
        <v>35034</v>
      </c>
      <c r="S34" s="9">
        <f t="shared" si="0"/>
        <v>1995</v>
      </c>
      <c r="T34" s="9">
        <v>1995</v>
      </c>
      <c r="U34" s="9">
        <f t="shared" si="1"/>
        <v>27</v>
      </c>
      <c r="V34" s="8">
        <v>1995</v>
      </c>
      <c r="W34" t="s">
        <v>3583</v>
      </c>
      <c r="X34" s="2">
        <v>0.48</v>
      </c>
      <c r="Y34" s="7">
        <f t="shared" si="2"/>
        <v>1.2813325858893249E-2</v>
      </c>
      <c r="AA34">
        <v>9570233</v>
      </c>
      <c r="AB34">
        <v>15526</v>
      </c>
      <c r="AD34" t="s">
        <v>3</v>
      </c>
      <c r="AE34">
        <v>6</v>
      </c>
      <c r="AF34">
        <v>10</v>
      </c>
      <c r="AG34">
        <v>2</v>
      </c>
      <c r="AH34" t="s">
        <v>3726</v>
      </c>
      <c r="AI34" t="s">
        <v>3725</v>
      </c>
      <c r="AK34" t="s">
        <v>3724</v>
      </c>
      <c r="AL34">
        <v>0</v>
      </c>
      <c r="AM34" s="5">
        <f t="shared" si="3"/>
        <v>0</v>
      </c>
      <c r="AN34" s="4">
        <f t="shared" si="4"/>
        <v>0</v>
      </c>
      <c r="AO34" s="3"/>
      <c r="AP34">
        <v>0</v>
      </c>
      <c r="AR34" t="s">
        <v>1</v>
      </c>
      <c r="AT34" s="2">
        <v>2.0459999999999998</v>
      </c>
      <c r="AU34" s="1">
        <f t="shared" si="5"/>
        <v>0.89693281012252735</v>
      </c>
      <c r="AV34" s="1">
        <f t="shared" si="6"/>
        <v>0.64066629294466249</v>
      </c>
      <c r="AW34" s="1">
        <f t="shared" si="7"/>
        <v>0.38439977576679746</v>
      </c>
    </row>
    <row r="35" spans="1:49" x14ac:dyDescent="0.2">
      <c r="A35">
        <v>33</v>
      </c>
      <c r="B35" t="s">
        <v>3723</v>
      </c>
      <c r="C35" t="s">
        <v>3722</v>
      </c>
      <c r="F35" t="s">
        <v>3721</v>
      </c>
      <c r="G35" t="s">
        <v>6</v>
      </c>
      <c r="H35" t="s">
        <v>5</v>
      </c>
      <c r="I35" t="s">
        <v>371</v>
      </c>
      <c r="J35">
        <v>112830865</v>
      </c>
      <c r="K35" t="s">
        <v>3720</v>
      </c>
      <c r="L35" t="s">
        <v>3719</v>
      </c>
      <c r="M35" t="s">
        <v>67</v>
      </c>
      <c r="N35">
        <v>1</v>
      </c>
      <c r="O35" t="s">
        <v>370</v>
      </c>
      <c r="P35">
        <v>55219375300</v>
      </c>
      <c r="Q35">
        <v>112830865</v>
      </c>
      <c r="R35" s="8">
        <v>35034</v>
      </c>
      <c r="S35" s="9">
        <f t="shared" si="0"/>
        <v>1995</v>
      </c>
      <c r="T35" s="9">
        <v>1995</v>
      </c>
      <c r="U35" s="9">
        <f t="shared" si="1"/>
        <v>27</v>
      </c>
      <c r="V35" s="8">
        <v>1995</v>
      </c>
      <c r="W35" t="s">
        <v>369</v>
      </c>
      <c r="X35" s="2">
        <v>0.27800000000000002</v>
      </c>
      <c r="Y35" s="7">
        <f t="shared" si="2"/>
        <v>7.4210512266090073E-3</v>
      </c>
      <c r="AA35" t="s">
        <v>368</v>
      </c>
      <c r="AB35">
        <v>21402</v>
      </c>
      <c r="AD35" t="s">
        <v>3</v>
      </c>
      <c r="AE35">
        <v>68</v>
      </c>
      <c r="AF35">
        <v>8</v>
      </c>
      <c r="AH35" t="s">
        <v>367</v>
      </c>
      <c r="AI35" t="s">
        <v>3718</v>
      </c>
      <c r="AK35" t="s">
        <v>3717</v>
      </c>
      <c r="AL35">
        <v>4</v>
      </c>
      <c r="AM35" s="5">
        <f t="shared" si="3"/>
        <v>0.14814814814814814</v>
      </c>
      <c r="AN35" s="4">
        <f t="shared" si="4"/>
        <v>2.2438189799037963E-4</v>
      </c>
      <c r="AO35" s="3"/>
      <c r="AP35">
        <v>0</v>
      </c>
      <c r="AR35" t="s">
        <v>1</v>
      </c>
      <c r="AT35" s="2">
        <v>0.52900000000000003</v>
      </c>
      <c r="AU35" s="1">
        <f t="shared" si="5"/>
        <v>0.52620504280234182</v>
      </c>
      <c r="AV35" s="1">
        <f t="shared" si="6"/>
        <v>0.38227165622996939</v>
      </c>
      <c r="AW35" s="1">
        <f t="shared" si="7"/>
        <v>0.23833826965759677</v>
      </c>
    </row>
    <row r="36" spans="1:49" x14ac:dyDescent="0.2">
      <c r="A36">
        <v>34</v>
      </c>
      <c r="B36" t="s">
        <v>3716</v>
      </c>
      <c r="C36" t="s">
        <v>3715</v>
      </c>
      <c r="F36" t="s">
        <v>3714</v>
      </c>
      <c r="G36" t="s">
        <v>6</v>
      </c>
      <c r="H36" t="s">
        <v>5</v>
      </c>
      <c r="I36" t="s">
        <v>3713</v>
      </c>
      <c r="J36">
        <v>60024025</v>
      </c>
      <c r="K36" t="s">
        <v>3712</v>
      </c>
      <c r="L36" t="s">
        <v>3711</v>
      </c>
      <c r="M36" t="s">
        <v>9</v>
      </c>
      <c r="N36">
        <v>5</v>
      </c>
      <c r="O36" t="s">
        <v>3710</v>
      </c>
      <c r="P36" t="s">
        <v>3709</v>
      </c>
      <c r="Q36" t="s">
        <v>3708</v>
      </c>
      <c r="R36" s="8">
        <v>35034</v>
      </c>
      <c r="S36" s="9">
        <f t="shared" si="0"/>
        <v>1995</v>
      </c>
      <c r="T36" s="9">
        <v>1995</v>
      </c>
      <c r="U36" s="9">
        <f t="shared" si="1"/>
        <v>27</v>
      </c>
      <c r="V36" s="8">
        <v>35034</v>
      </c>
      <c r="W36" t="s">
        <v>3707</v>
      </c>
      <c r="X36" s="2">
        <v>0.28999999999999998</v>
      </c>
      <c r="Y36" s="7">
        <f t="shared" si="2"/>
        <v>7.741384373081338E-3</v>
      </c>
      <c r="AA36">
        <v>9320784</v>
      </c>
      <c r="AB36">
        <v>12965</v>
      </c>
      <c r="AC36">
        <v>18657109</v>
      </c>
      <c r="AD36" t="s">
        <v>3</v>
      </c>
      <c r="AE36">
        <v>50</v>
      </c>
      <c r="AF36">
        <v>12</v>
      </c>
      <c r="AH36" t="s">
        <v>3706</v>
      </c>
      <c r="AI36" t="s">
        <v>3705</v>
      </c>
      <c r="AK36" t="s">
        <v>3704</v>
      </c>
      <c r="AL36">
        <v>18</v>
      </c>
      <c r="AM36" s="5">
        <f t="shared" si="3"/>
        <v>0.66666666666666663</v>
      </c>
      <c r="AN36" s="4">
        <f t="shared" si="4"/>
        <v>1.0097185409567082E-3</v>
      </c>
      <c r="AO36" s="3"/>
      <c r="AP36">
        <v>1</v>
      </c>
      <c r="AR36" t="s">
        <v>1</v>
      </c>
      <c r="AT36" s="2" t="s">
        <v>7</v>
      </c>
      <c r="AU36" s="1">
        <f t="shared" si="5"/>
        <v>0.5721884623443948</v>
      </c>
      <c r="AV36" s="1">
        <f t="shared" si="6"/>
        <v>0.43755514570190235</v>
      </c>
      <c r="AW36" s="1">
        <f t="shared" si="7"/>
        <v>0.30292182905940968</v>
      </c>
    </row>
    <row r="37" spans="1:49" x14ac:dyDescent="0.2">
      <c r="A37">
        <v>35</v>
      </c>
      <c r="B37" t="s">
        <v>3703</v>
      </c>
      <c r="C37" t="s">
        <v>3702</v>
      </c>
      <c r="D37" t="s">
        <v>386</v>
      </c>
      <c r="F37" t="s">
        <v>385</v>
      </c>
      <c r="G37" t="s">
        <v>6</v>
      </c>
      <c r="H37" t="s">
        <v>5</v>
      </c>
      <c r="I37" t="s">
        <v>3701</v>
      </c>
      <c r="J37">
        <v>60068588</v>
      </c>
      <c r="K37" t="s">
        <v>384</v>
      </c>
      <c r="L37" t="s">
        <v>230</v>
      </c>
      <c r="M37" t="s">
        <v>174</v>
      </c>
      <c r="N37">
        <v>1</v>
      </c>
      <c r="O37" t="s">
        <v>3700</v>
      </c>
      <c r="P37">
        <v>6701481252</v>
      </c>
      <c r="Q37">
        <v>60068588</v>
      </c>
      <c r="R37" s="8">
        <v>35034</v>
      </c>
      <c r="S37" s="9">
        <f t="shared" si="0"/>
        <v>1995</v>
      </c>
      <c r="T37" s="9">
        <v>1995</v>
      </c>
      <c r="U37" s="9">
        <f t="shared" si="1"/>
        <v>27</v>
      </c>
      <c r="V37" s="8">
        <v>35034</v>
      </c>
      <c r="W37" t="s">
        <v>383</v>
      </c>
      <c r="X37" s="2">
        <v>1.1479999999999999</v>
      </c>
      <c r="Y37" s="7">
        <f t="shared" si="2"/>
        <v>3.0645204345853019E-2</v>
      </c>
      <c r="AA37">
        <v>244082</v>
      </c>
      <c r="AB37">
        <v>22631</v>
      </c>
      <c r="AC37">
        <v>10963642</v>
      </c>
      <c r="AD37" t="s">
        <v>3</v>
      </c>
      <c r="AE37">
        <v>115</v>
      </c>
      <c r="AF37">
        <v>4</v>
      </c>
      <c r="AH37" t="s">
        <v>382</v>
      </c>
      <c r="AI37" t="s">
        <v>3699</v>
      </c>
      <c r="AJ37" t="s">
        <v>381</v>
      </c>
      <c r="AK37" t="s">
        <v>3698</v>
      </c>
      <c r="AL37">
        <v>10</v>
      </c>
      <c r="AM37" s="5">
        <f t="shared" si="3"/>
        <v>0.37037037037037035</v>
      </c>
      <c r="AN37" s="4">
        <f t="shared" si="4"/>
        <v>5.60954744975949E-4</v>
      </c>
      <c r="AO37" s="3"/>
      <c r="AP37">
        <v>0</v>
      </c>
      <c r="AR37" t="s">
        <v>1</v>
      </c>
      <c r="AT37" s="2" t="s">
        <v>7</v>
      </c>
      <c r="AU37" s="1">
        <f t="shared" si="5"/>
        <v>2.16199294655899</v>
      </c>
      <c r="AV37" s="1">
        <f t="shared" si="6"/>
        <v>1.5603079545414484</v>
      </c>
      <c r="AW37" s="1">
        <f t="shared" si="7"/>
        <v>0.95862296252390689</v>
      </c>
    </row>
    <row r="38" spans="1:49" x14ac:dyDescent="0.2">
      <c r="A38">
        <v>36</v>
      </c>
      <c r="B38" t="s">
        <v>3697</v>
      </c>
      <c r="C38" t="s">
        <v>3696</v>
      </c>
      <c r="F38" t="s">
        <v>3695</v>
      </c>
      <c r="G38" t="s">
        <v>6</v>
      </c>
      <c r="H38" t="s">
        <v>5</v>
      </c>
      <c r="I38" t="s">
        <v>3694</v>
      </c>
      <c r="J38">
        <v>60026175</v>
      </c>
      <c r="K38" t="s">
        <v>3693</v>
      </c>
      <c r="L38" t="s">
        <v>3692</v>
      </c>
      <c r="M38" t="s">
        <v>4</v>
      </c>
      <c r="N38">
        <v>5</v>
      </c>
      <c r="O38" t="s">
        <v>3691</v>
      </c>
      <c r="P38" t="s">
        <v>3690</v>
      </c>
      <c r="Q38" t="s">
        <v>3689</v>
      </c>
      <c r="R38" s="8">
        <v>35034</v>
      </c>
      <c r="S38" s="9">
        <f t="shared" si="0"/>
        <v>1995</v>
      </c>
      <c r="T38" s="9">
        <v>1995</v>
      </c>
      <c r="U38" s="9">
        <f t="shared" si="1"/>
        <v>27</v>
      </c>
      <c r="V38" s="8">
        <v>1995</v>
      </c>
      <c r="W38" t="s">
        <v>2708</v>
      </c>
      <c r="X38" s="2">
        <v>0.60499999999999998</v>
      </c>
      <c r="Y38" s="7">
        <f t="shared" si="2"/>
        <v>1.6150129467980032E-2</v>
      </c>
      <c r="AA38">
        <v>346748</v>
      </c>
      <c r="AB38">
        <v>15563</v>
      </c>
      <c r="AD38" t="s">
        <v>3</v>
      </c>
      <c r="AE38">
        <v>66</v>
      </c>
      <c r="AF38">
        <v>1</v>
      </c>
      <c r="AH38" t="s">
        <v>3688</v>
      </c>
      <c r="AI38" t="s">
        <v>3687</v>
      </c>
      <c r="AK38" t="s">
        <v>3686</v>
      </c>
      <c r="AL38">
        <v>8</v>
      </c>
      <c r="AM38" s="5">
        <f t="shared" si="3"/>
        <v>0.29629629629629628</v>
      </c>
      <c r="AN38" s="4">
        <f t="shared" si="4"/>
        <v>4.4876379598075925E-4</v>
      </c>
      <c r="AO38" s="3"/>
      <c r="AP38">
        <v>0</v>
      </c>
      <c r="AR38" t="s">
        <v>1</v>
      </c>
      <c r="AT38" s="2">
        <v>1.5229999999999999</v>
      </c>
      <c r="AU38" s="1">
        <f t="shared" si="5"/>
        <v>1.143971976638025</v>
      </c>
      <c r="AV38" s="1">
        <f t="shared" si="6"/>
        <v>0.8299446631980395</v>
      </c>
      <c r="AW38" s="1">
        <f t="shared" si="7"/>
        <v>0.51591734975805414</v>
      </c>
    </row>
    <row r="39" spans="1:49" x14ac:dyDescent="0.2">
      <c r="A39">
        <v>37</v>
      </c>
      <c r="B39" t="s">
        <v>3685</v>
      </c>
      <c r="C39" t="s">
        <v>3684</v>
      </c>
      <c r="F39" t="s">
        <v>3683</v>
      </c>
      <c r="G39" t="s">
        <v>6</v>
      </c>
      <c r="H39" t="s">
        <v>5</v>
      </c>
      <c r="I39" t="s">
        <v>3682</v>
      </c>
      <c r="J39">
        <v>60032632</v>
      </c>
      <c r="K39" t="s">
        <v>3681</v>
      </c>
      <c r="L39" t="s">
        <v>3680</v>
      </c>
      <c r="M39" t="s">
        <v>14</v>
      </c>
      <c r="N39">
        <v>2</v>
      </c>
      <c r="O39" t="s">
        <v>3679</v>
      </c>
      <c r="P39" t="s">
        <v>3678</v>
      </c>
      <c r="Q39" t="s">
        <v>3677</v>
      </c>
      <c r="R39" s="8">
        <v>35034</v>
      </c>
      <c r="S39" s="9">
        <f t="shared" si="0"/>
        <v>1995</v>
      </c>
      <c r="T39" s="9">
        <v>1995</v>
      </c>
      <c r="U39" s="9">
        <f t="shared" si="1"/>
        <v>27</v>
      </c>
      <c r="V39" s="8">
        <v>1995</v>
      </c>
      <c r="W39" t="s">
        <v>2708</v>
      </c>
      <c r="X39" s="2">
        <v>0.60499999999999998</v>
      </c>
      <c r="Y39" s="7">
        <f t="shared" si="2"/>
        <v>1.6150129467980032E-2</v>
      </c>
      <c r="AA39">
        <v>346748</v>
      </c>
      <c r="AB39">
        <v>15563</v>
      </c>
      <c r="AD39" t="s">
        <v>3</v>
      </c>
      <c r="AE39">
        <v>66</v>
      </c>
      <c r="AF39">
        <v>7</v>
      </c>
      <c r="AH39" t="s">
        <v>3676</v>
      </c>
      <c r="AI39" t="s">
        <v>3675</v>
      </c>
      <c r="AK39" t="s">
        <v>3674</v>
      </c>
      <c r="AL39">
        <v>1</v>
      </c>
      <c r="AM39" s="5">
        <f t="shared" si="3"/>
        <v>3.7037037037037035E-2</v>
      </c>
      <c r="AN39" s="4">
        <f t="shared" si="4"/>
        <v>5.6095474497594906E-5</v>
      </c>
      <c r="AO39" s="3"/>
      <c r="AP39">
        <v>0</v>
      </c>
      <c r="AR39" t="s">
        <v>1</v>
      </c>
      <c r="AT39" s="2">
        <v>1.5229999999999999</v>
      </c>
      <c r="AU39" s="1">
        <f t="shared" si="5"/>
        <v>1.1321919269935299</v>
      </c>
      <c r="AV39" s="1">
        <f t="shared" si="6"/>
        <v>0.81031124712388147</v>
      </c>
      <c r="AW39" s="1">
        <f t="shared" si="7"/>
        <v>0.48843056725423262</v>
      </c>
    </row>
    <row r="40" spans="1:49" x14ac:dyDescent="0.2">
      <c r="A40">
        <v>38</v>
      </c>
      <c r="B40" t="s">
        <v>3673</v>
      </c>
      <c r="D40">
        <v>1001651196834610</v>
      </c>
      <c r="F40" t="s">
        <v>3672</v>
      </c>
      <c r="G40" t="s">
        <v>6</v>
      </c>
      <c r="H40" t="s">
        <v>5</v>
      </c>
      <c r="I40" t="s">
        <v>3671</v>
      </c>
      <c r="J40" t="s">
        <v>3670</v>
      </c>
      <c r="K40" t="s">
        <v>3669</v>
      </c>
      <c r="L40" t="s">
        <v>3668</v>
      </c>
      <c r="M40" t="s">
        <v>119</v>
      </c>
      <c r="N40">
        <v>3</v>
      </c>
      <c r="O40" t="s">
        <v>3667</v>
      </c>
      <c r="P40" t="s">
        <v>3666</v>
      </c>
      <c r="Q40" t="s">
        <v>3665</v>
      </c>
      <c r="R40" s="8">
        <v>35034</v>
      </c>
      <c r="S40" s="9">
        <f t="shared" si="0"/>
        <v>1995</v>
      </c>
      <c r="T40" s="9">
        <v>1995</v>
      </c>
      <c r="U40" s="9">
        <f t="shared" si="1"/>
        <v>27</v>
      </c>
      <c r="V40" s="8">
        <v>35034</v>
      </c>
      <c r="W40" t="s">
        <v>3664</v>
      </c>
      <c r="X40" s="2" t="s">
        <v>7</v>
      </c>
      <c r="Y40" s="7" t="e">
        <f t="shared" si="2"/>
        <v>#VALUE!</v>
      </c>
      <c r="AA40">
        <v>10016511</v>
      </c>
      <c r="AB40">
        <v>9700153239</v>
      </c>
      <c r="AD40" t="s">
        <v>3</v>
      </c>
      <c r="AE40">
        <v>38</v>
      </c>
      <c r="AF40">
        <v>12</v>
      </c>
      <c r="AH40" t="s">
        <v>3663</v>
      </c>
      <c r="AI40" t="s">
        <v>3662</v>
      </c>
      <c r="AJ40" t="s">
        <v>3661</v>
      </c>
      <c r="AK40" t="s">
        <v>3660</v>
      </c>
      <c r="AL40">
        <v>4</v>
      </c>
      <c r="AM40" s="5">
        <f t="shared" si="3"/>
        <v>0.14814814814814814</v>
      </c>
      <c r="AN40" s="4">
        <f t="shared" si="4"/>
        <v>2.2438189799037963E-4</v>
      </c>
      <c r="AO40" s="3"/>
      <c r="AP40">
        <v>0</v>
      </c>
      <c r="AR40" t="s">
        <v>1</v>
      </c>
      <c r="AT40" s="2" t="s">
        <v>7</v>
      </c>
      <c r="AU40" s="1" t="e">
        <f t="shared" si="5"/>
        <v>#VALUE!</v>
      </c>
      <c r="AV40" s="1" t="e">
        <f t="shared" si="6"/>
        <v>#VALUE!</v>
      </c>
      <c r="AW40" s="1" t="e">
        <f t="shared" si="7"/>
        <v>#VALUE!</v>
      </c>
    </row>
    <row r="41" spans="1:49" x14ac:dyDescent="0.2">
      <c r="A41">
        <v>39</v>
      </c>
      <c r="B41" t="s">
        <v>3659</v>
      </c>
      <c r="C41" t="s">
        <v>3658</v>
      </c>
      <c r="F41" t="s">
        <v>3657</v>
      </c>
      <c r="G41" t="s">
        <v>6</v>
      </c>
      <c r="H41" t="s">
        <v>5</v>
      </c>
      <c r="I41" t="s">
        <v>3656</v>
      </c>
      <c r="J41">
        <v>60029689</v>
      </c>
      <c r="K41" t="s">
        <v>3655</v>
      </c>
      <c r="L41" t="s">
        <v>3654</v>
      </c>
      <c r="M41" t="s">
        <v>79</v>
      </c>
      <c r="N41">
        <v>2</v>
      </c>
      <c r="O41" t="s">
        <v>3653</v>
      </c>
      <c r="P41" t="s">
        <v>3652</v>
      </c>
      <c r="Q41" t="s">
        <v>3651</v>
      </c>
      <c r="R41" s="8">
        <v>35034</v>
      </c>
      <c r="S41" s="9">
        <f t="shared" si="0"/>
        <v>1995</v>
      </c>
      <c r="T41" s="9">
        <v>1995</v>
      </c>
      <c r="U41" s="9">
        <f t="shared" si="1"/>
        <v>27</v>
      </c>
      <c r="V41" s="8">
        <v>1995</v>
      </c>
      <c r="W41" t="s">
        <v>3650</v>
      </c>
      <c r="X41" s="2">
        <v>0.69899999999999995</v>
      </c>
      <c r="Y41" s="7">
        <f t="shared" si="2"/>
        <v>1.8659405782013295E-2</v>
      </c>
      <c r="AA41">
        <v>218979</v>
      </c>
      <c r="AB41">
        <v>28132</v>
      </c>
      <c r="AD41" t="s">
        <v>3</v>
      </c>
      <c r="AE41">
        <v>78</v>
      </c>
      <c r="AF41">
        <v>7</v>
      </c>
      <c r="AH41" t="s">
        <v>3649</v>
      </c>
      <c r="AI41" t="s">
        <v>3648</v>
      </c>
      <c r="AK41" t="s">
        <v>3647</v>
      </c>
      <c r="AL41">
        <v>3</v>
      </c>
      <c r="AM41" s="5">
        <f t="shared" si="3"/>
        <v>0.1111111111111111</v>
      </c>
      <c r="AN41" s="4">
        <f t="shared" si="4"/>
        <v>1.682864234927847E-4</v>
      </c>
      <c r="AO41" s="3"/>
      <c r="AP41">
        <v>0</v>
      </c>
      <c r="AR41" t="s">
        <v>1</v>
      </c>
      <c r="AT41" s="2">
        <v>2.5459999999999998</v>
      </c>
      <c r="AU41" s="1">
        <f t="shared" si="5"/>
        <v>1.3112069974457141</v>
      </c>
      <c r="AV41" s="1">
        <f t="shared" si="6"/>
        <v>0.94138461027530407</v>
      </c>
      <c r="AW41" s="1">
        <f t="shared" si="7"/>
        <v>0.57156222310489369</v>
      </c>
    </row>
    <row r="42" spans="1:49" x14ac:dyDescent="0.2">
      <c r="A42">
        <v>40</v>
      </c>
      <c r="B42" t="s">
        <v>3646</v>
      </c>
      <c r="C42" t="s">
        <v>3645</v>
      </c>
      <c r="F42" t="s">
        <v>3644</v>
      </c>
      <c r="G42" t="s">
        <v>6</v>
      </c>
      <c r="H42" t="s">
        <v>5</v>
      </c>
      <c r="I42" t="s">
        <v>3643</v>
      </c>
      <c r="J42">
        <v>60031806</v>
      </c>
      <c r="K42" t="s">
        <v>357</v>
      </c>
      <c r="L42" t="s">
        <v>356</v>
      </c>
      <c r="M42" t="s">
        <v>34</v>
      </c>
      <c r="N42">
        <v>2</v>
      </c>
      <c r="O42" t="s">
        <v>3642</v>
      </c>
      <c r="P42" t="s">
        <v>3641</v>
      </c>
      <c r="Q42" t="s">
        <v>3640</v>
      </c>
      <c r="R42" s="8">
        <v>35034</v>
      </c>
      <c r="S42" s="9">
        <f t="shared" si="0"/>
        <v>1995</v>
      </c>
      <c r="T42" s="9">
        <v>1995</v>
      </c>
      <c r="U42" s="9">
        <f t="shared" si="1"/>
        <v>27</v>
      </c>
      <c r="V42" s="8">
        <v>1995</v>
      </c>
      <c r="W42" t="s">
        <v>2708</v>
      </c>
      <c r="X42" s="2">
        <v>0.60499999999999998</v>
      </c>
      <c r="Y42" s="7">
        <f t="shared" si="2"/>
        <v>1.6150129467980032E-2</v>
      </c>
      <c r="AA42">
        <v>346748</v>
      </c>
      <c r="AB42">
        <v>15563</v>
      </c>
      <c r="AD42" t="s">
        <v>3</v>
      </c>
      <c r="AE42">
        <v>66</v>
      </c>
      <c r="AF42">
        <v>4</v>
      </c>
      <c r="AH42" t="s">
        <v>3639</v>
      </c>
      <c r="AI42" t="s">
        <v>3638</v>
      </c>
      <c r="AK42" t="s">
        <v>3637</v>
      </c>
      <c r="AL42">
        <v>22</v>
      </c>
      <c r="AM42" s="5">
        <f t="shared" si="3"/>
        <v>0.81481481481481477</v>
      </c>
      <c r="AN42" s="4">
        <f t="shared" si="4"/>
        <v>1.2341004389470878E-3</v>
      </c>
      <c r="AO42" s="3"/>
      <c r="AP42">
        <v>0</v>
      </c>
      <c r="AR42" t="s">
        <v>1</v>
      </c>
      <c r="AT42" s="2">
        <v>1.5229999999999999</v>
      </c>
      <c r="AU42" s="1">
        <f t="shared" si="5"/>
        <v>1.1675320759270147</v>
      </c>
      <c r="AV42" s="1">
        <f t="shared" si="6"/>
        <v>0.86921149534635611</v>
      </c>
      <c r="AW42" s="1">
        <f t="shared" si="7"/>
        <v>0.5708909147656972</v>
      </c>
    </row>
    <row r="43" spans="1:49" x14ac:dyDescent="0.2">
      <c r="A43">
        <v>41</v>
      </c>
      <c r="B43" t="s">
        <v>3636</v>
      </c>
      <c r="C43" t="s">
        <v>3635</v>
      </c>
      <c r="F43" t="s">
        <v>3634</v>
      </c>
      <c r="G43" t="s">
        <v>6</v>
      </c>
      <c r="H43" t="s">
        <v>5</v>
      </c>
      <c r="I43" t="s">
        <v>3633</v>
      </c>
      <c r="J43" t="s">
        <v>3632</v>
      </c>
      <c r="K43" t="s">
        <v>3631</v>
      </c>
      <c r="L43" t="s">
        <v>3630</v>
      </c>
      <c r="M43" t="s">
        <v>3629</v>
      </c>
      <c r="N43">
        <v>9</v>
      </c>
      <c r="O43" t="s">
        <v>3628</v>
      </c>
      <c r="P43" t="s">
        <v>3627</v>
      </c>
      <c r="Q43" t="s">
        <v>3626</v>
      </c>
      <c r="R43" s="8">
        <v>35034</v>
      </c>
      <c r="S43" s="9">
        <f t="shared" si="0"/>
        <v>1995</v>
      </c>
      <c r="T43" s="9">
        <v>1995</v>
      </c>
      <c r="U43" s="9">
        <f t="shared" si="1"/>
        <v>27</v>
      </c>
      <c r="V43" s="8">
        <v>1995</v>
      </c>
      <c r="W43" t="s">
        <v>2708</v>
      </c>
      <c r="X43" s="2">
        <v>0.60499999999999998</v>
      </c>
      <c r="Y43" s="7">
        <f t="shared" si="2"/>
        <v>1.6150129467980032E-2</v>
      </c>
      <c r="AA43">
        <v>346748</v>
      </c>
      <c r="AB43">
        <v>15563</v>
      </c>
      <c r="AD43" t="s">
        <v>3</v>
      </c>
      <c r="AE43">
        <v>66</v>
      </c>
      <c r="AF43">
        <v>1</v>
      </c>
      <c r="AH43" t="s">
        <v>3625</v>
      </c>
      <c r="AI43" t="s">
        <v>3624</v>
      </c>
      <c r="AK43" t="s">
        <v>3623</v>
      </c>
      <c r="AL43">
        <v>12</v>
      </c>
      <c r="AM43" s="5">
        <f t="shared" si="3"/>
        <v>0.44444444444444442</v>
      </c>
      <c r="AN43" s="4">
        <f t="shared" si="4"/>
        <v>6.7314569397113879E-4</v>
      </c>
      <c r="AO43" s="3"/>
      <c r="AP43">
        <v>0</v>
      </c>
      <c r="AR43" t="s">
        <v>1</v>
      </c>
      <c r="AT43" s="2">
        <v>1.5229999999999999</v>
      </c>
      <c r="AU43" s="1">
        <f t="shared" si="5"/>
        <v>1.1507034335777364</v>
      </c>
      <c r="AV43" s="1">
        <f t="shared" si="6"/>
        <v>0.8411637580975585</v>
      </c>
      <c r="AW43" s="1">
        <f t="shared" si="7"/>
        <v>0.5316240826173807</v>
      </c>
    </row>
    <row r="44" spans="1:49" x14ac:dyDescent="0.2">
      <c r="A44">
        <v>42</v>
      </c>
      <c r="B44" t="s">
        <v>3622</v>
      </c>
      <c r="C44" t="s">
        <v>3621</v>
      </c>
      <c r="F44" t="s">
        <v>3620</v>
      </c>
      <c r="G44" t="s">
        <v>6</v>
      </c>
      <c r="H44" t="s">
        <v>5</v>
      </c>
      <c r="I44" t="s">
        <v>3619</v>
      </c>
      <c r="J44" t="s">
        <v>3618</v>
      </c>
      <c r="K44" t="s">
        <v>3617</v>
      </c>
      <c r="L44" t="s">
        <v>3616</v>
      </c>
      <c r="M44" t="s">
        <v>13</v>
      </c>
      <c r="N44">
        <v>5</v>
      </c>
      <c r="O44" t="s">
        <v>3615</v>
      </c>
      <c r="P44" t="s">
        <v>3614</v>
      </c>
      <c r="Q44" t="s">
        <v>3613</v>
      </c>
      <c r="R44" s="8">
        <v>35034</v>
      </c>
      <c r="S44" s="9">
        <f t="shared" si="0"/>
        <v>1995</v>
      </c>
      <c r="T44" s="9">
        <v>1995</v>
      </c>
      <c r="U44" s="9">
        <f t="shared" si="1"/>
        <v>27</v>
      </c>
      <c r="V44" s="8">
        <v>1995</v>
      </c>
      <c r="W44" t="s">
        <v>2708</v>
      </c>
      <c r="X44" s="2">
        <v>0.60499999999999998</v>
      </c>
      <c r="Y44" s="7">
        <f t="shared" si="2"/>
        <v>1.6150129467980032E-2</v>
      </c>
      <c r="AA44">
        <v>346748</v>
      </c>
      <c r="AB44">
        <v>15563</v>
      </c>
      <c r="AD44" t="s">
        <v>3</v>
      </c>
      <c r="AE44">
        <v>66</v>
      </c>
      <c r="AF44">
        <v>1</v>
      </c>
      <c r="AH44" t="s">
        <v>3612</v>
      </c>
      <c r="AI44" t="s">
        <v>3611</v>
      </c>
      <c r="AK44" t="s">
        <v>3610</v>
      </c>
      <c r="AL44">
        <v>1</v>
      </c>
      <c r="AM44" s="5">
        <f t="shared" si="3"/>
        <v>3.7037037037037035E-2</v>
      </c>
      <c r="AN44" s="4">
        <f t="shared" si="4"/>
        <v>5.6095474497594906E-5</v>
      </c>
      <c r="AO44" s="3"/>
      <c r="AP44">
        <v>0</v>
      </c>
      <c r="AR44" t="s">
        <v>1</v>
      </c>
      <c r="AT44" s="2">
        <v>1.5229999999999999</v>
      </c>
      <c r="AU44" s="1">
        <f t="shared" si="5"/>
        <v>1.1321919269935299</v>
      </c>
      <c r="AV44" s="1">
        <f t="shared" si="6"/>
        <v>0.81031124712388147</v>
      </c>
      <c r="AW44" s="1">
        <f t="shared" si="7"/>
        <v>0.48843056725423262</v>
      </c>
    </row>
    <row r="45" spans="1:49" x14ac:dyDescent="0.2">
      <c r="A45">
        <v>43</v>
      </c>
      <c r="B45" t="s">
        <v>3609</v>
      </c>
      <c r="C45" t="s">
        <v>3608</v>
      </c>
      <c r="F45" t="s">
        <v>3607</v>
      </c>
      <c r="G45" t="s">
        <v>6</v>
      </c>
      <c r="H45" t="s">
        <v>5</v>
      </c>
      <c r="I45" t="s">
        <v>3606</v>
      </c>
      <c r="J45">
        <v>60024266</v>
      </c>
      <c r="K45" t="s">
        <v>86</v>
      </c>
      <c r="L45" t="s">
        <v>85</v>
      </c>
      <c r="M45" t="s">
        <v>4</v>
      </c>
      <c r="N45">
        <v>8</v>
      </c>
      <c r="O45" t="s">
        <v>3605</v>
      </c>
      <c r="P45" t="s">
        <v>3604</v>
      </c>
      <c r="Q45" t="s">
        <v>3603</v>
      </c>
      <c r="R45" s="8">
        <v>35034</v>
      </c>
      <c r="S45" s="9">
        <f t="shared" si="0"/>
        <v>1995</v>
      </c>
      <c r="T45" s="9">
        <v>1995</v>
      </c>
      <c r="U45" s="9">
        <f t="shared" si="1"/>
        <v>27</v>
      </c>
      <c r="V45" s="8">
        <v>1995</v>
      </c>
      <c r="W45" t="s">
        <v>2708</v>
      </c>
      <c r="X45" s="2">
        <v>0.60499999999999998</v>
      </c>
      <c r="Y45" s="7">
        <f t="shared" si="2"/>
        <v>1.6150129467980032E-2</v>
      </c>
      <c r="AA45">
        <v>346748</v>
      </c>
      <c r="AB45">
        <v>15563</v>
      </c>
      <c r="AD45" t="s">
        <v>3</v>
      </c>
      <c r="AE45">
        <v>66</v>
      </c>
      <c r="AF45">
        <v>1</v>
      </c>
      <c r="AH45" t="s">
        <v>3602</v>
      </c>
      <c r="AI45" t="s">
        <v>3601</v>
      </c>
      <c r="AK45" t="s">
        <v>3600</v>
      </c>
      <c r="AL45">
        <v>21</v>
      </c>
      <c r="AM45" s="5">
        <f t="shared" si="3"/>
        <v>0.77777777777777779</v>
      </c>
      <c r="AN45" s="4">
        <f t="shared" si="4"/>
        <v>1.178004964449493E-3</v>
      </c>
      <c r="AO45" s="3"/>
      <c r="AP45">
        <v>0</v>
      </c>
      <c r="AR45" t="s">
        <v>1</v>
      </c>
      <c r="AT45" s="2">
        <v>1.5229999999999999</v>
      </c>
      <c r="AU45" s="1">
        <f t="shared" si="5"/>
        <v>1.1658492116920871</v>
      </c>
      <c r="AV45" s="1">
        <f t="shared" si="6"/>
        <v>0.86640672162147625</v>
      </c>
      <c r="AW45" s="1">
        <f t="shared" si="7"/>
        <v>0.56696423155086551</v>
      </c>
    </row>
    <row r="46" spans="1:49" x14ac:dyDescent="0.2">
      <c r="A46">
        <v>44</v>
      </c>
      <c r="B46" t="s">
        <v>3599</v>
      </c>
      <c r="C46" t="s">
        <v>3598</v>
      </c>
      <c r="F46" t="s">
        <v>3597</v>
      </c>
      <c r="G46" t="s">
        <v>6</v>
      </c>
      <c r="H46" t="s">
        <v>5</v>
      </c>
      <c r="I46" t="s">
        <v>3596</v>
      </c>
      <c r="J46" t="s">
        <v>159</v>
      </c>
      <c r="K46" t="s">
        <v>158</v>
      </c>
      <c r="L46" t="s">
        <v>157</v>
      </c>
      <c r="M46" t="s">
        <v>13</v>
      </c>
      <c r="N46">
        <v>4</v>
      </c>
      <c r="O46" t="s">
        <v>3595</v>
      </c>
      <c r="P46" t="s">
        <v>3594</v>
      </c>
      <c r="Q46" t="s">
        <v>3593</v>
      </c>
      <c r="R46" s="8">
        <v>35034</v>
      </c>
      <c r="S46" s="9">
        <f t="shared" si="0"/>
        <v>1995</v>
      </c>
      <c r="T46" s="9">
        <v>1995</v>
      </c>
      <c r="U46" s="9">
        <f t="shared" si="1"/>
        <v>27</v>
      </c>
      <c r="V46" s="8">
        <v>1995</v>
      </c>
      <c r="W46" t="s">
        <v>21</v>
      </c>
      <c r="X46" s="2">
        <v>1.1819999999999999</v>
      </c>
      <c r="Y46" s="7">
        <f t="shared" si="2"/>
        <v>3.1552814927524625E-2</v>
      </c>
      <c r="AA46">
        <v>36951</v>
      </c>
      <c r="AB46">
        <v>27030</v>
      </c>
      <c r="AD46" t="s">
        <v>3</v>
      </c>
      <c r="AE46">
        <v>67</v>
      </c>
      <c r="AH46">
        <v>2860</v>
      </c>
      <c r="AI46" t="s">
        <v>3592</v>
      </c>
      <c r="AK46" t="s">
        <v>3591</v>
      </c>
      <c r="AL46">
        <v>9</v>
      </c>
      <c r="AM46" s="5">
        <f t="shared" si="3"/>
        <v>0.33333333333333331</v>
      </c>
      <c r="AN46" s="4">
        <f t="shared" si="4"/>
        <v>5.048592704783541E-4</v>
      </c>
      <c r="AO46" s="3"/>
      <c r="AP46">
        <v>0</v>
      </c>
      <c r="AR46" t="s">
        <v>1</v>
      </c>
      <c r="AT46" s="2">
        <v>3.7909999999999999</v>
      </c>
      <c r="AU46" s="1">
        <f t="shared" si="5"/>
        <v>2.2238428230410738</v>
      </c>
      <c r="AV46" s="1">
        <f t="shared" si="6"/>
        <v>1.6028837099001487</v>
      </c>
      <c r="AW46" s="1">
        <f t="shared" si="7"/>
        <v>0.98192459675922361</v>
      </c>
    </row>
    <row r="47" spans="1:49" x14ac:dyDescent="0.2">
      <c r="A47">
        <v>45</v>
      </c>
      <c r="B47" t="s">
        <v>3590</v>
      </c>
      <c r="C47" t="s">
        <v>3589</v>
      </c>
      <c r="F47" t="s">
        <v>3588</v>
      </c>
      <c r="G47" t="s">
        <v>6</v>
      </c>
      <c r="H47" t="s">
        <v>5</v>
      </c>
      <c r="I47" t="s">
        <v>3587</v>
      </c>
      <c r="J47">
        <v>60028137</v>
      </c>
      <c r="K47" t="s">
        <v>3586</v>
      </c>
      <c r="L47" t="s">
        <v>3585</v>
      </c>
      <c r="M47" t="s">
        <v>14</v>
      </c>
      <c r="N47">
        <v>1</v>
      </c>
      <c r="O47" t="s">
        <v>3584</v>
      </c>
      <c r="P47">
        <v>22976835000</v>
      </c>
      <c r="Q47">
        <v>60028137</v>
      </c>
      <c r="R47" s="8">
        <v>35034</v>
      </c>
      <c r="S47" s="9">
        <f t="shared" si="0"/>
        <v>1995</v>
      </c>
      <c r="T47" s="9">
        <v>1995</v>
      </c>
      <c r="U47" s="9">
        <f t="shared" si="1"/>
        <v>27</v>
      </c>
      <c r="V47" s="8">
        <v>1995</v>
      </c>
      <c r="W47" t="s">
        <v>3583</v>
      </c>
      <c r="X47" s="2">
        <v>0.48</v>
      </c>
      <c r="Y47" s="7">
        <f t="shared" si="2"/>
        <v>1.2813325858893249E-2</v>
      </c>
      <c r="AA47">
        <v>9570233</v>
      </c>
      <c r="AB47">
        <v>15526</v>
      </c>
      <c r="AD47" t="s">
        <v>3</v>
      </c>
      <c r="AE47">
        <v>6</v>
      </c>
      <c r="AF47">
        <v>4</v>
      </c>
      <c r="AG47">
        <v>14</v>
      </c>
      <c r="AH47" t="s">
        <v>3582</v>
      </c>
      <c r="AI47" t="s">
        <v>3581</v>
      </c>
      <c r="AK47" t="s">
        <v>3580</v>
      </c>
      <c r="AL47">
        <v>13</v>
      </c>
      <c r="AM47" s="5">
        <f t="shared" si="3"/>
        <v>0.48148148148148145</v>
      </c>
      <c r="AN47" s="4">
        <f t="shared" si="4"/>
        <v>7.2924116846873369E-4</v>
      </c>
      <c r="AO47" s="3"/>
      <c r="AP47">
        <v>0</v>
      </c>
      <c r="AR47" t="s">
        <v>1</v>
      </c>
      <c r="AT47" s="2">
        <v>2.0459999999999998</v>
      </c>
      <c r="AU47" s="1">
        <f t="shared" si="5"/>
        <v>0.91881004517658926</v>
      </c>
      <c r="AV47" s="1">
        <f t="shared" si="6"/>
        <v>0.67712835136809912</v>
      </c>
      <c r="AW47" s="1">
        <f t="shared" si="7"/>
        <v>0.43544665755960876</v>
      </c>
    </row>
    <row r="48" spans="1:49" x14ac:dyDescent="0.2">
      <c r="A48">
        <v>46</v>
      </c>
      <c r="B48" t="s">
        <v>3579</v>
      </c>
      <c r="F48" t="s">
        <v>3578</v>
      </c>
      <c r="G48" t="s">
        <v>6</v>
      </c>
      <c r="H48" t="s">
        <v>5</v>
      </c>
      <c r="I48" t="s">
        <v>3577</v>
      </c>
      <c r="J48">
        <v>101502175</v>
      </c>
      <c r="K48" t="s">
        <v>3576</v>
      </c>
      <c r="M48" t="s">
        <v>37</v>
      </c>
      <c r="N48">
        <v>1</v>
      </c>
      <c r="O48" t="s">
        <v>3575</v>
      </c>
      <c r="P48">
        <v>7005695963</v>
      </c>
      <c r="Q48">
        <v>101502175</v>
      </c>
      <c r="R48" s="8">
        <v>35034</v>
      </c>
      <c r="S48" s="9">
        <f t="shared" si="0"/>
        <v>1995</v>
      </c>
      <c r="T48" s="9">
        <v>1995</v>
      </c>
      <c r="U48" s="9">
        <f t="shared" si="1"/>
        <v>27</v>
      </c>
      <c r="V48" s="8">
        <v>35034</v>
      </c>
      <c r="W48" t="s">
        <v>3574</v>
      </c>
      <c r="X48" s="2" t="s">
        <v>7</v>
      </c>
      <c r="Y48" s="7" t="e">
        <f t="shared" si="2"/>
        <v>#VALUE!</v>
      </c>
      <c r="AB48">
        <v>19323</v>
      </c>
      <c r="AD48" t="s">
        <v>3</v>
      </c>
      <c r="AE48">
        <v>2</v>
      </c>
      <c r="AF48">
        <v>2</v>
      </c>
      <c r="AH48" t="s">
        <v>268</v>
      </c>
      <c r="AI48" t="s">
        <v>3573</v>
      </c>
      <c r="AK48" t="s">
        <v>3572</v>
      </c>
      <c r="AL48">
        <v>0</v>
      </c>
      <c r="AM48" s="5">
        <f t="shared" si="3"/>
        <v>0</v>
      </c>
      <c r="AN48" s="4">
        <f t="shared" si="4"/>
        <v>0</v>
      </c>
      <c r="AO48" s="3"/>
      <c r="AP48">
        <v>0</v>
      </c>
      <c r="AR48" t="s">
        <v>1</v>
      </c>
      <c r="AT48" s="2" t="s">
        <v>7</v>
      </c>
      <c r="AU48" s="1" t="e">
        <f t="shared" si="5"/>
        <v>#VALUE!</v>
      </c>
      <c r="AV48" s="1" t="e">
        <f t="shared" si="6"/>
        <v>#VALUE!</v>
      </c>
      <c r="AW48" s="1" t="e">
        <f t="shared" si="7"/>
        <v>#VALUE!</v>
      </c>
    </row>
    <row r="49" spans="1:49" x14ac:dyDescent="0.2">
      <c r="A49">
        <v>47</v>
      </c>
      <c r="B49" t="s">
        <v>3571</v>
      </c>
      <c r="F49" t="s">
        <v>3570</v>
      </c>
      <c r="G49" t="s">
        <v>6</v>
      </c>
      <c r="H49" t="s">
        <v>5</v>
      </c>
      <c r="I49" t="s">
        <v>3569</v>
      </c>
      <c r="J49">
        <v>60019894</v>
      </c>
      <c r="K49" t="s">
        <v>3568</v>
      </c>
      <c r="L49" t="s">
        <v>3567</v>
      </c>
      <c r="M49" t="s">
        <v>79</v>
      </c>
      <c r="N49">
        <v>1</v>
      </c>
      <c r="O49" t="s">
        <v>3566</v>
      </c>
      <c r="P49">
        <v>35546726400</v>
      </c>
      <c r="Q49">
        <v>60019894</v>
      </c>
      <c r="R49" s="8">
        <v>35034</v>
      </c>
      <c r="S49" s="9">
        <f t="shared" si="0"/>
        <v>1995</v>
      </c>
      <c r="T49" s="9">
        <v>1995</v>
      </c>
      <c r="U49" s="9">
        <f t="shared" si="1"/>
        <v>27</v>
      </c>
      <c r="V49" s="8">
        <v>35034</v>
      </c>
      <c r="W49" t="s">
        <v>407</v>
      </c>
      <c r="X49" s="2" t="s">
        <v>7</v>
      </c>
      <c r="Y49" s="7" t="e">
        <f t="shared" si="2"/>
        <v>#VALUE!</v>
      </c>
      <c r="AA49" t="s">
        <v>406</v>
      </c>
      <c r="AB49">
        <v>26720</v>
      </c>
      <c r="AD49" t="s">
        <v>3</v>
      </c>
      <c r="AI49" t="s">
        <v>3565</v>
      </c>
      <c r="AK49" t="s">
        <v>3564</v>
      </c>
      <c r="AL49">
        <v>3</v>
      </c>
      <c r="AM49" s="5">
        <f t="shared" si="3"/>
        <v>0.1111111111111111</v>
      </c>
      <c r="AN49" s="4">
        <f t="shared" si="4"/>
        <v>1.682864234927847E-4</v>
      </c>
      <c r="AO49" s="3"/>
      <c r="AP49">
        <v>0</v>
      </c>
      <c r="AR49" t="s">
        <v>1</v>
      </c>
      <c r="AT49" s="2" t="s">
        <v>7</v>
      </c>
      <c r="AU49" s="1" t="e">
        <f t="shared" si="5"/>
        <v>#VALUE!</v>
      </c>
      <c r="AV49" s="1" t="e">
        <f t="shared" si="6"/>
        <v>#VALUE!</v>
      </c>
      <c r="AW49" s="1" t="e">
        <f t="shared" si="7"/>
        <v>#VALUE!</v>
      </c>
    </row>
    <row r="50" spans="1:49" x14ac:dyDescent="0.2">
      <c r="A50">
        <v>48</v>
      </c>
      <c r="B50" t="s">
        <v>3563</v>
      </c>
      <c r="F50" t="s">
        <v>3562</v>
      </c>
      <c r="G50" t="s">
        <v>6</v>
      </c>
      <c r="H50" t="s">
        <v>5</v>
      </c>
      <c r="I50" t="s">
        <v>3561</v>
      </c>
      <c r="J50">
        <v>100382728</v>
      </c>
      <c r="K50" t="s">
        <v>3560</v>
      </c>
      <c r="L50" t="s">
        <v>3559</v>
      </c>
      <c r="M50" t="s">
        <v>4</v>
      </c>
      <c r="N50">
        <v>1</v>
      </c>
      <c r="O50" t="s">
        <v>3558</v>
      </c>
      <c r="P50">
        <v>7102599096</v>
      </c>
      <c r="Q50">
        <v>100382728</v>
      </c>
      <c r="R50" s="8">
        <v>35034</v>
      </c>
      <c r="S50" s="9">
        <f t="shared" si="0"/>
        <v>1995</v>
      </c>
      <c r="T50" s="9">
        <v>1995</v>
      </c>
      <c r="U50" s="9">
        <f t="shared" si="1"/>
        <v>27</v>
      </c>
      <c r="V50" s="8">
        <v>35034</v>
      </c>
      <c r="W50" t="s">
        <v>460</v>
      </c>
      <c r="X50" s="2" t="s">
        <v>7</v>
      </c>
      <c r="Y50" s="7" t="e">
        <f t="shared" si="2"/>
        <v>#VALUE!</v>
      </c>
      <c r="AA50">
        <v>10613528</v>
      </c>
      <c r="AB50">
        <v>35696</v>
      </c>
      <c r="AD50" t="s">
        <v>3</v>
      </c>
      <c r="AE50">
        <v>7</v>
      </c>
      <c r="AF50">
        <v>1</v>
      </c>
      <c r="AI50" t="s">
        <v>3557</v>
      </c>
      <c r="AK50" t="s">
        <v>3556</v>
      </c>
      <c r="AL50">
        <v>0</v>
      </c>
      <c r="AM50" s="5">
        <f t="shared" si="3"/>
        <v>0</v>
      </c>
      <c r="AN50" s="4">
        <f t="shared" si="4"/>
        <v>0</v>
      </c>
      <c r="AO50" s="3"/>
      <c r="AP50">
        <v>0</v>
      </c>
      <c r="AR50" t="s">
        <v>1</v>
      </c>
      <c r="AT50" s="2" t="s">
        <v>7</v>
      </c>
      <c r="AU50" s="1" t="e">
        <f t="shared" si="5"/>
        <v>#VALUE!</v>
      </c>
      <c r="AV50" s="1" t="e">
        <f t="shared" si="6"/>
        <v>#VALUE!</v>
      </c>
      <c r="AW50" s="1" t="e">
        <f t="shared" si="7"/>
        <v>#VALUE!</v>
      </c>
    </row>
    <row r="51" spans="1:49" x14ac:dyDescent="0.2">
      <c r="A51">
        <v>49</v>
      </c>
      <c r="B51" t="s">
        <v>3555</v>
      </c>
      <c r="C51" t="s">
        <v>3554</v>
      </c>
      <c r="E51">
        <v>8555457</v>
      </c>
      <c r="F51" t="s">
        <v>3553</v>
      </c>
      <c r="G51" t="s">
        <v>6</v>
      </c>
      <c r="H51" t="s">
        <v>5</v>
      </c>
      <c r="I51" t="s">
        <v>103</v>
      </c>
      <c r="J51">
        <v>60003892</v>
      </c>
      <c r="K51" t="s">
        <v>50</v>
      </c>
      <c r="L51" t="s">
        <v>49</v>
      </c>
      <c r="M51" t="s">
        <v>4</v>
      </c>
      <c r="N51">
        <v>2</v>
      </c>
      <c r="O51" t="s">
        <v>3552</v>
      </c>
      <c r="P51" t="s">
        <v>3551</v>
      </c>
      <c r="Q51" t="s">
        <v>256</v>
      </c>
      <c r="R51" s="8">
        <v>35034</v>
      </c>
      <c r="S51" s="9">
        <f t="shared" si="0"/>
        <v>1995</v>
      </c>
      <c r="T51" s="9">
        <v>1995</v>
      </c>
      <c r="U51" s="9">
        <f t="shared" si="1"/>
        <v>27</v>
      </c>
      <c r="V51" s="8">
        <v>35034</v>
      </c>
      <c r="W51" t="s">
        <v>84</v>
      </c>
      <c r="X51" s="2">
        <v>1.448</v>
      </c>
      <c r="Y51" s="7">
        <f t="shared" si="2"/>
        <v>3.8653533007661299E-2</v>
      </c>
      <c r="AA51">
        <v>1674412</v>
      </c>
      <c r="AB51">
        <v>13042</v>
      </c>
      <c r="AC51">
        <v>15735028</v>
      </c>
      <c r="AD51" t="s">
        <v>3</v>
      </c>
      <c r="AE51">
        <v>29</v>
      </c>
      <c r="AF51">
        <v>5</v>
      </c>
      <c r="AH51" t="s">
        <v>3550</v>
      </c>
      <c r="AI51" t="s">
        <v>3549</v>
      </c>
      <c r="AJ51" t="s">
        <v>3548</v>
      </c>
      <c r="AK51" t="s">
        <v>3547</v>
      </c>
      <c r="AL51">
        <v>47</v>
      </c>
      <c r="AM51" s="5">
        <f t="shared" si="3"/>
        <v>1.7407407407407407</v>
      </c>
      <c r="AN51" s="4">
        <f t="shared" si="4"/>
        <v>2.6364873013869604E-3</v>
      </c>
      <c r="AO51" s="3"/>
      <c r="AP51">
        <v>0</v>
      </c>
      <c r="AR51" t="s">
        <v>1</v>
      </c>
      <c r="AT51" s="2">
        <v>4.0759999999999996</v>
      </c>
      <c r="AU51" s="1">
        <f t="shared" si="5"/>
        <v>2.7848419295778997</v>
      </c>
      <c r="AV51" s="1">
        <f t="shared" si="6"/>
        <v>2.0645010154524126</v>
      </c>
      <c r="AW51" s="1">
        <f t="shared" si="7"/>
        <v>1.3441601013269262</v>
      </c>
    </row>
    <row r="52" spans="1:49" x14ac:dyDescent="0.2">
      <c r="A52">
        <v>50</v>
      </c>
      <c r="B52" t="s">
        <v>3546</v>
      </c>
      <c r="E52">
        <v>7627132</v>
      </c>
      <c r="F52" t="s">
        <v>3545</v>
      </c>
      <c r="G52" t="s">
        <v>6</v>
      </c>
      <c r="H52" t="s">
        <v>5</v>
      </c>
      <c r="I52" t="s">
        <v>3544</v>
      </c>
      <c r="J52">
        <v>60007457</v>
      </c>
      <c r="K52" t="s">
        <v>3543</v>
      </c>
      <c r="L52" t="s">
        <v>59</v>
      </c>
      <c r="M52" t="s">
        <v>58</v>
      </c>
      <c r="N52">
        <v>1</v>
      </c>
      <c r="O52" t="s">
        <v>3542</v>
      </c>
      <c r="P52">
        <v>55663678900</v>
      </c>
      <c r="Q52">
        <v>60007457</v>
      </c>
      <c r="R52" s="8">
        <v>35034</v>
      </c>
      <c r="S52" s="9">
        <f t="shared" si="0"/>
        <v>1995</v>
      </c>
      <c r="T52" s="9">
        <v>1995</v>
      </c>
      <c r="U52" s="9">
        <f t="shared" si="1"/>
        <v>27</v>
      </c>
      <c r="V52" s="8">
        <v>1995</v>
      </c>
      <c r="W52" t="s">
        <v>3541</v>
      </c>
      <c r="X52" s="2" t="s">
        <v>7</v>
      </c>
      <c r="Y52" s="7" t="e">
        <f t="shared" si="2"/>
        <v>#VALUE!</v>
      </c>
      <c r="AA52">
        <v>10399712</v>
      </c>
      <c r="AB52">
        <v>33607</v>
      </c>
      <c r="AD52" t="s">
        <v>3</v>
      </c>
      <c r="AE52">
        <v>35</v>
      </c>
      <c r="AF52">
        <v>4</v>
      </c>
      <c r="AH52" t="s">
        <v>3540</v>
      </c>
      <c r="AI52" t="s">
        <v>3539</v>
      </c>
      <c r="AK52" t="s">
        <v>3538</v>
      </c>
      <c r="AL52">
        <v>4</v>
      </c>
      <c r="AM52" s="5">
        <f t="shared" si="3"/>
        <v>0.14814814814814814</v>
      </c>
      <c r="AN52" s="4">
        <f t="shared" si="4"/>
        <v>2.2438189799037963E-4</v>
      </c>
      <c r="AO52" s="3"/>
      <c r="AP52">
        <v>0</v>
      </c>
      <c r="AR52" t="s">
        <v>1</v>
      </c>
      <c r="AT52" s="2" t="s">
        <v>7</v>
      </c>
      <c r="AU52" s="1" t="e">
        <f t="shared" si="5"/>
        <v>#VALUE!</v>
      </c>
      <c r="AV52" s="1" t="e">
        <f t="shared" si="6"/>
        <v>#VALUE!</v>
      </c>
      <c r="AW52" s="1" t="e">
        <f t="shared" si="7"/>
        <v>#VALUE!</v>
      </c>
    </row>
    <row r="53" spans="1:49" x14ac:dyDescent="0.2">
      <c r="A53">
        <v>51</v>
      </c>
      <c r="B53" t="s">
        <v>3537</v>
      </c>
      <c r="F53" t="s">
        <v>3536</v>
      </c>
      <c r="G53" t="s">
        <v>6</v>
      </c>
      <c r="H53" t="s">
        <v>5</v>
      </c>
      <c r="I53" t="s">
        <v>3535</v>
      </c>
      <c r="J53">
        <v>60030280</v>
      </c>
      <c r="K53" t="s">
        <v>3534</v>
      </c>
      <c r="L53" t="s">
        <v>3533</v>
      </c>
      <c r="M53" t="s">
        <v>74</v>
      </c>
      <c r="N53">
        <v>6</v>
      </c>
      <c r="O53" t="s">
        <v>3532</v>
      </c>
      <c r="P53" t="s">
        <v>3531</v>
      </c>
      <c r="Q53" t="s">
        <v>3530</v>
      </c>
      <c r="R53" s="8">
        <v>35034</v>
      </c>
      <c r="S53" s="9">
        <f t="shared" si="0"/>
        <v>1995</v>
      </c>
      <c r="T53" s="9">
        <v>1995</v>
      </c>
      <c r="U53" s="9">
        <f t="shared" si="1"/>
        <v>27</v>
      </c>
      <c r="V53" s="8">
        <v>1995</v>
      </c>
      <c r="W53" t="s">
        <v>3529</v>
      </c>
      <c r="X53" s="2" t="s">
        <v>7</v>
      </c>
      <c r="Y53" s="7" t="e">
        <f t="shared" si="2"/>
        <v>#VALUE!</v>
      </c>
      <c r="AA53">
        <v>9396780</v>
      </c>
      <c r="AB53">
        <v>23184</v>
      </c>
      <c r="AD53" t="s">
        <v>3</v>
      </c>
      <c r="AE53">
        <v>5</v>
      </c>
      <c r="AF53">
        <v>6</v>
      </c>
      <c r="AH53" t="s">
        <v>3528</v>
      </c>
      <c r="AI53" t="s">
        <v>3527</v>
      </c>
      <c r="AJ53" t="s">
        <v>3526</v>
      </c>
      <c r="AK53" t="s">
        <v>3525</v>
      </c>
      <c r="AL53">
        <v>1</v>
      </c>
      <c r="AM53" s="5">
        <f t="shared" si="3"/>
        <v>3.7037037037037035E-2</v>
      </c>
      <c r="AN53" s="4">
        <f t="shared" si="4"/>
        <v>5.6095474497594906E-5</v>
      </c>
      <c r="AO53" s="3"/>
      <c r="AP53">
        <v>0</v>
      </c>
      <c r="AR53" t="s">
        <v>1</v>
      </c>
      <c r="AT53" s="2" t="s">
        <v>7</v>
      </c>
      <c r="AU53" s="1" t="e">
        <f t="shared" si="5"/>
        <v>#VALUE!</v>
      </c>
      <c r="AV53" s="1" t="e">
        <f t="shared" si="6"/>
        <v>#VALUE!</v>
      </c>
      <c r="AW53" s="1" t="e">
        <f t="shared" si="7"/>
        <v>#VALUE!</v>
      </c>
    </row>
    <row r="54" spans="1:49" x14ac:dyDescent="0.2">
      <c r="A54">
        <v>52</v>
      </c>
      <c r="B54" t="s">
        <v>3524</v>
      </c>
      <c r="C54" t="s">
        <v>3523</v>
      </c>
      <c r="F54" t="s">
        <v>3522</v>
      </c>
      <c r="G54" t="s">
        <v>6</v>
      </c>
      <c r="H54" t="s">
        <v>5</v>
      </c>
      <c r="I54" t="s">
        <v>3521</v>
      </c>
      <c r="J54">
        <v>100644556</v>
      </c>
      <c r="K54" t="s">
        <v>3520</v>
      </c>
      <c r="L54" t="s">
        <v>41</v>
      </c>
      <c r="M54" t="s">
        <v>37</v>
      </c>
      <c r="N54">
        <v>1</v>
      </c>
      <c r="O54" t="s">
        <v>3519</v>
      </c>
      <c r="P54">
        <v>6603931860</v>
      </c>
      <c r="Q54">
        <v>100644556</v>
      </c>
      <c r="R54" s="8">
        <v>35034</v>
      </c>
      <c r="S54" s="9">
        <f t="shared" si="0"/>
        <v>1995</v>
      </c>
      <c r="T54" s="9">
        <v>1995</v>
      </c>
      <c r="U54" s="9">
        <f t="shared" si="1"/>
        <v>27</v>
      </c>
      <c r="V54" s="8">
        <v>35034</v>
      </c>
      <c r="W54" s="11" t="s">
        <v>238</v>
      </c>
      <c r="X54" s="2">
        <v>2.383</v>
      </c>
      <c r="Y54" s="7">
        <f t="shared" si="2"/>
        <v>6.3612824003630442E-2</v>
      </c>
      <c r="AA54">
        <v>13502417</v>
      </c>
      <c r="AB54">
        <v>17416</v>
      </c>
      <c r="AD54" t="s">
        <v>3</v>
      </c>
      <c r="AE54">
        <v>142</v>
      </c>
      <c r="AF54">
        <v>6</v>
      </c>
      <c r="AH54" t="s">
        <v>3518</v>
      </c>
      <c r="AI54" t="s">
        <v>3517</v>
      </c>
      <c r="AK54" t="s">
        <v>3516</v>
      </c>
      <c r="AL54">
        <v>9</v>
      </c>
      <c r="AM54" s="5">
        <f t="shared" si="3"/>
        <v>0.33333333333333331</v>
      </c>
      <c r="AN54" s="4">
        <f t="shared" si="4"/>
        <v>5.048592704783541E-4</v>
      </c>
      <c r="AO54" s="3"/>
      <c r="AP54">
        <v>0</v>
      </c>
      <c r="AR54" t="s">
        <v>1</v>
      </c>
      <c r="AT54" s="2" t="s">
        <v>7</v>
      </c>
      <c r="AU54" s="1">
        <f t="shared" si="5"/>
        <v>4.4680434583684816</v>
      </c>
      <c r="AV54" s="1">
        <f t="shared" si="6"/>
        <v>3.20588416370544</v>
      </c>
      <c r="AW54" s="1">
        <f t="shared" si="7"/>
        <v>1.9437248690423978</v>
      </c>
    </row>
    <row r="55" spans="1:49" x14ac:dyDescent="0.2">
      <c r="A55">
        <v>53</v>
      </c>
      <c r="B55" t="s">
        <v>3515</v>
      </c>
      <c r="C55" t="s">
        <v>3514</v>
      </c>
      <c r="F55" t="s">
        <v>3513</v>
      </c>
      <c r="G55" t="s">
        <v>6</v>
      </c>
      <c r="H55" t="s">
        <v>5</v>
      </c>
      <c r="I55" t="s">
        <v>3512</v>
      </c>
      <c r="J55">
        <v>60005700</v>
      </c>
      <c r="K55" t="s">
        <v>3511</v>
      </c>
      <c r="L55" t="s">
        <v>3510</v>
      </c>
      <c r="M55" t="s">
        <v>330</v>
      </c>
      <c r="N55">
        <v>2</v>
      </c>
      <c r="O55" t="s">
        <v>3509</v>
      </c>
      <c r="P55" t="s">
        <v>3508</v>
      </c>
      <c r="Q55" t="s">
        <v>3507</v>
      </c>
      <c r="R55" s="8">
        <v>35034</v>
      </c>
      <c r="S55" s="9">
        <f t="shared" si="0"/>
        <v>1995</v>
      </c>
      <c r="T55" s="9">
        <v>1995</v>
      </c>
      <c r="U55" s="9">
        <f t="shared" si="1"/>
        <v>27</v>
      </c>
      <c r="V55" s="8">
        <v>35034</v>
      </c>
      <c r="W55" s="11" t="s">
        <v>238</v>
      </c>
      <c r="X55" s="2">
        <v>2.383</v>
      </c>
      <c r="Y55" s="7">
        <f t="shared" si="2"/>
        <v>6.3612824003630442E-2</v>
      </c>
      <c r="AA55">
        <v>13502417</v>
      </c>
      <c r="AB55">
        <v>17416</v>
      </c>
      <c r="AD55" t="s">
        <v>3</v>
      </c>
      <c r="AE55">
        <v>142</v>
      </c>
      <c r="AF55">
        <v>6</v>
      </c>
      <c r="AH55" t="s">
        <v>3506</v>
      </c>
      <c r="AI55" t="s">
        <v>3505</v>
      </c>
      <c r="AK55" t="s">
        <v>3504</v>
      </c>
      <c r="AL55">
        <v>3</v>
      </c>
      <c r="AM55" s="5">
        <f t="shared" si="3"/>
        <v>0.1111111111111111</v>
      </c>
      <c r="AN55" s="4">
        <f t="shared" si="4"/>
        <v>1.682864234927847E-4</v>
      </c>
      <c r="AO55" s="3"/>
      <c r="AP55">
        <v>0</v>
      </c>
      <c r="AR55" t="s">
        <v>1</v>
      </c>
      <c r="AT55" s="2" t="s">
        <v>7</v>
      </c>
      <c r="AU55" s="1">
        <f t="shared" si="5"/>
        <v>4.4579462729589148</v>
      </c>
      <c r="AV55" s="1">
        <f t="shared" si="6"/>
        <v>3.1890555213561615</v>
      </c>
      <c r="AW55" s="1">
        <f t="shared" si="7"/>
        <v>1.9201647697534081</v>
      </c>
    </row>
    <row r="56" spans="1:49" x14ac:dyDescent="0.2">
      <c r="A56">
        <v>54</v>
      </c>
      <c r="B56" t="s">
        <v>3503</v>
      </c>
      <c r="F56" t="s">
        <v>3502</v>
      </c>
      <c r="G56" t="s">
        <v>6</v>
      </c>
      <c r="H56" t="s">
        <v>5</v>
      </c>
      <c r="I56" t="s">
        <v>3501</v>
      </c>
      <c r="N56">
        <v>1</v>
      </c>
      <c r="O56" t="s">
        <v>3500</v>
      </c>
      <c r="P56">
        <v>7003805994</v>
      </c>
      <c r="R56" s="8">
        <v>35034</v>
      </c>
      <c r="S56" s="9">
        <f t="shared" si="0"/>
        <v>1995</v>
      </c>
      <c r="T56" s="9">
        <v>1995</v>
      </c>
      <c r="U56" s="9">
        <f t="shared" si="1"/>
        <v>27</v>
      </c>
      <c r="V56" s="8">
        <v>1995</v>
      </c>
      <c r="W56" t="s">
        <v>97</v>
      </c>
      <c r="X56" s="2">
        <v>0.29499999999999998</v>
      </c>
      <c r="Y56" s="7">
        <f t="shared" si="2"/>
        <v>7.8748565174448087E-3</v>
      </c>
      <c r="AA56">
        <v>10642269</v>
      </c>
      <c r="AB56">
        <v>19554</v>
      </c>
      <c r="AD56" t="s">
        <v>3</v>
      </c>
      <c r="AE56">
        <v>40</v>
      </c>
      <c r="AF56">
        <v>5</v>
      </c>
      <c r="AH56" t="s">
        <v>3499</v>
      </c>
      <c r="AI56" t="s">
        <v>3498</v>
      </c>
      <c r="AK56" t="s">
        <v>3497</v>
      </c>
      <c r="AL56">
        <v>0</v>
      </c>
      <c r="AM56" s="5">
        <f t="shared" si="3"/>
        <v>0</v>
      </c>
      <c r="AN56" s="4">
        <f t="shared" si="4"/>
        <v>0</v>
      </c>
      <c r="AO56" s="3"/>
      <c r="AP56">
        <v>0</v>
      </c>
      <c r="AR56" t="s">
        <v>1</v>
      </c>
      <c r="AT56" s="2" t="s">
        <v>7</v>
      </c>
      <c r="AU56" s="1">
        <f t="shared" si="5"/>
        <v>0.55123995622113653</v>
      </c>
      <c r="AV56" s="1">
        <f t="shared" si="6"/>
        <v>0.39374282587224041</v>
      </c>
      <c r="AW56" s="1">
        <f t="shared" si="7"/>
        <v>0.23624569552334423</v>
      </c>
    </row>
    <row r="57" spans="1:49" x14ac:dyDescent="0.2">
      <c r="A57">
        <v>55</v>
      </c>
      <c r="B57" t="s">
        <v>3496</v>
      </c>
      <c r="F57" t="s">
        <v>3495</v>
      </c>
      <c r="G57" t="s">
        <v>6</v>
      </c>
      <c r="H57" t="s">
        <v>5</v>
      </c>
      <c r="I57" t="s">
        <v>3494</v>
      </c>
      <c r="N57">
        <v>1</v>
      </c>
      <c r="O57" t="s">
        <v>3493</v>
      </c>
      <c r="P57">
        <v>7202673450</v>
      </c>
      <c r="R57" s="8">
        <v>35034</v>
      </c>
      <c r="S57" s="9">
        <f t="shared" si="0"/>
        <v>1995</v>
      </c>
      <c r="T57" s="9">
        <v>1995</v>
      </c>
      <c r="U57" s="9">
        <f t="shared" si="1"/>
        <v>27</v>
      </c>
      <c r="V57" s="8">
        <v>1995</v>
      </c>
      <c r="W57" t="s">
        <v>97</v>
      </c>
      <c r="X57" s="2">
        <v>0.29499999999999998</v>
      </c>
      <c r="Y57" s="7">
        <f t="shared" si="2"/>
        <v>7.8748565174448087E-3</v>
      </c>
      <c r="AA57">
        <v>10642269</v>
      </c>
      <c r="AB57">
        <v>19554</v>
      </c>
      <c r="AD57" t="s">
        <v>3</v>
      </c>
      <c r="AE57">
        <v>40</v>
      </c>
      <c r="AF57">
        <v>12</v>
      </c>
      <c r="AH57" s="6">
        <v>44470</v>
      </c>
      <c r="AI57" t="s">
        <v>3492</v>
      </c>
      <c r="AK57" t="s">
        <v>3491</v>
      </c>
      <c r="AL57">
        <v>0</v>
      </c>
      <c r="AM57" s="5">
        <f t="shared" si="3"/>
        <v>0</v>
      </c>
      <c r="AN57" s="4">
        <f t="shared" si="4"/>
        <v>0</v>
      </c>
      <c r="AO57" s="3"/>
      <c r="AP57">
        <v>0</v>
      </c>
      <c r="AR57" t="s">
        <v>1</v>
      </c>
      <c r="AT57" s="2" t="s">
        <v>7</v>
      </c>
      <c r="AU57" s="1">
        <f t="shared" si="5"/>
        <v>0.55123995622113653</v>
      </c>
      <c r="AV57" s="1">
        <f t="shared" si="6"/>
        <v>0.39374282587224041</v>
      </c>
      <c r="AW57" s="1">
        <f t="shared" si="7"/>
        <v>0.23624569552334423</v>
      </c>
    </row>
    <row r="58" spans="1:49" x14ac:dyDescent="0.2">
      <c r="A58">
        <v>56</v>
      </c>
      <c r="B58" t="s">
        <v>3490</v>
      </c>
      <c r="F58" t="s">
        <v>3489</v>
      </c>
      <c r="G58" t="s">
        <v>6</v>
      </c>
      <c r="H58" t="s">
        <v>5</v>
      </c>
      <c r="I58" t="s">
        <v>1919</v>
      </c>
      <c r="N58">
        <v>1</v>
      </c>
      <c r="O58" t="s">
        <v>3488</v>
      </c>
      <c r="P58">
        <v>7006198109</v>
      </c>
      <c r="R58" s="8">
        <v>35034</v>
      </c>
      <c r="S58" s="9">
        <f t="shared" si="0"/>
        <v>1995</v>
      </c>
      <c r="T58" s="9">
        <v>1995</v>
      </c>
      <c r="U58" s="9">
        <f t="shared" si="1"/>
        <v>27</v>
      </c>
      <c r="V58" s="8">
        <v>1995</v>
      </c>
      <c r="W58" t="s">
        <v>97</v>
      </c>
      <c r="X58" s="2">
        <v>0.29499999999999998</v>
      </c>
      <c r="Y58" s="7">
        <f t="shared" si="2"/>
        <v>7.8748565174448087E-3</v>
      </c>
      <c r="AA58">
        <v>10642269</v>
      </c>
      <c r="AB58">
        <v>19554</v>
      </c>
      <c r="AD58" t="s">
        <v>3</v>
      </c>
      <c r="AE58">
        <v>40</v>
      </c>
      <c r="AF58">
        <v>9</v>
      </c>
      <c r="AH58" t="s">
        <v>3487</v>
      </c>
      <c r="AI58" t="s">
        <v>3486</v>
      </c>
      <c r="AK58" t="s">
        <v>3485</v>
      </c>
      <c r="AL58">
        <v>0</v>
      </c>
      <c r="AM58" s="5">
        <f t="shared" si="3"/>
        <v>0</v>
      </c>
      <c r="AN58" s="4">
        <f t="shared" si="4"/>
        <v>0</v>
      </c>
      <c r="AO58" s="3"/>
      <c r="AP58">
        <v>0</v>
      </c>
      <c r="AR58" t="s">
        <v>1</v>
      </c>
      <c r="AT58" s="2" t="s">
        <v>7</v>
      </c>
      <c r="AU58" s="1">
        <f t="shared" si="5"/>
        <v>0.55123995622113653</v>
      </c>
      <c r="AV58" s="1">
        <f t="shared" si="6"/>
        <v>0.39374282587224041</v>
      </c>
      <c r="AW58" s="1">
        <f t="shared" si="7"/>
        <v>0.23624569552334423</v>
      </c>
    </row>
    <row r="59" spans="1:49" x14ac:dyDescent="0.2">
      <c r="A59">
        <v>57</v>
      </c>
      <c r="B59" t="s">
        <v>3484</v>
      </c>
      <c r="F59" t="s">
        <v>3483</v>
      </c>
      <c r="G59" t="s">
        <v>6</v>
      </c>
      <c r="H59" t="s">
        <v>5</v>
      </c>
      <c r="I59" t="s">
        <v>3482</v>
      </c>
      <c r="N59">
        <v>2</v>
      </c>
      <c r="O59" t="s">
        <v>3481</v>
      </c>
      <c r="P59" t="s">
        <v>3480</v>
      </c>
      <c r="Q59" t="s">
        <v>73</v>
      </c>
      <c r="R59" s="8">
        <v>35034</v>
      </c>
      <c r="S59" s="9">
        <f t="shared" si="0"/>
        <v>1995</v>
      </c>
      <c r="T59" s="9">
        <v>1995</v>
      </c>
      <c r="U59" s="9">
        <f t="shared" si="1"/>
        <v>27</v>
      </c>
      <c r="V59" s="8">
        <v>1995</v>
      </c>
      <c r="W59" t="s">
        <v>97</v>
      </c>
      <c r="X59" s="2">
        <v>0.29499999999999998</v>
      </c>
      <c r="Y59" s="7">
        <f t="shared" si="2"/>
        <v>7.8748565174448087E-3</v>
      </c>
      <c r="AA59">
        <v>10642269</v>
      </c>
      <c r="AB59">
        <v>19554</v>
      </c>
      <c r="AD59" t="s">
        <v>3</v>
      </c>
      <c r="AE59">
        <v>40</v>
      </c>
      <c r="AF59">
        <v>10</v>
      </c>
      <c r="AH59" t="s">
        <v>149</v>
      </c>
      <c r="AI59" t="s">
        <v>3479</v>
      </c>
      <c r="AK59" t="s">
        <v>3478</v>
      </c>
      <c r="AL59">
        <v>0</v>
      </c>
      <c r="AM59" s="5">
        <f t="shared" si="3"/>
        <v>0</v>
      </c>
      <c r="AN59" s="4">
        <f t="shared" si="4"/>
        <v>0</v>
      </c>
      <c r="AO59" s="3"/>
      <c r="AP59">
        <v>0</v>
      </c>
      <c r="AR59" t="s">
        <v>1</v>
      </c>
      <c r="AT59" s="2" t="s">
        <v>7</v>
      </c>
      <c r="AU59" s="1">
        <f t="shared" si="5"/>
        <v>0.55123995622113653</v>
      </c>
      <c r="AV59" s="1">
        <f t="shared" si="6"/>
        <v>0.39374282587224041</v>
      </c>
      <c r="AW59" s="1">
        <f t="shared" si="7"/>
        <v>0.23624569552334423</v>
      </c>
    </row>
    <row r="60" spans="1:49" x14ac:dyDescent="0.2">
      <c r="A60">
        <v>58</v>
      </c>
      <c r="B60" t="s">
        <v>3477</v>
      </c>
      <c r="F60" t="s">
        <v>3476</v>
      </c>
      <c r="G60" t="s">
        <v>6</v>
      </c>
      <c r="H60" t="s">
        <v>5</v>
      </c>
      <c r="I60" t="s">
        <v>3475</v>
      </c>
      <c r="N60">
        <v>4</v>
      </c>
      <c r="O60" t="s">
        <v>3474</v>
      </c>
      <c r="P60" t="s">
        <v>3473</v>
      </c>
      <c r="Q60" t="s">
        <v>98</v>
      </c>
      <c r="R60" s="8">
        <v>35034</v>
      </c>
      <c r="S60" s="9">
        <f t="shared" si="0"/>
        <v>1995</v>
      </c>
      <c r="T60" s="9">
        <v>1995</v>
      </c>
      <c r="U60" s="9">
        <f t="shared" si="1"/>
        <v>27</v>
      </c>
      <c r="V60" s="8">
        <v>1995</v>
      </c>
      <c r="W60" t="s">
        <v>97</v>
      </c>
      <c r="X60" s="2">
        <v>0.29499999999999998</v>
      </c>
      <c r="Y60" s="7">
        <f t="shared" si="2"/>
        <v>7.8748565174448087E-3</v>
      </c>
      <c r="AA60">
        <v>10642269</v>
      </c>
      <c r="AB60">
        <v>19554</v>
      </c>
      <c r="AD60" t="s">
        <v>3</v>
      </c>
      <c r="AE60">
        <v>40</v>
      </c>
      <c r="AF60">
        <v>8</v>
      </c>
      <c r="AH60" s="6">
        <v>44256</v>
      </c>
      <c r="AI60" t="s">
        <v>3472</v>
      </c>
      <c r="AK60" t="s">
        <v>3471</v>
      </c>
      <c r="AL60">
        <v>0</v>
      </c>
      <c r="AM60" s="5">
        <f t="shared" si="3"/>
        <v>0</v>
      </c>
      <c r="AN60" s="4">
        <f t="shared" si="4"/>
        <v>0</v>
      </c>
      <c r="AO60" s="3"/>
      <c r="AP60">
        <v>0</v>
      </c>
      <c r="AR60" t="s">
        <v>1</v>
      </c>
      <c r="AT60" s="2" t="s">
        <v>7</v>
      </c>
      <c r="AU60" s="1">
        <f t="shared" si="5"/>
        <v>0.55123995622113653</v>
      </c>
      <c r="AV60" s="1">
        <f t="shared" si="6"/>
        <v>0.39374282587224041</v>
      </c>
      <c r="AW60" s="1">
        <f t="shared" si="7"/>
        <v>0.23624569552334423</v>
      </c>
    </row>
    <row r="61" spans="1:49" x14ac:dyDescent="0.2">
      <c r="A61">
        <v>59</v>
      </c>
      <c r="B61" t="s">
        <v>3470</v>
      </c>
      <c r="F61" t="s">
        <v>3469</v>
      </c>
      <c r="G61" t="s">
        <v>6</v>
      </c>
      <c r="H61" t="s">
        <v>5</v>
      </c>
      <c r="I61" t="s">
        <v>3468</v>
      </c>
      <c r="N61">
        <v>5</v>
      </c>
      <c r="O61" t="s">
        <v>3467</v>
      </c>
      <c r="P61" t="s">
        <v>3466</v>
      </c>
      <c r="Q61" t="s">
        <v>110</v>
      </c>
      <c r="R61" s="8">
        <v>35034</v>
      </c>
      <c r="S61" s="9">
        <f t="shared" si="0"/>
        <v>1995</v>
      </c>
      <c r="T61" s="9">
        <v>1995</v>
      </c>
      <c r="U61" s="9">
        <f t="shared" si="1"/>
        <v>27</v>
      </c>
      <c r="V61" s="8">
        <v>1995</v>
      </c>
      <c r="W61" t="s">
        <v>97</v>
      </c>
      <c r="X61" s="2">
        <v>0.29499999999999998</v>
      </c>
      <c r="Y61" s="7">
        <f t="shared" si="2"/>
        <v>7.8748565174448087E-3</v>
      </c>
      <c r="AA61">
        <v>10642269</v>
      </c>
      <c r="AB61">
        <v>19554</v>
      </c>
      <c r="AD61" t="s">
        <v>3</v>
      </c>
      <c r="AE61">
        <v>40</v>
      </c>
      <c r="AF61">
        <v>13</v>
      </c>
      <c r="AH61" t="s">
        <v>3465</v>
      </c>
      <c r="AI61" t="s">
        <v>3464</v>
      </c>
      <c r="AK61" t="s">
        <v>3463</v>
      </c>
      <c r="AL61">
        <v>0</v>
      </c>
      <c r="AM61" s="5">
        <f t="shared" si="3"/>
        <v>0</v>
      </c>
      <c r="AN61" s="4">
        <f t="shared" si="4"/>
        <v>0</v>
      </c>
      <c r="AO61" s="3"/>
      <c r="AP61">
        <v>0</v>
      </c>
      <c r="AR61" t="s">
        <v>1</v>
      </c>
      <c r="AT61" s="2" t="s">
        <v>7</v>
      </c>
      <c r="AU61" s="1">
        <f t="shared" si="5"/>
        <v>0.55123995622113653</v>
      </c>
      <c r="AV61" s="1">
        <f t="shared" si="6"/>
        <v>0.39374282587224041</v>
      </c>
      <c r="AW61" s="1">
        <f t="shared" si="7"/>
        <v>0.23624569552334423</v>
      </c>
    </row>
    <row r="62" spans="1:49" x14ac:dyDescent="0.2">
      <c r="A62">
        <v>60</v>
      </c>
      <c r="B62" t="s">
        <v>3462</v>
      </c>
      <c r="F62" t="s">
        <v>3461</v>
      </c>
      <c r="G62" t="s">
        <v>6</v>
      </c>
      <c r="H62" t="s">
        <v>5</v>
      </c>
      <c r="I62" t="s">
        <v>3460</v>
      </c>
      <c r="J62">
        <v>60016848</v>
      </c>
      <c r="K62" t="s">
        <v>3459</v>
      </c>
      <c r="L62" t="s">
        <v>254</v>
      </c>
      <c r="M62" t="s">
        <v>253</v>
      </c>
      <c r="N62">
        <v>3</v>
      </c>
      <c r="O62" t="s">
        <v>3458</v>
      </c>
      <c r="P62" t="s">
        <v>3457</v>
      </c>
      <c r="Q62" t="s">
        <v>3456</v>
      </c>
      <c r="R62" s="8">
        <v>35034</v>
      </c>
      <c r="S62" s="9">
        <f t="shared" si="0"/>
        <v>1995</v>
      </c>
      <c r="T62" s="9">
        <v>1995</v>
      </c>
      <c r="U62" s="9">
        <f t="shared" si="1"/>
        <v>27</v>
      </c>
      <c r="V62" s="8">
        <v>35034</v>
      </c>
      <c r="W62" t="s">
        <v>3455</v>
      </c>
      <c r="X62" s="2">
        <v>0.498</v>
      </c>
      <c r="Y62" s="7">
        <f t="shared" si="2"/>
        <v>1.3293825578601747E-2</v>
      </c>
      <c r="AA62">
        <v>3043622</v>
      </c>
      <c r="AB62">
        <v>40853</v>
      </c>
      <c r="AD62" t="s">
        <v>3</v>
      </c>
      <c r="AE62">
        <v>36</v>
      </c>
      <c r="AF62">
        <v>119</v>
      </c>
      <c r="AH62" t="s">
        <v>3454</v>
      </c>
      <c r="AI62" t="s">
        <v>3453</v>
      </c>
      <c r="AK62" t="s">
        <v>3452</v>
      </c>
      <c r="AL62">
        <v>0</v>
      </c>
      <c r="AM62" s="5">
        <f t="shared" si="3"/>
        <v>0</v>
      </c>
      <c r="AN62" s="4">
        <f t="shared" si="4"/>
        <v>0</v>
      </c>
      <c r="AO62" s="3"/>
      <c r="AP62">
        <v>0</v>
      </c>
      <c r="AR62" t="s">
        <v>1</v>
      </c>
      <c r="AT62" s="2" t="s">
        <v>7</v>
      </c>
      <c r="AU62" s="1">
        <f t="shared" si="5"/>
        <v>0.93056779050212235</v>
      </c>
      <c r="AV62" s="1">
        <f t="shared" si="6"/>
        <v>0.66469127893008739</v>
      </c>
      <c r="AW62" s="1">
        <f t="shared" si="7"/>
        <v>0.39881476735805238</v>
      </c>
    </row>
    <row r="63" spans="1:49" x14ac:dyDescent="0.2">
      <c r="A63">
        <v>61</v>
      </c>
      <c r="B63" t="s">
        <v>3451</v>
      </c>
      <c r="F63" t="s">
        <v>3450</v>
      </c>
      <c r="G63" t="s">
        <v>6</v>
      </c>
      <c r="H63" t="s">
        <v>5</v>
      </c>
      <c r="I63" t="s">
        <v>3449</v>
      </c>
      <c r="N63">
        <v>1</v>
      </c>
      <c r="O63" t="s">
        <v>3448</v>
      </c>
      <c r="P63">
        <v>6603064020</v>
      </c>
      <c r="R63" s="8">
        <v>35034</v>
      </c>
      <c r="S63" s="9">
        <f t="shared" si="0"/>
        <v>1995</v>
      </c>
      <c r="T63" s="9">
        <v>1995</v>
      </c>
      <c r="U63" s="9">
        <f t="shared" si="1"/>
        <v>27</v>
      </c>
      <c r="V63" s="8">
        <v>1995</v>
      </c>
      <c r="W63" t="s">
        <v>97</v>
      </c>
      <c r="X63" s="2">
        <v>0.29499999999999998</v>
      </c>
      <c r="Y63" s="7">
        <f t="shared" si="2"/>
        <v>7.8748565174448087E-3</v>
      </c>
      <c r="AA63">
        <v>10642269</v>
      </c>
      <c r="AB63">
        <v>19554</v>
      </c>
      <c r="AD63" t="s">
        <v>3</v>
      </c>
      <c r="AE63">
        <v>40</v>
      </c>
      <c r="AF63">
        <v>11</v>
      </c>
      <c r="AH63" t="s">
        <v>3447</v>
      </c>
      <c r="AI63" t="s">
        <v>3446</v>
      </c>
      <c r="AK63" t="s">
        <v>3445</v>
      </c>
      <c r="AL63">
        <v>0</v>
      </c>
      <c r="AM63" s="5">
        <f t="shared" si="3"/>
        <v>0</v>
      </c>
      <c r="AN63" s="4">
        <f t="shared" si="4"/>
        <v>0</v>
      </c>
      <c r="AO63" s="3"/>
      <c r="AP63">
        <v>0</v>
      </c>
      <c r="AR63" t="s">
        <v>1</v>
      </c>
      <c r="AT63" s="2" t="s">
        <v>7</v>
      </c>
      <c r="AU63" s="1">
        <f t="shared" si="5"/>
        <v>0.55123995622113653</v>
      </c>
      <c r="AV63" s="1">
        <f t="shared" si="6"/>
        <v>0.39374282587224041</v>
      </c>
      <c r="AW63" s="1">
        <f t="shared" si="7"/>
        <v>0.23624569552334423</v>
      </c>
    </row>
    <row r="64" spans="1:49" x14ac:dyDescent="0.2">
      <c r="A64">
        <v>62</v>
      </c>
      <c r="B64" t="s">
        <v>3444</v>
      </c>
      <c r="F64" t="s">
        <v>3443</v>
      </c>
      <c r="G64" t="s">
        <v>6</v>
      </c>
      <c r="H64" t="s">
        <v>5</v>
      </c>
      <c r="I64" t="s">
        <v>831</v>
      </c>
      <c r="N64">
        <v>2</v>
      </c>
      <c r="O64" t="s">
        <v>3442</v>
      </c>
      <c r="P64" t="s">
        <v>3441</v>
      </c>
      <c r="Q64" t="s">
        <v>73</v>
      </c>
      <c r="R64" s="8">
        <v>35034</v>
      </c>
      <c r="S64" s="9">
        <f t="shared" si="0"/>
        <v>1995</v>
      </c>
      <c r="T64" s="9">
        <v>1995</v>
      </c>
      <c r="U64" s="9">
        <f t="shared" si="1"/>
        <v>27</v>
      </c>
      <c r="V64" s="8">
        <v>1995</v>
      </c>
      <c r="W64" t="s">
        <v>97</v>
      </c>
      <c r="X64" s="2">
        <v>0.29499999999999998</v>
      </c>
      <c r="Y64" s="7">
        <f t="shared" si="2"/>
        <v>7.8748565174448087E-3</v>
      </c>
      <c r="AA64">
        <v>10642269</v>
      </c>
      <c r="AB64">
        <v>19554</v>
      </c>
      <c r="AD64" t="s">
        <v>3</v>
      </c>
      <c r="AE64">
        <v>40</v>
      </c>
      <c r="AF64">
        <v>10</v>
      </c>
      <c r="AH64" t="s">
        <v>3343</v>
      </c>
      <c r="AI64" t="s">
        <v>3440</v>
      </c>
      <c r="AK64" t="s">
        <v>3439</v>
      </c>
      <c r="AL64">
        <v>0</v>
      </c>
      <c r="AM64" s="5">
        <f t="shared" si="3"/>
        <v>0</v>
      </c>
      <c r="AN64" s="4">
        <f t="shared" si="4"/>
        <v>0</v>
      </c>
      <c r="AO64" s="3"/>
      <c r="AP64">
        <v>0</v>
      </c>
      <c r="AR64" t="s">
        <v>1</v>
      </c>
      <c r="AT64" s="2" t="s">
        <v>7</v>
      </c>
      <c r="AU64" s="1">
        <f t="shared" si="5"/>
        <v>0.55123995622113653</v>
      </c>
      <c r="AV64" s="1">
        <f t="shared" si="6"/>
        <v>0.39374282587224041</v>
      </c>
      <c r="AW64" s="1">
        <f t="shared" si="7"/>
        <v>0.23624569552334423</v>
      </c>
    </row>
    <row r="65" spans="1:49" x14ac:dyDescent="0.2">
      <c r="A65">
        <v>63</v>
      </c>
      <c r="B65" t="s">
        <v>3438</v>
      </c>
      <c r="C65" t="s">
        <v>3437</v>
      </c>
      <c r="F65" t="s">
        <v>3436</v>
      </c>
      <c r="G65" t="s">
        <v>6</v>
      </c>
      <c r="H65" t="s">
        <v>5</v>
      </c>
      <c r="I65" t="s">
        <v>3435</v>
      </c>
      <c r="J65">
        <v>60014982</v>
      </c>
      <c r="K65" t="s">
        <v>181</v>
      </c>
      <c r="L65" t="s">
        <v>180</v>
      </c>
      <c r="M65" t="s">
        <v>141</v>
      </c>
      <c r="N65">
        <v>2</v>
      </c>
      <c r="O65" t="s">
        <v>3434</v>
      </c>
      <c r="P65" t="s">
        <v>3433</v>
      </c>
      <c r="Q65" t="s">
        <v>3432</v>
      </c>
      <c r="R65" s="8">
        <v>35034</v>
      </c>
      <c r="S65" s="9">
        <f t="shared" si="0"/>
        <v>1995</v>
      </c>
      <c r="T65" s="9">
        <v>1995</v>
      </c>
      <c r="U65" s="9">
        <f t="shared" si="1"/>
        <v>27</v>
      </c>
      <c r="V65" s="8">
        <v>35034</v>
      </c>
      <c r="W65" s="11" t="s">
        <v>400</v>
      </c>
      <c r="X65" s="2">
        <v>2.383</v>
      </c>
      <c r="Y65" s="7">
        <f t="shared" si="2"/>
        <v>6.3612824003630442E-2</v>
      </c>
      <c r="AA65">
        <v>13502395</v>
      </c>
      <c r="AB65">
        <v>17418</v>
      </c>
      <c r="AD65" t="s">
        <v>3</v>
      </c>
      <c r="AE65">
        <v>142</v>
      </c>
      <c r="AF65">
        <v>6</v>
      </c>
      <c r="AH65" t="s">
        <v>3431</v>
      </c>
      <c r="AI65" t="s">
        <v>3430</v>
      </c>
      <c r="AK65" t="s">
        <v>3429</v>
      </c>
      <c r="AL65">
        <v>1</v>
      </c>
      <c r="AM65" s="5">
        <f t="shared" si="3"/>
        <v>3.7037037037037035E-2</v>
      </c>
      <c r="AN65" s="4">
        <f t="shared" si="4"/>
        <v>5.6095474497594906E-5</v>
      </c>
      <c r="AO65" s="3"/>
      <c r="AP65">
        <v>0</v>
      </c>
      <c r="AR65" t="s">
        <v>1</v>
      </c>
      <c r="AT65" s="2" t="s">
        <v>7</v>
      </c>
      <c r="AU65" s="1">
        <f t="shared" si="5"/>
        <v>4.4545805444890592</v>
      </c>
      <c r="AV65" s="1">
        <f t="shared" si="6"/>
        <v>3.183445973906402</v>
      </c>
      <c r="AW65" s="1">
        <f t="shared" si="7"/>
        <v>1.9123114033237447</v>
      </c>
    </row>
    <row r="66" spans="1:49" x14ac:dyDescent="0.2">
      <c r="A66">
        <v>64</v>
      </c>
      <c r="B66" t="s">
        <v>3428</v>
      </c>
      <c r="F66" t="s">
        <v>3427</v>
      </c>
      <c r="G66" t="s">
        <v>6</v>
      </c>
      <c r="H66" t="s">
        <v>5</v>
      </c>
      <c r="I66" t="s">
        <v>3426</v>
      </c>
      <c r="N66">
        <v>1</v>
      </c>
      <c r="O66" t="s">
        <v>3425</v>
      </c>
      <c r="P66">
        <v>57197312244</v>
      </c>
      <c r="R66" s="8">
        <v>35034</v>
      </c>
      <c r="S66" s="9">
        <f t="shared" ref="S66:S129" si="8">YEAR(R66)</f>
        <v>1995</v>
      </c>
      <c r="T66" s="9">
        <v>1995</v>
      </c>
      <c r="U66" s="9">
        <f t="shared" ref="U66:U129" si="9">2022-T66</f>
        <v>27</v>
      </c>
      <c r="V66" s="8">
        <v>1995</v>
      </c>
      <c r="W66" t="s">
        <v>97</v>
      </c>
      <c r="X66" s="2">
        <v>0.29499999999999998</v>
      </c>
      <c r="Y66" s="7">
        <f t="shared" ref="Y66:Y129" si="10">(X66-$Z$4)/($Z$3-$Z$4)</f>
        <v>7.8748565174448087E-3</v>
      </c>
      <c r="AA66">
        <v>10642269</v>
      </c>
      <c r="AB66">
        <v>19554</v>
      </c>
      <c r="AD66" t="s">
        <v>3</v>
      </c>
      <c r="AE66">
        <v>40</v>
      </c>
      <c r="AF66">
        <v>10</v>
      </c>
      <c r="AH66" t="s">
        <v>128</v>
      </c>
      <c r="AI66" t="s">
        <v>3424</v>
      </c>
      <c r="AK66" t="s">
        <v>3423</v>
      </c>
      <c r="AL66">
        <v>0</v>
      </c>
      <c r="AM66" s="5">
        <f t="shared" ref="AM66:AM129" si="11">AL66/U66</f>
        <v>0</v>
      </c>
      <c r="AN66" s="4">
        <f t="shared" ref="AN66:AN129" si="12">(AM66-$AO$4)/($AO$3-$AO$4)</f>
        <v>0</v>
      </c>
      <c r="AO66" s="3"/>
      <c r="AP66">
        <v>0</v>
      </c>
      <c r="AR66" t="s">
        <v>1</v>
      </c>
      <c r="AT66" s="2" t="s">
        <v>7</v>
      </c>
      <c r="AU66" s="1">
        <f t="shared" ref="AU66:AU129" si="13">(Y66*0.7+AN66*0.3)*100</f>
        <v>0.55123995622113653</v>
      </c>
      <c r="AV66" s="1">
        <f t="shared" ref="AV66:AV129" si="14">(Y66*0.5+AN66*0.5)*100</f>
        <v>0.39374282587224041</v>
      </c>
      <c r="AW66" s="1">
        <f t="shared" ref="AW66:AW129" si="15">(Y66*0.3+AN66*0.7)*100</f>
        <v>0.23624569552334423</v>
      </c>
    </row>
    <row r="67" spans="1:49" x14ac:dyDescent="0.2">
      <c r="A67">
        <v>65</v>
      </c>
      <c r="B67" t="s">
        <v>3422</v>
      </c>
      <c r="C67" t="s">
        <v>3421</v>
      </c>
      <c r="F67" t="s">
        <v>3420</v>
      </c>
      <c r="G67" t="s">
        <v>6</v>
      </c>
      <c r="H67" t="s">
        <v>5</v>
      </c>
      <c r="I67" t="s">
        <v>3419</v>
      </c>
      <c r="J67" t="s">
        <v>3413</v>
      </c>
      <c r="K67" t="s">
        <v>3418</v>
      </c>
      <c r="L67" t="s">
        <v>3417</v>
      </c>
      <c r="M67" t="s">
        <v>3416</v>
      </c>
      <c r="N67">
        <v>2</v>
      </c>
      <c r="O67" t="s">
        <v>3415</v>
      </c>
      <c r="P67" t="s">
        <v>3414</v>
      </c>
      <c r="Q67" t="s">
        <v>3413</v>
      </c>
      <c r="R67" s="8">
        <v>35034</v>
      </c>
      <c r="S67" s="9">
        <f t="shared" si="8"/>
        <v>1995</v>
      </c>
      <c r="T67" s="9">
        <v>1995</v>
      </c>
      <c r="U67" s="9">
        <f t="shared" si="9"/>
        <v>27</v>
      </c>
      <c r="V67" s="8">
        <v>35034</v>
      </c>
      <c r="W67" t="s">
        <v>282</v>
      </c>
      <c r="X67" s="2">
        <v>0.61499999999999999</v>
      </c>
      <c r="Y67" s="7">
        <f t="shared" si="10"/>
        <v>1.6417073756706976E-2</v>
      </c>
      <c r="AA67">
        <v>1959271</v>
      </c>
      <c r="AB67">
        <v>12141</v>
      </c>
      <c r="AC67">
        <v>15729559</v>
      </c>
      <c r="AD67" t="s">
        <v>3</v>
      </c>
      <c r="AE67">
        <v>16</v>
      </c>
      <c r="AF67">
        <v>12</v>
      </c>
      <c r="AH67" t="s">
        <v>3412</v>
      </c>
      <c r="AI67" t="s">
        <v>3411</v>
      </c>
      <c r="AK67" t="s">
        <v>3410</v>
      </c>
      <c r="AL67">
        <v>4</v>
      </c>
      <c r="AM67" s="5">
        <f t="shared" si="11"/>
        <v>0.14814814814814814</v>
      </c>
      <c r="AN67" s="4">
        <f t="shared" si="12"/>
        <v>2.2438189799037963E-4</v>
      </c>
      <c r="AO67" s="3"/>
      <c r="AP67">
        <v>0</v>
      </c>
      <c r="AR67" t="s">
        <v>1</v>
      </c>
      <c r="AT67" s="2" t="s">
        <v>7</v>
      </c>
      <c r="AU67" s="1">
        <f t="shared" si="13"/>
        <v>1.1559266199091995</v>
      </c>
      <c r="AV67" s="1">
        <f t="shared" si="14"/>
        <v>0.83207278273486773</v>
      </c>
      <c r="AW67" s="1">
        <f t="shared" si="15"/>
        <v>0.50821894556053582</v>
      </c>
    </row>
    <row r="68" spans="1:49" x14ac:dyDescent="0.2">
      <c r="A68">
        <v>66</v>
      </c>
      <c r="B68" t="s">
        <v>3409</v>
      </c>
      <c r="C68" t="s">
        <v>3408</v>
      </c>
      <c r="F68" t="s">
        <v>3407</v>
      </c>
      <c r="G68" t="s">
        <v>6</v>
      </c>
      <c r="H68" t="s">
        <v>5</v>
      </c>
      <c r="I68" t="s">
        <v>3406</v>
      </c>
      <c r="J68">
        <v>60015331</v>
      </c>
      <c r="K68" t="s">
        <v>240</v>
      </c>
      <c r="L68" t="s">
        <v>239</v>
      </c>
      <c r="M68" t="s">
        <v>81</v>
      </c>
      <c r="N68">
        <v>5</v>
      </c>
      <c r="O68" t="s">
        <v>3405</v>
      </c>
      <c r="P68" t="s">
        <v>3404</v>
      </c>
      <c r="Q68" t="s">
        <v>3403</v>
      </c>
      <c r="R68" s="8">
        <v>35034</v>
      </c>
      <c r="S68" s="9">
        <f t="shared" si="8"/>
        <v>1995</v>
      </c>
      <c r="T68" s="9">
        <v>1995</v>
      </c>
      <c r="U68" s="9">
        <f t="shared" si="9"/>
        <v>27</v>
      </c>
      <c r="V68" s="8">
        <v>35034</v>
      </c>
      <c r="W68" t="s">
        <v>173</v>
      </c>
      <c r="X68" s="2">
        <v>0.78200000000000003</v>
      </c>
      <c r="Y68" s="7">
        <f t="shared" si="10"/>
        <v>2.0875043378446919E-2</v>
      </c>
      <c r="AA68">
        <v>189316</v>
      </c>
      <c r="AB68">
        <v>19901</v>
      </c>
      <c r="AD68" t="s">
        <v>3</v>
      </c>
      <c r="AE68">
        <v>41</v>
      </c>
      <c r="AF68">
        <v>4</v>
      </c>
      <c r="AH68" t="s">
        <v>3402</v>
      </c>
      <c r="AI68" t="s">
        <v>3401</v>
      </c>
      <c r="AK68" t="s">
        <v>3400</v>
      </c>
      <c r="AL68">
        <v>7</v>
      </c>
      <c r="AM68" s="5">
        <f t="shared" si="11"/>
        <v>0.25925925925925924</v>
      </c>
      <c r="AN68" s="4">
        <f t="shared" si="12"/>
        <v>3.9266832148316435E-4</v>
      </c>
      <c r="AO68" s="3"/>
      <c r="AP68">
        <v>0</v>
      </c>
      <c r="AR68" t="s">
        <v>1</v>
      </c>
      <c r="AT68" s="2">
        <v>3.863</v>
      </c>
      <c r="AU68" s="1">
        <f t="shared" si="13"/>
        <v>1.473033086135779</v>
      </c>
      <c r="AV68" s="1">
        <f t="shared" si="14"/>
        <v>1.0633855849965042</v>
      </c>
      <c r="AW68" s="1">
        <f t="shared" si="15"/>
        <v>0.65373808385722909</v>
      </c>
    </row>
    <row r="69" spans="1:49" x14ac:dyDescent="0.2">
      <c r="A69">
        <v>67</v>
      </c>
      <c r="B69" t="s">
        <v>3399</v>
      </c>
      <c r="F69" t="s">
        <v>3398</v>
      </c>
      <c r="G69" t="s">
        <v>6</v>
      </c>
      <c r="H69" t="s">
        <v>5</v>
      </c>
      <c r="I69" t="s">
        <v>3397</v>
      </c>
      <c r="J69">
        <v>101152941</v>
      </c>
      <c r="K69" t="s">
        <v>3396</v>
      </c>
      <c r="N69">
        <v>2</v>
      </c>
      <c r="O69" t="s">
        <v>3395</v>
      </c>
      <c r="P69" t="s">
        <v>3394</v>
      </c>
      <c r="Q69" t="s">
        <v>3393</v>
      </c>
      <c r="R69" s="8">
        <v>35034</v>
      </c>
      <c r="S69" s="9">
        <f t="shared" si="8"/>
        <v>1995</v>
      </c>
      <c r="T69" s="9">
        <v>1995</v>
      </c>
      <c r="U69" s="9">
        <f t="shared" si="9"/>
        <v>27</v>
      </c>
      <c r="V69" s="8">
        <v>35034</v>
      </c>
      <c r="W69" t="s">
        <v>3384</v>
      </c>
      <c r="X69" s="2" t="s">
        <v>7</v>
      </c>
      <c r="Y69" s="7" t="e">
        <f t="shared" si="10"/>
        <v>#VALUE!</v>
      </c>
      <c r="AA69">
        <v>3865096</v>
      </c>
      <c r="AB69">
        <v>18584</v>
      </c>
      <c r="AD69" t="s">
        <v>3</v>
      </c>
      <c r="AE69">
        <v>73</v>
      </c>
      <c r="AH69" t="s">
        <v>3247</v>
      </c>
      <c r="AI69" t="s">
        <v>3392</v>
      </c>
      <c r="AK69" t="s">
        <v>3391</v>
      </c>
      <c r="AL69">
        <v>0</v>
      </c>
      <c r="AM69" s="5">
        <f t="shared" si="11"/>
        <v>0</v>
      </c>
      <c r="AN69" s="4">
        <f t="shared" si="12"/>
        <v>0</v>
      </c>
      <c r="AO69" s="3"/>
      <c r="AP69">
        <v>0</v>
      </c>
      <c r="AR69" t="s">
        <v>1</v>
      </c>
      <c r="AT69" s="2" t="s">
        <v>7</v>
      </c>
      <c r="AU69" s="1" t="e">
        <f t="shared" si="13"/>
        <v>#VALUE!</v>
      </c>
      <c r="AV69" s="1" t="e">
        <f t="shared" si="14"/>
        <v>#VALUE!</v>
      </c>
      <c r="AW69" s="1" t="e">
        <f t="shared" si="15"/>
        <v>#VALUE!</v>
      </c>
    </row>
    <row r="70" spans="1:49" x14ac:dyDescent="0.2">
      <c r="A70">
        <v>68</v>
      </c>
      <c r="B70" t="s">
        <v>3390</v>
      </c>
      <c r="F70" t="s">
        <v>3389</v>
      </c>
      <c r="G70" t="s">
        <v>6</v>
      </c>
      <c r="H70" t="s">
        <v>5</v>
      </c>
      <c r="I70" t="s">
        <v>3388</v>
      </c>
      <c r="J70">
        <v>100323058</v>
      </c>
      <c r="K70" t="s">
        <v>3387</v>
      </c>
      <c r="L70" t="s">
        <v>3386</v>
      </c>
      <c r="M70" t="s">
        <v>109</v>
      </c>
      <c r="N70">
        <v>1</v>
      </c>
      <c r="O70" t="s">
        <v>3385</v>
      </c>
      <c r="P70">
        <v>54887179200</v>
      </c>
      <c r="Q70">
        <v>100323058</v>
      </c>
      <c r="R70" s="8">
        <v>35034</v>
      </c>
      <c r="S70" s="9">
        <f t="shared" si="8"/>
        <v>1995</v>
      </c>
      <c r="T70" s="9">
        <v>1995</v>
      </c>
      <c r="U70" s="9">
        <f t="shared" si="9"/>
        <v>27</v>
      </c>
      <c r="V70" s="8">
        <v>35034</v>
      </c>
      <c r="W70" t="s">
        <v>3384</v>
      </c>
      <c r="X70" s="2" t="s">
        <v>7</v>
      </c>
      <c r="Y70" s="7" t="e">
        <f t="shared" si="10"/>
        <v>#VALUE!</v>
      </c>
      <c r="AA70">
        <v>3865096</v>
      </c>
      <c r="AB70">
        <v>18584</v>
      </c>
      <c r="AD70" t="s">
        <v>3</v>
      </c>
      <c r="AE70">
        <v>73</v>
      </c>
      <c r="AH70" t="s">
        <v>3383</v>
      </c>
      <c r="AI70" t="s">
        <v>3382</v>
      </c>
      <c r="AK70" t="s">
        <v>3381</v>
      </c>
      <c r="AL70">
        <v>0</v>
      </c>
      <c r="AM70" s="5">
        <f t="shared" si="11"/>
        <v>0</v>
      </c>
      <c r="AN70" s="4">
        <f t="shared" si="12"/>
        <v>0</v>
      </c>
      <c r="AO70" s="3"/>
      <c r="AP70">
        <v>0</v>
      </c>
      <c r="AR70" t="s">
        <v>1</v>
      </c>
      <c r="AT70" s="2" t="s">
        <v>7</v>
      </c>
      <c r="AU70" s="1" t="e">
        <f t="shared" si="13"/>
        <v>#VALUE!</v>
      </c>
      <c r="AV70" s="1" t="e">
        <f t="shared" si="14"/>
        <v>#VALUE!</v>
      </c>
      <c r="AW70" s="1" t="e">
        <f t="shared" si="15"/>
        <v>#VALUE!</v>
      </c>
    </row>
    <row r="71" spans="1:49" x14ac:dyDescent="0.2">
      <c r="A71">
        <v>69</v>
      </c>
      <c r="B71" t="s">
        <v>3380</v>
      </c>
      <c r="C71" t="s">
        <v>3379</v>
      </c>
      <c r="F71" t="s">
        <v>3378</v>
      </c>
      <c r="G71" t="s">
        <v>6</v>
      </c>
      <c r="H71" t="s">
        <v>5</v>
      </c>
      <c r="I71" t="s">
        <v>3377</v>
      </c>
      <c r="J71">
        <v>60110693</v>
      </c>
      <c r="K71" t="s">
        <v>428</v>
      </c>
      <c r="L71" t="s">
        <v>427</v>
      </c>
      <c r="M71" t="s">
        <v>79</v>
      </c>
      <c r="N71">
        <v>3</v>
      </c>
      <c r="O71" t="s">
        <v>3376</v>
      </c>
      <c r="P71" t="s">
        <v>3375</v>
      </c>
      <c r="Q71" t="s">
        <v>426</v>
      </c>
      <c r="R71" s="8">
        <v>35034</v>
      </c>
      <c r="S71" s="9">
        <f t="shared" si="8"/>
        <v>1995</v>
      </c>
      <c r="T71" s="9">
        <v>1995</v>
      </c>
      <c r="U71" s="9">
        <f t="shared" si="9"/>
        <v>27</v>
      </c>
      <c r="V71" s="8">
        <v>35034</v>
      </c>
      <c r="W71" s="11" t="s">
        <v>238</v>
      </c>
      <c r="X71" s="2">
        <v>2.383</v>
      </c>
      <c r="Y71" s="7">
        <f t="shared" si="10"/>
        <v>6.3612824003630442E-2</v>
      </c>
      <c r="AA71">
        <v>13502417</v>
      </c>
      <c r="AB71">
        <v>17416</v>
      </c>
      <c r="AD71" t="s">
        <v>3</v>
      </c>
      <c r="AE71">
        <v>142</v>
      </c>
      <c r="AF71">
        <v>6</v>
      </c>
      <c r="AH71" t="s">
        <v>3374</v>
      </c>
      <c r="AI71" t="s">
        <v>3373</v>
      </c>
      <c r="AK71" t="s">
        <v>3372</v>
      </c>
      <c r="AL71">
        <v>1</v>
      </c>
      <c r="AM71" s="5">
        <f t="shared" si="11"/>
        <v>3.7037037037037035E-2</v>
      </c>
      <c r="AN71" s="4">
        <f t="shared" si="12"/>
        <v>5.6095474497594906E-5</v>
      </c>
      <c r="AO71" s="3"/>
      <c r="AP71">
        <v>0</v>
      </c>
      <c r="AR71" t="s">
        <v>1</v>
      </c>
      <c r="AT71" s="2" t="s">
        <v>7</v>
      </c>
      <c r="AU71" s="1">
        <f t="shared" si="13"/>
        <v>4.4545805444890592</v>
      </c>
      <c r="AV71" s="1">
        <f t="shared" si="14"/>
        <v>3.183445973906402</v>
      </c>
      <c r="AW71" s="1">
        <f t="shared" si="15"/>
        <v>1.9123114033237447</v>
      </c>
    </row>
    <row r="72" spans="1:49" x14ac:dyDescent="0.2">
      <c r="A72">
        <v>70</v>
      </c>
      <c r="B72" t="s">
        <v>3371</v>
      </c>
      <c r="F72" t="s">
        <v>3370</v>
      </c>
      <c r="G72" t="s">
        <v>6</v>
      </c>
      <c r="H72" t="s">
        <v>5</v>
      </c>
      <c r="I72" t="s">
        <v>3369</v>
      </c>
      <c r="N72">
        <v>4</v>
      </c>
      <c r="O72" t="s">
        <v>3368</v>
      </c>
      <c r="P72" t="s">
        <v>3367</v>
      </c>
      <c r="Q72" t="s">
        <v>98</v>
      </c>
      <c r="R72" s="8">
        <v>35034</v>
      </c>
      <c r="S72" s="9">
        <f t="shared" si="8"/>
        <v>1995</v>
      </c>
      <c r="T72" s="9">
        <v>1995</v>
      </c>
      <c r="U72" s="9">
        <f t="shared" si="9"/>
        <v>27</v>
      </c>
      <c r="V72" s="8">
        <v>1995</v>
      </c>
      <c r="W72" t="s">
        <v>97</v>
      </c>
      <c r="X72" s="2">
        <v>0.29499999999999998</v>
      </c>
      <c r="Y72" s="7">
        <f t="shared" si="10"/>
        <v>7.8748565174448087E-3</v>
      </c>
      <c r="AA72">
        <v>10642269</v>
      </c>
      <c r="AB72">
        <v>19554</v>
      </c>
      <c r="AD72" t="s">
        <v>3</v>
      </c>
      <c r="AE72">
        <v>40</v>
      </c>
      <c r="AF72">
        <v>12</v>
      </c>
      <c r="AH72" t="s">
        <v>3366</v>
      </c>
      <c r="AI72" t="s">
        <v>3365</v>
      </c>
      <c r="AK72" t="s">
        <v>3364</v>
      </c>
      <c r="AL72">
        <v>0</v>
      </c>
      <c r="AM72" s="5">
        <f t="shared" si="11"/>
        <v>0</v>
      </c>
      <c r="AN72" s="4">
        <f t="shared" si="12"/>
        <v>0</v>
      </c>
      <c r="AO72" s="3"/>
      <c r="AP72">
        <v>0</v>
      </c>
      <c r="AR72" t="s">
        <v>1</v>
      </c>
      <c r="AT72" s="2" t="s">
        <v>7</v>
      </c>
      <c r="AU72" s="1">
        <f t="shared" si="13"/>
        <v>0.55123995622113653</v>
      </c>
      <c r="AV72" s="1">
        <f t="shared" si="14"/>
        <v>0.39374282587224041</v>
      </c>
      <c r="AW72" s="1">
        <f t="shared" si="15"/>
        <v>0.23624569552334423</v>
      </c>
    </row>
    <row r="73" spans="1:49" x14ac:dyDescent="0.2">
      <c r="A73">
        <v>71</v>
      </c>
      <c r="B73" t="s">
        <v>3363</v>
      </c>
      <c r="C73" t="s">
        <v>3362</v>
      </c>
      <c r="F73" t="s">
        <v>3361</v>
      </c>
      <c r="G73" t="s">
        <v>6</v>
      </c>
      <c r="H73" t="s">
        <v>5</v>
      </c>
      <c r="I73" t="s">
        <v>3360</v>
      </c>
      <c r="J73" t="s">
        <v>3359</v>
      </c>
      <c r="K73" t="s">
        <v>3358</v>
      </c>
      <c r="L73" t="s">
        <v>3357</v>
      </c>
      <c r="M73" t="s">
        <v>3356</v>
      </c>
      <c r="N73">
        <v>3</v>
      </c>
      <c r="O73" t="s">
        <v>3355</v>
      </c>
      <c r="P73" t="s">
        <v>3354</v>
      </c>
      <c r="Q73" t="s">
        <v>3353</v>
      </c>
      <c r="R73" s="8">
        <v>35034</v>
      </c>
      <c r="S73" s="9">
        <f t="shared" si="8"/>
        <v>1995</v>
      </c>
      <c r="T73" s="9">
        <v>1995</v>
      </c>
      <c r="U73" s="9">
        <f t="shared" si="9"/>
        <v>27</v>
      </c>
      <c r="V73" s="8">
        <v>35034</v>
      </c>
      <c r="W73" t="s">
        <v>282</v>
      </c>
      <c r="X73" s="2">
        <v>0.61499999999999999</v>
      </c>
      <c r="Y73" s="7">
        <f t="shared" si="10"/>
        <v>1.6417073756706976E-2</v>
      </c>
      <c r="AA73">
        <v>1959271</v>
      </c>
      <c r="AB73">
        <v>12141</v>
      </c>
      <c r="AC73">
        <v>15729559</v>
      </c>
      <c r="AD73" t="s">
        <v>3</v>
      </c>
      <c r="AE73">
        <v>16</v>
      </c>
      <c r="AF73">
        <v>12</v>
      </c>
      <c r="AH73" t="s">
        <v>3352</v>
      </c>
      <c r="AI73" t="s">
        <v>3351</v>
      </c>
      <c r="AJ73" t="s">
        <v>3350</v>
      </c>
      <c r="AK73" t="s">
        <v>3349</v>
      </c>
      <c r="AL73">
        <v>2</v>
      </c>
      <c r="AM73" s="5">
        <f t="shared" si="11"/>
        <v>7.407407407407407E-2</v>
      </c>
      <c r="AN73" s="4">
        <f t="shared" si="12"/>
        <v>1.1219094899518981E-4</v>
      </c>
      <c r="AO73" s="3"/>
      <c r="AP73">
        <v>0</v>
      </c>
      <c r="AR73" t="s">
        <v>1</v>
      </c>
      <c r="AT73" s="2" t="s">
        <v>7</v>
      </c>
      <c r="AU73" s="1">
        <f t="shared" si="13"/>
        <v>1.1525608914393439</v>
      </c>
      <c r="AV73" s="1">
        <f t="shared" si="14"/>
        <v>0.82646323528510823</v>
      </c>
      <c r="AW73" s="1">
        <f t="shared" si="15"/>
        <v>0.50036557913087254</v>
      </c>
    </row>
    <row r="74" spans="1:49" x14ac:dyDescent="0.2">
      <c r="A74">
        <v>72</v>
      </c>
      <c r="B74" t="s">
        <v>3348</v>
      </c>
      <c r="F74" t="s">
        <v>3347</v>
      </c>
      <c r="G74" t="s">
        <v>6</v>
      </c>
      <c r="H74" t="s">
        <v>5</v>
      </c>
      <c r="I74" t="s">
        <v>3346</v>
      </c>
      <c r="N74">
        <v>3</v>
      </c>
      <c r="O74" t="s">
        <v>3345</v>
      </c>
      <c r="P74" t="s">
        <v>3344</v>
      </c>
      <c r="Q74" t="s">
        <v>107</v>
      </c>
      <c r="R74" s="8">
        <v>35034</v>
      </c>
      <c r="S74" s="9">
        <f t="shared" si="8"/>
        <v>1995</v>
      </c>
      <c r="T74" s="9">
        <v>1995</v>
      </c>
      <c r="U74" s="9">
        <f t="shared" si="9"/>
        <v>27</v>
      </c>
      <c r="V74" s="8">
        <v>1995</v>
      </c>
      <c r="W74" t="s">
        <v>97</v>
      </c>
      <c r="X74" s="2">
        <v>0.29499999999999998</v>
      </c>
      <c r="Y74" s="7">
        <f t="shared" si="10"/>
        <v>7.8748565174448087E-3</v>
      </c>
      <c r="AA74">
        <v>10642269</v>
      </c>
      <c r="AB74">
        <v>19554</v>
      </c>
      <c r="AD74" t="s">
        <v>3</v>
      </c>
      <c r="AE74">
        <v>40</v>
      </c>
      <c r="AF74">
        <v>14</v>
      </c>
      <c r="AH74" t="s">
        <v>3343</v>
      </c>
      <c r="AI74" t="s">
        <v>3342</v>
      </c>
      <c r="AK74" t="s">
        <v>3341</v>
      </c>
      <c r="AL74">
        <v>0</v>
      </c>
      <c r="AM74" s="5">
        <f t="shared" si="11"/>
        <v>0</v>
      </c>
      <c r="AN74" s="4">
        <f t="shared" si="12"/>
        <v>0</v>
      </c>
      <c r="AO74" s="3"/>
      <c r="AP74">
        <v>0</v>
      </c>
      <c r="AR74" t="s">
        <v>1</v>
      </c>
      <c r="AT74" s="2" t="s">
        <v>7</v>
      </c>
      <c r="AU74" s="1">
        <f t="shared" si="13"/>
        <v>0.55123995622113653</v>
      </c>
      <c r="AV74" s="1">
        <f t="shared" si="14"/>
        <v>0.39374282587224041</v>
      </c>
      <c r="AW74" s="1">
        <f t="shared" si="15"/>
        <v>0.23624569552334423</v>
      </c>
    </row>
    <row r="75" spans="1:49" x14ac:dyDescent="0.2">
      <c r="A75">
        <v>73</v>
      </c>
      <c r="B75" t="s">
        <v>3340</v>
      </c>
      <c r="F75" t="s">
        <v>3339</v>
      </c>
      <c r="G75" t="s">
        <v>6</v>
      </c>
      <c r="H75" t="s">
        <v>5</v>
      </c>
      <c r="I75" t="s">
        <v>3338</v>
      </c>
      <c r="N75">
        <v>1</v>
      </c>
      <c r="O75" t="s">
        <v>3337</v>
      </c>
      <c r="P75">
        <v>7004949360</v>
      </c>
      <c r="R75" s="8">
        <v>35034</v>
      </c>
      <c r="S75" s="9">
        <f t="shared" si="8"/>
        <v>1995</v>
      </c>
      <c r="T75" s="9">
        <v>1995</v>
      </c>
      <c r="U75" s="9">
        <f t="shared" si="9"/>
        <v>27</v>
      </c>
      <c r="V75" s="8">
        <v>1995</v>
      </c>
      <c r="W75" t="s">
        <v>97</v>
      </c>
      <c r="X75" s="2">
        <v>0.29499999999999998</v>
      </c>
      <c r="Y75" s="7">
        <f t="shared" si="10"/>
        <v>7.8748565174448087E-3</v>
      </c>
      <c r="AA75">
        <v>10642269</v>
      </c>
      <c r="AB75">
        <v>19554</v>
      </c>
      <c r="AD75" t="s">
        <v>3</v>
      </c>
      <c r="AE75">
        <v>40</v>
      </c>
      <c r="AF75">
        <v>6</v>
      </c>
      <c r="AH75" t="s">
        <v>3336</v>
      </c>
      <c r="AI75" t="s">
        <v>3335</v>
      </c>
      <c r="AK75" t="s">
        <v>3334</v>
      </c>
      <c r="AL75">
        <v>0</v>
      </c>
      <c r="AM75" s="5">
        <f t="shared" si="11"/>
        <v>0</v>
      </c>
      <c r="AN75" s="4">
        <f t="shared" si="12"/>
        <v>0</v>
      </c>
      <c r="AO75" s="3"/>
      <c r="AP75">
        <v>0</v>
      </c>
      <c r="AR75" t="s">
        <v>1</v>
      </c>
      <c r="AT75" s="2" t="s">
        <v>7</v>
      </c>
      <c r="AU75" s="1">
        <f t="shared" si="13"/>
        <v>0.55123995622113653</v>
      </c>
      <c r="AV75" s="1">
        <f t="shared" si="14"/>
        <v>0.39374282587224041</v>
      </c>
      <c r="AW75" s="1">
        <f t="shared" si="15"/>
        <v>0.23624569552334423</v>
      </c>
    </row>
    <row r="76" spans="1:49" x14ac:dyDescent="0.2">
      <c r="A76">
        <v>74</v>
      </c>
      <c r="B76" t="s">
        <v>3333</v>
      </c>
      <c r="C76" t="s">
        <v>3332</v>
      </c>
      <c r="F76" t="s">
        <v>3331</v>
      </c>
      <c r="G76" t="s">
        <v>6</v>
      </c>
      <c r="H76" t="s">
        <v>5</v>
      </c>
      <c r="I76" t="s">
        <v>103</v>
      </c>
      <c r="J76">
        <v>60025534</v>
      </c>
      <c r="K76" t="s">
        <v>2860</v>
      </c>
      <c r="L76" t="s">
        <v>2859</v>
      </c>
      <c r="M76" t="s">
        <v>4</v>
      </c>
      <c r="N76">
        <v>2</v>
      </c>
      <c r="O76" t="s">
        <v>3330</v>
      </c>
      <c r="P76" t="s">
        <v>3329</v>
      </c>
      <c r="Q76" t="s">
        <v>3328</v>
      </c>
      <c r="R76" s="8">
        <v>35034</v>
      </c>
      <c r="S76" s="9">
        <f t="shared" si="8"/>
        <v>1995</v>
      </c>
      <c r="T76" s="9">
        <v>1995</v>
      </c>
      <c r="U76" s="9">
        <f t="shared" si="9"/>
        <v>27</v>
      </c>
      <c r="V76" s="8">
        <v>1995</v>
      </c>
      <c r="W76" t="s">
        <v>21</v>
      </c>
      <c r="X76" s="2">
        <v>1.1819999999999999</v>
      </c>
      <c r="Y76" s="7">
        <f t="shared" si="10"/>
        <v>3.1552814927524625E-2</v>
      </c>
      <c r="AA76">
        <v>36951</v>
      </c>
      <c r="AB76">
        <v>27030</v>
      </c>
      <c r="AD76" t="s">
        <v>3</v>
      </c>
      <c r="AE76">
        <v>67</v>
      </c>
      <c r="AH76">
        <v>3523</v>
      </c>
      <c r="AI76" t="s">
        <v>3327</v>
      </c>
      <c r="AK76" t="s">
        <v>3326</v>
      </c>
      <c r="AL76">
        <v>805</v>
      </c>
      <c r="AM76" s="5">
        <f t="shared" si="11"/>
        <v>29.814814814814813</v>
      </c>
      <c r="AN76" s="4">
        <f t="shared" si="12"/>
        <v>4.5156856970563895E-2</v>
      </c>
      <c r="AO76" s="3"/>
      <c r="AP76">
        <v>0</v>
      </c>
      <c r="AR76" t="s">
        <v>1</v>
      </c>
      <c r="AT76" s="2">
        <v>3.7909999999999999</v>
      </c>
      <c r="AU76" s="1">
        <f t="shared" si="13"/>
        <v>3.5634027540436404</v>
      </c>
      <c r="AV76" s="1">
        <f t="shared" si="14"/>
        <v>3.8354835949044261</v>
      </c>
      <c r="AW76" s="1">
        <f t="shared" si="15"/>
        <v>4.1075644357652115</v>
      </c>
    </row>
    <row r="77" spans="1:49" x14ac:dyDescent="0.2">
      <c r="A77">
        <v>75</v>
      </c>
      <c r="B77" t="s">
        <v>3325</v>
      </c>
      <c r="F77" t="s">
        <v>3324</v>
      </c>
      <c r="G77" t="s">
        <v>6</v>
      </c>
      <c r="H77" t="s">
        <v>5</v>
      </c>
      <c r="I77" t="s">
        <v>3323</v>
      </c>
      <c r="N77">
        <v>2</v>
      </c>
      <c r="O77" t="s">
        <v>3322</v>
      </c>
      <c r="P77" t="s">
        <v>3321</v>
      </c>
      <c r="Q77" t="s">
        <v>73</v>
      </c>
      <c r="R77" s="8">
        <v>35034</v>
      </c>
      <c r="S77" s="9">
        <f t="shared" si="8"/>
        <v>1995</v>
      </c>
      <c r="T77" s="9">
        <v>1995</v>
      </c>
      <c r="U77" s="9">
        <f t="shared" si="9"/>
        <v>27</v>
      </c>
      <c r="V77" s="8">
        <v>1995</v>
      </c>
      <c r="W77" t="s">
        <v>97</v>
      </c>
      <c r="X77" s="2">
        <v>0.29499999999999998</v>
      </c>
      <c r="Y77" s="7">
        <f t="shared" si="10"/>
        <v>7.8748565174448087E-3</v>
      </c>
      <c r="AA77">
        <v>10642269</v>
      </c>
      <c r="AB77">
        <v>19554</v>
      </c>
      <c r="AD77" t="s">
        <v>3</v>
      </c>
      <c r="AE77">
        <v>40</v>
      </c>
      <c r="AF77">
        <v>11</v>
      </c>
      <c r="AH77" t="s">
        <v>3320</v>
      </c>
      <c r="AI77" t="s">
        <v>3319</v>
      </c>
      <c r="AK77" t="s">
        <v>3318</v>
      </c>
      <c r="AL77">
        <v>0</v>
      </c>
      <c r="AM77" s="5">
        <f t="shared" si="11"/>
        <v>0</v>
      </c>
      <c r="AN77" s="4">
        <f t="shared" si="12"/>
        <v>0</v>
      </c>
      <c r="AO77" s="3"/>
      <c r="AP77">
        <v>0</v>
      </c>
      <c r="AR77" t="s">
        <v>1</v>
      </c>
      <c r="AT77" s="2" t="s">
        <v>7</v>
      </c>
      <c r="AU77" s="1">
        <f t="shared" si="13"/>
        <v>0.55123995622113653</v>
      </c>
      <c r="AV77" s="1">
        <f t="shared" si="14"/>
        <v>0.39374282587224041</v>
      </c>
      <c r="AW77" s="1">
        <f t="shared" si="15"/>
        <v>0.23624569552334423</v>
      </c>
    </row>
    <row r="78" spans="1:49" x14ac:dyDescent="0.2">
      <c r="A78">
        <v>76</v>
      </c>
      <c r="B78" t="s">
        <v>3317</v>
      </c>
      <c r="F78" t="s">
        <v>3316</v>
      </c>
      <c r="G78" t="s">
        <v>6</v>
      </c>
      <c r="H78" t="s">
        <v>5</v>
      </c>
      <c r="I78" t="s">
        <v>3315</v>
      </c>
      <c r="N78">
        <v>4</v>
      </c>
      <c r="O78" t="s">
        <v>3314</v>
      </c>
      <c r="P78" t="s">
        <v>3313</v>
      </c>
      <c r="Q78" t="s">
        <v>98</v>
      </c>
      <c r="R78" s="8">
        <v>35034</v>
      </c>
      <c r="S78" s="9">
        <f t="shared" si="8"/>
        <v>1995</v>
      </c>
      <c r="T78" s="9">
        <v>1995</v>
      </c>
      <c r="U78" s="9">
        <f t="shared" si="9"/>
        <v>27</v>
      </c>
      <c r="V78" s="8">
        <v>1995</v>
      </c>
      <c r="W78" t="s">
        <v>3127</v>
      </c>
      <c r="X78" s="2" t="s">
        <v>7</v>
      </c>
      <c r="Y78" s="7" t="e">
        <f t="shared" si="10"/>
        <v>#VALUE!</v>
      </c>
      <c r="AA78">
        <v>2421283</v>
      </c>
      <c r="AB78">
        <v>62329</v>
      </c>
      <c r="AD78" t="s">
        <v>3</v>
      </c>
      <c r="AE78">
        <v>17</v>
      </c>
      <c r="AF78">
        <v>4</v>
      </c>
      <c r="AH78" t="s">
        <v>462</v>
      </c>
      <c r="AI78" t="s">
        <v>3312</v>
      </c>
      <c r="AK78" t="s">
        <v>3311</v>
      </c>
      <c r="AL78">
        <v>0</v>
      </c>
      <c r="AM78" s="5">
        <f t="shared" si="11"/>
        <v>0</v>
      </c>
      <c r="AN78" s="4">
        <f t="shared" si="12"/>
        <v>0</v>
      </c>
      <c r="AO78" s="3"/>
      <c r="AP78">
        <v>0</v>
      </c>
      <c r="AR78" t="s">
        <v>1</v>
      </c>
      <c r="AT78" s="2" t="s">
        <v>7</v>
      </c>
      <c r="AU78" s="1" t="e">
        <f t="shared" si="13"/>
        <v>#VALUE!</v>
      </c>
      <c r="AV78" s="1" t="e">
        <f t="shared" si="14"/>
        <v>#VALUE!</v>
      </c>
      <c r="AW78" s="1" t="e">
        <f t="shared" si="15"/>
        <v>#VALUE!</v>
      </c>
    </row>
    <row r="79" spans="1:49" x14ac:dyDescent="0.2">
      <c r="A79">
        <v>77</v>
      </c>
      <c r="B79" t="s">
        <v>3310</v>
      </c>
      <c r="F79" t="s">
        <v>3309</v>
      </c>
      <c r="G79" t="s">
        <v>6</v>
      </c>
      <c r="H79" t="s">
        <v>5</v>
      </c>
      <c r="I79" t="s">
        <v>3308</v>
      </c>
      <c r="N79">
        <v>1</v>
      </c>
      <c r="O79" t="s">
        <v>3307</v>
      </c>
      <c r="P79">
        <v>6506306127</v>
      </c>
      <c r="R79" s="8">
        <v>35034</v>
      </c>
      <c r="S79" s="9">
        <f t="shared" si="8"/>
        <v>1995</v>
      </c>
      <c r="T79" s="9">
        <v>1995</v>
      </c>
      <c r="U79" s="9">
        <f t="shared" si="9"/>
        <v>27</v>
      </c>
      <c r="V79" s="8">
        <v>1995</v>
      </c>
      <c r="W79" t="s">
        <v>97</v>
      </c>
      <c r="X79" s="2">
        <v>0.29499999999999998</v>
      </c>
      <c r="Y79" s="7">
        <f t="shared" si="10"/>
        <v>7.8748565174448087E-3</v>
      </c>
      <c r="AA79">
        <v>10642269</v>
      </c>
      <c r="AB79">
        <v>19554</v>
      </c>
      <c r="AD79" t="s">
        <v>3</v>
      </c>
      <c r="AE79">
        <v>40</v>
      </c>
      <c r="AF79">
        <v>11</v>
      </c>
      <c r="AH79" t="s">
        <v>3306</v>
      </c>
      <c r="AI79" t="s">
        <v>3305</v>
      </c>
      <c r="AK79" t="s">
        <v>3304</v>
      </c>
      <c r="AL79">
        <v>0</v>
      </c>
      <c r="AM79" s="5">
        <f t="shared" si="11"/>
        <v>0</v>
      </c>
      <c r="AN79" s="4">
        <f t="shared" si="12"/>
        <v>0</v>
      </c>
      <c r="AO79" s="3"/>
      <c r="AP79">
        <v>0</v>
      </c>
      <c r="AR79" t="s">
        <v>1</v>
      </c>
      <c r="AT79" s="2" t="s">
        <v>7</v>
      </c>
      <c r="AU79" s="1">
        <f t="shared" si="13"/>
        <v>0.55123995622113653</v>
      </c>
      <c r="AV79" s="1">
        <f t="shared" si="14"/>
        <v>0.39374282587224041</v>
      </c>
      <c r="AW79" s="1">
        <f t="shared" si="15"/>
        <v>0.23624569552334423</v>
      </c>
    </row>
    <row r="80" spans="1:49" x14ac:dyDescent="0.2">
      <c r="A80">
        <v>78</v>
      </c>
      <c r="B80" t="s">
        <v>3303</v>
      </c>
      <c r="F80" t="s">
        <v>3302</v>
      </c>
      <c r="G80" t="s">
        <v>6</v>
      </c>
      <c r="H80" t="s">
        <v>5</v>
      </c>
      <c r="I80" t="s">
        <v>433</v>
      </c>
      <c r="N80">
        <v>2</v>
      </c>
      <c r="O80" t="s">
        <v>3301</v>
      </c>
      <c r="P80" t="s">
        <v>3300</v>
      </c>
      <c r="Q80" t="s">
        <v>73</v>
      </c>
      <c r="R80" s="8">
        <v>35034</v>
      </c>
      <c r="S80" s="9">
        <f t="shared" si="8"/>
        <v>1995</v>
      </c>
      <c r="T80" s="9">
        <v>1995</v>
      </c>
      <c r="U80" s="9">
        <f t="shared" si="9"/>
        <v>27</v>
      </c>
      <c r="V80" s="8">
        <v>1995</v>
      </c>
      <c r="W80" t="s">
        <v>97</v>
      </c>
      <c r="X80" s="2">
        <v>0.29499999999999998</v>
      </c>
      <c r="Y80" s="7">
        <f t="shared" si="10"/>
        <v>7.8748565174448087E-3</v>
      </c>
      <c r="AA80">
        <v>10642269</v>
      </c>
      <c r="AB80">
        <v>19554</v>
      </c>
      <c r="AD80" t="s">
        <v>3</v>
      </c>
      <c r="AE80">
        <v>40</v>
      </c>
      <c r="AF80">
        <v>6</v>
      </c>
      <c r="AH80" t="s">
        <v>3299</v>
      </c>
      <c r="AI80" t="s">
        <v>3298</v>
      </c>
      <c r="AK80" t="s">
        <v>3297</v>
      </c>
      <c r="AL80">
        <v>0</v>
      </c>
      <c r="AM80" s="5">
        <f t="shared" si="11"/>
        <v>0</v>
      </c>
      <c r="AN80" s="4">
        <f t="shared" si="12"/>
        <v>0</v>
      </c>
      <c r="AO80" s="3"/>
      <c r="AP80">
        <v>0</v>
      </c>
      <c r="AR80" t="s">
        <v>1</v>
      </c>
      <c r="AT80" s="2" t="s">
        <v>7</v>
      </c>
      <c r="AU80" s="1">
        <f t="shared" si="13"/>
        <v>0.55123995622113653</v>
      </c>
      <c r="AV80" s="1">
        <f t="shared" si="14"/>
        <v>0.39374282587224041</v>
      </c>
      <c r="AW80" s="1">
        <f t="shared" si="15"/>
        <v>0.23624569552334423</v>
      </c>
    </row>
    <row r="81" spans="1:49" x14ac:dyDescent="0.2">
      <c r="A81">
        <v>79</v>
      </c>
      <c r="B81" t="s">
        <v>3296</v>
      </c>
      <c r="F81" t="s">
        <v>3295</v>
      </c>
      <c r="G81" t="s">
        <v>6</v>
      </c>
      <c r="H81" t="s">
        <v>5</v>
      </c>
      <c r="I81" t="s">
        <v>3294</v>
      </c>
      <c r="N81">
        <v>1</v>
      </c>
      <c r="O81" t="s">
        <v>3293</v>
      </c>
      <c r="P81">
        <v>7004695202</v>
      </c>
      <c r="R81" s="8">
        <v>35034</v>
      </c>
      <c r="S81" s="9">
        <f t="shared" si="8"/>
        <v>1995</v>
      </c>
      <c r="T81" s="9">
        <v>1995</v>
      </c>
      <c r="U81" s="9">
        <f t="shared" si="9"/>
        <v>27</v>
      </c>
      <c r="V81" s="8">
        <v>1995</v>
      </c>
      <c r="W81" t="s">
        <v>97</v>
      </c>
      <c r="X81" s="2">
        <v>0.29499999999999998</v>
      </c>
      <c r="Y81" s="7">
        <f t="shared" si="10"/>
        <v>7.8748565174448087E-3</v>
      </c>
      <c r="AA81">
        <v>10642269</v>
      </c>
      <c r="AB81">
        <v>19554</v>
      </c>
      <c r="AD81" t="s">
        <v>3</v>
      </c>
      <c r="AE81">
        <v>40</v>
      </c>
      <c r="AF81">
        <v>8</v>
      </c>
      <c r="AH81" t="s">
        <v>161</v>
      </c>
      <c r="AI81" t="s">
        <v>3292</v>
      </c>
      <c r="AK81" t="s">
        <v>3291</v>
      </c>
      <c r="AL81">
        <v>0</v>
      </c>
      <c r="AM81" s="5">
        <f t="shared" si="11"/>
        <v>0</v>
      </c>
      <c r="AN81" s="4">
        <f t="shared" si="12"/>
        <v>0</v>
      </c>
      <c r="AO81" s="3"/>
      <c r="AP81">
        <v>0</v>
      </c>
      <c r="AR81" t="s">
        <v>1</v>
      </c>
      <c r="AT81" s="2" t="s">
        <v>7</v>
      </c>
      <c r="AU81" s="1">
        <f t="shared" si="13"/>
        <v>0.55123995622113653</v>
      </c>
      <c r="AV81" s="1">
        <f t="shared" si="14"/>
        <v>0.39374282587224041</v>
      </c>
      <c r="AW81" s="1">
        <f t="shared" si="15"/>
        <v>0.23624569552334423</v>
      </c>
    </row>
    <row r="82" spans="1:49" x14ac:dyDescent="0.2">
      <c r="A82">
        <v>80</v>
      </c>
      <c r="B82" t="s">
        <v>3290</v>
      </c>
      <c r="F82" t="s">
        <v>3289</v>
      </c>
      <c r="G82" t="s">
        <v>6</v>
      </c>
      <c r="H82" t="s">
        <v>5</v>
      </c>
      <c r="I82" t="s">
        <v>1133</v>
      </c>
      <c r="N82">
        <v>3</v>
      </c>
      <c r="O82" t="s">
        <v>3288</v>
      </c>
      <c r="P82" t="s">
        <v>3287</v>
      </c>
      <c r="Q82" t="s">
        <v>107</v>
      </c>
      <c r="R82" s="8">
        <v>35034</v>
      </c>
      <c r="S82" s="9">
        <f t="shared" si="8"/>
        <v>1995</v>
      </c>
      <c r="T82" s="9">
        <v>1995</v>
      </c>
      <c r="U82" s="9">
        <f t="shared" si="9"/>
        <v>27</v>
      </c>
      <c r="V82" s="8">
        <v>1995</v>
      </c>
      <c r="W82" t="s">
        <v>97</v>
      </c>
      <c r="X82" s="2">
        <v>0.29499999999999998</v>
      </c>
      <c r="Y82" s="7">
        <f t="shared" si="10"/>
        <v>7.8748565174448087E-3</v>
      </c>
      <c r="AA82">
        <v>10642269</v>
      </c>
      <c r="AB82">
        <v>19554</v>
      </c>
      <c r="AD82" t="s">
        <v>3</v>
      </c>
      <c r="AE82">
        <v>40</v>
      </c>
      <c r="AF82">
        <v>12</v>
      </c>
      <c r="AH82" t="s">
        <v>61</v>
      </c>
      <c r="AI82" t="s">
        <v>3286</v>
      </c>
      <c r="AK82" t="s">
        <v>3285</v>
      </c>
      <c r="AL82">
        <v>0</v>
      </c>
      <c r="AM82" s="5">
        <f t="shared" si="11"/>
        <v>0</v>
      </c>
      <c r="AN82" s="4">
        <f t="shared" si="12"/>
        <v>0</v>
      </c>
      <c r="AO82" s="3"/>
      <c r="AP82">
        <v>0</v>
      </c>
      <c r="AR82" t="s">
        <v>1</v>
      </c>
      <c r="AT82" s="2" t="s">
        <v>7</v>
      </c>
      <c r="AU82" s="1">
        <f t="shared" si="13"/>
        <v>0.55123995622113653</v>
      </c>
      <c r="AV82" s="1">
        <f t="shared" si="14"/>
        <v>0.39374282587224041</v>
      </c>
      <c r="AW82" s="1">
        <f t="shared" si="15"/>
        <v>0.23624569552334423</v>
      </c>
    </row>
    <row r="83" spans="1:49" x14ac:dyDescent="0.2">
      <c r="A83">
        <v>81</v>
      </c>
      <c r="B83" t="s">
        <v>3284</v>
      </c>
      <c r="F83" t="s">
        <v>3283</v>
      </c>
      <c r="G83" t="s">
        <v>6</v>
      </c>
      <c r="H83" t="s">
        <v>5</v>
      </c>
      <c r="I83" t="s">
        <v>3282</v>
      </c>
      <c r="N83">
        <v>2</v>
      </c>
      <c r="O83" t="s">
        <v>3281</v>
      </c>
      <c r="P83" t="s">
        <v>3280</v>
      </c>
      <c r="Q83" t="s">
        <v>73</v>
      </c>
      <c r="R83" s="8">
        <v>35034</v>
      </c>
      <c r="S83" s="9">
        <f t="shared" si="8"/>
        <v>1995</v>
      </c>
      <c r="T83" s="9">
        <v>1995</v>
      </c>
      <c r="U83" s="9">
        <f t="shared" si="9"/>
        <v>27</v>
      </c>
      <c r="V83" s="8">
        <v>1995</v>
      </c>
      <c r="W83" t="s">
        <v>97</v>
      </c>
      <c r="X83" s="2">
        <v>0.29499999999999998</v>
      </c>
      <c r="Y83" s="7">
        <f t="shared" si="10"/>
        <v>7.8748565174448087E-3</v>
      </c>
      <c r="AA83">
        <v>10642269</v>
      </c>
      <c r="AB83">
        <v>19554</v>
      </c>
      <c r="AD83" t="s">
        <v>3</v>
      </c>
      <c r="AE83">
        <v>40</v>
      </c>
      <c r="AF83">
        <v>8</v>
      </c>
      <c r="AH83" t="s">
        <v>389</v>
      </c>
      <c r="AI83" t="s">
        <v>3279</v>
      </c>
      <c r="AK83" t="s">
        <v>3278</v>
      </c>
      <c r="AL83">
        <v>0</v>
      </c>
      <c r="AM83" s="5">
        <f t="shared" si="11"/>
        <v>0</v>
      </c>
      <c r="AN83" s="4">
        <f t="shared" si="12"/>
        <v>0</v>
      </c>
      <c r="AO83" s="3"/>
      <c r="AP83">
        <v>0</v>
      </c>
      <c r="AR83" t="s">
        <v>1</v>
      </c>
      <c r="AT83" s="2" t="s">
        <v>7</v>
      </c>
      <c r="AU83" s="1">
        <f t="shared" si="13"/>
        <v>0.55123995622113653</v>
      </c>
      <c r="AV83" s="1">
        <f t="shared" si="14"/>
        <v>0.39374282587224041</v>
      </c>
      <c r="AW83" s="1">
        <f t="shared" si="15"/>
        <v>0.23624569552334423</v>
      </c>
    </row>
    <row r="84" spans="1:49" x14ac:dyDescent="0.2">
      <c r="A84">
        <v>82</v>
      </c>
      <c r="B84" t="s">
        <v>3277</v>
      </c>
      <c r="F84" t="s">
        <v>3276</v>
      </c>
      <c r="G84" t="s">
        <v>6</v>
      </c>
      <c r="H84" t="s">
        <v>5</v>
      </c>
      <c r="I84" t="s">
        <v>3275</v>
      </c>
      <c r="N84">
        <v>1</v>
      </c>
      <c r="O84" t="s">
        <v>3274</v>
      </c>
      <c r="P84">
        <v>6602853411</v>
      </c>
      <c r="R84" s="8">
        <v>35034</v>
      </c>
      <c r="S84" s="9">
        <f t="shared" si="8"/>
        <v>1995</v>
      </c>
      <c r="T84" s="9">
        <v>1995</v>
      </c>
      <c r="U84" s="9">
        <f t="shared" si="9"/>
        <v>27</v>
      </c>
      <c r="V84" s="8">
        <v>1995</v>
      </c>
      <c r="W84" t="s">
        <v>97</v>
      </c>
      <c r="X84" s="2">
        <v>0.29499999999999998</v>
      </c>
      <c r="Y84" s="7">
        <f t="shared" si="10"/>
        <v>7.8748565174448087E-3</v>
      </c>
      <c r="AA84">
        <v>10642269</v>
      </c>
      <c r="AB84">
        <v>19554</v>
      </c>
      <c r="AD84" t="s">
        <v>3</v>
      </c>
      <c r="AE84">
        <v>40</v>
      </c>
      <c r="AF84">
        <v>14</v>
      </c>
      <c r="AH84" t="s">
        <v>3273</v>
      </c>
      <c r="AI84" t="s">
        <v>3272</v>
      </c>
      <c r="AK84" t="s">
        <v>3271</v>
      </c>
      <c r="AL84">
        <v>0</v>
      </c>
      <c r="AM84" s="5">
        <f t="shared" si="11"/>
        <v>0</v>
      </c>
      <c r="AN84" s="4">
        <f t="shared" si="12"/>
        <v>0</v>
      </c>
      <c r="AO84" s="3"/>
      <c r="AP84">
        <v>0</v>
      </c>
      <c r="AR84" t="s">
        <v>1</v>
      </c>
      <c r="AT84" s="2" t="s">
        <v>7</v>
      </c>
      <c r="AU84" s="1">
        <f t="shared" si="13"/>
        <v>0.55123995622113653</v>
      </c>
      <c r="AV84" s="1">
        <f t="shared" si="14"/>
        <v>0.39374282587224041</v>
      </c>
      <c r="AW84" s="1">
        <f t="shared" si="15"/>
        <v>0.23624569552334423</v>
      </c>
    </row>
    <row r="85" spans="1:49" x14ac:dyDescent="0.2">
      <c r="A85">
        <v>83</v>
      </c>
      <c r="B85" t="s">
        <v>3270</v>
      </c>
      <c r="F85" t="s">
        <v>3269</v>
      </c>
      <c r="G85" t="s">
        <v>6</v>
      </c>
      <c r="H85" t="s">
        <v>5</v>
      </c>
      <c r="I85" t="s">
        <v>3268</v>
      </c>
      <c r="J85">
        <v>60021293</v>
      </c>
      <c r="K85" t="s">
        <v>3267</v>
      </c>
      <c r="L85" t="s">
        <v>3266</v>
      </c>
      <c r="M85" t="s">
        <v>4</v>
      </c>
      <c r="N85">
        <v>3</v>
      </c>
      <c r="O85" t="s">
        <v>3265</v>
      </c>
      <c r="P85" t="s">
        <v>3264</v>
      </c>
      <c r="Q85" t="s">
        <v>3263</v>
      </c>
      <c r="R85" s="8">
        <v>35034</v>
      </c>
      <c r="S85" s="9">
        <f t="shared" si="8"/>
        <v>1995</v>
      </c>
      <c r="T85" s="9">
        <v>1995</v>
      </c>
      <c r="U85" s="9">
        <f t="shared" si="9"/>
        <v>27</v>
      </c>
      <c r="V85" s="8">
        <v>35034</v>
      </c>
      <c r="W85" t="s">
        <v>122</v>
      </c>
      <c r="X85" s="2">
        <v>0.13800000000000001</v>
      </c>
      <c r="Y85" s="7">
        <f t="shared" si="10"/>
        <v>3.6838311844318095E-3</v>
      </c>
      <c r="AA85">
        <v>1926225</v>
      </c>
      <c r="AB85">
        <v>18580</v>
      </c>
      <c r="AD85" t="s">
        <v>3</v>
      </c>
      <c r="AE85">
        <v>38</v>
      </c>
      <c r="AF85">
        <v>12</v>
      </c>
      <c r="AI85" t="s">
        <v>3262</v>
      </c>
      <c r="AK85" t="s">
        <v>3261</v>
      </c>
      <c r="AL85">
        <v>1</v>
      </c>
      <c r="AM85" s="5">
        <f t="shared" si="11"/>
        <v>3.7037037037037035E-2</v>
      </c>
      <c r="AN85" s="4">
        <f t="shared" si="12"/>
        <v>5.6095474497594906E-5</v>
      </c>
      <c r="AO85" s="3"/>
      <c r="AP85">
        <v>0</v>
      </c>
      <c r="AR85" t="s">
        <v>1</v>
      </c>
      <c r="AT85" s="2">
        <v>0.30599999999999999</v>
      </c>
      <c r="AU85" s="1">
        <f t="shared" si="13"/>
        <v>0.25955104714515448</v>
      </c>
      <c r="AV85" s="1">
        <f t="shared" si="14"/>
        <v>0.18699633294647022</v>
      </c>
      <c r="AW85" s="1">
        <f t="shared" si="15"/>
        <v>0.11444161874778593</v>
      </c>
    </row>
    <row r="86" spans="1:49" x14ac:dyDescent="0.2">
      <c r="A86">
        <v>84</v>
      </c>
      <c r="B86" t="s">
        <v>3260</v>
      </c>
      <c r="F86" t="s">
        <v>3259</v>
      </c>
      <c r="G86" t="s">
        <v>6</v>
      </c>
      <c r="H86" t="s">
        <v>5</v>
      </c>
      <c r="I86" t="s">
        <v>3258</v>
      </c>
      <c r="N86">
        <v>2</v>
      </c>
      <c r="O86" t="s">
        <v>3257</v>
      </c>
      <c r="P86" t="s">
        <v>3256</v>
      </c>
      <c r="Q86" t="s">
        <v>73</v>
      </c>
      <c r="R86" s="8">
        <v>35034</v>
      </c>
      <c r="S86" s="9">
        <f t="shared" si="8"/>
        <v>1995</v>
      </c>
      <c r="T86" s="9">
        <v>1995</v>
      </c>
      <c r="U86" s="9">
        <f t="shared" si="9"/>
        <v>27</v>
      </c>
      <c r="V86" s="8">
        <v>1995</v>
      </c>
      <c r="W86" t="s">
        <v>97</v>
      </c>
      <c r="X86" s="2">
        <v>0.29499999999999998</v>
      </c>
      <c r="Y86" s="7">
        <f t="shared" si="10"/>
        <v>7.8748565174448087E-3</v>
      </c>
      <c r="AA86">
        <v>10642269</v>
      </c>
      <c r="AB86">
        <v>19554</v>
      </c>
      <c r="AD86" t="s">
        <v>3</v>
      </c>
      <c r="AE86">
        <v>40</v>
      </c>
      <c r="AF86">
        <v>13</v>
      </c>
      <c r="AH86" t="s">
        <v>3255</v>
      </c>
      <c r="AI86" t="s">
        <v>3254</v>
      </c>
      <c r="AK86" t="s">
        <v>3253</v>
      </c>
      <c r="AL86">
        <v>0</v>
      </c>
      <c r="AM86" s="5">
        <f t="shared" si="11"/>
        <v>0</v>
      </c>
      <c r="AN86" s="4">
        <f t="shared" si="12"/>
        <v>0</v>
      </c>
      <c r="AO86" s="3"/>
      <c r="AP86">
        <v>0</v>
      </c>
      <c r="AR86" t="s">
        <v>1</v>
      </c>
      <c r="AT86" s="2" t="s">
        <v>7</v>
      </c>
      <c r="AU86" s="1">
        <f t="shared" si="13"/>
        <v>0.55123995622113653</v>
      </c>
      <c r="AV86" s="1">
        <f t="shared" si="14"/>
        <v>0.39374282587224041</v>
      </c>
      <c r="AW86" s="1">
        <f t="shared" si="15"/>
        <v>0.23624569552334423</v>
      </c>
    </row>
    <row r="87" spans="1:49" x14ac:dyDescent="0.2">
      <c r="A87">
        <v>85</v>
      </c>
      <c r="B87" t="s">
        <v>3252</v>
      </c>
      <c r="F87" t="s">
        <v>3251</v>
      </c>
      <c r="G87" t="s">
        <v>6</v>
      </c>
      <c r="H87" t="s">
        <v>5</v>
      </c>
      <c r="I87" t="s">
        <v>3250</v>
      </c>
      <c r="N87">
        <v>1</v>
      </c>
      <c r="O87" t="s">
        <v>3249</v>
      </c>
      <c r="P87">
        <v>7404357817</v>
      </c>
      <c r="R87" s="8">
        <v>35034</v>
      </c>
      <c r="S87" s="9">
        <f t="shared" si="8"/>
        <v>1995</v>
      </c>
      <c r="T87" s="9">
        <v>1995</v>
      </c>
      <c r="U87" s="9">
        <f t="shared" si="9"/>
        <v>27</v>
      </c>
      <c r="V87" s="8">
        <v>34700</v>
      </c>
      <c r="W87" t="s">
        <v>3248</v>
      </c>
      <c r="X87" s="2">
        <v>0.1</v>
      </c>
      <c r="Y87" s="7">
        <f t="shared" si="10"/>
        <v>2.6694428872694269E-3</v>
      </c>
      <c r="AA87">
        <v>479624</v>
      </c>
      <c r="AB87">
        <v>26741</v>
      </c>
      <c r="AD87" t="s">
        <v>3</v>
      </c>
      <c r="AE87">
        <v>28</v>
      </c>
      <c r="AF87">
        <v>21</v>
      </c>
      <c r="AH87" t="s">
        <v>3247</v>
      </c>
      <c r="AI87" t="s">
        <v>3246</v>
      </c>
      <c r="AK87" t="s">
        <v>3245</v>
      </c>
      <c r="AL87">
        <v>0</v>
      </c>
      <c r="AM87" s="5">
        <f t="shared" si="11"/>
        <v>0</v>
      </c>
      <c r="AN87" s="4">
        <f t="shared" si="12"/>
        <v>0</v>
      </c>
      <c r="AO87" s="3"/>
      <c r="AP87">
        <v>0</v>
      </c>
      <c r="AR87" t="s">
        <v>1</v>
      </c>
      <c r="AT87" s="2" t="s">
        <v>7</v>
      </c>
      <c r="AU87" s="1">
        <f t="shared" si="13"/>
        <v>0.18686100210885986</v>
      </c>
      <c r="AV87" s="1">
        <f t="shared" si="14"/>
        <v>0.13347214436347135</v>
      </c>
      <c r="AW87" s="1">
        <f t="shared" si="15"/>
        <v>8.0083286618082811E-2</v>
      </c>
    </row>
    <row r="88" spans="1:49" x14ac:dyDescent="0.2">
      <c r="A88">
        <v>86</v>
      </c>
      <c r="B88" t="s">
        <v>3244</v>
      </c>
      <c r="C88" t="s">
        <v>3243</v>
      </c>
      <c r="F88" t="s">
        <v>3242</v>
      </c>
      <c r="G88" t="s">
        <v>6</v>
      </c>
      <c r="H88" t="s">
        <v>5</v>
      </c>
      <c r="I88" t="s">
        <v>3241</v>
      </c>
      <c r="J88">
        <v>60006948</v>
      </c>
      <c r="K88" t="s">
        <v>3240</v>
      </c>
      <c r="L88" t="s">
        <v>3239</v>
      </c>
      <c r="M88" t="s">
        <v>3238</v>
      </c>
      <c r="N88">
        <v>2</v>
      </c>
      <c r="O88" t="s">
        <v>3237</v>
      </c>
      <c r="P88" t="s">
        <v>3236</v>
      </c>
      <c r="Q88" t="s">
        <v>3235</v>
      </c>
      <c r="R88" s="8">
        <v>35034</v>
      </c>
      <c r="S88" s="9">
        <f t="shared" si="8"/>
        <v>1995</v>
      </c>
      <c r="T88" s="9">
        <v>1995</v>
      </c>
      <c r="U88" s="9">
        <f t="shared" si="9"/>
        <v>27</v>
      </c>
      <c r="V88" s="8">
        <v>35034</v>
      </c>
      <c r="W88" s="11" t="s">
        <v>238</v>
      </c>
      <c r="X88" s="2">
        <v>2.383</v>
      </c>
      <c r="Y88" s="7">
        <f t="shared" si="10"/>
        <v>6.3612824003630442E-2</v>
      </c>
      <c r="AA88">
        <v>13502417</v>
      </c>
      <c r="AB88">
        <v>17416</v>
      </c>
      <c r="AD88" t="s">
        <v>3</v>
      </c>
      <c r="AE88">
        <v>142</v>
      </c>
      <c r="AF88">
        <v>6</v>
      </c>
      <c r="AH88" t="s">
        <v>3234</v>
      </c>
      <c r="AI88" t="s">
        <v>3233</v>
      </c>
      <c r="AK88" t="s">
        <v>3232</v>
      </c>
      <c r="AL88">
        <v>14</v>
      </c>
      <c r="AM88" s="5">
        <f t="shared" si="11"/>
        <v>0.51851851851851849</v>
      </c>
      <c r="AN88" s="4">
        <f t="shared" si="12"/>
        <v>7.853366429663287E-4</v>
      </c>
      <c r="AO88" s="3"/>
      <c r="AP88">
        <v>0</v>
      </c>
      <c r="AR88" t="s">
        <v>1</v>
      </c>
      <c r="AT88" s="2" t="s">
        <v>7</v>
      </c>
      <c r="AU88" s="1">
        <f t="shared" si="13"/>
        <v>4.4764577795431206</v>
      </c>
      <c r="AV88" s="1">
        <f t="shared" si="14"/>
        <v>3.2199080323298386</v>
      </c>
      <c r="AW88" s="1">
        <f t="shared" si="15"/>
        <v>1.9633582851165561</v>
      </c>
    </row>
    <row r="89" spans="1:49" x14ac:dyDescent="0.2">
      <c r="A89">
        <v>87</v>
      </c>
      <c r="B89" t="s">
        <v>3231</v>
      </c>
      <c r="F89" t="s">
        <v>3230</v>
      </c>
      <c r="G89" t="s">
        <v>6</v>
      </c>
      <c r="H89" t="s">
        <v>5</v>
      </c>
      <c r="I89" t="s">
        <v>3229</v>
      </c>
      <c r="N89">
        <v>2</v>
      </c>
      <c r="O89" t="s">
        <v>3228</v>
      </c>
      <c r="P89" t="s">
        <v>3227</v>
      </c>
      <c r="Q89" t="s">
        <v>73</v>
      </c>
      <c r="R89" s="8">
        <v>35034</v>
      </c>
      <c r="S89" s="9">
        <f t="shared" si="8"/>
        <v>1995</v>
      </c>
      <c r="T89" s="9">
        <v>1995</v>
      </c>
      <c r="U89" s="9">
        <f t="shared" si="9"/>
        <v>27</v>
      </c>
      <c r="V89" s="8">
        <v>1995</v>
      </c>
      <c r="W89" t="s">
        <v>97</v>
      </c>
      <c r="X89" s="2">
        <v>0.29499999999999998</v>
      </c>
      <c r="Y89" s="7">
        <f t="shared" si="10"/>
        <v>7.8748565174448087E-3</v>
      </c>
      <c r="AA89">
        <v>10642269</v>
      </c>
      <c r="AB89">
        <v>19554</v>
      </c>
      <c r="AD89" t="s">
        <v>3</v>
      </c>
      <c r="AE89">
        <v>40</v>
      </c>
      <c r="AF89">
        <v>6</v>
      </c>
      <c r="AH89" t="s">
        <v>3226</v>
      </c>
      <c r="AI89" t="s">
        <v>3225</v>
      </c>
      <c r="AK89" t="s">
        <v>3224</v>
      </c>
      <c r="AL89">
        <v>0</v>
      </c>
      <c r="AM89" s="5">
        <f t="shared" si="11"/>
        <v>0</v>
      </c>
      <c r="AN89" s="4">
        <f t="shared" si="12"/>
        <v>0</v>
      </c>
      <c r="AO89" s="3"/>
      <c r="AP89">
        <v>0</v>
      </c>
      <c r="AR89" t="s">
        <v>1</v>
      </c>
      <c r="AT89" s="2" t="s">
        <v>7</v>
      </c>
      <c r="AU89" s="1">
        <f t="shared" si="13"/>
        <v>0.55123995622113653</v>
      </c>
      <c r="AV89" s="1">
        <f t="shared" si="14"/>
        <v>0.39374282587224041</v>
      </c>
      <c r="AW89" s="1">
        <f t="shared" si="15"/>
        <v>0.23624569552334423</v>
      </c>
    </row>
    <row r="90" spans="1:49" x14ac:dyDescent="0.2">
      <c r="A90">
        <v>88</v>
      </c>
      <c r="B90" t="s">
        <v>3223</v>
      </c>
      <c r="C90" t="s">
        <v>3222</v>
      </c>
      <c r="F90" t="s">
        <v>3221</v>
      </c>
      <c r="G90" t="s">
        <v>6</v>
      </c>
      <c r="H90" t="s">
        <v>5</v>
      </c>
      <c r="I90" t="s">
        <v>3220</v>
      </c>
      <c r="J90">
        <v>60002644</v>
      </c>
      <c r="K90" t="s">
        <v>179</v>
      </c>
      <c r="L90" t="s">
        <v>178</v>
      </c>
      <c r="M90" t="s">
        <v>19</v>
      </c>
      <c r="N90">
        <v>4</v>
      </c>
      <c r="O90" t="s">
        <v>3219</v>
      </c>
      <c r="P90" t="s">
        <v>3218</v>
      </c>
      <c r="Q90" t="s">
        <v>177</v>
      </c>
      <c r="R90" s="8">
        <v>35034</v>
      </c>
      <c r="S90" s="9">
        <f t="shared" si="8"/>
        <v>1995</v>
      </c>
      <c r="T90" s="9">
        <v>1995</v>
      </c>
      <c r="U90" s="9">
        <f t="shared" si="9"/>
        <v>27</v>
      </c>
      <c r="V90" s="8">
        <v>35034</v>
      </c>
      <c r="W90" s="11" t="s">
        <v>238</v>
      </c>
      <c r="X90" s="2">
        <v>2.383</v>
      </c>
      <c r="Y90" s="7">
        <f t="shared" si="10"/>
        <v>6.3612824003630442E-2</v>
      </c>
      <c r="AA90">
        <v>13502417</v>
      </c>
      <c r="AB90">
        <v>17416</v>
      </c>
      <c r="AD90" t="s">
        <v>3</v>
      </c>
      <c r="AE90">
        <v>142</v>
      </c>
      <c r="AF90">
        <v>6</v>
      </c>
      <c r="AH90" t="s">
        <v>3217</v>
      </c>
      <c r="AI90" t="s">
        <v>3216</v>
      </c>
      <c r="AK90" t="s">
        <v>3215</v>
      </c>
      <c r="AL90">
        <v>4</v>
      </c>
      <c r="AM90" s="5">
        <f t="shared" si="11"/>
        <v>0.14814814814814814</v>
      </c>
      <c r="AN90" s="4">
        <f t="shared" si="12"/>
        <v>2.2438189799037963E-4</v>
      </c>
      <c r="AO90" s="3"/>
      <c r="AP90">
        <v>0</v>
      </c>
      <c r="AR90" t="s">
        <v>1</v>
      </c>
      <c r="AT90" s="2" t="s">
        <v>7</v>
      </c>
      <c r="AU90" s="1">
        <f t="shared" si="13"/>
        <v>4.4596291371938417</v>
      </c>
      <c r="AV90" s="1">
        <f t="shared" si="14"/>
        <v>3.1918602950810415</v>
      </c>
      <c r="AW90" s="1">
        <f t="shared" si="15"/>
        <v>1.9240914529682396</v>
      </c>
    </row>
    <row r="91" spans="1:49" x14ac:dyDescent="0.2">
      <c r="A91">
        <v>89</v>
      </c>
      <c r="B91" t="s">
        <v>3214</v>
      </c>
      <c r="C91" t="s">
        <v>3213</v>
      </c>
      <c r="F91" t="s">
        <v>3212</v>
      </c>
      <c r="G91" t="s">
        <v>6</v>
      </c>
      <c r="H91" t="s">
        <v>5</v>
      </c>
      <c r="I91" t="s">
        <v>3211</v>
      </c>
      <c r="J91">
        <v>100338805</v>
      </c>
      <c r="K91" t="s">
        <v>3210</v>
      </c>
      <c r="L91" t="s">
        <v>317</v>
      </c>
      <c r="M91" t="s">
        <v>30</v>
      </c>
      <c r="N91">
        <v>3</v>
      </c>
      <c r="O91" t="s">
        <v>3209</v>
      </c>
      <c r="P91" t="s">
        <v>3208</v>
      </c>
      <c r="Q91" t="s">
        <v>3207</v>
      </c>
      <c r="R91" s="8">
        <v>35034</v>
      </c>
      <c r="S91" s="9">
        <f t="shared" si="8"/>
        <v>1995</v>
      </c>
      <c r="T91" s="9">
        <v>1995</v>
      </c>
      <c r="U91" s="9">
        <f t="shared" si="9"/>
        <v>27</v>
      </c>
      <c r="V91" s="8">
        <v>35034</v>
      </c>
      <c r="W91" s="11" t="s">
        <v>238</v>
      </c>
      <c r="X91" s="2">
        <v>2.383</v>
      </c>
      <c r="Y91" s="7">
        <f t="shared" si="10"/>
        <v>6.3612824003630442E-2</v>
      </c>
      <c r="AA91">
        <v>13502417</v>
      </c>
      <c r="AB91">
        <v>17416</v>
      </c>
      <c r="AD91" t="s">
        <v>3</v>
      </c>
      <c r="AE91">
        <v>142</v>
      </c>
      <c r="AF91">
        <v>6</v>
      </c>
      <c r="AH91" t="s">
        <v>3206</v>
      </c>
      <c r="AI91" t="s">
        <v>3205</v>
      </c>
      <c r="AK91" t="s">
        <v>3204</v>
      </c>
      <c r="AL91">
        <v>7</v>
      </c>
      <c r="AM91" s="5">
        <f t="shared" si="11"/>
        <v>0.25925925925925924</v>
      </c>
      <c r="AN91" s="4">
        <f t="shared" si="12"/>
        <v>3.9266832148316435E-4</v>
      </c>
      <c r="AO91" s="3"/>
      <c r="AP91">
        <v>0</v>
      </c>
      <c r="AR91" t="s">
        <v>1</v>
      </c>
      <c r="AT91" s="2" t="s">
        <v>7</v>
      </c>
      <c r="AU91" s="1">
        <f t="shared" si="13"/>
        <v>4.464677729898626</v>
      </c>
      <c r="AV91" s="1">
        <f t="shared" si="14"/>
        <v>3.2002746162556801</v>
      </c>
      <c r="AW91" s="1">
        <f t="shared" si="15"/>
        <v>1.9358715026127349</v>
      </c>
    </row>
    <row r="92" spans="1:49" x14ac:dyDescent="0.2">
      <c r="A92">
        <v>90</v>
      </c>
      <c r="B92" t="s">
        <v>3203</v>
      </c>
      <c r="C92" t="s">
        <v>3202</v>
      </c>
      <c r="F92" t="s">
        <v>3201</v>
      </c>
      <c r="G92" t="s">
        <v>6</v>
      </c>
      <c r="H92" t="s">
        <v>5</v>
      </c>
      <c r="I92" t="s">
        <v>262</v>
      </c>
      <c r="J92">
        <v>60020486</v>
      </c>
      <c r="K92" t="s">
        <v>261</v>
      </c>
      <c r="L92" t="s">
        <v>260</v>
      </c>
      <c r="M92" t="s">
        <v>67</v>
      </c>
      <c r="N92">
        <v>3</v>
      </c>
      <c r="O92" t="s">
        <v>259</v>
      </c>
      <c r="P92" t="s">
        <v>258</v>
      </c>
      <c r="Q92" t="s">
        <v>257</v>
      </c>
      <c r="R92" s="8">
        <v>35034</v>
      </c>
      <c r="S92" s="9">
        <f t="shared" si="8"/>
        <v>1995</v>
      </c>
      <c r="T92" s="9">
        <v>1995</v>
      </c>
      <c r="U92" s="9">
        <f t="shared" si="9"/>
        <v>27</v>
      </c>
      <c r="V92" s="8">
        <v>35034</v>
      </c>
      <c r="W92" t="s">
        <v>3200</v>
      </c>
      <c r="X92" s="2" t="s">
        <v>7</v>
      </c>
      <c r="Y92" s="7" t="e">
        <f t="shared" si="10"/>
        <v>#VALUE!</v>
      </c>
      <c r="AA92">
        <v>2534134</v>
      </c>
      <c r="AB92">
        <v>24171</v>
      </c>
      <c r="AC92">
        <v>9737103</v>
      </c>
      <c r="AD92" t="s">
        <v>3</v>
      </c>
      <c r="AE92">
        <v>107</v>
      </c>
      <c r="AF92">
        <v>6</v>
      </c>
      <c r="AH92" t="s">
        <v>3199</v>
      </c>
      <c r="AI92" t="s">
        <v>3198</v>
      </c>
      <c r="AJ92" t="s">
        <v>3197</v>
      </c>
      <c r="AK92" t="s">
        <v>3196</v>
      </c>
      <c r="AL92">
        <v>15</v>
      </c>
      <c r="AM92" s="5">
        <f t="shared" si="11"/>
        <v>0.55555555555555558</v>
      </c>
      <c r="AN92" s="4">
        <f t="shared" si="12"/>
        <v>8.414321174639236E-4</v>
      </c>
      <c r="AO92" s="3"/>
      <c r="AP92">
        <v>0</v>
      </c>
      <c r="AR92" t="s">
        <v>1</v>
      </c>
      <c r="AT92" s="2" t="s">
        <v>7</v>
      </c>
      <c r="AU92" s="1" t="e">
        <f t="shared" si="13"/>
        <v>#VALUE!</v>
      </c>
      <c r="AV92" s="1" t="e">
        <f t="shared" si="14"/>
        <v>#VALUE!</v>
      </c>
      <c r="AW92" s="1" t="e">
        <f t="shared" si="15"/>
        <v>#VALUE!</v>
      </c>
    </row>
    <row r="93" spans="1:49" x14ac:dyDescent="0.2">
      <c r="A93">
        <v>91</v>
      </c>
      <c r="B93" t="s">
        <v>3195</v>
      </c>
      <c r="F93" t="s">
        <v>3194</v>
      </c>
      <c r="G93" t="s">
        <v>6</v>
      </c>
      <c r="H93" t="s">
        <v>5</v>
      </c>
      <c r="I93" t="s">
        <v>3193</v>
      </c>
      <c r="J93">
        <v>60029470</v>
      </c>
      <c r="K93" t="s">
        <v>423</v>
      </c>
      <c r="L93" t="s">
        <v>36</v>
      </c>
      <c r="M93" t="s">
        <v>34</v>
      </c>
      <c r="N93">
        <v>4</v>
      </c>
      <c r="O93" t="s">
        <v>3192</v>
      </c>
      <c r="P93" t="s">
        <v>3191</v>
      </c>
      <c r="Q93" t="s">
        <v>3190</v>
      </c>
      <c r="R93" s="8">
        <v>35034</v>
      </c>
      <c r="S93" s="9">
        <f t="shared" si="8"/>
        <v>1995</v>
      </c>
      <c r="T93" s="9">
        <v>1995</v>
      </c>
      <c r="U93" s="9">
        <f t="shared" si="9"/>
        <v>27</v>
      </c>
      <c r="V93" s="8">
        <v>35034</v>
      </c>
      <c r="W93" t="s">
        <v>422</v>
      </c>
      <c r="X93" s="2">
        <v>0.14099999999999999</v>
      </c>
      <c r="Y93" s="7">
        <f t="shared" si="10"/>
        <v>3.7639144710498915E-3</v>
      </c>
      <c r="AA93">
        <v>7252986</v>
      </c>
      <c r="AB93">
        <v>18037</v>
      </c>
      <c r="AD93" t="s">
        <v>3</v>
      </c>
      <c r="AE93">
        <v>15</v>
      </c>
      <c r="AF93">
        <v>4</v>
      </c>
      <c r="AH93" t="s">
        <v>436</v>
      </c>
      <c r="AI93" t="s">
        <v>3189</v>
      </c>
      <c r="AK93" t="s">
        <v>3188</v>
      </c>
      <c r="AL93">
        <v>8</v>
      </c>
      <c r="AM93" s="5">
        <f t="shared" si="11"/>
        <v>0.29629629629629628</v>
      </c>
      <c r="AN93" s="4">
        <f t="shared" si="12"/>
        <v>4.4876379598075925E-4</v>
      </c>
      <c r="AO93" s="3"/>
      <c r="AP93">
        <v>0</v>
      </c>
      <c r="AR93" t="s">
        <v>1</v>
      </c>
      <c r="AT93" s="2" t="s">
        <v>7</v>
      </c>
      <c r="AU93" s="1">
        <f t="shared" si="13"/>
        <v>0.27693692685291516</v>
      </c>
      <c r="AV93" s="1">
        <f t="shared" si="14"/>
        <v>0.21063391335153256</v>
      </c>
      <c r="AW93" s="1">
        <f t="shared" si="15"/>
        <v>0.14433089985014988</v>
      </c>
    </row>
    <row r="94" spans="1:49" x14ac:dyDescent="0.2">
      <c r="A94">
        <v>92</v>
      </c>
      <c r="B94" t="s">
        <v>3187</v>
      </c>
      <c r="F94" t="s">
        <v>3186</v>
      </c>
      <c r="G94" t="s">
        <v>6</v>
      </c>
      <c r="H94" t="s">
        <v>5</v>
      </c>
      <c r="I94" t="s">
        <v>3185</v>
      </c>
      <c r="N94">
        <v>2</v>
      </c>
      <c r="O94" t="s">
        <v>3184</v>
      </c>
      <c r="P94" t="s">
        <v>3183</v>
      </c>
      <c r="Q94" t="s">
        <v>73</v>
      </c>
      <c r="R94" s="8">
        <v>35034</v>
      </c>
      <c r="S94" s="9">
        <f t="shared" si="8"/>
        <v>1995</v>
      </c>
      <c r="T94" s="9">
        <v>1995</v>
      </c>
      <c r="U94" s="9">
        <f t="shared" si="9"/>
        <v>27</v>
      </c>
      <c r="V94" s="8">
        <v>1995</v>
      </c>
      <c r="W94" t="s">
        <v>97</v>
      </c>
      <c r="X94" s="2">
        <v>0.29499999999999998</v>
      </c>
      <c r="Y94" s="7">
        <f t="shared" si="10"/>
        <v>7.8748565174448087E-3</v>
      </c>
      <c r="AA94">
        <v>10642269</v>
      </c>
      <c r="AB94">
        <v>19554</v>
      </c>
      <c r="AD94" t="s">
        <v>3</v>
      </c>
      <c r="AE94">
        <v>40</v>
      </c>
      <c r="AF94">
        <v>8</v>
      </c>
      <c r="AH94" t="s">
        <v>3182</v>
      </c>
      <c r="AI94" t="s">
        <v>3181</v>
      </c>
      <c r="AK94" t="s">
        <v>3180</v>
      </c>
      <c r="AL94">
        <v>0</v>
      </c>
      <c r="AM94" s="5">
        <f t="shared" si="11"/>
        <v>0</v>
      </c>
      <c r="AN94" s="4">
        <f t="shared" si="12"/>
        <v>0</v>
      </c>
      <c r="AO94" s="3"/>
      <c r="AP94">
        <v>0</v>
      </c>
      <c r="AR94" t="s">
        <v>1</v>
      </c>
      <c r="AT94" s="2" t="s">
        <v>7</v>
      </c>
      <c r="AU94" s="1">
        <f t="shared" si="13"/>
        <v>0.55123995622113653</v>
      </c>
      <c r="AV94" s="1">
        <f t="shared" si="14"/>
        <v>0.39374282587224041</v>
      </c>
      <c r="AW94" s="1">
        <f t="shared" si="15"/>
        <v>0.23624569552334423</v>
      </c>
    </row>
    <row r="95" spans="1:49" x14ac:dyDescent="0.2">
      <c r="A95">
        <v>93</v>
      </c>
      <c r="B95" t="s">
        <v>3179</v>
      </c>
      <c r="C95" t="s">
        <v>3178</v>
      </c>
      <c r="F95" t="s">
        <v>3177</v>
      </c>
      <c r="G95" t="s">
        <v>6</v>
      </c>
      <c r="H95" t="s">
        <v>5</v>
      </c>
      <c r="I95" t="s">
        <v>3176</v>
      </c>
      <c r="J95">
        <v>60024779</v>
      </c>
      <c r="K95" t="s">
        <v>3175</v>
      </c>
      <c r="L95" t="s">
        <v>3174</v>
      </c>
      <c r="M95" t="s">
        <v>37</v>
      </c>
      <c r="N95">
        <v>2</v>
      </c>
      <c r="O95" t="s">
        <v>3173</v>
      </c>
      <c r="P95" t="s">
        <v>3172</v>
      </c>
      <c r="Q95" t="s">
        <v>3171</v>
      </c>
      <c r="R95" s="8">
        <v>35034</v>
      </c>
      <c r="S95" s="9">
        <f t="shared" si="8"/>
        <v>1995</v>
      </c>
      <c r="T95" s="9">
        <v>1995</v>
      </c>
      <c r="U95" s="9">
        <f t="shared" si="9"/>
        <v>27</v>
      </c>
      <c r="V95" s="8">
        <v>35034</v>
      </c>
      <c r="W95" s="11" t="s">
        <v>400</v>
      </c>
      <c r="X95" s="2">
        <v>2.383</v>
      </c>
      <c r="Y95" s="7">
        <f t="shared" si="10"/>
        <v>6.3612824003630442E-2</v>
      </c>
      <c r="AA95">
        <v>13502395</v>
      </c>
      <c r="AB95">
        <v>17418</v>
      </c>
      <c r="AD95" t="s">
        <v>3</v>
      </c>
      <c r="AE95">
        <v>142</v>
      </c>
      <c r="AF95">
        <v>6</v>
      </c>
      <c r="AH95" t="s">
        <v>3170</v>
      </c>
      <c r="AI95" t="s">
        <v>3169</v>
      </c>
      <c r="AK95" t="s">
        <v>3168</v>
      </c>
      <c r="AL95">
        <v>20</v>
      </c>
      <c r="AM95" s="5">
        <f t="shared" si="11"/>
        <v>0.7407407407407407</v>
      </c>
      <c r="AN95" s="4">
        <f t="shared" si="12"/>
        <v>1.121909489951898E-3</v>
      </c>
      <c r="AO95" s="3"/>
      <c r="AP95">
        <v>0</v>
      </c>
      <c r="AR95" t="s">
        <v>1</v>
      </c>
      <c r="AT95" s="2" t="s">
        <v>7</v>
      </c>
      <c r="AU95" s="1">
        <f t="shared" si="13"/>
        <v>4.4865549649526884</v>
      </c>
      <c r="AV95" s="1">
        <f t="shared" si="14"/>
        <v>3.2367366746791171</v>
      </c>
      <c r="AW95" s="1">
        <f t="shared" si="15"/>
        <v>1.986918384405546</v>
      </c>
    </row>
    <row r="96" spans="1:49" x14ac:dyDescent="0.2">
      <c r="A96">
        <v>94</v>
      </c>
      <c r="B96" t="s">
        <v>3167</v>
      </c>
      <c r="C96" t="s">
        <v>3166</v>
      </c>
      <c r="F96" t="s">
        <v>3165</v>
      </c>
      <c r="G96" t="s">
        <v>6</v>
      </c>
      <c r="H96" t="s">
        <v>5</v>
      </c>
      <c r="I96" t="s">
        <v>3164</v>
      </c>
      <c r="J96">
        <v>60016924</v>
      </c>
      <c r="K96" t="s">
        <v>3163</v>
      </c>
      <c r="L96" t="s">
        <v>170</v>
      </c>
      <c r="M96" t="s">
        <v>9</v>
      </c>
      <c r="N96">
        <v>5</v>
      </c>
      <c r="O96" t="s">
        <v>3162</v>
      </c>
      <c r="P96" t="s">
        <v>3161</v>
      </c>
      <c r="Q96" t="s">
        <v>3160</v>
      </c>
      <c r="R96" s="8">
        <v>35034</v>
      </c>
      <c r="S96" s="9">
        <f t="shared" si="8"/>
        <v>1995</v>
      </c>
      <c r="T96" s="9">
        <v>1995</v>
      </c>
      <c r="U96" s="9">
        <f t="shared" si="9"/>
        <v>27</v>
      </c>
      <c r="V96" s="8">
        <v>1995</v>
      </c>
      <c r="W96" t="s">
        <v>21</v>
      </c>
      <c r="X96" s="2">
        <v>1.1819999999999999</v>
      </c>
      <c r="Y96" s="7">
        <f t="shared" si="10"/>
        <v>3.1552814927524625E-2</v>
      </c>
      <c r="AA96">
        <v>36951</v>
      </c>
      <c r="AB96">
        <v>27030</v>
      </c>
      <c r="AD96" t="s">
        <v>3</v>
      </c>
      <c r="AE96">
        <v>67</v>
      </c>
      <c r="AH96">
        <v>3924</v>
      </c>
      <c r="AI96" t="s">
        <v>3159</v>
      </c>
      <c r="AK96" t="s">
        <v>3158</v>
      </c>
      <c r="AL96">
        <v>124</v>
      </c>
      <c r="AM96" s="5">
        <f t="shared" si="11"/>
        <v>4.5925925925925926</v>
      </c>
      <c r="AN96" s="4">
        <f t="shared" si="12"/>
        <v>6.955838837701768E-3</v>
      </c>
      <c r="AO96" s="3"/>
      <c r="AP96">
        <v>0</v>
      </c>
      <c r="AR96" t="s">
        <v>1</v>
      </c>
      <c r="AT96" s="2">
        <v>3.7909999999999999</v>
      </c>
      <c r="AU96" s="1">
        <f t="shared" si="13"/>
        <v>2.4173722100577768</v>
      </c>
      <c r="AV96" s="1">
        <f t="shared" si="14"/>
        <v>1.9254326882613197</v>
      </c>
      <c r="AW96" s="1">
        <f t="shared" si="15"/>
        <v>1.4334931664648625</v>
      </c>
    </row>
    <row r="97" spans="1:49" x14ac:dyDescent="0.2">
      <c r="A97">
        <v>95</v>
      </c>
      <c r="B97" t="s">
        <v>3157</v>
      </c>
      <c r="F97" t="s">
        <v>3156</v>
      </c>
      <c r="G97" t="s">
        <v>6</v>
      </c>
      <c r="H97" t="s">
        <v>5</v>
      </c>
      <c r="I97" t="s">
        <v>3155</v>
      </c>
      <c r="N97">
        <v>1</v>
      </c>
      <c r="O97" t="s">
        <v>3154</v>
      </c>
      <c r="P97">
        <v>35484354000</v>
      </c>
      <c r="R97" s="8">
        <v>35034</v>
      </c>
      <c r="S97" s="9">
        <f t="shared" si="8"/>
        <v>1995</v>
      </c>
      <c r="T97" s="9">
        <v>1995</v>
      </c>
      <c r="U97" s="9">
        <f t="shared" si="9"/>
        <v>27</v>
      </c>
      <c r="V97" s="8">
        <v>1995</v>
      </c>
      <c r="W97" t="s">
        <v>97</v>
      </c>
      <c r="X97" s="2">
        <v>0.29499999999999998</v>
      </c>
      <c r="Y97" s="7">
        <f t="shared" si="10"/>
        <v>7.8748565174448087E-3</v>
      </c>
      <c r="AA97">
        <v>10642269</v>
      </c>
      <c r="AB97">
        <v>19554</v>
      </c>
      <c r="AD97" t="s">
        <v>3</v>
      </c>
      <c r="AE97">
        <v>40</v>
      </c>
      <c r="AF97">
        <v>7</v>
      </c>
      <c r="AH97" t="s">
        <v>3153</v>
      </c>
      <c r="AI97" t="s">
        <v>3152</v>
      </c>
      <c r="AK97" t="s">
        <v>3151</v>
      </c>
      <c r="AL97">
        <v>0</v>
      </c>
      <c r="AM97" s="5">
        <f t="shared" si="11"/>
        <v>0</v>
      </c>
      <c r="AN97" s="4">
        <f t="shared" si="12"/>
        <v>0</v>
      </c>
      <c r="AO97" s="3"/>
      <c r="AP97">
        <v>0</v>
      </c>
      <c r="AR97" t="s">
        <v>1</v>
      </c>
      <c r="AT97" s="2" t="s">
        <v>7</v>
      </c>
      <c r="AU97" s="1">
        <f t="shared" si="13"/>
        <v>0.55123995622113653</v>
      </c>
      <c r="AV97" s="1">
        <f t="shared" si="14"/>
        <v>0.39374282587224041</v>
      </c>
      <c r="AW97" s="1">
        <f t="shared" si="15"/>
        <v>0.23624569552334423</v>
      </c>
    </row>
    <row r="98" spans="1:49" x14ac:dyDescent="0.2">
      <c r="A98">
        <v>96</v>
      </c>
      <c r="B98" t="s">
        <v>3150</v>
      </c>
      <c r="C98" t="s">
        <v>3149</v>
      </c>
      <c r="F98" t="s">
        <v>3148</v>
      </c>
      <c r="G98" t="s">
        <v>6</v>
      </c>
      <c r="H98" t="s">
        <v>5</v>
      </c>
      <c r="I98" t="s">
        <v>3147</v>
      </c>
      <c r="J98">
        <v>100326608</v>
      </c>
      <c r="K98" t="s">
        <v>3146</v>
      </c>
      <c r="L98" t="s">
        <v>3145</v>
      </c>
      <c r="M98" t="s">
        <v>253</v>
      </c>
      <c r="N98">
        <v>2</v>
      </c>
      <c r="O98" t="s">
        <v>3144</v>
      </c>
      <c r="P98" t="s">
        <v>3143</v>
      </c>
      <c r="Q98" t="s">
        <v>3142</v>
      </c>
      <c r="R98" s="8">
        <v>35034</v>
      </c>
      <c r="S98" s="9">
        <f t="shared" si="8"/>
        <v>1995</v>
      </c>
      <c r="T98" s="9">
        <v>1995</v>
      </c>
      <c r="U98" s="9">
        <f t="shared" si="9"/>
        <v>27</v>
      </c>
      <c r="V98" s="8">
        <v>35034</v>
      </c>
      <c r="W98" t="s">
        <v>173</v>
      </c>
      <c r="X98" s="2">
        <v>0.78200000000000003</v>
      </c>
      <c r="Y98" s="7">
        <f t="shared" si="10"/>
        <v>2.0875043378446919E-2</v>
      </c>
      <c r="AA98">
        <v>189316</v>
      </c>
      <c r="AB98">
        <v>19901</v>
      </c>
      <c r="AD98" t="s">
        <v>3</v>
      </c>
      <c r="AE98">
        <v>41</v>
      </c>
      <c r="AF98">
        <v>4</v>
      </c>
      <c r="AH98" t="s">
        <v>3141</v>
      </c>
      <c r="AI98" t="s">
        <v>3140</v>
      </c>
      <c r="AK98" t="s">
        <v>3139</v>
      </c>
      <c r="AL98">
        <v>6</v>
      </c>
      <c r="AM98" s="5">
        <f t="shared" si="11"/>
        <v>0.22222222222222221</v>
      </c>
      <c r="AN98" s="4">
        <f t="shared" si="12"/>
        <v>3.365728469855694E-4</v>
      </c>
      <c r="AO98" s="3"/>
      <c r="AP98">
        <v>0</v>
      </c>
      <c r="AR98" t="s">
        <v>1</v>
      </c>
      <c r="AT98" s="2">
        <v>3.863</v>
      </c>
      <c r="AU98" s="1">
        <f t="shared" si="13"/>
        <v>1.4713502219008512</v>
      </c>
      <c r="AV98" s="1">
        <f t="shared" si="14"/>
        <v>1.0605808112716244</v>
      </c>
      <c r="AW98" s="1">
        <f t="shared" si="15"/>
        <v>0.6498114006423974</v>
      </c>
    </row>
    <row r="99" spans="1:49" x14ac:dyDescent="0.2">
      <c r="A99">
        <v>97</v>
      </c>
      <c r="B99" t="s">
        <v>3138</v>
      </c>
      <c r="F99" t="s">
        <v>3137</v>
      </c>
      <c r="G99" t="s">
        <v>6</v>
      </c>
      <c r="H99" t="s">
        <v>5</v>
      </c>
      <c r="I99" t="s">
        <v>3136</v>
      </c>
      <c r="N99">
        <v>1</v>
      </c>
      <c r="O99" t="s">
        <v>3135</v>
      </c>
      <c r="P99">
        <v>6603572144</v>
      </c>
      <c r="R99" s="8">
        <v>35034</v>
      </c>
      <c r="S99" s="9">
        <f t="shared" si="8"/>
        <v>1995</v>
      </c>
      <c r="T99" s="9">
        <v>1995</v>
      </c>
      <c r="U99" s="9">
        <f t="shared" si="9"/>
        <v>27</v>
      </c>
      <c r="V99" s="8">
        <v>1995</v>
      </c>
      <c r="W99" t="s">
        <v>97</v>
      </c>
      <c r="X99" s="2">
        <v>0.29499999999999998</v>
      </c>
      <c r="Y99" s="7">
        <f t="shared" si="10"/>
        <v>7.8748565174448087E-3</v>
      </c>
      <c r="AA99">
        <v>10642269</v>
      </c>
      <c r="AB99">
        <v>19554</v>
      </c>
      <c r="AD99" t="s">
        <v>3</v>
      </c>
      <c r="AE99">
        <v>40</v>
      </c>
      <c r="AF99">
        <v>11</v>
      </c>
      <c r="AH99" t="s">
        <v>3134</v>
      </c>
      <c r="AI99" t="s">
        <v>3133</v>
      </c>
      <c r="AK99" t="s">
        <v>3132</v>
      </c>
      <c r="AL99">
        <v>0</v>
      </c>
      <c r="AM99" s="5">
        <f t="shared" si="11"/>
        <v>0</v>
      </c>
      <c r="AN99" s="4">
        <f t="shared" si="12"/>
        <v>0</v>
      </c>
      <c r="AO99" s="3"/>
      <c r="AP99">
        <v>0</v>
      </c>
      <c r="AR99" t="s">
        <v>1</v>
      </c>
      <c r="AT99" s="2" t="s">
        <v>7</v>
      </c>
      <c r="AU99" s="1">
        <f t="shared" si="13"/>
        <v>0.55123995622113653</v>
      </c>
      <c r="AV99" s="1">
        <f t="shared" si="14"/>
        <v>0.39374282587224041</v>
      </c>
      <c r="AW99" s="1">
        <f t="shared" si="15"/>
        <v>0.23624569552334423</v>
      </c>
    </row>
    <row r="100" spans="1:49" x14ac:dyDescent="0.2">
      <c r="A100">
        <v>98</v>
      </c>
      <c r="B100" t="s">
        <v>3131</v>
      </c>
      <c r="F100" t="s">
        <v>3130</v>
      </c>
      <c r="G100" t="s">
        <v>6</v>
      </c>
      <c r="H100" t="s">
        <v>5</v>
      </c>
      <c r="I100" t="s">
        <v>3129</v>
      </c>
      <c r="N100">
        <v>1</v>
      </c>
      <c r="O100" t="s">
        <v>3128</v>
      </c>
      <c r="P100">
        <v>57197094678</v>
      </c>
      <c r="R100" s="8">
        <v>35034</v>
      </c>
      <c r="S100" s="9">
        <f t="shared" si="8"/>
        <v>1995</v>
      </c>
      <c r="T100" s="9">
        <v>1995</v>
      </c>
      <c r="U100" s="9">
        <f t="shared" si="9"/>
        <v>27</v>
      </c>
      <c r="V100" s="8">
        <v>1995</v>
      </c>
      <c r="W100" t="s">
        <v>3127</v>
      </c>
      <c r="X100" s="2" t="s">
        <v>7</v>
      </c>
      <c r="Y100" s="7" t="e">
        <f t="shared" si="10"/>
        <v>#VALUE!</v>
      </c>
      <c r="AA100">
        <v>2421283</v>
      </c>
      <c r="AB100">
        <v>62329</v>
      </c>
      <c r="AD100" t="s">
        <v>3</v>
      </c>
      <c r="AE100">
        <v>17</v>
      </c>
      <c r="AF100">
        <v>4</v>
      </c>
      <c r="AH100" t="s">
        <v>3126</v>
      </c>
      <c r="AI100" t="s">
        <v>3125</v>
      </c>
      <c r="AK100" t="s">
        <v>3124</v>
      </c>
      <c r="AL100">
        <v>0</v>
      </c>
      <c r="AM100" s="5">
        <f t="shared" si="11"/>
        <v>0</v>
      </c>
      <c r="AN100" s="4">
        <f t="shared" si="12"/>
        <v>0</v>
      </c>
      <c r="AO100" s="3"/>
      <c r="AP100">
        <v>0</v>
      </c>
      <c r="AR100" t="s">
        <v>1</v>
      </c>
      <c r="AT100" s="2" t="s">
        <v>7</v>
      </c>
      <c r="AU100" s="1" t="e">
        <f t="shared" si="13"/>
        <v>#VALUE!</v>
      </c>
      <c r="AV100" s="1" t="e">
        <f t="shared" si="14"/>
        <v>#VALUE!</v>
      </c>
      <c r="AW100" s="1" t="e">
        <f t="shared" si="15"/>
        <v>#VALUE!</v>
      </c>
    </row>
    <row r="101" spans="1:49" x14ac:dyDescent="0.2">
      <c r="A101">
        <v>99</v>
      </c>
      <c r="B101" t="s">
        <v>3123</v>
      </c>
      <c r="F101" t="s">
        <v>3122</v>
      </c>
      <c r="G101" t="s">
        <v>6</v>
      </c>
      <c r="H101" t="s">
        <v>5</v>
      </c>
      <c r="I101" t="s">
        <v>3121</v>
      </c>
      <c r="N101">
        <v>2</v>
      </c>
      <c r="O101" t="s">
        <v>3120</v>
      </c>
      <c r="P101" t="s">
        <v>3119</v>
      </c>
      <c r="Q101" t="s">
        <v>73</v>
      </c>
      <c r="R101" s="8">
        <v>35034</v>
      </c>
      <c r="S101" s="9">
        <f t="shared" si="8"/>
        <v>1995</v>
      </c>
      <c r="T101" s="9">
        <v>1995</v>
      </c>
      <c r="U101" s="9">
        <f t="shared" si="9"/>
        <v>27</v>
      </c>
      <c r="V101" s="8">
        <v>1995</v>
      </c>
      <c r="W101" t="s">
        <v>97</v>
      </c>
      <c r="X101" s="2">
        <v>0.29499999999999998</v>
      </c>
      <c r="Y101" s="7">
        <f t="shared" si="10"/>
        <v>7.8748565174448087E-3</v>
      </c>
      <c r="AA101">
        <v>10642269</v>
      </c>
      <c r="AB101">
        <v>19554</v>
      </c>
      <c r="AD101" t="s">
        <v>3</v>
      </c>
      <c r="AE101">
        <v>40</v>
      </c>
      <c r="AF101">
        <v>11</v>
      </c>
      <c r="AH101" t="s">
        <v>3118</v>
      </c>
      <c r="AI101" t="s">
        <v>3117</v>
      </c>
      <c r="AK101" t="s">
        <v>3116</v>
      </c>
      <c r="AL101">
        <v>0</v>
      </c>
      <c r="AM101" s="5">
        <f t="shared" si="11"/>
        <v>0</v>
      </c>
      <c r="AN101" s="4">
        <f t="shared" si="12"/>
        <v>0</v>
      </c>
      <c r="AO101" s="3"/>
      <c r="AP101">
        <v>0</v>
      </c>
      <c r="AR101" t="s">
        <v>1</v>
      </c>
      <c r="AT101" s="2" t="s">
        <v>7</v>
      </c>
      <c r="AU101" s="1">
        <f t="shared" si="13"/>
        <v>0.55123995622113653</v>
      </c>
      <c r="AV101" s="1">
        <f t="shared" si="14"/>
        <v>0.39374282587224041</v>
      </c>
      <c r="AW101" s="1">
        <f t="shared" si="15"/>
        <v>0.23624569552334423</v>
      </c>
    </row>
    <row r="102" spans="1:49" x14ac:dyDescent="0.2">
      <c r="A102">
        <v>100</v>
      </c>
      <c r="B102" t="s">
        <v>3115</v>
      </c>
      <c r="C102" t="s">
        <v>3114</v>
      </c>
      <c r="F102" t="s">
        <v>3113</v>
      </c>
      <c r="G102" t="s">
        <v>6</v>
      </c>
      <c r="H102" t="s">
        <v>5</v>
      </c>
      <c r="I102" t="s">
        <v>3112</v>
      </c>
      <c r="J102">
        <v>60013983</v>
      </c>
      <c r="K102" t="s">
        <v>136</v>
      </c>
      <c r="L102" t="s">
        <v>135</v>
      </c>
      <c r="M102" t="s">
        <v>134</v>
      </c>
      <c r="N102">
        <v>4</v>
      </c>
      <c r="O102" t="s">
        <v>3111</v>
      </c>
      <c r="P102" t="s">
        <v>3110</v>
      </c>
      <c r="Q102" t="s">
        <v>1350</v>
      </c>
      <c r="R102" s="8">
        <v>35034</v>
      </c>
      <c r="S102" s="9">
        <f t="shared" si="8"/>
        <v>1995</v>
      </c>
      <c r="T102" s="9">
        <v>1995</v>
      </c>
      <c r="U102" s="9">
        <f t="shared" si="9"/>
        <v>27</v>
      </c>
      <c r="V102" s="8">
        <v>35034</v>
      </c>
      <c r="W102" s="11" t="s">
        <v>238</v>
      </c>
      <c r="X102" s="2">
        <v>2.383</v>
      </c>
      <c r="Y102" s="7">
        <f t="shared" si="10"/>
        <v>6.3612824003630442E-2</v>
      </c>
      <c r="AA102">
        <v>13502417</v>
      </c>
      <c r="AB102">
        <v>17416</v>
      </c>
      <c r="AD102" t="s">
        <v>3</v>
      </c>
      <c r="AE102">
        <v>142</v>
      </c>
      <c r="AF102">
        <v>6</v>
      </c>
      <c r="AH102" t="s">
        <v>3109</v>
      </c>
      <c r="AI102" t="s">
        <v>3108</v>
      </c>
      <c r="AK102" t="s">
        <v>3107</v>
      </c>
      <c r="AL102">
        <v>2</v>
      </c>
      <c r="AM102" s="5">
        <f t="shared" si="11"/>
        <v>7.407407407407407E-2</v>
      </c>
      <c r="AN102" s="4">
        <f t="shared" si="12"/>
        <v>1.1219094899518981E-4</v>
      </c>
      <c r="AO102" s="3"/>
      <c r="AP102">
        <v>0</v>
      </c>
      <c r="AR102" t="s">
        <v>1</v>
      </c>
      <c r="AT102" s="2" t="s">
        <v>7</v>
      </c>
      <c r="AU102" s="1">
        <f t="shared" si="13"/>
        <v>4.4562634087239861</v>
      </c>
      <c r="AV102" s="1">
        <f t="shared" si="14"/>
        <v>3.1862507476312816</v>
      </c>
      <c r="AW102" s="1">
        <f t="shared" si="15"/>
        <v>1.9162380865385766</v>
      </c>
    </row>
    <row r="103" spans="1:49" x14ac:dyDescent="0.2">
      <c r="A103">
        <v>101</v>
      </c>
      <c r="B103" t="s">
        <v>3106</v>
      </c>
      <c r="C103" t="s">
        <v>3105</v>
      </c>
      <c r="F103" t="s">
        <v>3104</v>
      </c>
      <c r="G103" t="s">
        <v>6</v>
      </c>
      <c r="H103" t="s">
        <v>5</v>
      </c>
      <c r="I103" t="s">
        <v>226</v>
      </c>
      <c r="J103">
        <v>60001881</v>
      </c>
      <c r="K103" t="s">
        <v>1667</v>
      </c>
      <c r="L103" t="s">
        <v>1666</v>
      </c>
      <c r="M103" t="s">
        <v>37</v>
      </c>
      <c r="N103">
        <v>3</v>
      </c>
      <c r="O103" t="s">
        <v>225</v>
      </c>
      <c r="P103" t="s">
        <v>224</v>
      </c>
      <c r="Q103" t="s">
        <v>3084</v>
      </c>
      <c r="R103" s="8">
        <v>35034</v>
      </c>
      <c r="S103" s="9">
        <f t="shared" si="8"/>
        <v>1995</v>
      </c>
      <c r="T103" s="9">
        <v>1995</v>
      </c>
      <c r="U103" s="9">
        <f t="shared" si="9"/>
        <v>27</v>
      </c>
      <c r="V103" s="8">
        <v>35034</v>
      </c>
      <c r="W103" s="11" t="s">
        <v>238</v>
      </c>
      <c r="X103" s="2">
        <v>2.383</v>
      </c>
      <c r="Y103" s="7">
        <f t="shared" si="10"/>
        <v>6.3612824003630442E-2</v>
      </c>
      <c r="AA103">
        <v>13502417</v>
      </c>
      <c r="AB103">
        <v>17416</v>
      </c>
      <c r="AD103" t="s">
        <v>3</v>
      </c>
      <c r="AE103">
        <v>142</v>
      </c>
      <c r="AF103">
        <v>6</v>
      </c>
      <c r="AH103" t="s">
        <v>3103</v>
      </c>
      <c r="AI103" t="s">
        <v>3102</v>
      </c>
      <c r="AK103" t="s">
        <v>3101</v>
      </c>
      <c r="AL103">
        <v>1</v>
      </c>
      <c r="AM103" s="5">
        <f t="shared" si="11"/>
        <v>3.7037037037037035E-2</v>
      </c>
      <c r="AN103" s="4">
        <f t="shared" si="12"/>
        <v>5.6095474497594906E-5</v>
      </c>
      <c r="AO103" s="3"/>
      <c r="AP103">
        <v>0</v>
      </c>
      <c r="AR103" t="s">
        <v>1</v>
      </c>
      <c r="AT103" s="2" t="s">
        <v>7</v>
      </c>
      <c r="AU103" s="1">
        <f t="shared" si="13"/>
        <v>4.4545805444890592</v>
      </c>
      <c r="AV103" s="1">
        <f t="shared" si="14"/>
        <v>3.183445973906402</v>
      </c>
      <c r="AW103" s="1">
        <f t="shared" si="15"/>
        <v>1.9123114033237447</v>
      </c>
    </row>
    <row r="104" spans="1:49" x14ac:dyDescent="0.2">
      <c r="A104">
        <v>102</v>
      </c>
      <c r="B104" t="s">
        <v>3100</v>
      </c>
      <c r="C104" t="s">
        <v>3099</v>
      </c>
      <c r="F104" t="s">
        <v>3098</v>
      </c>
      <c r="G104" t="s">
        <v>6</v>
      </c>
      <c r="H104" t="s">
        <v>5</v>
      </c>
      <c r="I104" t="s">
        <v>2296</v>
      </c>
      <c r="J104">
        <v>60017293</v>
      </c>
      <c r="K104" t="s">
        <v>354</v>
      </c>
      <c r="L104" t="s">
        <v>317</v>
      </c>
      <c r="M104" t="s">
        <v>30</v>
      </c>
      <c r="N104">
        <v>3</v>
      </c>
      <c r="O104" t="s">
        <v>3097</v>
      </c>
      <c r="P104" t="s">
        <v>2294</v>
      </c>
      <c r="Q104" t="s">
        <v>353</v>
      </c>
      <c r="R104" s="8">
        <v>35034</v>
      </c>
      <c r="S104" s="9">
        <f t="shared" si="8"/>
        <v>1995</v>
      </c>
      <c r="T104" s="9">
        <v>1995</v>
      </c>
      <c r="U104" s="9">
        <f t="shared" si="9"/>
        <v>27</v>
      </c>
      <c r="V104" s="8">
        <v>35034</v>
      </c>
      <c r="W104" s="11" t="s">
        <v>238</v>
      </c>
      <c r="X104" s="2">
        <v>2.383</v>
      </c>
      <c r="Y104" s="7">
        <f t="shared" si="10"/>
        <v>6.3612824003630442E-2</v>
      </c>
      <c r="AA104">
        <v>13502417</v>
      </c>
      <c r="AB104">
        <v>17416</v>
      </c>
      <c r="AD104" t="s">
        <v>3</v>
      </c>
      <c r="AE104">
        <v>142</v>
      </c>
      <c r="AF104">
        <v>6</v>
      </c>
      <c r="AH104" t="s">
        <v>434</v>
      </c>
      <c r="AI104" t="s">
        <v>3096</v>
      </c>
      <c r="AK104" t="s">
        <v>3095</v>
      </c>
      <c r="AL104">
        <v>85</v>
      </c>
      <c r="AM104" s="5">
        <f t="shared" si="11"/>
        <v>3.1481481481481484</v>
      </c>
      <c r="AN104" s="4">
        <f t="shared" si="12"/>
        <v>4.7681153322955677E-3</v>
      </c>
      <c r="AO104" s="3"/>
      <c r="AP104">
        <v>0</v>
      </c>
      <c r="AR104" t="s">
        <v>1</v>
      </c>
      <c r="AT104" s="2" t="s">
        <v>7</v>
      </c>
      <c r="AU104" s="1">
        <f t="shared" si="13"/>
        <v>4.5959411402229975</v>
      </c>
      <c r="AV104" s="1">
        <f t="shared" si="14"/>
        <v>3.4190469667963006</v>
      </c>
      <c r="AW104" s="1">
        <f t="shared" si="15"/>
        <v>2.2421527933696028</v>
      </c>
    </row>
    <row r="105" spans="1:49" x14ac:dyDescent="0.2">
      <c r="A105">
        <v>103</v>
      </c>
      <c r="B105" t="s">
        <v>3094</v>
      </c>
      <c r="F105" t="s">
        <v>3093</v>
      </c>
      <c r="G105" t="s">
        <v>6</v>
      </c>
      <c r="H105" t="s">
        <v>5</v>
      </c>
      <c r="I105" t="s">
        <v>3018</v>
      </c>
      <c r="N105">
        <v>3</v>
      </c>
      <c r="O105" t="s">
        <v>3017</v>
      </c>
      <c r="P105" t="s">
        <v>3016</v>
      </c>
      <c r="Q105" t="s">
        <v>107</v>
      </c>
      <c r="R105" s="8">
        <v>35034</v>
      </c>
      <c r="S105" s="9">
        <f t="shared" si="8"/>
        <v>1995</v>
      </c>
      <c r="T105" s="9">
        <v>1995</v>
      </c>
      <c r="U105" s="9">
        <f t="shared" si="9"/>
        <v>27</v>
      </c>
      <c r="V105" s="8">
        <v>1995</v>
      </c>
      <c r="W105" t="s">
        <v>97</v>
      </c>
      <c r="X105" s="2">
        <v>0.29499999999999998</v>
      </c>
      <c r="Y105" s="7">
        <f t="shared" si="10"/>
        <v>7.8748565174448087E-3</v>
      </c>
      <c r="AA105">
        <v>10642269</v>
      </c>
      <c r="AB105">
        <v>19554</v>
      </c>
      <c r="AD105" t="s">
        <v>3</v>
      </c>
      <c r="AE105">
        <v>40</v>
      </c>
      <c r="AF105">
        <v>14</v>
      </c>
      <c r="AH105" t="s">
        <v>3092</v>
      </c>
      <c r="AI105" t="s">
        <v>3091</v>
      </c>
      <c r="AK105" t="s">
        <v>3090</v>
      </c>
      <c r="AL105">
        <v>0</v>
      </c>
      <c r="AM105" s="5">
        <f t="shared" si="11"/>
        <v>0</v>
      </c>
      <c r="AN105" s="4">
        <f t="shared" si="12"/>
        <v>0</v>
      </c>
      <c r="AO105" s="3"/>
      <c r="AP105">
        <v>0</v>
      </c>
      <c r="AR105" t="s">
        <v>1</v>
      </c>
      <c r="AT105" s="2" t="s">
        <v>7</v>
      </c>
      <c r="AU105" s="1">
        <f t="shared" si="13"/>
        <v>0.55123995622113653</v>
      </c>
      <c r="AV105" s="1">
        <f t="shared" si="14"/>
        <v>0.39374282587224041</v>
      </c>
      <c r="AW105" s="1">
        <f t="shared" si="15"/>
        <v>0.23624569552334423</v>
      </c>
    </row>
    <row r="106" spans="1:49" x14ac:dyDescent="0.2">
      <c r="A106">
        <v>104</v>
      </c>
      <c r="B106" t="s">
        <v>3089</v>
      </c>
      <c r="C106" t="s">
        <v>3088</v>
      </c>
      <c r="F106" t="s">
        <v>3087</v>
      </c>
      <c r="G106" t="s">
        <v>6</v>
      </c>
      <c r="H106" t="s">
        <v>5</v>
      </c>
      <c r="I106" t="s">
        <v>375</v>
      </c>
      <c r="J106">
        <v>60001881</v>
      </c>
      <c r="K106" t="s">
        <v>1667</v>
      </c>
      <c r="L106" t="s">
        <v>1666</v>
      </c>
      <c r="M106" t="s">
        <v>37</v>
      </c>
      <c r="N106">
        <v>3</v>
      </c>
      <c r="O106" t="s">
        <v>3086</v>
      </c>
      <c r="P106" t="s">
        <v>3085</v>
      </c>
      <c r="Q106" t="s">
        <v>3084</v>
      </c>
      <c r="R106" s="8">
        <v>35034</v>
      </c>
      <c r="S106" s="9">
        <f t="shared" si="8"/>
        <v>1995</v>
      </c>
      <c r="T106" s="9">
        <v>1995</v>
      </c>
      <c r="U106" s="9">
        <f t="shared" si="9"/>
        <v>27</v>
      </c>
      <c r="V106" s="8">
        <v>35034</v>
      </c>
      <c r="W106" s="11" t="s">
        <v>400</v>
      </c>
      <c r="X106" s="2">
        <v>2.383</v>
      </c>
      <c r="Y106" s="7">
        <f t="shared" si="10"/>
        <v>6.3612824003630442E-2</v>
      </c>
      <c r="AA106">
        <v>13502395</v>
      </c>
      <c r="AB106">
        <v>17418</v>
      </c>
      <c r="AD106" t="s">
        <v>3</v>
      </c>
      <c r="AE106">
        <v>142</v>
      </c>
      <c r="AF106">
        <v>6</v>
      </c>
      <c r="AH106" t="s">
        <v>3083</v>
      </c>
      <c r="AI106" t="s">
        <v>3082</v>
      </c>
      <c r="AK106" t="s">
        <v>3081</v>
      </c>
      <c r="AL106">
        <v>1</v>
      </c>
      <c r="AM106" s="5">
        <f t="shared" si="11"/>
        <v>3.7037037037037035E-2</v>
      </c>
      <c r="AN106" s="4">
        <f t="shared" si="12"/>
        <v>5.6095474497594906E-5</v>
      </c>
      <c r="AO106" s="3"/>
      <c r="AP106">
        <v>0</v>
      </c>
      <c r="AR106" t="s">
        <v>1</v>
      </c>
      <c r="AT106" s="2" t="s">
        <v>7</v>
      </c>
      <c r="AU106" s="1">
        <f t="shared" si="13"/>
        <v>4.4545805444890592</v>
      </c>
      <c r="AV106" s="1">
        <f t="shared" si="14"/>
        <v>3.183445973906402</v>
      </c>
      <c r="AW106" s="1">
        <f t="shared" si="15"/>
        <v>1.9123114033237447</v>
      </c>
    </row>
    <row r="107" spans="1:49" x14ac:dyDescent="0.2">
      <c r="A107">
        <v>105</v>
      </c>
      <c r="B107" t="s">
        <v>3080</v>
      </c>
      <c r="F107" t="s">
        <v>3079</v>
      </c>
      <c r="G107" t="s">
        <v>6</v>
      </c>
      <c r="H107" t="s">
        <v>5</v>
      </c>
      <c r="I107" t="s">
        <v>3078</v>
      </c>
      <c r="J107">
        <v>60085149</v>
      </c>
      <c r="K107" t="s">
        <v>3077</v>
      </c>
      <c r="L107" t="s">
        <v>170</v>
      </c>
      <c r="M107" t="s">
        <v>9</v>
      </c>
      <c r="N107">
        <v>2</v>
      </c>
      <c r="O107" t="s">
        <v>3076</v>
      </c>
      <c r="P107" t="s">
        <v>3075</v>
      </c>
      <c r="Q107" t="s">
        <v>3074</v>
      </c>
      <c r="R107" s="8">
        <v>35034</v>
      </c>
      <c r="S107" s="9">
        <f t="shared" si="8"/>
        <v>1995</v>
      </c>
      <c r="T107" s="9">
        <v>1995</v>
      </c>
      <c r="U107" s="9">
        <f t="shared" si="9"/>
        <v>27</v>
      </c>
      <c r="V107" s="8">
        <v>35034</v>
      </c>
      <c r="W107" t="s">
        <v>407</v>
      </c>
      <c r="X107" s="2" t="s">
        <v>7</v>
      </c>
      <c r="Y107" s="7" t="e">
        <f t="shared" si="10"/>
        <v>#VALUE!</v>
      </c>
      <c r="AA107" t="s">
        <v>406</v>
      </c>
      <c r="AB107">
        <v>26720</v>
      </c>
      <c r="AD107" t="s">
        <v>3</v>
      </c>
      <c r="AI107" t="s">
        <v>3073</v>
      </c>
      <c r="AK107" t="s">
        <v>3072</v>
      </c>
      <c r="AL107">
        <v>0</v>
      </c>
      <c r="AM107" s="5">
        <f t="shared" si="11"/>
        <v>0</v>
      </c>
      <c r="AN107" s="4">
        <f t="shared" si="12"/>
        <v>0</v>
      </c>
      <c r="AO107" s="3"/>
      <c r="AP107">
        <v>0</v>
      </c>
      <c r="AR107" t="s">
        <v>1</v>
      </c>
      <c r="AT107" s="2" t="s">
        <v>7</v>
      </c>
      <c r="AU107" s="1" t="e">
        <f t="shared" si="13"/>
        <v>#VALUE!</v>
      </c>
      <c r="AV107" s="1" t="e">
        <f t="shared" si="14"/>
        <v>#VALUE!</v>
      </c>
      <c r="AW107" s="1" t="e">
        <f t="shared" si="15"/>
        <v>#VALUE!</v>
      </c>
    </row>
    <row r="108" spans="1:49" x14ac:dyDescent="0.2">
      <c r="A108">
        <v>106</v>
      </c>
      <c r="B108" t="s">
        <v>3071</v>
      </c>
      <c r="F108" t="s">
        <v>3070</v>
      </c>
      <c r="G108" t="s">
        <v>6</v>
      </c>
      <c r="H108" t="s">
        <v>5</v>
      </c>
      <c r="I108" t="s">
        <v>3037</v>
      </c>
      <c r="N108">
        <v>2</v>
      </c>
      <c r="O108" t="s">
        <v>3069</v>
      </c>
      <c r="P108" t="s">
        <v>3068</v>
      </c>
      <c r="Q108" t="s">
        <v>73</v>
      </c>
      <c r="R108" s="8">
        <v>35034</v>
      </c>
      <c r="S108" s="9">
        <f t="shared" si="8"/>
        <v>1995</v>
      </c>
      <c r="T108" s="9">
        <v>1995</v>
      </c>
      <c r="U108" s="9">
        <f t="shared" si="9"/>
        <v>27</v>
      </c>
      <c r="V108" s="8">
        <v>1995</v>
      </c>
      <c r="W108" t="s">
        <v>97</v>
      </c>
      <c r="X108" s="2">
        <v>0.29499999999999998</v>
      </c>
      <c r="Y108" s="7">
        <f t="shared" si="10"/>
        <v>7.8748565174448087E-3</v>
      </c>
      <c r="AA108">
        <v>10642269</v>
      </c>
      <c r="AB108">
        <v>19554</v>
      </c>
      <c r="AD108" t="s">
        <v>3</v>
      </c>
      <c r="AE108">
        <v>40</v>
      </c>
      <c r="AF108">
        <v>7</v>
      </c>
      <c r="AH108" t="s">
        <v>372</v>
      </c>
      <c r="AI108" t="s">
        <v>3067</v>
      </c>
      <c r="AK108" t="s">
        <v>3066</v>
      </c>
      <c r="AL108">
        <v>2</v>
      </c>
      <c r="AM108" s="5">
        <f t="shared" si="11"/>
        <v>7.407407407407407E-2</v>
      </c>
      <c r="AN108" s="4">
        <f t="shared" si="12"/>
        <v>1.1219094899518981E-4</v>
      </c>
      <c r="AO108" s="3"/>
      <c r="AP108">
        <v>0</v>
      </c>
      <c r="AR108" t="s">
        <v>1</v>
      </c>
      <c r="AT108" s="2" t="s">
        <v>7</v>
      </c>
      <c r="AU108" s="1">
        <f t="shared" si="13"/>
        <v>0.55460568469099225</v>
      </c>
      <c r="AV108" s="1">
        <f t="shared" si="14"/>
        <v>0.39935237332199991</v>
      </c>
      <c r="AW108" s="1">
        <f t="shared" si="15"/>
        <v>0.24409906195300754</v>
      </c>
    </row>
    <row r="109" spans="1:49" x14ac:dyDescent="0.2">
      <c r="A109">
        <v>107</v>
      </c>
      <c r="B109" t="s">
        <v>3065</v>
      </c>
      <c r="F109" t="s">
        <v>3064</v>
      </c>
      <c r="G109" t="s">
        <v>6</v>
      </c>
      <c r="H109" t="s">
        <v>5</v>
      </c>
      <c r="I109" t="s">
        <v>108</v>
      </c>
      <c r="N109">
        <v>2</v>
      </c>
      <c r="O109" t="s">
        <v>3063</v>
      </c>
      <c r="P109" t="s">
        <v>3062</v>
      </c>
      <c r="Q109" t="s">
        <v>73</v>
      </c>
      <c r="R109" s="8">
        <v>35034</v>
      </c>
      <c r="S109" s="9">
        <f t="shared" si="8"/>
        <v>1995</v>
      </c>
      <c r="T109" s="9">
        <v>1995</v>
      </c>
      <c r="U109" s="9">
        <f t="shared" si="9"/>
        <v>27</v>
      </c>
      <c r="V109" s="8">
        <v>1995</v>
      </c>
      <c r="W109" t="s">
        <v>97</v>
      </c>
      <c r="X109" s="2">
        <v>0.29499999999999998</v>
      </c>
      <c r="Y109" s="7">
        <f t="shared" si="10"/>
        <v>7.8748565174448087E-3</v>
      </c>
      <c r="AA109">
        <v>10642269</v>
      </c>
      <c r="AB109">
        <v>19554</v>
      </c>
      <c r="AD109" t="s">
        <v>3</v>
      </c>
      <c r="AE109">
        <v>40</v>
      </c>
      <c r="AF109">
        <v>7</v>
      </c>
      <c r="AH109" t="s">
        <v>3061</v>
      </c>
      <c r="AI109" t="s">
        <v>3060</v>
      </c>
      <c r="AK109" t="s">
        <v>3059</v>
      </c>
      <c r="AL109">
        <v>0</v>
      </c>
      <c r="AM109" s="5">
        <f t="shared" si="11"/>
        <v>0</v>
      </c>
      <c r="AN109" s="4">
        <f t="shared" si="12"/>
        <v>0</v>
      </c>
      <c r="AO109" s="3"/>
      <c r="AP109">
        <v>0</v>
      </c>
      <c r="AR109" t="s">
        <v>1</v>
      </c>
      <c r="AT109" s="2" t="s">
        <v>7</v>
      </c>
      <c r="AU109" s="1">
        <f t="shared" si="13"/>
        <v>0.55123995622113653</v>
      </c>
      <c r="AV109" s="1">
        <f t="shared" si="14"/>
        <v>0.39374282587224041</v>
      </c>
      <c r="AW109" s="1">
        <f t="shared" si="15"/>
        <v>0.23624569552334423</v>
      </c>
    </row>
    <row r="110" spans="1:49" x14ac:dyDescent="0.2">
      <c r="A110">
        <v>108</v>
      </c>
      <c r="B110" t="s">
        <v>3058</v>
      </c>
      <c r="F110" t="s">
        <v>3057</v>
      </c>
      <c r="G110" t="s">
        <v>6</v>
      </c>
      <c r="H110" t="s">
        <v>5</v>
      </c>
      <c r="I110" t="s">
        <v>3056</v>
      </c>
      <c r="N110">
        <v>1</v>
      </c>
      <c r="O110" t="s">
        <v>3055</v>
      </c>
      <c r="P110">
        <v>6507919816</v>
      </c>
      <c r="R110" s="8">
        <v>35034</v>
      </c>
      <c r="S110" s="9">
        <f t="shared" si="8"/>
        <v>1995</v>
      </c>
      <c r="T110" s="9">
        <v>1995</v>
      </c>
      <c r="U110" s="9">
        <f t="shared" si="9"/>
        <v>27</v>
      </c>
      <c r="V110" s="8">
        <v>1995</v>
      </c>
      <c r="W110" t="s">
        <v>97</v>
      </c>
      <c r="X110" s="2">
        <v>0.29499999999999998</v>
      </c>
      <c r="Y110" s="7">
        <f t="shared" si="10"/>
        <v>7.8748565174448087E-3</v>
      </c>
      <c r="AA110">
        <v>10642269</v>
      </c>
      <c r="AB110">
        <v>19554</v>
      </c>
      <c r="AD110" t="s">
        <v>3</v>
      </c>
      <c r="AE110">
        <v>40</v>
      </c>
      <c r="AF110">
        <v>5</v>
      </c>
      <c r="AH110" t="s">
        <v>3054</v>
      </c>
      <c r="AI110" t="s">
        <v>3053</v>
      </c>
      <c r="AK110" t="s">
        <v>3052</v>
      </c>
      <c r="AL110">
        <v>0</v>
      </c>
      <c r="AM110" s="5">
        <f t="shared" si="11"/>
        <v>0</v>
      </c>
      <c r="AN110" s="4">
        <f t="shared" si="12"/>
        <v>0</v>
      </c>
      <c r="AO110" s="3"/>
      <c r="AP110">
        <v>0</v>
      </c>
      <c r="AR110" t="s">
        <v>1</v>
      </c>
      <c r="AT110" s="2" t="s">
        <v>7</v>
      </c>
      <c r="AU110" s="1">
        <f t="shared" si="13"/>
        <v>0.55123995622113653</v>
      </c>
      <c r="AV110" s="1">
        <f t="shared" si="14"/>
        <v>0.39374282587224041</v>
      </c>
      <c r="AW110" s="1">
        <f t="shared" si="15"/>
        <v>0.23624569552334423</v>
      </c>
    </row>
    <row r="111" spans="1:49" x14ac:dyDescent="0.2">
      <c r="A111">
        <v>109</v>
      </c>
      <c r="B111" t="s">
        <v>3051</v>
      </c>
      <c r="F111" t="s">
        <v>3050</v>
      </c>
      <c r="G111" t="s">
        <v>6</v>
      </c>
      <c r="H111" t="s">
        <v>5</v>
      </c>
      <c r="I111" t="s">
        <v>3049</v>
      </c>
      <c r="J111">
        <v>60086242</v>
      </c>
      <c r="K111" t="s">
        <v>3048</v>
      </c>
      <c r="L111" t="s">
        <v>3047</v>
      </c>
      <c r="M111" t="s">
        <v>9</v>
      </c>
      <c r="N111">
        <v>2</v>
      </c>
      <c r="O111" t="s">
        <v>3046</v>
      </c>
      <c r="P111" t="s">
        <v>3045</v>
      </c>
      <c r="Q111" t="s">
        <v>3044</v>
      </c>
      <c r="R111" s="8">
        <v>35034</v>
      </c>
      <c r="S111" s="9">
        <f t="shared" si="8"/>
        <v>1995</v>
      </c>
      <c r="T111" s="9">
        <v>1995</v>
      </c>
      <c r="U111" s="9">
        <f t="shared" si="9"/>
        <v>27</v>
      </c>
      <c r="V111" s="8">
        <v>1995</v>
      </c>
      <c r="W111" t="s">
        <v>3043</v>
      </c>
      <c r="X111" s="2" t="s">
        <v>7</v>
      </c>
      <c r="Y111" s="7" t="e">
        <f t="shared" si="10"/>
        <v>#VALUE!</v>
      </c>
      <c r="AA111">
        <v>9248625</v>
      </c>
      <c r="AB111">
        <v>12897</v>
      </c>
      <c r="AD111" t="s">
        <v>3</v>
      </c>
      <c r="AE111">
        <v>13</v>
      </c>
      <c r="AF111">
        <v>4</v>
      </c>
      <c r="AH111" t="s">
        <v>3042</v>
      </c>
      <c r="AI111" t="s">
        <v>3041</v>
      </c>
      <c r="AK111" t="s">
        <v>3040</v>
      </c>
      <c r="AL111">
        <v>2</v>
      </c>
      <c r="AM111" s="5">
        <f t="shared" si="11"/>
        <v>7.407407407407407E-2</v>
      </c>
      <c r="AN111" s="4">
        <f t="shared" si="12"/>
        <v>1.1219094899518981E-4</v>
      </c>
      <c r="AO111" s="3"/>
      <c r="AP111">
        <v>0</v>
      </c>
      <c r="AR111" t="s">
        <v>1</v>
      </c>
      <c r="AT111" s="2" t="s">
        <v>7</v>
      </c>
      <c r="AU111" s="1" t="e">
        <f t="shared" si="13"/>
        <v>#VALUE!</v>
      </c>
      <c r="AV111" s="1" t="e">
        <f t="shared" si="14"/>
        <v>#VALUE!</v>
      </c>
      <c r="AW111" s="1" t="e">
        <f t="shared" si="15"/>
        <v>#VALUE!</v>
      </c>
    </row>
    <row r="112" spans="1:49" x14ac:dyDescent="0.2">
      <c r="A112">
        <v>110</v>
      </c>
      <c r="B112" t="s">
        <v>3039</v>
      </c>
      <c r="F112" t="s">
        <v>3038</v>
      </c>
      <c r="G112" t="s">
        <v>6</v>
      </c>
      <c r="H112" t="s">
        <v>5</v>
      </c>
      <c r="I112" t="s">
        <v>3037</v>
      </c>
      <c r="N112">
        <v>1</v>
      </c>
      <c r="O112" t="s">
        <v>3036</v>
      </c>
      <c r="P112">
        <v>7006839310</v>
      </c>
      <c r="R112" s="8">
        <v>35034</v>
      </c>
      <c r="S112" s="9">
        <f t="shared" si="8"/>
        <v>1995</v>
      </c>
      <c r="T112" s="9">
        <v>1995</v>
      </c>
      <c r="U112" s="9">
        <f t="shared" si="9"/>
        <v>27</v>
      </c>
      <c r="V112" s="8">
        <v>1995</v>
      </c>
      <c r="W112" t="s">
        <v>97</v>
      </c>
      <c r="X112" s="2">
        <v>0.29499999999999998</v>
      </c>
      <c r="Y112" s="7">
        <f t="shared" si="10"/>
        <v>7.8748565174448087E-3</v>
      </c>
      <c r="AA112">
        <v>10642269</v>
      </c>
      <c r="AB112">
        <v>19554</v>
      </c>
      <c r="AD112" t="s">
        <v>3</v>
      </c>
      <c r="AE112">
        <v>40</v>
      </c>
      <c r="AF112">
        <v>16</v>
      </c>
      <c r="AH112" s="6">
        <v>44287</v>
      </c>
      <c r="AI112" t="s">
        <v>3035</v>
      </c>
      <c r="AK112" t="s">
        <v>3034</v>
      </c>
      <c r="AL112">
        <v>0</v>
      </c>
      <c r="AM112" s="5">
        <f t="shared" si="11"/>
        <v>0</v>
      </c>
      <c r="AN112" s="4">
        <f t="shared" si="12"/>
        <v>0</v>
      </c>
      <c r="AO112" s="3"/>
      <c r="AP112">
        <v>0</v>
      </c>
      <c r="AR112" t="s">
        <v>1</v>
      </c>
      <c r="AT112" s="2" t="s">
        <v>7</v>
      </c>
      <c r="AU112" s="1">
        <f t="shared" si="13"/>
        <v>0.55123995622113653</v>
      </c>
      <c r="AV112" s="1">
        <f t="shared" si="14"/>
        <v>0.39374282587224041</v>
      </c>
      <c r="AW112" s="1">
        <f t="shared" si="15"/>
        <v>0.23624569552334423</v>
      </c>
    </row>
    <row r="113" spans="1:49" x14ac:dyDescent="0.2">
      <c r="A113">
        <v>111</v>
      </c>
      <c r="B113" t="s">
        <v>3033</v>
      </c>
      <c r="F113" t="s">
        <v>3032</v>
      </c>
      <c r="G113" t="s">
        <v>6</v>
      </c>
      <c r="H113" t="s">
        <v>5</v>
      </c>
      <c r="I113" t="s">
        <v>3031</v>
      </c>
      <c r="N113">
        <v>2</v>
      </c>
      <c r="O113" t="s">
        <v>3030</v>
      </c>
      <c r="P113" t="s">
        <v>3008</v>
      </c>
      <c r="Q113" t="s">
        <v>73</v>
      </c>
      <c r="R113" s="8">
        <v>35034</v>
      </c>
      <c r="S113" s="9">
        <f t="shared" si="8"/>
        <v>1995</v>
      </c>
      <c r="T113" s="9">
        <v>1995</v>
      </c>
      <c r="U113" s="9">
        <f t="shared" si="9"/>
        <v>27</v>
      </c>
      <c r="V113" s="8">
        <v>1995</v>
      </c>
      <c r="W113" t="s">
        <v>97</v>
      </c>
      <c r="X113" s="2">
        <v>0.29499999999999998</v>
      </c>
      <c r="Y113" s="7">
        <f t="shared" si="10"/>
        <v>7.8748565174448087E-3</v>
      </c>
      <c r="AA113">
        <v>10642269</v>
      </c>
      <c r="AB113">
        <v>19554</v>
      </c>
      <c r="AD113" t="s">
        <v>3</v>
      </c>
      <c r="AE113">
        <v>40</v>
      </c>
      <c r="AF113">
        <v>16</v>
      </c>
      <c r="AH113" t="s">
        <v>117</v>
      </c>
      <c r="AI113" t="s">
        <v>3029</v>
      </c>
      <c r="AK113" t="s">
        <v>3028</v>
      </c>
      <c r="AL113">
        <v>0</v>
      </c>
      <c r="AM113" s="5">
        <f t="shared" si="11"/>
        <v>0</v>
      </c>
      <c r="AN113" s="4">
        <f t="shared" si="12"/>
        <v>0</v>
      </c>
      <c r="AO113" s="3"/>
      <c r="AP113">
        <v>0</v>
      </c>
      <c r="AR113" t="s">
        <v>1</v>
      </c>
      <c r="AT113" s="2" t="s">
        <v>7</v>
      </c>
      <c r="AU113" s="1">
        <f t="shared" si="13"/>
        <v>0.55123995622113653</v>
      </c>
      <c r="AV113" s="1">
        <f t="shared" si="14"/>
        <v>0.39374282587224041</v>
      </c>
      <c r="AW113" s="1">
        <f t="shared" si="15"/>
        <v>0.23624569552334423</v>
      </c>
    </row>
    <row r="114" spans="1:49" x14ac:dyDescent="0.2">
      <c r="A114">
        <v>112</v>
      </c>
      <c r="B114" t="s">
        <v>3027</v>
      </c>
      <c r="F114" t="s">
        <v>3026</v>
      </c>
      <c r="G114" t="s">
        <v>6</v>
      </c>
      <c r="H114" t="s">
        <v>5</v>
      </c>
      <c r="I114" t="s">
        <v>3025</v>
      </c>
      <c r="N114">
        <v>1</v>
      </c>
      <c r="O114" t="s">
        <v>3024</v>
      </c>
      <c r="P114">
        <v>6603378631</v>
      </c>
      <c r="R114" s="8">
        <v>35034</v>
      </c>
      <c r="S114" s="9">
        <f t="shared" si="8"/>
        <v>1995</v>
      </c>
      <c r="T114" s="9">
        <v>1995</v>
      </c>
      <c r="U114" s="9">
        <f t="shared" si="9"/>
        <v>27</v>
      </c>
      <c r="V114" s="8">
        <v>1995</v>
      </c>
      <c r="W114" t="s">
        <v>97</v>
      </c>
      <c r="X114" s="2">
        <v>0.29499999999999998</v>
      </c>
      <c r="Y114" s="7">
        <f t="shared" si="10"/>
        <v>7.8748565174448087E-3</v>
      </c>
      <c r="AA114">
        <v>10642269</v>
      </c>
      <c r="AB114">
        <v>19554</v>
      </c>
      <c r="AD114" t="s">
        <v>3</v>
      </c>
      <c r="AE114">
        <v>40</v>
      </c>
      <c r="AF114">
        <v>15</v>
      </c>
      <c r="AH114" t="s">
        <v>3023</v>
      </c>
      <c r="AI114" t="s">
        <v>3022</v>
      </c>
      <c r="AK114" t="s">
        <v>3021</v>
      </c>
      <c r="AL114">
        <v>0</v>
      </c>
      <c r="AM114" s="5">
        <f t="shared" si="11"/>
        <v>0</v>
      </c>
      <c r="AN114" s="4">
        <f t="shared" si="12"/>
        <v>0</v>
      </c>
      <c r="AO114" s="3"/>
      <c r="AP114">
        <v>0</v>
      </c>
      <c r="AR114" t="s">
        <v>1</v>
      </c>
      <c r="AT114" s="2" t="s">
        <v>7</v>
      </c>
      <c r="AU114" s="1">
        <f t="shared" si="13"/>
        <v>0.55123995622113653</v>
      </c>
      <c r="AV114" s="1">
        <f t="shared" si="14"/>
        <v>0.39374282587224041</v>
      </c>
      <c r="AW114" s="1">
        <f t="shared" si="15"/>
        <v>0.23624569552334423</v>
      </c>
    </row>
    <row r="115" spans="1:49" x14ac:dyDescent="0.2">
      <c r="A115">
        <v>113</v>
      </c>
      <c r="B115" t="s">
        <v>3020</v>
      </c>
      <c r="F115" t="s">
        <v>3019</v>
      </c>
      <c r="G115" t="s">
        <v>6</v>
      </c>
      <c r="H115" t="s">
        <v>5</v>
      </c>
      <c r="I115" t="s">
        <v>3018</v>
      </c>
      <c r="N115">
        <v>3</v>
      </c>
      <c r="O115" t="s">
        <v>3017</v>
      </c>
      <c r="P115" t="s">
        <v>3016</v>
      </c>
      <c r="Q115" t="s">
        <v>107</v>
      </c>
      <c r="R115" s="8">
        <v>35034</v>
      </c>
      <c r="S115" s="9">
        <f t="shared" si="8"/>
        <v>1995</v>
      </c>
      <c r="T115" s="9">
        <v>1995</v>
      </c>
      <c r="U115" s="9">
        <f t="shared" si="9"/>
        <v>27</v>
      </c>
      <c r="V115" s="8">
        <v>1995</v>
      </c>
      <c r="W115" t="s">
        <v>97</v>
      </c>
      <c r="X115" s="2">
        <v>0.29499999999999998</v>
      </c>
      <c r="Y115" s="7">
        <f t="shared" si="10"/>
        <v>7.8748565174448087E-3</v>
      </c>
      <c r="AA115">
        <v>10642269</v>
      </c>
      <c r="AB115">
        <v>19554</v>
      </c>
      <c r="AD115" t="s">
        <v>3</v>
      </c>
      <c r="AE115">
        <v>40</v>
      </c>
      <c r="AF115">
        <v>16</v>
      </c>
      <c r="AH115" t="s">
        <v>3015</v>
      </c>
      <c r="AI115" t="s">
        <v>3014</v>
      </c>
      <c r="AK115" t="s">
        <v>3013</v>
      </c>
      <c r="AL115">
        <v>0</v>
      </c>
      <c r="AM115" s="5">
        <f t="shared" si="11"/>
        <v>0</v>
      </c>
      <c r="AN115" s="4">
        <f t="shared" si="12"/>
        <v>0</v>
      </c>
      <c r="AO115" s="3"/>
      <c r="AP115">
        <v>0</v>
      </c>
      <c r="AR115" t="s">
        <v>1</v>
      </c>
      <c r="AT115" s="2" t="s">
        <v>7</v>
      </c>
      <c r="AU115" s="1">
        <f t="shared" si="13"/>
        <v>0.55123995622113653</v>
      </c>
      <c r="AV115" s="1">
        <f t="shared" si="14"/>
        <v>0.39374282587224041</v>
      </c>
      <c r="AW115" s="1">
        <f t="shared" si="15"/>
        <v>0.23624569552334423</v>
      </c>
    </row>
    <row r="116" spans="1:49" x14ac:dyDescent="0.2">
      <c r="A116">
        <v>114</v>
      </c>
      <c r="B116" t="s">
        <v>3012</v>
      </c>
      <c r="F116" t="s">
        <v>3011</v>
      </c>
      <c r="G116" t="s">
        <v>6</v>
      </c>
      <c r="H116" t="s">
        <v>5</v>
      </c>
      <c r="I116" t="s">
        <v>3010</v>
      </c>
      <c r="N116">
        <v>2</v>
      </c>
      <c r="O116" t="s">
        <v>3009</v>
      </c>
      <c r="P116" t="s">
        <v>3008</v>
      </c>
      <c r="Q116" t="s">
        <v>73</v>
      </c>
      <c r="R116" s="8">
        <v>35034</v>
      </c>
      <c r="S116" s="9">
        <f t="shared" si="8"/>
        <v>1995</v>
      </c>
      <c r="T116" s="9">
        <v>1995</v>
      </c>
      <c r="U116" s="9">
        <f t="shared" si="9"/>
        <v>27</v>
      </c>
      <c r="V116" s="8">
        <v>1995</v>
      </c>
      <c r="W116" t="s">
        <v>97</v>
      </c>
      <c r="X116" s="2">
        <v>0.29499999999999998</v>
      </c>
      <c r="Y116" s="7">
        <f t="shared" si="10"/>
        <v>7.8748565174448087E-3</v>
      </c>
      <c r="AA116">
        <v>10642269</v>
      </c>
      <c r="AB116">
        <v>19554</v>
      </c>
      <c r="AD116" t="s">
        <v>3</v>
      </c>
      <c r="AE116">
        <v>40</v>
      </c>
      <c r="AF116">
        <v>16</v>
      </c>
      <c r="AH116" t="s">
        <v>3007</v>
      </c>
      <c r="AI116" t="s">
        <v>3006</v>
      </c>
      <c r="AK116" t="s">
        <v>3005</v>
      </c>
      <c r="AL116">
        <v>0</v>
      </c>
      <c r="AM116" s="5">
        <f t="shared" si="11"/>
        <v>0</v>
      </c>
      <c r="AN116" s="4">
        <f t="shared" si="12"/>
        <v>0</v>
      </c>
      <c r="AO116" s="3"/>
      <c r="AP116">
        <v>0</v>
      </c>
      <c r="AR116" t="s">
        <v>1</v>
      </c>
      <c r="AT116" s="2" t="s">
        <v>7</v>
      </c>
      <c r="AU116" s="1">
        <f t="shared" si="13"/>
        <v>0.55123995622113653</v>
      </c>
      <c r="AV116" s="1">
        <f t="shared" si="14"/>
        <v>0.39374282587224041</v>
      </c>
      <c r="AW116" s="1">
        <f t="shared" si="15"/>
        <v>0.23624569552334423</v>
      </c>
    </row>
    <row r="117" spans="1:49" x14ac:dyDescent="0.2">
      <c r="A117">
        <v>115</v>
      </c>
      <c r="B117" t="s">
        <v>3004</v>
      </c>
      <c r="F117" t="s">
        <v>3003</v>
      </c>
      <c r="G117" t="s">
        <v>6</v>
      </c>
      <c r="H117" t="s">
        <v>5</v>
      </c>
      <c r="I117" t="s">
        <v>316</v>
      </c>
      <c r="N117">
        <v>1</v>
      </c>
      <c r="O117" t="s">
        <v>3002</v>
      </c>
      <c r="P117">
        <v>7103379797</v>
      </c>
      <c r="R117" s="8">
        <v>35034</v>
      </c>
      <c r="S117" s="9">
        <f t="shared" si="8"/>
        <v>1995</v>
      </c>
      <c r="T117" s="9">
        <v>1995</v>
      </c>
      <c r="U117" s="9">
        <f t="shared" si="9"/>
        <v>27</v>
      </c>
      <c r="V117" s="8">
        <v>1995</v>
      </c>
      <c r="W117" t="s">
        <v>97</v>
      </c>
      <c r="X117" s="2">
        <v>0.29499999999999998</v>
      </c>
      <c r="Y117" s="7">
        <f t="shared" si="10"/>
        <v>7.8748565174448087E-3</v>
      </c>
      <c r="AA117">
        <v>10642269</v>
      </c>
      <c r="AB117">
        <v>19554</v>
      </c>
      <c r="AD117" t="s">
        <v>3</v>
      </c>
      <c r="AE117">
        <v>40</v>
      </c>
      <c r="AF117">
        <v>15</v>
      </c>
      <c r="AH117" t="s">
        <v>112</v>
      </c>
      <c r="AI117" t="s">
        <v>3001</v>
      </c>
      <c r="AK117" t="s">
        <v>3000</v>
      </c>
      <c r="AL117">
        <v>0</v>
      </c>
      <c r="AM117" s="5">
        <f t="shared" si="11"/>
        <v>0</v>
      </c>
      <c r="AN117" s="4">
        <f t="shared" si="12"/>
        <v>0</v>
      </c>
      <c r="AO117" s="3"/>
      <c r="AP117">
        <v>0</v>
      </c>
      <c r="AR117" t="s">
        <v>1</v>
      </c>
      <c r="AT117" s="2" t="s">
        <v>7</v>
      </c>
      <c r="AU117" s="1">
        <f t="shared" si="13"/>
        <v>0.55123995622113653</v>
      </c>
      <c r="AV117" s="1">
        <f t="shared" si="14"/>
        <v>0.39374282587224041</v>
      </c>
      <c r="AW117" s="1">
        <f t="shared" si="15"/>
        <v>0.23624569552334423</v>
      </c>
    </row>
    <row r="118" spans="1:49" x14ac:dyDescent="0.2">
      <c r="A118">
        <v>116</v>
      </c>
      <c r="B118" t="s">
        <v>2999</v>
      </c>
      <c r="F118" t="s">
        <v>2998</v>
      </c>
      <c r="G118" t="s">
        <v>6</v>
      </c>
      <c r="H118" t="s">
        <v>5</v>
      </c>
      <c r="I118" t="s">
        <v>2997</v>
      </c>
      <c r="N118">
        <v>1</v>
      </c>
      <c r="O118" t="s">
        <v>2996</v>
      </c>
      <c r="P118">
        <v>7004753376</v>
      </c>
      <c r="R118" s="8">
        <v>35034</v>
      </c>
      <c r="S118" s="9">
        <f t="shared" si="8"/>
        <v>1995</v>
      </c>
      <c r="T118" s="9">
        <v>1995</v>
      </c>
      <c r="U118" s="9">
        <f t="shared" si="9"/>
        <v>27</v>
      </c>
      <c r="V118" s="8">
        <v>1995</v>
      </c>
      <c r="W118" t="s">
        <v>97</v>
      </c>
      <c r="X118" s="2">
        <v>0.29499999999999998</v>
      </c>
      <c r="Y118" s="7">
        <f t="shared" si="10"/>
        <v>7.8748565174448087E-3</v>
      </c>
      <c r="AA118">
        <v>10642269</v>
      </c>
      <c r="AB118">
        <v>19554</v>
      </c>
      <c r="AD118" t="s">
        <v>3</v>
      </c>
      <c r="AE118">
        <v>40</v>
      </c>
      <c r="AF118">
        <v>15</v>
      </c>
      <c r="AH118" t="s">
        <v>2995</v>
      </c>
      <c r="AI118" t="s">
        <v>2994</v>
      </c>
      <c r="AK118" t="s">
        <v>2993</v>
      </c>
      <c r="AL118">
        <v>0</v>
      </c>
      <c r="AM118" s="5">
        <f t="shared" si="11"/>
        <v>0</v>
      </c>
      <c r="AN118" s="4">
        <f t="shared" si="12"/>
        <v>0</v>
      </c>
      <c r="AO118" s="3"/>
      <c r="AP118">
        <v>0</v>
      </c>
      <c r="AR118" t="s">
        <v>1</v>
      </c>
      <c r="AT118" s="2" t="s">
        <v>7</v>
      </c>
      <c r="AU118" s="1">
        <f t="shared" si="13"/>
        <v>0.55123995622113653</v>
      </c>
      <c r="AV118" s="1">
        <f t="shared" si="14"/>
        <v>0.39374282587224041</v>
      </c>
      <c r="AW118" s="1">
        <f t="shared" si="15"/>
        <v>0.23624569552334423</v>
      </c>
    </row>
    <row r="119" spans="1:49" x14ac:dyDescent="0.2">
      <c r="A119">
        <v>117</v>
      </c>
      <c r="B119" t="s">
        <v>2992</v>
      </c>
      <c r="F119" t="s">
        <v>2991</v>
      </c>
      <c r="G119" t="s">
        <v>6</v>
      </c>
      <c r="H119" t="s">
        <v>5</v>
      </c>
      <c r="I119" t="s">
        <v>2990</v>
      </c>
      <c r="N119">
        <v>1</v>
      </c>
      <c r="O119" t="s">
        <v>2989</v>
      </c>
      <c r="P119">
        <v>6701813300</v>
      </c>
      <c r="R119" s="8">
        <v>35034</v>
      </c>
      <c r="S119" s="9">
        <f t="shared" si="8"/>
        <v>1995</v>
      </c>
      <c r="T119" s="9">
        <v>1995</v>
      </c>
      <c r="U119" s="9">
        <f t="shared" si="9"/>
        <v>27</v>
      </c>
      <c r="V119" s="8">
        <v>1995</v>
      </c>
      <c r="W119" t="s">
        <v>97</v>
      </c>
      <c r="X119" s="2">
        <v>0.29499999999999998</v>
      </c>
      <c r="Y119" s="7">
        <f t="shared" si="10"/>
        <v>7.8748565174448087E-3</v>
      </c>
      <c r="AA119">
        <v>10642269</v>
      </c>
      <c r="AB119">
        <v>19554</v>
      </c>
      <c r="AD119" t="s">
        <v>3</v>
      </c>
      <c r="AE119">
        <v>40</v>
      </c>
      <c r="AF119">
        <v>16</v>
      </c>
      <c r="AH119" s="10">
        <v>42491</v>
      </c>
      <c r="AI119" t="s">
        <v>2988</v>
      </c>
      <c r="AK119" t="s">
        <v>2987</v>
      </c>
      <c r="AL119">
        <v>0</v>
      </c>
      <c r="AM119" s="5">
        <f t="shared" si="11"/>
        <v>0</v>
      </c>
      <c r="AN119" s="4">
        <f t="shared" si="12"/>
        <v>0</v>
      </c>
      <c r="AO119" s="3"/>
      <c r="AP119">
        <v>0</v>
      </c>
      <c r="AR119" t="s">
        <v>1</v>
      </c>
      <c r="AT119" s="2" t="s">
        <v>7</v>
      </c>
      <c r="AU119" s="1">
        <f t="shared" si="13"/>
        <v>0.55123995622113653</v>
      </c>
      <c r="AV119" s="1">
        <f t="shared" si="14"/>
        <v>0.39374282587224041</v>
      </c>
      <c r="AW119" s="1">
        <f t="shared" si="15"/>
        <v>0.23624569552334423</v>
      </c>
    </row>
    <row r="120" spans="1:49" x14ac:dyDescent="0.2">
      <c r="A120">
        <v>118</v>
      </c>
      <c r="B120" t="s">
        <v>2986</v>
      </c>
      <c r="F120" t="s">
        <v>2985</v>
      </c>
      <c r="G120" t="s">
        <v>6</v>
      </c>
      <c r="H120" t="s">
        <v>5</v>
      </c>
      <c r="I120" t="s">
        <v>2984</v>
      </c>
      <c r="J120">
        <v>60019000</v>
      </c>
      <c r="K120" t="s">
        <v>2983</v>
      </c>
      <c r="L120" t="s">
        <v>2982</v>
      </c>
      <c r="M120" t="s">
        <v>20</v>
      </c>
      <c r="N120">
        <v>1</v>
      </c>
      <c r="O120" t="s">
        <v>2981</v>
      </c>
      <c r="P120">
        <v>7102382691</v>
      </c>
      <c r="Q120">
        <v>60019000</v>
      </c>
      <c r="R120" s="8">
        <v>35034</v>
      </c>
      <c r="S120" s="9">
        <f t="shared" si="8"/>
        <v>1995</v>
      </c>
      <c r="T120" s="9">
        <v>1995</v>
      </c>
      <c r="U120" s="9">
        <f t="shared" si="9"/>
        <v>27</v>
      </c>
      <c r="V120" s="8">
        <v>1995</v>
      </c>
      <c r="W120" t="s">
        <v>2980</v>
      </c>
      <c r="X120" s="2" t="s">
        <v>7</v>
      </c>
      <c r="Y120" s="7" t="e">
        <f t="shared" si="10"/>
        <v>#VALUE!</v>
      </c>
      <c r="AA120">
        <v>323764</v>
      </c>
      <c r="AB120">
        <v>32833</v>
      </c>
      <c r="AD120" t="s">
        <v>3</v>
      </c>
      <c r="AE120">
        <v>42</v>
      </c>
      <c r="AF120">
        <v>4</v>
      </c>
      <c r="AH120" t="s">
        <v>2979</v>
      </c>
      <c r="AI120" t="s">
        <v>2978</v>
      </c>
      <c r="AK120" t="s">
        <v>2977</v>
      </c>
      <c r="AL120">
        <v>6</v>
      </c>
      <c r="AM120" s="5">
        <f t="shared" si="11"/>
        <v>0.22222222222222221</v>
      </c>
      <c r="AN120" s="4">
        <f t="shared" si="12"/>
        <v>3.365728469855694E-4</v>
      </c>
      <c r="AO120" s="3"/>
      <c r="AP120">
        <v>0</v>
      </c>
      <c r="AR120" t="s">
        <v>1</v>
      </c>
      <c r="AT120" s="2" t="s">
        <v>7</v>
      </c>
      <c r="AU120" s="1" t="e">
        <f t="shared" si="13"/>
        <v>#VALUE!</v>
      </c>
      <c r="AV120" s="1" t="e">
        <f t="shared" si="14"/>
        <v>#VALUE!</v>
      </c>
      <c r="AW120" s="1" t="e">
        <f t="shared" si="15"/>
        <v>#VALUE!</v>
      </c>
    </row>
    <row r="121" spans="1:49" x14ac:dyDescent="0.2">
      <c r="A121">
        <v>119</v>
      </c>
      <c r="B121" t="s">
        <v>2976</v>
      </c>
      <c r="C121" t="s">
        <v>2975</v>
      </c>
      <c r="F121" t="s">
        <v>2974</v>
      </c>
      <c r="G121" t="s">
        <v>6</v>
      </c>
      <c r="H121" t="s">
        <v>5</v>
      </c>
      <c r="I121" t="s">
        <v>2973</v>
      </c>
      <c r="J121">
        <v>60025104</v>
      </c>
      <c r="K121" t="s">
        <v>340</v>
      </c>
      <c r="M121" t="s">
        <v>37</v>
      </c>
      <c r="N121">
        <v>11</v>
      </c>
      <c r="O121" t="s">
        <v>2972</v>
      </c>
      <c r="P121" t="s">
        <v>2971</v>
      </c>
      <c r="Q121" t="s">
        <v>2970</v>
      </c>
      <c r="R121" s="8">
        <v>35034</v>
      </c>
      <c r="S121" s="9">
        <f t="shared" si="8"/>
        <v>1995</v>
      </c>
      <c r="T121" s="9">
        <v>1995</v>
      </c>
      <c r="U121" s="9">
        <f t="shared" si="9"/>
        <v>27</v>
      </c>
      <c r="V121" s="8">
        <v>1995</v>
      </c>
      <c r="W121" t="s">
        <v>2771</v>
      </c>
      <c r="X121" s="2">
        <v>1.774</v>
      </c>
      <c r="Y121" s="7">
        <f t="shared" si="10"/>
        <v>4.7355916820159633E-2</v>
      </c>
      <c r="AA121">
        <v>295515</v>
      </c>
      <c r="AB121">
        <v>29066</v>
      </c>
      <c r="AD121" t="s">
        <v>3</v>
      </c>
      <c r="AE121">
        <v>35</v>
      </c>
      <c r="AF121">
        <v>12</v>
      </c>
      <c r="AG121" t="s">
        <v>2969</v>
      </c>
      <c r="AH121" t="s">
        <v>2968</v>
      </c>
      <c r="AI121" t="s">
        <v>2967</v>
      </c>
      <c r="AK121" t="s">
        <v>2966</v>
      </c>
      <c r="AL121">
        <v>7</v>
      </c>
      <c r="AM121" s="5">
        <f t="shared" si="11"/>
        <v>0.25925925925925924</v>
      </c>
      <c r="AN121" s="4">
        <f t="shared" si="12"/>
        <v>3.9266832148316435E-4</v>
      </c>
      <c r="AO121" s="3"/>
      <c r="AP121">
        <v>0</v>
      </c>
      <c r="AR121" t="s">
        <v>1</v>
      </c>
      <c r="AT121" s="2">
        <v>3.1789999999999998</v>
      </c>
      <c r="AU121" s="1">
        <f t="shared" si="13"/>
        <v>3.3266942270556688</v>
      </c>
      <c r="AV121" s="1">
        <f t="shared" si="14"/>
        <v>2.38742925708214</v>
      </c>
      <c r="AW121" s="1">
        <f t="shared" si="15"/>
        <v>1.4481642871086104</v>
      </c>
    </row>
    <row r="122" spans="1:49" x14ac:dyDescent="0.2">
      <c r="A122">
        <v>120</v>
      </c>
      <c r="B122" t="s">
        <v>2965</v>
      </c>
      <c r="C122" t="s">
        <v>2964</v>
      </c>
      <c r="F122" t="s">
        <v>2963</v>
      </c>
      <c r="G122" t="s">
        <v>6</v>
      </c>
      <c r="H122" t="s">
        <v>5</v>
      </c>
      <c r="I122" t="s">
        <v>10</v>
      </c>
      <c r="J122">
        <v>60028186</v>
      </c>
      <c r="K122" t="s">
        <v>339</v>
      </c>
      <c r="L122" t="s">
        <v>338</v>
      </c>
      <c r="M122" t="s">
        <v>67</v>
      </c>
      <c r="N122">
        <v>20</v>
      </c>
      <c r="O122" t="s">
        <v>2962</v>
      </c>
      <c r="P122" t="s">
        <v>2961</v>
      </c>
      <c r="Q122" t="s">
        <v>2960</v>
      </c>
      <c r="R122" s="8">
        <v>35034</v>
      </c>
      <c r="S122" s="9">
        <f t="shared" si="8"/>
        <v>1995</v>
      </c>
      <c r="T122" s="9">
        <v>1995</v>
      </c>
      <c r="U122" s="9">
        <f t="shared" si="9"/>
        <v>27</v>
      </c>
      <c r="V122" s="8">
        <v>1995</v>
      </c>
      <c r="W122" t="s">
        <v>2771</v>
      </c>
      <c r="X122" s="2">
        <v>1.774</v>
      </c>
      <c r="Y122" s="7">
        <f t="shared" si="10"/>
        <v>4.7355916820159633E-2</v>
      </c>
      <c r="AA122">
        <v>295515</v>
      </c>
      <c r="AB122">
        <v>29066</v>
      </c>
      <c r="AD122" t="s">
        <v>3</v>
      </c>
      <c r="AE122">
        <v>35</v>
      </c>
      <c r="AF122">
        <v>12</v>
      </c>
      <c r="AG122" t="s">
        <v>2868</v>
      </c>
      <c r="AH122" t="s">
        <v>2959</v>
      </c>
      <c r="AI122" t="s">
        <v>2958</v>
      </c>
      <c r="AK122" t="s">
        <v>2957</v>
      </c>
      <c r="AL122">
        <v>46</v>
      </c>
      <c r="AM122" s="5">
        <f t="shared" si="11"/>
        <v>1.7037037037037037</v>
      </c>
      <c r="AN122" s="4">
        <f t="shared" si="12"/>
        <v>2.5803918268893656E-3</v>
      </c>
      <c r="AO122" s="3"/>
      <c r="AP122">
        <v>0</v>
      </c>
      <c r="AR122" t="s">
        <v>1</v>
      </c>
      <c r="AT122" s="2">
        <v>3.1789999999999998</v>
      </c>
      <c r="AU122" s="1">
        <f t="shared" si="13"/>
        <v>3.3923259322178554</v>
      </c>
      <c r="AV122" s="1">
        <f t="shared" si="14"/>
        <v>2.4968154323524496</v>
      </c>
      <c r="AW122" s="1">
        <f t="shared" si="15"/>
        <v>1.6013049324870445</v>
      </c>
    </row>
    <row r="123" spans="1:49" x14ac:dyDescent="0.2">
      <c r="A123">
        <v>121</v>
      </c>
      <c r="B123" t="s">
        <v>2956</v>
      </c>
      <c r="F123" t="s">
        <v>2955</v>
      </c>
      <c r="G123" t="s">
        <v>6</v>
      </c>
      <c r="H123" t="s">
        <v>5</v>
      </c>
      <c r="I123" t="s">
        <v>2954</v>
      </c>
      <c r="J123">
        <v>60068756</v>
      </c>
      <c r="K123" t="s">
        <v>2953</v>
      </c>
      <c r="L123" t="s">
        <v>2952</v>
      </c>
      <c r="M123" t="s">
        <v>2951</v>
      </c>
      <c r="N123">
        <v>1</v>
      </c>
      <c r="O123" t="s">
        <v>2950</v>
      </c>
      <c r="P123">
        <v>6603208353</v>
      </c>
      <c r="Q123">
        <v>60068756</v>
      </c>
      <c r="R123" s="8">
        <v>35034</v>
      </c>
      <c r="S123" s="9">
        <f t="shared" si="8"/>
        <v>1995</v>
      </c>
      <c r="T123" s="9">
        <v>1995</v>
      </c>
      <c r="U123" s="9">
        <f t="shared" si="9"/>
        <v>27</v>
      </c>
      <c r="V123" s="8">
        <v>1995</v>
      </c>
      <c r="W123" t="s">
        <v>139</v>
      </c>
      <c r="X123" s="2" t="s">
        <v>7</v>
      </c>
      <c r="Y123" s="7" t="e">
        <f t="shared" si="10"/>
        <v>#VALUE!</v>
      </c>
      <c r="AA123">
        <v>7612508</v>
      </c>
      <c r="AB123">
        <v>28513</v>
      </c>
      <c r="AD123" t="s">
        <v>3</v>
      </c>
      <c r="AE123">
        <v>65</v>
      </c>
      <c r="AF123">
        <v>2</v>
      </c>
      <c r="AH123" t="s">
        <v>2949</v>
      </c>
      <c r="AI123" t="s">
        <v>2948</v>
      </c>
      <c r="AK123" t="s">
        <v>2947</v>
      </c>
      <c r="AL123">
        <v>0</v>
      </c>
      <c r="AM123" s="5">
        <f t="shared" si="11"/>
        <v>0</v>
      </c>
      <c r="AN123" s="4">
        <f t="shared" si="12"/>
        <v>0</v>
      </c>
      <c r="AO123" s="3"/>
      <c r="AP123">
        <v>0</v>
      </c>
      <c r="AR123" t="s">
        <v>1</v>
      </c>
      <c r="AT123" s="2" t="s">
        <v>7</v>
      </c>
      <c r="AU123" s="1" t="e">
        <f t="shared" si="13"/>
        <v>#VALUE!</v>
      </c>
      <c r="AV123" s="1" t="e">
        <f t="shared" si="14"/>
        <v>#VALUE!</v>
      </c>
      <c r="AW123" s="1" t="e">
        <f t="shared" si="15"/>
        <v>#VALUE!</v>
      </c>
    </row>
    <row r="124" spans="1:49" x14ac:dyDescent="0.2">
      <c r="A124">
        <v>122</v>
      </c>
      <c r="B124" t="s">
        <v>2946</v>
      </c>
      <c r="C124" t="s">
        <v>2945</v>
      </c>
      <c r="F124" t="s">
        <v>2944</v>
      </c>
      <c r="G124" t="s">
        <v>6</v>
      </c>
      <c r="H124" t="s">
        <v>5</v>
      </c>
      <c r="I124" t="s">
        <v>2943</v>
      </c>
      <c r="J124">
        <v>60021255</v>
      </c>
      <c r="K124" t="s">
        <v>2942</v>
      </c>
      <c r="L124" t="s">
        <v>2941</v>
      </c>
      <c r="M124" t="s">
        <v>74</v>
      </c>
      <c r="N124">
        <v>3</v>
      </c>
      <c r="O124" t="s">
        <v>2940</v>
      </c>
      <c r="P124" t="s">
        <v>2939</v>
      </c>
      <c r="Q124" t="s">
        <v>2938</v>
      </c>
      <c r="R124" s="8">
        <v>35034</v>
      </c>
      <c r="S124" s="9">
        <f t="shared" si="8"/>
        <v>1995</v>
      </c>
      <c r="T124" s="9">
        <v>1995</v>
      </c>
      <c r="U124" s="9">
        <f t="shared" si="9"/>
        <v>27</v>
      </c>
      <c r="V124" s="8">
        <v>1995</v>
      </c>
      <c r="W124" t="s">
        <v>22</v>
      </c>
      <c r="X124" s="2">
        <v>1.3280000000000001</v>
      </c>
      <c r="Y124" s="7">
        <f t="shared" si="10"/>
        <v>3.5450201542937994E-2</v>
      </c>
      <c r="AA124">
        <v>7413335</v>
      </c>
      <c r="AB124">
        <v>29251</v>
      </c>
      <c r="AD124" t="s">
        <v>3</v>
      </c>
      <c r="AE124">
        <v>37</v>
      </c>
      <c r="AF124">
        <v>11</v>
      </c>
      <c r="AG124">
        <v>6</v>
      </c>
      <c r="AH124" t="s">
        <v>2937</v>
      </c>
      <c r="AI124" t="s">
        <v>2936</v>
      </c>
      <c r="AK124" t="s">
        <v>2935</v>
      </c>
      <c r="AL124">
        <v>1</v>
      </c>
      <c r="AM124" s="5">
        <f t="shared" si="11"/>
        <v>3.7037037037037035E-2</v>
      </c>
      <c r="AN124" s="4">
        <f t="shared" si="12"/>
        <v>5.6095474497594906E-5</v>
      </c>
      <c r="AO124" s="3"/>
      <c r="AP124">
        <v>0</v>
      </c>
      <c r="AR124" t="s">
        <v>1</v>
      </c>
      <c r="AT124" s="2">
        <v>2.4580000000000002</v>
      </c>
      <c r="AU124" s="1">
        <f t="shared" si="13"/>
        <v>2.4831969722405876</v>
      </c>
      <c r="AV124" s="1">
        <f t="shared" si="14"/>
        <v>1.7753148508717793</v>
      </c>
      <c r="AW124" s="1">
        <f t="shared" si="15"/>
        <v>1.0674327295029715</v>
      </c>
    </row>
    <row r="125" spans="1:49" x14ac:dyDescent="0.2">
      <c r="A125">
        <v>123</v>
      </c>
      <c r="B125" t="s">
        <v>2934</v>
      </c>
      <c r="C125" t="s">
        <v>2933</v>
      </c>
      <c r="F125" t="s">
        <v>2932</v>
      </c>
      <c r="G125" t="s">
        <v>6</v>
      </c>
      <c r="H125" t="s">
        <v>5</v>
      </c>
      <c r="I125" t="s">
        <v>2931</v>
      </c>
      <c r="J125">
        <v>60029419</v>
      </c>
      <c r="K125" t="s">
        <v>2930</v>
      </c>
      <c r="L125" t="s">
        <v>2929</v>
      </c>
      <c r="M125" t="s">
        <v>40</v>
      </c>
      <c r="N125">
        <v>4</v>
      </c>
      <c r="O125" t="s">
        <v>2928</v>
      </c>
      <c r="P125" t="s">
        <v>2927</v>
      </c>
      <c r="Q125" t="s">
        <v>2926</v>
      </c>
      <c r="R125" s="8">
        <v>35034</v>
      </c>
      <c r="S125" s="9">
        <f t="shared" si="8"/>
        <v>1995</v>
      </c>
      <c r="T125" s="9">
        <v>1995</v>
      </c>
      <c r="U125" s="9">
        <f t="shared" si="9"/>
        <v>27</v>
      </c>
      <c r="V125" s="8">
        <v>1995</v>
      </c>
      <c r="W125" t="s">
        <v>22</v>
      </c>
      <c r="X125" s="2">
        <v>1.3280000000000001</v>
      </c>
      <c r="Y125" s="7">
        <f t="shared" si="10"/>
        <v>3.5450201542937994E-2</v>
      </c>
      <c r="AA125">
        <v>7413335</v>
      </c>
      <c r="AB125">
        <v>29251</v>
      </c>
      <c r="AD125" t="s">
        <v>3</v>
      </c>
      <c r="AE125">
        <v>37</v>
      </c>
      <c r="AF125">
        <v>11</v>
      </c>
      <c r="AG125">
        <v>9</v>
      </c>
      <c r="AH125" t="s">
        <v>2925</v>
      </c>
      <c r="AI125" t="s">
        <v>2924</v>
      </c>
      <c r="AK125" t="s">
        <v>2923</v>
      </c>
      <c r="AL125">
        <v>3</v>
      </c>
      <c r="AM125" s="5">
        <f t="shared" si="11"/>
        <v>0.1111111111111111</v>
      </c>
      <c r="AN125" s="4">
        <f t="shared" si="12"/>
        <v>1.682864234927847E-4</v>
      </c>
      <c r="AO125" s="3"/>
      <c r="AP125">
        <v>0</v>
      </c>
      <c r="AR125" t="s">
        <v>1</v>
      </c>
      <c r="AT125" s="2">
        <v>2.4580000000000002</v>
      </c>
      <c r="AU125" s="1">
        <f t="shared" si="13"/>
        <v>2.4865627007104427</v>
      </c>
      <c r="AV125" s="1">
        <f t="shared" si="14"/>
        <v>1.780924398321539</v>
      </c>
      <c r="AW125" s="1">
        <f t="shared" si="15"/>
        <v>1.0752860959326347</v>
      </c>
    </row>
    <row r="126" spans="1:49" x14ac:dyDescent="0.2">
      <c r="A126">
        <v>124</v>
      </c>
      <c r="B126" t="s">
        <v>2922</v>
      </c>
      <c r="C126" t="s">
        <v>2921</v>
      </c>
      <c r="F126" t="s">
        <v>2920</v>
      </c>
      <c r="G126" t="s">
        <v>6</v>
      </c>
      <c r="H126" t="s">
        <v>5</v>
      </c>
      <c r="I126" t="s">
        <v>2919</v>
      </c>
      <c r="J126">
        <v>60057797</v>
      </c>
      <c r="K126" t="s">
        <v>2918</v>
      </c>
      <c r="L126" t="s">
        <v>2917</v>
      </c>
      <c r="M126" t="s">
        <v>2916</v>
      </c>
      <c r="N126">
        <v>14</v>
      </c>
      <c r="O126" t="s">
        <v>2915</v>
      </c>
      <c r="P126" t="s">
        <v>2914</v>
      </c>
      <c r="Q126" t="s">
        <v>2913</v>
      </c>
      <c r="R126" s="8">
        <v>35034</v>
      </c>
      <c r="S126" s="9">
        <f t="shared" si="8"/>
        <v>1995</v>
      </c>
      <c r="T126" s="9">
        <v>1995</v>
      </c>
      <c r="U126" s="9">
        <f t="shared" si="9"/>
        <v>27</v>
      </c>
      <c r="V126" s="8">
        <v>1995</v>
      </c>
      <c r="W126" t="s">
        <v>22</v>
      </c>
      <c r="X126" s="2">
        <v>1.3280000000000001</v>
      </c>
      <c r="Y126" s="7">
        <f t="shared" si="10"/>
        <v>3.5450201542937994E-2</v>
      </c>
      <c r="AA126">
        <v>7413335</v>
      </c>
      <c r="AB126">
        <v>29251</v>
      </c>
      <c r="AD126" t="s">
        <v>3</v>
      </c>
      <c r="AE126">
        <v>37</v>
      </c>
      <c r="AF126" t="s">
        <v>2912</v>
      </c>
      <c r="AG126">
        <v>25</v>
      </c>
      <c r="AI126" t="s">
        <v>2911</v>
      </c>
      <c r="AK126" t="s">
        <v>2910</v>
      </c>
      <c r="AL126">
        <v>16</v>
      </c>
      <c r="AM126" s="5">
        <f t="shared" si="11"/>
        <v>0.59259259259259256</v>
      </c>
      <c r="AN126" s="4">
        <f t="shared" si="12"/>
        <v>8.975275919615185E-4</v>
      </c>
      <c r="AO126" s="3"/>
      <c r="AP126">
        <v>0</v>
      </c>
      <c r="AR126" t="s">
        <v>1</v>
      </c>
      <c r="AT126" s="2">
        <v>2.4580000000000002</v>
      </c>
      <c r="AU126" s="1">
        <f t="shared" si="13"/>
        <v>2.5084399357645051</v>
      </c>
      <c r="AV126" s="1">
        <f t="shared" si="14"/>
        <v>1.8173864567449756</v>
      </c>
      <c r="AW126" s="1">
        <f t="shared" si="15"/>
        <v>1.126332977725446</v>
      </c>
    </row>
    <row r="127" spans="1:49" x14ac:dyDescent="0.2">
      <c r="A127">
        <v>125</v>
      </c>
      <c r="B127" t="s">
        <v>2909</v>
      </c>
      <c r="C127" t="s">
        <v>2908</v>
      </c>
      <c r="F127" t="s">
        <v>2907</v>
      </c>
      <c r="G127" t="s">
        <v>6</v>
      </c>
      <c r="H127" t="s">
        <v>5</v>
      </c>
      <c r="I127" t="s">
        <v>2906</v>
      </c>
      <c r="J127">
        <v>60000297</v>
      </c>
      <c r="K127" t="s">
        <v>2905</v>
      </c>
      <c r="L127" t="s">
        <v>341</v>
      </c>
      <c r="M127" t="s">
        <v>58</v>
      </c>
      <c r="N127">
        <v>2</v>
      </c>
      <c r="O127" t="s">
        <v>2904</v>
      </c>
      <c r="P127" t="s">
        <v>2903</v>
      </c>
      <c r="Q127" t="s">
        <v>2902</v>
      </c>
      <c r="R127" s="8">
        <v>35034</v>
      </c>
      <c r="S127" s="9">
        <f t="shared" si="8"/>
        <v>1995</v>
      </c>
      <c r="T127" s="9">
        <v>1995</v>
      </c>
      <c r="U127" s="9">
        <f t="shared" si="9"/>
        <v>27</v>
      </c>
      <c r="V127" s="8">
        <v>1995</v>
      </c>
      <c r="W127" t="s">
        <v>2771</v>
      </c>
      <c r="X127" s="2">
        <v>1.774</v>
      </c>
      <c r="Y127" s="7">
        <f t="shared" si="10"/>
        <v>4.7355916820159633E-2</v>
      </c>
      <c r="AA127">
        <v>295515</v>
      </c>
      <c r="AB127">
        <v>29066</v>
      </c>
      <c r="AD127" t="s">
        <v>3</v>
      </c>
      <c r="AE127">
        <v>35</v>
      </c>
      <c r="AF127">
        <v>11</v>
      </c>
      <c r="AG127" t="s">
        <v>2901</v>
      </c>
      <c r="AH127" t="s">
        <v>2900</v>
      </c>
      <c r="AI127" t="s">
        <v>2899</v>
      </c>
      <c r="AK127" t="s">
        <v>2898</v>
      </c>
      <c r="AL127">
        <v>46</v>
      </c>
      <c r="AM127" s="5">
        <f t="shared" si="11"/>
        <v>1.7037037037037037</v>
      </c>
      <c r="AN127" s="4">
        <f t="shared" si="12"/>
        <v>2.5803918268893656E-3</v>
      </c>
      <c r="AO127" s="3"/>
      <c r="AP127">
        <v>0</v>
      </c>
      <c r="AR127" t="s">
        <v>1</v>
      </c>
      <c r="AT127" s="2">
        <v>3.1789999999999998</v>
      </c>
      <c r="AU127" s="1">
        <f t="shared" si="13"/>
        <v>3.3923259322178554</v>
      </c>
      <c r="AV127" s="1">
        <f t="shared" si="14"/>
        <v>2.4968154323524496</v>
      </c>
      <c r="AW127" s="1">
        <f t="shared" si="15"/>
        <v>1.6013049324870445</v>
      </c>
    </row>
    <row r="128" spans="1:49" x14ac:dyDescent="0.2">
      <c r="A128">
        <v>126</v>
      </c>
      <c r="B128" t="s">
        <v>2897</v>
      </c>
      <c r="C128" t="s">
        <v>2896</v>
      </c>
      <c r="F128" t="s">
        <v>2895</v>
      </c>
      <c r="G128" t="s">
        <v>6</v>
      </c>
      <c r="H128" t="s">
        <v>5</v>
      </c>
      <c r="I128" t="s">
        <v>2894</v>
      </c>
      <c r="J128">
        <v>60004280</v>
      </c>
      <c r="K128" t="s">
        <v>2893</v>
      </c>
      <c r="L128" t="s">
        <v>230</v>
      </c>
      <c r="M128" t="s">
        <v>174</v>
      </c>
      <c r="N128">
        <v>4</v>
      </c>
      <c r="O128" t="s">
        <v>2892</v>
      </c>
      <c r="P128" t="s">
        <v>2891</v>
      </c>
      <c r="Q128" t="s">
        <v>2890</v>
      </c>
      <c r="R128" s="8">
        <v>35034</v>
      </c>
      <c r="S128" s="9">
        <f t="shared" si="8"/>
        <v>1995</v>
      </c>
      <c r="T128" s="9">
        <v>1995</v>
      </c>
      <c r="U128" s="9">
        <f t="shared" si="9"/>
        <v>27</v>
      </c>
      <c r="V128" s="8">
        <v>1995</v>
      </c>
      <c r="W128" t="s">
        <v>22</v>
      </c>
      <c r="X128" s="2">
        <v>1.3280000000000001</v>
      </c>
      <c r="Y128" s="7">
        <f t="shared" si="10"/>
        <v>3.5450201542937994E-2</v>
      </c>
      <c r="AA128">
        <v>7413335</v>
      </c>
      <c r="AB128">
        <v>29251</v>
      </c>
      <c r="AD128" t="s">
        <v>3</v>
      </c>
      <c r="AE128">
        <v>37</v>
      </c>
      <c r="AF128">
        <v>10</v>
      </c>
      <c r="AG128">
        <v>6</v>
      </c>
      <c r="AH128" t="s">
        <v>2889</v>
      </c>
      <c r="AI128" t="s">
        <v>2888</v>
      </c>
      <c r="AK128" t="s">
        <v>2887</v>
      </c>
      <c r="AL128">
        <v>4</v>
      </c>
      <c r="AM128" s="5">
        <f t="shared" si="11"/>
        <v>0.14814814814814814</v>
      </c>
      <c r="AN128" s="4">
        <f t="shared" si="12"/>
        <v>2.2438189799037963E-4</v>
      </c>
      <c r="AO128" s="3"/>
      <c r="AP128">
        <v>0</v>
      </c>
      <c r="AR128" t="s">
        <v>1</v>
      </c>
      <c r="AT128" s="2">
        <v>2.4580000000000002</v>
      </c>
      <c r="AU128" s="1">
        <f t="shared" si="13"/>
        <v>2.488245564945371</v>
      </c>
      <c r="AV128" s="1">
        <f t="shared" si="14"/>
        <v>1.7837291720464186</v>
      </c>
      <c r="AW128" s="1">
        <f t="shared" si="15"/>
        <v>1.0792127791474664</v>
      </c>
    </row>
    <row r="129" spans="1:49" x14ac:dyDescent="0.2">
      <c r="A129">
        <v>127</v>
      </c>
      <c r="B129" t="s">
        <v>2886</v>
      </c>
      <c r="C129" t="s">
        <v>2885</v>
      </c>
      <c r="F129" t="s">
        <v>2884</v>
      </c>
      <c r="G129" t="s">
        <v>6</v>
      </c>
      <c r="H129" t="s">
        <v>5</v>
      </c>
      <c r="I129" t="s">
        <v>2883</v>
      </c>
      <c r="J129">
        <v>60007816</v>
      </c>
      <c r="K129" t="s">
        <v>2882</v>
      </c>
      <c r="L129" t="s">
        <v>2881</v>
      </c>
      <c r="M129" t="s">
        <v>79</v>
      </c>
      <c r="N129">
        <v>3</v>
      </c>
      <c r="O129" t="s">
        <v>2880</v>
      </c>
      <c r="P129" t="s">
        <v>2879</v>
      </c>
      <c r="Q129" t="s">
        <v>2878</v>
      </c>
      <c r="R129" s="8">
        <v>35034</v>
      </c>
      <c r="S129" s="9">
        <f t="shared" si="8"/>
        <v>1995</v>
      </c>
      <c r="T129" s="9">
        <v>1995</v>
      </c>
      <c r="U129" s="9">
        <f t="shared" si="9"/>
        <v>27</v>
      </c>
      <c r="V129" s="8">
        <v>1995</v>
      </c>
      <c r="W129" t="s">
        <v>2771</v>
      </c>
      <c r="X129" s="2">
        <v>1.774</v>
      </c>
      <c r="Y129" s="7">
        <f t="shared" si="10"/>
        <v>4.7355916820159633E-2</v>
      </c>
      <c r="AA129">
        <v>295515</v>
      </c>
      <c r="AB129">
        <v>29066</v>
      </c>
      <c r="AD129" t="s">
        <v>3</v>
      </c>
      <c r="AE129">
        <v>35</v>
      </c>
      <c r="AF129">
        <v>10</v>
      </c>
      <c r="AG129" t="s">
        <v>2877</v>
      </c>
      <c r="AH129" t="s">
        <v>2876</v>
      </c>
      <c r="AI129" t="s">
        <v>2875</v>
      </c>
      <c r="AK129" t="s">
        <v>2874</v>
      </c>
      <c r="AL129">
        <v>60</v>
      </c>
      <c r="AM129" s="5">
        <f t="shared" si="11"/>
        <v>2.2222222222222223</v>
      </c>
      <c r="AN129" s="4">
        <f t="shared" si="12"/>
        <v>3.3657284698556944E-3</v>
      </c>
      <c r="AO129" s="3"/>
      <c r="AP129">
        <v>0</v>
      </c>
      <c r="AR129" t="s">
        <v>1</v>
      </c>
      <c r="AT129" s="2">
        <v>3.1789999999999998</v>
      </c>
      <c r="AU129" s="1">
        <f t="shared" si="13"/>
        <v>3.4158860315068451</v>
      </c>
      <c r="AV129" s="1">
        <f t="shared" si="14"/>
        <v>2.5360822645007666</v>
      </c>
      <c r="AW129" s="1">
        <f t="shared" si="15"/>
        <v>1.6562784974946874</v>
      </c>
    </row>
    <row r="130" spans="1:49" x14ac:dyDescent="0.2">
      <c r="A130">
        <v>128</v>
      </c>
      <c r="B130" t="s">
        <v>2873</v>
      </c>
      <c r="C130" t="s">
        <v>2872</v>
      </c>
      <c r="F130" t="s">
        <v>2871</v>
      </c>
      <c r="G130" t="s">
        <v>6</v>
      </c>
      <c r="H130" t="s">
        <v>5</v>
      </c>
      <c r="I130" t="s">
        <v>2870</v>
      </c>
      <c r="J130">
        <v>60026838</v>
      </c>
      <c r="K130" t="s">
        <v>346</v>
      </c>
      <c r="L130" t="s">
        <v>345</v>
      </c>
      <c r="M130" t="s">
        <v>9</v>
      </c>
      <c r="N130">
        <v>1</v>
      </c>
      <c r="O130" t="s">
        <v>2869</v>
      </c>
      <c r="P130">
        <v>7005473290</v>
      </c>
      <c r="Q130">
        <v>60026838</v>
      </c>
      <c r="R130" s="8">
        <v>35034</v>
      </c>
      <c r="S130" s="9">
        <f t="shared" ref="S130:S193" si="16">YEAR(R130)</f>
        <v>1995</v>
      </c>
      <c r="T130" s="9">
        <v>1995</v>
      </c>
      <c r="U130" s="9">
        <f t="shared" ref="U130:U193" si="17">2022-T130</f>
        <v>27</v>
      </c>
      <c r="V130" s="8">
        <v>1995</v>
      </c>
      <c r="W130" t="s">
        <v>2771</v>
      </c>
      <c r="X130" s="2">
        <v>1.774</v>
      </c>
      <c r="Y130" s="7">
        <f t="shared" ref="Y130:Y193" si="18">(X130-$Z$4)/($Z$3-$Z$4)</f>
        <v>4.7355916820159633E-2</v>
      </c>
      <c r="AA130">
        <v>295515</v>
      </c>
      <c r="AB130">
        <v>29066</v>
      </c>
      <c r="AD130" t="s">
        <v>3</v>
      </c>
      <c r="AE130">
        <v>35</v>
      </c>
      <c r="AF130">
        <v>10</v>
      </c>
      <c r="AG130" t="s">
        <v>2868</v>
      </c>
      <c r="AH130" t="s">
        <v>2867</v>
      </c>
      <c r="AI130" t="s">
        <v>2866</v>
      </c>
      <c r="AK130" t="s">
        <v>2865</v>
      </c>
      <c r="AL130">
        <v>19</v>
      </c>
      <c r="AM130" s="5">
        <f t="shared" ref="AM130:AM193" si="19">AL130/U130</f>
        <v>0.70370370370370372</v>
      </c>
      <c r="AN130" s="4">
        <f t="shared" ref="AN130:AN193" si="20">(AM130-$AO$4)/($AO$3-$AO$4)</f>
        <v>1.0658140154543032E-3</v>
      </c>
      <c r="AO130" s="3"/>
      <c r="AP130">
        <v>0</v>
      </c>
      <c r="AR130" t="s">
        <v>1</v>
      </c>
      <c r="AT130" s="2">
        <v>3.1789999999999998</v>
      </c>
      <c r="AU130" s="1">
        <f t="shared" ref="AU130:AU193" si="21">(Y130*0.7+AN130*0.3)*100</f>
        <v>3.3468885978748029</v>
      </c>
      <c r="AV130" s="1">
        <f t="shared" ref="AV130:AV193" si="22">(Y130*0.5+AN130*0.5)*100</f>
        <v>2.4210865417806966</v>
      </c>
      <c r="AW130" s="1">
        <f t="shared" ref="AW130:AW193" si="23">(Y130*0.3+AN130*0.7)*100</f>
        <v>1.4952844856865901</v>
      </c>
    </row>
    <row r="131" spans="1:49" x14ac:dyDescent="0.2">
      <c r="A131">
        <v>129</v>
      </c>
      <c r="B131" t="s">
        <v>2864</v>
      </c>
      <c r="C131" t="s">
        <v>2863</v>
      </c>
      <c r="F131" t="s">
        <v>2862</v>
      </c>
      <c r="G131" t="s">
        <v>6</v>
      </c>
      <c r="H131" t="s">
        <v>5</v>
      </c>
      <c r="I131" t="s">
        <v>2861</v>
      </c>
      <c r="J131">
        <v>60025534</v>
      </c>
      <c r="K131" t="s">
        <v>2860</v>
      </c>
      <c r="L131" t="s">
        <v>2859</v>
      </c>
      <c r="M131" t="s">
        <v>4</v>
      </c>
      <c r="N131">
        <v>3</v>
      </c>
      <c r="O131" t="s">
        <v>2858</v>
      </c>
      <c r="P131" t="s">
        <v>2857</v>
      </c>
      <c r="Q131" t="s">
        <v>2856</v>
      </c>
      <c r="R131" s="8">
        <v>35034</v>
      </c>
      <c r="S131" s="9">
        <f t="shared" si="16"/>
        <v>1995</v>
      </c>
      <c r="T131" s="9">
        <v>1995</v>
      </c>
      <c r="U131" s="9">
        <f t="shared" si="17"/>
        <v>27</v>
      </c>
      <c r="V131" s="8">
        <v>1995</v>
      </c>
      <c r="W131" t="s">
        <v>21</v>
      </c>
      <c r="X131" s="2">
        <v>1.1819999999999999</v>
      </c>
      <c r="Y131" s="7">
        <f t="shared" si="18"/>
        <v>3.1552814927524625E-2</v>
      </c>
      <c r="AA131">
        <v>36951</v>
      </c>
      <c r="AB131">
        <v>27030</v>
      </c>
      <c r="AD131" t="s">
        <v>3</v>
      </c>
      <c r="AE131">
        <v>67</v>
      </c>
      <c r="AH131">
        <v>1656</v>
      </c>
      <c r="AI131" t="s">
        <v>2855</v>
      </c>
      <c r="AK131" t="s">
        <v>2854</v>
      </c>
      <c r="AL131">
        <v>44</v>
      </c>
      <c r="AM131" s="5">
        <f t="shared" si="19"/>
        <v>1.6296296296296295</v>
      </c>
      <c r="AN131" s="4">
        <f t="shared" si="20"/>
        <v>2.4682008778941756E-3</v>
      </c>
      <c r="AO131" s="3"/>
      <c r="AP131">
        <v>0</v>
      </c>
      <c r="AR131" t="s">
        <v>1</v>
      </c>
      <c r="AT131" s="2">
        <v>3.7909999999999999</v>
      </c>
      <c r="AU131" s="1">
        <f t="shared" si="21"/>
        <v>2.2827430712635488</v>
      </c>
      <c r="AV131" s="1">
        <f t="shared" si="22"/>
        <v>1.7010507902709402</v>
      </c>
      <c r="AW131" s="1">
        <f t="shared" si="23"/>
        <v>1.1193585092783311</v>
      </c>
    </row>
    <row r="132" spans="1:49" x14ac:dyDescent="0.2">
      <c r="A132">
        <v>130</v>
      </c>
      <c r="B132" t="s">
        <v>2853</v>
      </c>
      <c r="C132" t="s">
        <v>2852</v>
      </c>
      <c r="F132" t="s">
        <v>2851</v>
      </c>
      <c r="G132" t="s">
        <v>6</v>
      </c>
      <c r="H132" t="s">
        <v>5</v>
      </c>
      <c r="I132" t="s">
        <v>2850</v>
      </c>
      <c r="J132">
        <v>60032179</v>
      </c>
      <c r="K132" t="s">
        <v>266</v>
      </c>
      <c r="L132" t="s">
        <v>265</v>
      </c>
      <c r="M132" t="s">
        <v>4</v>
      </c>
      <c r="N132">
        <v>6</v>
      </c>
      <c r="O132" t="s">
        <v>2849</v>
      </c>
      <c r="P132" t="s">
        <v>2848</v>
      </c>
      <c r="Q132" t="s">
        <v>2847</v>
      </c>
      <c r="R132" s="8">
        <v>35034</v>
      </c>
      <c r="S132" s="9">
        <f t="shared" si="16"/>
        <v>1995</v>
      </c>
      <c r="T132" s="9">
        <v>1995</v>
      </c>
      <c r="U132" s="9">
        <f t="shared" si="17"/>
        <v>27</v>
      </c>
      <c r="V132" s="8">
        <v>1995</v>
      </c>
      <c r="W132" t="s">
        <v>2693</v>
      </c>
      <c r="X132" s="2">
        <v>0.9</v>
      </c>
      <c r="Y132" s="7">
        <f t="shared" si="18"/>
        <v>2.4024985985424845E-2</v>
      </c>
      <c r="AA132">
        <v>9630252</v>
      </c>
      <c r="AB132">
        <v>29614</v>
      </c>
      <c r="AD132" t="s">
        <v>3</v>
      </c>
      <c r="AE132">
        <v>4</v>
      </c>
      <c r="AF132">
        <v>3</v>
      </c>
      <c r="AG132">
        <v>3</v>
      </c>
      <c r="AH132" t="s">
        <v>2846</v>
      </c>
      <c r="AI132" t="s">
        <v>2845</v>
      </c>
      <c r="AK132" t="s">
        <v>2844</v>
      </c>
      <c r="AL132">
        <v>21</v>
      </c>
      <c r="AM132" s="5">
        <f t="shared" si="19"/>
        <v>0.77777777777777779</v>
      </c>
      <c r="AN132" s="4">
        <f t="shared" si="20"/>
        <v>1.178004964449493E-3</v>
      </c>
      <c r="AO132" s="3"/>
      <c r="AP132">
        <v>0</v>
      </c>
      <c r="AR132" t="s">
        <v>1</v>
      </c>
      <c r="AT132" s="2" t="s">
        <v>7</v>
      </c>
      <c r="AU132" s="1">
        <f t="shared" si="21"/>
        <v>1.7170891679132236</v>
      </c>
      <c r="AV132" s="1">
        <f t="shared" si="22"/>
        <v>1.2601495474937168</v>
      </c>
      <c r="AW132" s="1">
        <f t="shared" si="23"/>
        <v>0.8032099270742098</v>
      </c>
    </row>
    <row r="133" spans="1:49" x14ac:dyDescent="0.2">
      <c r="A133">
        <v>131</v>
      </c>
      <c r="B133" t="s">
        <v>2843</v>
      </c>
      <c r="F133" t="s">
        <v>2842</v>
      </c>
      <c r="G133" t="s">
        <v>6</v>
      </c>
      <c r="H133" t="s">
        <v>5</v>
      </c>
      <c r="I133" t="s">
        <v>344</v>
      </c>
      <c r="J133">
        <v>60032006</v>
      </c>
      <c r="K133" t="s">
        <v>343</v>
      </c>
      <c r="L133" t="s">
        <v>342</v>
      </c>
      <c r="M133" t="s">
        <v>79</v>
      </c>
      <c r="N133">
        <v>1</v>
      </c>
      <c r="O133" t="s">
        <v>2841</v>
      </c>
      <c r="P133">
        <v>6602184008</v>
      </c>
      <c r="Q133">
        <v>60032006</v>
      </c>
      <c r="R133" s="8">
        <v>35034</v>
      </c>
      <c r="S133" s="9">
        <f t="shared" si="16"/>
        <v>1995</v>
      </c>
      <c r="T133" s="9">
        <v>1995</v>
      </c>
      <c r="U133" s="9">
        <f t="shared" si="17"/>
        <v>27</v>
      </c>
      <c r="V133" s="8">
        <v>1995</v>
      </c>
      <c r="W133" t="s">
        <v>2840</v>
      </c>
      <c r="X133" s="2" t="s">
        <v>7</v>
      </c>
      <c r="Y133" s="7" t="e">
        <f t="shared" si="18"/>
        <v>#VALUE!</v>
      </c>
      <c r="AA133">
        <v>34339</v>
      </c>
      <c r="AB133">
        <v>39053</v>
      </c>
      <c r="AD133" t="s">
        <v>3</v>
      </c>
      <c r="AE133">
        <v>16</v>
      </c>
      <c r="AF133">
        <v>4</v>
      </c>
      <c r="AH133" t="s">
        <v>2839</v>
      </c>
      <c r="AL133">
        <v>15</v>
      </c>
      <c r="AM133" s="5">
        <f t="shared" si="19"/>
        <v>0.55555555555555558</v>
      </c>
      <c r="AN133" s="4">
        <f t="shared" si="20"/>
        <v>8.414321174639236E-4</v>
      </c>
      <c r="AO133" s="3"/>
      <c r="AP133">
        <v>0</v>
      </c>
      <c r="AR133" t="s">
        <v>1</v>
      </c>
      <c r="AT133" s="2" t="s">
        <v>7</v>
      </c>
      <c r="AU133" s="1" t="e">
        <f t="shared" si="21"/>
        <v>#VALUE!</v>
      </c>
      <c r="AV133" s="1" t="e">
        <f t="shared" si="22"/>
        <v>#VALUE!</v>
      </c>
      <c r="AW133" s="1" t="e">
        <f t="shared" si="23"/>
        <v>#VALUE!</v>
      </c>
    </row>
    <row r="134" spans="1:49" x14ac:dyDescent="0.2">
      <c r="A134">
        <v>132</v>
      </c>
      <c r="B134" t="s">
        <v>2838</v>
      </c>
      <c r="C134" t="s">
        <v>2837</v>
      </c>
      <c r="F134" t="s">
        <v>2836</v>
      </c>
      <c r="G134" t="s">
        <v>6</v>
      </c>
      <c r="H134" t="s">
        <v>5</v>
      </c>
      <c r="I134" t="s">
        <v>2835</v>
      </c>
      <c r="J134">
        <v>60018020</v>
      </c>
      <c r="K134" t="s">
        <v>2834</v>
      </c>
      <c r="L134" t="s">
        <v>55</v>
      </c>
      <c r="M134" t="s">
        <v>4</v>
      </c>
      <c r="N134">
        <v>5</v>
      </c>
      <c r="O134" t="s">
        <v>2833</v>
      </c>
      <c r="P134" t="s">
        <v>2832</v>
      </c>
      <c r="Q134" t="s">
        <v>2831</v>
      </c>
      <c r="R134" s="8">
        <v>35034</v>
      </c>
      <c r="S134" s="9">
        <f t="shared" si="16"/>
        <v>1995</v>
      </c>
      <c r="T134" s="9">
        <v>1995</v>
      </c>
      <c r="U134" s="9">
        <f t="shared" si="17"/>
        <v>27</v>
      </c>
      <c r="V134" s="8">
        <v>1995</v>
      </c>
      <c r="W134" t="s">
        <v>2708</v>
      </c>
      <c r="X134" s="2">
        <v>0.60499999999999998</v>
      </c>
      <c r="Y134" s="7">
        <f t="shared" si="18"/>
        <v>1.6150129467980032E-2</v>
      </c>
      <c r="AA134">
        <v>346748</v>
      </c>
      <c r="AB134">
        <v>15563</v>
      </c>
      <c r="AD134" t="s">
        <v>3</v>
      </c>
      <c r="AE134">
        <v>66</v>
      </c>
      <c r="AF134">
        <v>1</v>
      </c>
      <c r="AH134" t="s">
        <v>2830</v>
      </c>
      <c r="AI134" t="s">
        <v>2829</v>
      </c>
      <c r="AK134" t="s">
        <v>2828</v>
      </c>
      <c r="AL134">
        <v>1</v>
      </c>
      <c r="AM134" s="5">
        <f t="shared" si="19"/>
        <v>3.7037037037037035E-2</v>
      </c>
      <c r="AN134" s="4">
        <f t="shared" si="20"/>
        <v>5.6095474497594906E-5</v>
      </c>
      <c r="AO134" s="3"/>
      <c r="AP134">
        <v>0</v>
      </c>
      <c r="AR134" t="s">
        <v>1</v>
      </c>
      <c r="AT134" s="2">
        <v>1.5229999999999999</v>
      </c>
      <c r="AU134" s="1">
        <f t="shared" si="21"/>
        <v>1.1321919269935299</v>
      </c>
      <c r="AV134" s="1">
        <f t="shared" si="22"/>
        <v>0.81031124712388147</v>
      </c>
      <c r="AW134" s="1">
        <f t="shared" si="23"/>
        <v>0.48843056725423262</v>
      </c>
    </row>
    <row r="135" spans="1:49" x14ac:dyDescent="0.2">
      <c r="A135">
        <v>133</v>
      </c>
      <c r="B135" t="s">
        <v>2827</v>
      </c>
      <c r="C135" t="s">
        <v>2826</v>
      </c>
      <c r="F135" t="s">
        <v>2825</v>
      </c>
      <c r="G135" t="s">
        <v>6</v>
      </c>
      <c r="H135" t="s">
        <v>5</v>
      </c>
      <c r="I135" t="s">
        <v>2824</v>
      </c>
      <c r="J135">
        <v>60014176</v>
      </c>
      <c r="K135" t="s">
        <v>2823</v>
      </c>
      <c r="L135" t="s">
        <v>2822</v>
      </c>
      <c r="M135" t="s">
        <v>37</v>
      </c>
      <c r="N135">
        <v>2</v>
      </c>
      <c r="O135" t="s">
        <v>2821</v>
      </c>
      <c r="P135" t="s">
        <v>2820</v>
      </c>
      <c r="Q135" t="s">
        <v>2819</v>
      </c>
      <c r="R135" s="8">
        <v>35034</v>
      </c>
      <c r="S135" s="9">
        <f t="shared" si="16"/>
        <v>1995</v>
      </c>
      <c r="T135" s="9">
        <v>1995</v>
      </c>
      <c r="U135" s="9">
        <f t="shared" si="17"/>
        <v>27</v>
      </c>
      <c r="V135" s="8">
        <v>35034</v>
      </c>
      <c r="W135" t="s">
        <v>2818</v>
      </c>
      <c r="X135" s="2" t="s">
        <v>7</v>
      </c>
      <c r="Y135" s="7" t="e">
        <f t="shared" si="18"/>
        <v>#VALUE!</v>
      </c>
      <c r="AA135">
        <v>785326</v>
      </c>
      <c r="AB135">
        <v>12953</v>
      </c>
      <c r="AD135" t="s">
        <v>3</v>
      </c>
      <c r="AE135">
        <v>43</v>
      </c>
      <c r="AF135">
        <v>3</v>
      </c>
      <c r="AH135" t="s">
        <v>2817</v>
      </c>
      <c r="AI135" t="s">
        <v>2816</v>
      </c>
      <c r="AK135" t="s">
        <v>2815</v>
      </c>
      <c r="AL135">
        <v>23</v>
      </c>
      <c r="AM135" s="5">
        <f t="shared" si="19"/>
        <v>0.85185185185185186</v>
      </c>
      <c r="AN135" s="4">
        <f t="shared" si="20"/>
        <v>1.2901959134446828E-3</v>
      </c>
      <c r="AO135" s="3"/>
      <c r="AP135">
        <v>0</v>
      </c>
      <c r="AR135" t="s">
        <v>1</v>
      </c>
      <c r="AT135" s="2" t="s">
        <v>7</v>
      </c>
      <c r="AU135" s="1" t="e">
        <f t="shared" si="21"/>
        <v>#VALUE!</v>
      </c>
      <c r="AV135" s="1" t="e">
        <f t="shared" si="22"/>
        <v>#VALUE!</v>
      </c>
      <c r="AW135" s="1" t="e">
        <f t="shared" si="23"/>
        <v>#VALUE!</v>
      </c>
    </row>
    <row r="136" spans="1:49" x14ac:dyDescent="0.2">
      <c r="A136">
        <v>134</v>
      </c>
      <c r="B136" t="s">
        <v>2814</v>
      </c>
      <c r="C136" t="s">
        <v>2813</v>
      </c>
      <c r="F136" t="s">
        <v>2812</v>
      </c>
      <c r="G136" t="s">
        <v>6</v>
      </c>
      <c r="H136" t="s">
        <v>5</v>
      </c>
      <c r="I136" t="s">
        <v>2811</v>
      </c>
      <c r="J136">
        <v>60018491</v>
      </c>
      <c r="K136" t="s">
        <v>2810</v>
      </c>
      <c r="L136" t="s">
        <v>2809</v>
      </c>
      <c r="M136" t="s">
        <v>20</v>
      </c>
      <c r="N136">
        <v>4</v>
      </c>
      <c r="O136" t="s">
        <v>2808</v>
      </c>
      <c r="P136" t="s">
        <v>2807</v>
      </c>
      <c r="Q136" t="s">
        <v>2806</v>
      </c>
      <c r="R136" s="8">
        <v>35034</v>
      </c>
      <c r="S136" s="9">
        <f t="shared" si="16"/>
        <v>1995</v>
      </c>
      <c r="T136" s="9">
        <v>1995</v>
      </c>
      <c r="U136" s="9">
        <f t="shared" si="17"/>
        <v>27</v>
      </c>
      <c r="V136" s="8">
        <v>35034</v>
      </c>
      <c r="W136" t="s">
        <v>83</v>
      </c>
      <c r="X136" s="2">
        <v>0.85499999999999998</v>
      </c>
      <c r="Y136" s="7">
        <f t="shared" si="18"/>
        <v>2.28237366861536E-2</v>
      </c>
      <c r="AA136">
        <v>980331</v>
      </c>
      <c r="AB136">
        <v>23342</v>
      </c>
      <c r="AC136">
        <v>15731561</v>
      </c>
      <c r="AD136" t="s">
        <v>3</v>
      </c>
      <c r="AE136">
        <v>21</v>
      </c>
      <c r="AF136">
        <v>12</v>
      </c>
      <c r="AH136" t="s">
        <v>2805</v>
      </c>
      <c r="AI136" t="s">
        <v>2804</v>
      </c>
      <c r="AJ136" t="s">
        <v>2803</v>
      </c>
      <c r="AK136" t="s">
        <v>2802</v>
      </c>
      <c r="AL136">
        <v>24</v>
      </c>
      <c r="AM136" s="5">
        <f t="shared" si="19"/>
        <v>0.88888888888888884</v>
      </c>
      <c r="AN136" s="4">
        <f t="shared" si="20"/>
        <v>1.3462913879422776E-3</v>
      </c>
      <c r="AO136" s="3"/>
      <c r="AP136">
        <v>0</v>
      </c>
      <c r="AR136" t="s">
        <v>1</v>
      </c>
      <c r="AT136" s="2">
        <v>2.6259999999999999</v>
      </c>
      <c r="AU136" s="1">
        <f t="shared" si="21"/>
        <v>1.6380503096690202</v>
      </c>
      <c r="AV136" s="1">
        <f t="shared" si="22"/>
        <v>1.2085014037047939</v>
      </c>
      <c r="AW136" s="1">
        <f t="shared" si="23"/>
        <v>0.77895249774056741</v>
      </c>
    </row>
    <row r="137" spans="1:49" x14ac:dyDescent="0.2">
      <c r="A137">
        <v>135</v>
      </c>
      <c r="B137" t="s">
        <v>2801</v>
      </c>
      <c r="C137" t="s">
        <v>2800</v>
      </c>
      <c r="E137">
        <v>7610120</v>
      </c>
      <c r="F137" t="s">
        <v>2799</v>
      </c>
      <c r="G137" t="s">
        <v>6</v>
      </c>
      <c r="H137" t="s">
        <v>5</v>
      </c>
      <c r="I137" t="s">
        <v>2798</v>
      </c>
      <c r="J137">
        <v>60012070</v>
      </c>
      <c r="K137" t="s">
        <v>395</v>
      </c>
      <c r="L137" t="s">
        <v>394</v>
      </c>
      <c r="M137" t="s">
        <v>37</v>
      </c>
      <c r="N137">
        <v>3</v>
      </c>
      <c r="O137" t="s">
        <v>2797</v>
      </c>
      <c r="P137" t="s">
        <v>2796</v>
      </c>
      <c r="Q137" t="s">
        <v>393</v>
      </c>
      <c r="R137" s="8">
        <v>35034</v>
      </c>
      <c r="S137" s="9">
        <f t="shared" si="16"/>
        <v>1995</v>
      </c>
      <c r="T137" s="9">
        <v>1995</v>
      </c>
      <c r="U137" s="9">
        <f t="shared" si="17"/>
        <v>27</v>
      </c>
      <c r="V137" s="8">
        <v>1995</v>
      </c>
      <c r="W137" t="s">
        <v>2795</v>
      </c>
      <c r="X137" s="2">
        <v>1.3120000000000001</v>
      </c>
      <c r="Y137" s="7">
        <f t="shared" si="18"/>
        <v>3.502309068097488E-2</v>
      </c>
      <c r="AA137">
        <v>319155</v>
      </c>
      <c r="AB137">
        <v>29203</v>
      </c>
      <c r="AD137" t="s">
        <v>3</v>
      </c>
      <c r="AE137">
        <v>40</v>
      </c>
      <c r="AF137">
        <v>4</v>
      </c>
      <c r="AG137">
        <v>11</v>
      </c>
      <c r="AH137" t="s">
        <v>2794</v>
      </c>
      <c r="AI137" t="s">
        <v>2793</v>
      </c>
      <c r="AK137" t="s">
        <v>2792</v>
      </c>
      <c r="AL137">
        <v>5</v>
      </c>
      <c r="AM137" s="5">
        <f t="shared" si="19"/>
        <v>0.18518518518518517</v>
      </c>
      <c r="AN137" s="4">
        <f t="shared" si="20"/>
        <v>2.804773724879745E-4</v>
      </c>
      <c r="AO137" s="3"/>
      <c r="AP137">
        <v>0</v>
      </c>
      <c r="AR137" t="s">
        <v>1</v>
      </c>
      <c r="AT137" s="2">
        <v>3.609</v>
      </c>
      <c r="AU137" s="1">
        <f t="shared" si="21"/>
        <v>2.4600306688428808</v>
      </c>
      <c r="AV137" s="1">
        <f t="shared" si="22"/>
        <v>1.7651784026731425</v>
      </c>
      <c r="AW137" s="1">
        <f t="shared" si="23"/>
        <v>1.0703261365034047</v>
      </c>
    </row>
    <row r="138" spans="1:49" x14ac:dyDescent="0.2">
      <c r="A138">
        <v>136</v>
      </c>
      <c r="B138" t="s">
        <v>2791</v>
      </c>
      <c r="C138" t="s">
        <v>2790</v>
      </c>
      <c r="F138" t="s">
        <v>2789</v>
      </c>
      <c r="G138" t="s">
        <v>6</v>
      </c>
      <c r="H138" t="s">
        <v>5</v>
      </c>
      <c r="I138" t="s">
        <v>438</v>
      </c>
      <c r="J138" t="s">
        <v>2788</v>
      </c>
      <c r="K138" t="s">
        <v>2787</v>
      </c>
      <c r="L138" t="s">
        <v>2786</v>
      </c>
      <c r="M138" t="s">
        <v>2785</v>
      </c>
      <c r="N138">
        <v>15</v>
      </c>
      <c r="O138" t="s">
        <v>2784</v>
      </c>
      <c r="P138" t="s">
        <v>2783</v>
      </c>
      <c r="Q138" t="s">
        <v>2782</v>
      </c>
      <c r="R138" s="8">
        <v>35034</v>
      </c>
      <c r="S138" s="9">
        <f t="shared" si="16"/>
        <v>1995</v>
      </c>
      <c r="T138" s="9">
        <v>1995</v>
      </c>
      <c r="U138" s="9">
        <f t="shared" si="17"/>
        <v>27</v>
      </c>
      <c r="V138" s="8">
        <v>1995</v>
      </c>
      <c r="W138" t="s">
        <v>2708</v>
      </c>
      <c r="X138" s="2">
        <v>0.60499999999999998</v>
      </c>
      <c r="Y138" s="7">
        <f t="shared" si="18"/>
        <v>1.6150129467980032E-2</v>
      </c>
      <c r="AA138">
        <v>346748</v>
      </c>
      <c r="AB138">
        <v>15563</v>
      </c>
      <c r="AD138" t="s">
        <v>3</v>
      </c>
      <c r="AE138">
        <v>66</v>
      </c>
      <c r="AF138">
        <v>1</v>
      </c>
      <c r="AH138" t="s">
        <v>2781</v>
      </c>
      <c r="AI138" t="s">
        <v>2780</v>
      </c>
      <c r="AK138" t="s">
        <v>2779</v>
      </c>
      <c r="AL138">
        <v>2</v>
      </c>
      <c r="AM138" s="5">
        <f t="shared" si="19"/>
        <v>7.407407407407407E-2</v>
      </c>
      <c r="AN138" s="4">
        <f t="shared" si="20"/>
        <v>1.1219094899518981E-4</v>
      </c>
      <c r="AO138" s="3"/>
      <c r="AP138">
        <v>0</v>
      </c>
      <c r="AR138" t="s">
        <v>1</v>
      </c>
      <c r="AT138" s="2">
        <v>1.5229999999999999</v>
      </c>
      <c r="AU138" s="1">
        <f t="shared" si="21"/>
        <v>1.1338747912284579</v>
      </c>
      <c r="AV138" s="1">
        <f t="shared" si="22"/>
        <v>0.81311602084876111</v>
      </c>
      <c r="AW138" s="1">
        <f t="shared" si="23"/>
        <v>0.49235725046906426</v>
      </c>
    </row>
    <row r="139" spans="1:49" x14ac:dyDescent="0.2">
      <c r="A139">
        <v>137</v>
      </c>
      <c r="B139" t="s">
        <v>2778</v>
      </c>
      <c r="C139" t="s">
        <v>2777</v>
      </c>
      <c r="F139" t="s">
        <v>2776</v>
      </c>
      <c r="G139" t="s">
        <v>6</v>
      </c>
      <c r="H139" t="s">
        <v>5</v>
      </c>
      <c r="I139" t="s">
        <v>2775</v>
      </c>
      <c r="J139">
        <v>60011001</v>
      </c>
      <c r="K139" t="s">
        <v>207</v>
      </c>
      <c r="L139" t="s">
        <v>190</v>
      </c>
      <c r="M139" t="s">
        <v>14</v>
      </c>
      <c r="N139">
        <v>4</v>
      </c>
      <c r="O139" t="s">
        <v>2774</v>
      </c>
      <c r="P139" t="s">
        <v>2773</v>
      </c>
      <c r="Q139" t="s">
        <v>2772</v>
      </c>
      <c r="R139" s="8">
        <v>35034</v>
      </c>
      <c r="S139" s="9">
        <f t="shared" si="16"/>
        <v>1995</v>
      </c>
      <c r="T139" s="9">
        <v>1995</v>
      </c>
      <c r="U139" s="9">
        <f t="shared" si="17"/>
        <v>27</v>
      </c>
      <c r="V139" s="8">
        <v>1995</v>
      </c>
      <c r="W139" t="s">
        <v>2771</v>
      </c>
      <c r="X139" s="2">
        <v>1.774</v>
      </c>
      <c r="Y139" s="7">
        <f t="shared" si="18"/>
        <v>4.7355916820159633E-2</v>
      </c>
      <c r="AA139">
        <v>295515</v>
      </c>
      <c r="AB139">
        <v>29066</v>
      </c>
      <c r="AD139" t="s">
        <v>3</v>
      </c>
      <c r="AE139">
        <v>35</v>
      </c>
      <c r="AF139">
        <v>1</v>
      </c>
      <c r="AG139" t="s">
        <v>2770</v>
      </c>
      <c r="AH139" t="s">
        <v>2769</v>
      </c>
      <c r="AI139" t="s">
        <v>2768</v>
      </c>
      <c r="AK139" t="s">
        <v>2767</v>
      </c>
      <c r="AL139">
        <v>16</v>
      </c>
      <c r="AM139" s="5">
        <f t="shared" si="19"/>
        <v>0.59259259259259256</v>
      </c>
      <c r="AN139" s="4">
        <f t="shared" si="20"/>
        <v>8.975275919615185E-4</v>
      </c>
      <c r="AO139" s="3"/>
      <c r="AP139">
        <v>0</v>
      </c>
      <c r="AR139" t="s">
        <v>1</v>
      </c>
      <c r="AT139" s="2">
        <v>3.1789999999999998</v>
      </c>
      <c r="AU139" s="1">
        <f t="shared" si="21"/>
        <v>3.3418400051700194</v>
      </c>
      <c r="AV139" s="1">
        <f t="shared" si="22"/>
        <v>2.4126722206060576</v>
      </c>
      <c r="AW139" s="1">
        <f t="shared" si="23"/>
        <v>1.4835044360420953</v>
      </c>
    </row>
    <row r="140" spans="1:49" x14ac:dyDescent="0.2">
      <c r="A140">
        <v>138</v>
      </c>
      <c r="B140" t="s">
        <v>2766</v>
      </c>
      <c r="C140" t="s">
        <v>2765</v>
      </c>
      <c r="F140" t="s">
        <v>2764</v>
      </c>
      <c r="G140" t="s">
        <v>6</v>
      </c>
      <c r="H140" t="s">
        <v>5</v>
      </c>
      <c r="I140" t="s">
        <v>2763</v>
      </c>
      <c r="J140" t="s">
        <v>2762</v>
      </c>
      <c r="K140" t="s">
        <v>2761</v>
      </c>
      <c r="L140" t="s">
        <v>2760</v>
      </c>
      <c r="M140" t="s">
        <v>18</v>
      </c>
      <c r="N140">
        <v>7</v>
      </c>
      <c r="O140" t="s">
        <v>2759</v>
      </c>
      <c r="P140" t="s">
        <v>2758</v>
      </c>
      <c r="Q140" t="s">
        <v>2757</v>
      </c>
      <c r="R140" s="8">
        <v>35034</v>
      </c>
      <c r="S140" s="9">
        <f t="shared" si="16"/>
        <v>1995</v>
      </c>
      <c r="T140" s="9">
        <v>1995</v>
      </c>
      <c r="U140" s="9">
        <f t="shared" si="17"/>
        <v>27</v>
      </c>
      <c r="V140" s="8">
        <v>1995</v>
      </c>
      <c r="W140" t="s">
        <v>21</v>
      </c>
      <c r="X140" s="2">
        <v>1.1819999999999999</v>
      </c>
      <c r="Y140" s="7">
        <f t="shared" si="18"/>
        <v>3.1552814927524625E-2</v>
      </c>
      <c r="AA140">
        <v>36951</v>
      </c>
      <c r="AB140">
        <v>27030</v>
      </c>
      <c r="AD140" t="s">
        <v>3</v>
      </c>
      <c r="AE140">
        <v>67</v>
      </c>
      <c r="AH140">
        <v>3810</v>
      </c>
      <c r="AI140" t="s">
        <v>2756</v>
      </c>
      <c r="AK140" t="s">
        <v>2755</v>
      </c>
      <c r="AL140">
        <v>22</v>
      </c>
      <c r="AM140" s="5">
        <f t="shared" si="19"/>
        <v>0.81481481481481477</v>
      </c>
      <c r="AN140" s="4">
        <f t="shared" si="20"/>
        <v>1.2341004389470878E-3</v>
      </c>
      <c r="AO140" s="3"/>
      <c r="AP140">
        <v>0</v>
      </c>
      <c r="AR140" t="s">
        <v>1</v>
      </c>
      <c r="AT140" s="2">
        <v>3.7909999999999999</v>
      </c>
      <c r="AU140" s="1">
        <f t="shared" si="21"/>
        <v>2.2457200580951362</v>
      </c>
      <c r="AV140" s="1">
        <f t="shared" si="22"/>
        <v>1.6393457683235857</v>
      </c>
      <c r="AW140" s="1">
        <f t="shared" si="23"/>
        <v>1.032971478552035</v>
      </c>
    </row>
    <row r="141" spans="1:49" x14ac:dyDescent="0.2">
      <c r="A141">
        <v>139</v>
      </c>
      <c r="B141" t="s">
        <v>2754</v>
      </c>
      <c r="C141" t="s">
        <v>2753</v>
      </c>
      <c r="F141" t="s">
        <v>2752</v>
      </c>
      <c r="G141" t="s">
        <v>6</v>
      </c>
      <c r="H141" t="s">
        <v>5</v>
      </c>
      <c r="I141" t="s">
        <v>2751</v>
      </c>
      <c r="J141">
        <v>60029241</v>
      </c>
      <c r="K141" t="s">
        <v>169</v>
      </c>
      <c r="L141" t="s">
        <v>168</v>
      </c>
      <c r="M141" t="s">
        <v>4</v>
      </c>
      <c r="N141">
        <v>5</v>
      </c>
      <c r="O141" t="s">
        <v>2750</v>
      </c>
      <c r="P141" t="s">
        <v>2749</v>
      </c>
      <c r="Q141" t="s">
        <v>2748</v>
      </c>
      <c r="R141" s="8">
        <v>35034</v>
      </c>
      <c r="S141" s="9">
        <f t="shared" si="16"/>
        <v>1995</v>
      </c>
      <c r="T141" s="9">
        <v>1995</v>
      </c>
      <c r="U141" s="9">
        <f t="shared" si="17"/>
        <v>27</v>
      </c>
      <c r="V141" s="8">
        <v>1995</v>
      </c>
      <c r="W141" t="s">
        <v>21</v>
      </c>
      <c r="X141" s="2">
        <v>1.1819999999999999</v>
      </c>
      <c r="Y141" s="7">
        <f t="shared" si="18"/>
        <v>3.1552814927524625E-2</v>
      </c>
      <c r="AA141">
        <v>36951</v>
      </c>
      <c r="AB141">
        <v>27030</v>
      </c>
      <c r="AD141" t="s">
        <v>3</v>
      </c>
      <c r="AE141">
        <v>67</v>
      </c>
      <c r="AH141">
        <v>2816</v>
      </c>
      <c r="AI141" t="s">
        <v>2747</v>
      </c>
      <c r="AK141" t="s">
        <v>2746</v>
      </c>
      <c r="AL141">
        <v>101</v>
      </c>
      <c r="AM141" s="5">
        <f t="shared" si="19"/>
        <v>3.7407407407407409</v>
      </c>
      <c r="AN141" s="4">
        <f t="shared" si="20"/>
        <v>5.665642924257086E-3</v>
      </c>
      <c r="AO141" s="3"/>
      <c r="AP141">
        <v>0</v>
      </c>
      <c r="AR141" t="s">
        <v>1</v>
      </c>
      <c r="AT141" s="2">
        <v>3.7909999999999999</v>
      </c>
      <c r="AU141" s="1">
        <f t="shared" si="21"/>
        <v>2.3786663326544359</v>
      </c>
      <c r="AV141" s="1">
        <f t="shared" si="22"/>
        <v>1.8609228925890855</v>
      </c>
      <c r="AW141" s="1">
        <f t="shared" si="23"/>
        <v>1.3431794525237346</v>
      </c>
    </row>
    <row r="142" spans="1:49" x14ac:dyDescent="0.2">
      <c r="A142">
        <v>140</v>
      </c>
      <c r="B142" t="s">
        <v>2745</v>
      </c>
      <c r="C142" t="s">
        <v>2744</v>
      </c>
      <c r="F142" t="s">
        <v>2743</v>
      </c>
      <c r="G142" t="s">
        <v>6</v>
      </c>
      <c r="H142" t="s">
        <v>5</v>
      </c>
      <c r="I142" t="s">
        <v>2742</v>
      </c>
      <c r="J142">
        <v>60031806</v>
      </c>
      <c r="K142" t="s">
        <v>357</v>
      </c>
      <c r="L142" t="s">
        <v>356</v>
      </c>
      <c r="M142" t="s">
        <v>34</v>
      </c>
      <c r="N142">
        <v>3</v>
      </c>
      <c r="O142" t="s">
        <v>2741</v>
      </c>
      <c r="P142" t="s">
        <v>2740</v>
      </c>
      <c r="Q142" t="s">
        <v>2739</v>
      </c>
      <c r="R142" s="8">
        <v>35034</v>
      </c>
      <c r="S142" s="9">
        <f t="shared" si="16"/>
        <v>1995</v>
      </c>
      <c r="T142" s="9">
        <v>1995</v>
      </c>
      <c r="U142" s="9">
        <f t="shared" si="17"/>
        <v>27</v>
      </c>
      <c r="V142" s="8">
        <v>1995</v>
      </c>
      <c r="W142" t="s">
        <v>2708</v>
      </c>
      <c r="X142" s="2">
        <v>0.60499999999999998</v>
      </c>
      <c r="Y142" s="7">
        <f t="shared" si="18"/>
        <v>1.6150129467980032E-2</v>
      </c>
      <c r="AA142">
        <v>346748</v>
      </c>
      <c r="AB142">
        <v>15563</v>
      </c>
      <c r="AD142" t="s">
        <v>3</v>
      </c>
      <c r="AE142">
        <v>66</v>
      </c>
      <c r="AF142">
        <v>5</v>
      </c>
      <c r="AH142" t="s">
        <v>2738</v>
      </c>
      <c r="AI142" t="s">
        <v>2737</v>
      </c>
      <c r="AK142" t="s">
        <v>2736</v>
      </c>
      <c r="AL142">
        <v>20</v>
      </c>
      <c r="AM142" s="5">
        <f t="shared" si="19"/>
        <v>0.7407407407407407</v>
      </c>
      <c r="AN142" s="4">
        <f t="shared" si="20"/>
        <v>1.121909489951898E-3</v>
      </c>
      <c r="AO142" s="3"/>
      <c r="AP142">
        <v>0</v>
      </c>
      <c r="AR142" t="s">
        <v>1</v>
      </c>
      <c r="AT142" s="2">
        <v>1.5229999999999999</v>
      </c>
      <c r="AU142" s="1">
        <f t="shared" si="21"/>
        <v>1.1641663474571591</v>
      </c>
      <c r="AV142" s="1">
        <f t="shared" si="22"/>
        <v>0.86360194789659661</v>
      </c>
      <c r="AW142" s="1">
        <f t="shared" si="23"/>
        <v>0.56303754833603392</v>
      </c>
    </row>
    <row r="143" spans="1:49" x14ac:dyDescent="0.2">
      <c r="A143">
        <v>141</v>
      </c>
      <c r="B143" t="s">
        <v>2735</v>
      </c>
      <c r="C143" t="s">
        <v>2734</v>
      </c>
      <c r="F143" t="s">
        <v>2733</v>
      </c>
      <c r="G143" t="s">
        <v>6</v>
      </c>
      <c r="H143" t="s">
        <v>5</v>
      </c>
      <c r="I143" t="s">
        <v>438</v>
      </c>
      <c r="J143">
        <v>60113665</v>
      </c>
      <c r="K143" t="s">
        <v>2732</v>
      </c>
      <c r="L143" t="s">
        <v>2731</v>
      </c>
      <c r="M143" t="s">
        <v>30</v>
      </c>
      <c r="N143">
        <v>19</v>
      </c>
      <c r="O143" t="s">
        <v>2730</v>
      </c>
      <c r="P143" t="s">
        <v>2729</v>
      </c>
      <c r="Q143" t="s">
        <v>2728</v>
      </c>
      <c r="R143" s="8">
        <v>35034</v>
      </c>
      <c r="S143" s="9">
        <f t="shared" si="16"/>
        <v>1995</v>
      </c>
      <c r="T143" s="9">
        <v>1995</v>
      </c>
      <c r="U143" s="9">
        <f t="shared" si="17"/>
        <v>27</v>
      </c>
      <c r="V143" s="8">
        <v>1995</v>
      </c>
      <c r="W143" t="s">
        <v>2708</v>
      </c>
      <c r="X143" s="2">
        <v>0.60499999999999998</v>
      </c>
      <c r="Y143" s="7">
        <f t="shared" si="18"/>
        <v>1.6150129467980032E-2</v>
      </c>
      <c r="AA143">
        <v>346748</v>
      </c>
      <c r="AB143">
        <v>15563</v>
      </c>
      <c r="AD143" t="s">
        <v>3</v>
      </c>
      <c r="AE143">
        <v>66</v>
      </c>
      <c r="AF143">
        <v>3</v>
      </c>
      <c r="AH143" t="s">
        <v>2727</v>
      </c>
      <c r="AI143" t="s">
        <v>2726</v>
      </c>
      <c r="AK143" t="s">
        <v>2725</v>
      </c>
      <c r="AL143">
        <v>20</v>
      </c>
      <c r="AM143" s="5">
        <f t="shared" si="19"/>
        <v>0.7407407407407407</v>
      </c>
      <c r="AN143" s="4">
        <f t="shared" si="20"/>
        <v>1.121909489951898E-3</v>
      </c>
      <c r="AO143" s="3"/>
      <c r="AP143">
        <v>0</v>
      </c>
      <c r="AR143" t="s">
        <v>1</v>
      </c>
      <c r="AT143" s="2">
        <v>1.5229999999999999</v>
      </c>
      <c r="AU143" s="1">
        <f t="shared" si="21"/>
        <v>1.1641663474571591</v>
      </c>
      <c r="AV143" s="1">
        <f t="shared" si="22"/>
        <v>0.86360194789659661</v>
      </c>
      <c r="AW143" s="1">
        <f t="shared" si="23"/>
        <v>0.56303754833603392</v>
      </c>
    </row>
    <row r="144" spans="1:49" x14ac:dyDescent="0.2">
      <c r="A144">
        <v>142</v>
      </c>
      <c r="B144" t="s">
        <v>2724</v>
      </c>
      <c r="C144" t="s">
        <v>2723</v>
      </c>
      <c r="F144" t="s">
        <v>2722</v>
      </c>
      <c r="G144" t="s">
        <v>6</v>
      </c>
      <c r="H144" t="s">
        <v>5</v>
      </c>
      <c r="I144" t="s">
        <v>2721</v>
      </c>
      <c r="J144">
        <v>60011047</v>
      </c>
      <c r="K144" t="s">
        <v>288</v>
      </c>
      <c r="L144" t="s">
        <v>82</v>
      </c>
      <c r="M144" t="s">
        <v>14</v>
      </c>
      <c r="N144">
        <v>3</v>
      </c>
      <c r="O144" t="s">
        <v>2720</v>
      </c>
      <c r="P144" t="s">
        <v>2719</v>
      </c>
      <c r="Q144" t="s">
        <v>2718</v>
      </c>
      <c r="R144" s="8">
        <v>35034</v>
      </c>
      <c r="S144" s="9">
        <f t="shared" si="16"/>
        <v>1995</v>
      </c>
      <c r="T144" s="9">
        <v>1995</v>
      </c>
      <c r="U144" s="9">
        <f t="shared" si="17"/>
        <v>27</v>
      </c>
      <c r="V144" s="8">
        <v>1995</v>
      </c>
      <c r="W144" t="s">
        <v>22</v>
      </c>
      <c r="X144" s="2">
        <v>1.3280000000000001</v>
      </c>
      <c r="Y144" s="7">
        <f t="shared" si="18"/>
        <v>3.5450201542937994E-2</v>
      </c>
      <c r="AA144">
        <v>7413335</v>
      </c>
      <c r="AB144">
        <v>29251</v>
      </c>
      <c r="AD144" t="s">
        <v>3</v>
      </c>
      <c r="AE144">
        <v>37</v>
      </c>
      <c r="AF144">
        <v>9</v>
      </c>
      <c r="AG144">
        <v>7</v>
      </c>
      <c r="AH144" t="s">
        <v>2717</v>
      </c>
      <c r="AI144" t="s">
        <v>2716</v>
      </c>
      <c r="AK144" t="s">
        <v>2715</v>
      </c>
      <c r="AL144">
        <v>49</v>
      </c>
      <c r="AM144" s="5">
        <f t="shared" si="19"/>
        <v>1.8148148148148149</v>
      </c>
      <c r="AN144" s="4">
        <f t="shared" si="20"/>
        <v>2.7486782503821504E-3</v>
      </c>
      <c r="AO144" s="3"/>
      <c r="AP144">
        <v>0</v>
      </c>
      <c r="AR144" t="s">
        <v>1</v>
      </c>
      <c r="AT144" s="2">
        <v>2.4580000000000002</v>
      </c>
      <c r="AU144" s="1">
        <f t="shared" si="21"/>
        <v>2.563974455517124</v>
      </c>
      <c r="AV144" s="1">
        <f t="shared" si="22"/>
        <v>1.9099439896660071</v>
      </c>
      <c r="AW144" s="1">
        <f t="shared" si="23"/>
        <v>1.2559135238148902</v>
      </c>
    </row>
    <row r="145" spans="1:49" x14ac:dyDescent="0.2">
      <c r="A145">
        <v>143</v>
      </c>
      <c r="B145" t="s">
        <v>2714</v>
      </c>
      <c r="C145" t="s">
        <v>2713</v>
      </c>
      <c r="F145" t="s">
        <v>2712</v>
      </c>
      <c r="G145" t="s">
        <v>6</v>
      </c>
      <c r="H145" t="s">
        <v>5</v>
      </c>
      <c r="I145" t="s">
        <v>78</v>
      </c>
      <c r="J145">
        <v>60011048</v>
      </c>
      <c r="K145" t="s">
        <v>2711</v>
      </c>
      <c r="L145" t="s">
        <v>2710</v>
      </c>
      <c r="M145" t="s">
        <v>4</v>
      </c>
      <c r="N145">
        <v>1</v>
      </c>
      <c r="O145" t="s">
        <v>2709</v>
      </c>
      <c r="P145">
        <v>7410362034</v>
      </c>
      <c r="Q145">
        <v>60011048</v>
      </c>
      <c r="R145" s="8">
        <v>35034</v>
      </c>
      <c r="S145" s="9">
        <f t="shared" si="16"/>
        <v>1995</v>
      </c>
      <c r="T145" s="9">
        <v>1995</v>
      </c>
      <c r="U145" s="9">
        <f t="shared" si="17"/>
        <v>27</v>
      </c>
      <c r="V145" s="8">
        <v>1995</v>
      </c>
      <c r="W145" t="s">
        <v>2708</v>
      </c>
      <c r="X145" s="2">
        <v>0.60499999999999998</v>
      </c>
      <c r="Y145" s="7">
        <f t="shared" si="18"/>
        <v>1.6150129467980032E-2</v>
      </c>
      <c r="AA145">
        <v>346748</v>
      </c>
      <c r="AB145">
        <v>15563</v>
      </c>
      <c r="AD145" t="s">
        <v>3</v>
      </c>
      <c r="AE145">
        <v>66</v>
      </c>
      <c r="AF145">
        <v>5</v>
      </c>
      <c r="AH145" t="s">
        <v>2707</v>
      </c>
      <c r="AI145" t="s">
        <v>2706</v>
      </c>
      <c r="AK145" t="s">
        <v>2705</v>
      </c>
      <c r="AL145">
        <v>72</v>
      </c>
      <c r="AM145" s="5">
        <f t="shared" si="19"/>
        <v>2.6666666666666665</v>
      </c>
      <c r="AN145" s="4">
        <f t="shared" si="20"/>
        <v>4.0388741638268328E-3</v>
      </c>
      <c r="AO145" s="3"/>
      <c r="AP145">
        <v>0</v>
      </c>
      <c r="AR145" t="s">
        <v>1</v>
      </c>
      <c r="AT145" s="2">
        <v>1.5229999999999999</v>
      </c>
      <c r="AU145" s="1">
        <f t="shared" si="21"/>
        <v>1.2516752876734072</v>
      </c>
      <c r="AV145" s="1">
        <f t="shared" si="22"/>
        <v>1.0094501815903432</v>
      </c>
      <c r="AW145" s="1">
        <f t="shared" si="23"/>
        <v>0.76722507550727925</v>
      </c>
    </row>
    <row r="146" spans="1:49" x14ac:dyDescent="0.2">
      <c r="A146">
        <v>144</v>
      </c>
      <c r="B146" t="s">
        <v>2704</v>
      </c>
      <c r="C146" t="s">
        <v>2703</v>
      </c>
      <c r="F146" t="s">
        <v>2702</v>
      </c>
      <c r="G146" t="s">
        <v>6</v>
      </c>
      <c r="H146" t="s">
        <v>5</v>
      </c>
      <c r="I146" t="s">
        <v>325</v>
      </c>
      <c r="J146" t="s">
        <v>324</v>
      </c>
      <c r="K146" t="s">
        <v>323</v>
      </c>
      <c r="L146" t="s">
        <v>322</v>
      </c>
      <c r="M146" t="s">
        <v>171</v>
      </c>
      <c r="N146">
        <v>5</v>
      </c>
      <c r="O146" t="s">
        <v>321</v>
      </c>
      <c r="P146" t="s">
        <v>320</v>
      </c>
      <c r="Q146" t="s">
        <v>319</v>
      </c>
      <c r="R146" s="8">
        <v>35034</v>
      </c>
      <c r="S146" s="9">
        <f t="shared" si="16"/>
        <v>1995</v>
      </c>
      <c r="T146" s="9">
        <v>1995</v>
      </c>
      <c r="U146" s="9">
        <f t="shared" si="17"/>
        <v>27</v>
      </c>
      <c r="V146" s="8">
        <v>1995</v>
      </c>
      <c r="W146" t="s">
        <v>21</v>
      </c>
      <c r="X146" s="2">
        <v>1.1819999999999999</v>
      </c>
      <c r="Y146" s="7">
        <f t="shared" si="18"/>
        <v>3.1552814927524625E-2</v>
      </c>
      <c r="AA146">
        <v>36951</v>
      </c>
      <c r="AB146">
        <v>27030</v>
      </c>
      <c r="AD146" t="s">
        <v>3</v>
      </c>
      <c r="AE146">
        <v>67</v>
      </c>
      <c r="AH146">
        <v>1414</v>
      </c>
      <c r="AI146" t="s">
        <v>2701</v>
      </c>
      <c r="AK146" t="s">
        <v>2700</v>
      </c>
      <c r="AL146">
        <v>40</v>
      </c>
      <c r="AM146" s="5">
        <f t="shared" si="19"/>
        <v>1.4814814814814814</v>
      </c>
      <c r="AN146" s="4">
        <f t="shared" si="20"/>
        <v>2.243818979903796E-3</v>
      </c>
      <c r="AO146" s="3"/>
      <c r="AP146">
        <v>0</v>
      </c>
      <c r="AR146" t="s">
        <v>1</v>
      </c>
      <c r="AT146" s="2">
        <v>3.7909999999999999</v>
      </c>
      <c r="AU146" s="1">
        <f t="shared" si="21"/>
        <v>2.2760116143238371</v>
      </c>
      <c r="AV146" s="1">
        <f t="shared" si="22"/>
        <v>1.6898316953714212</v>
      </c>
      <c r="AW146" s="1">
        <f t="shared" si="23"/>
        <v>1.1036517764190046</v>
      </c>
    </row>
    <row r="147" spans="1:49" x14ac:dyDescent="0.2">
      <c r="A147">
        <v>145</v>
      </c>
      <c r="B147" t="s">
        <v>2699</v>
      </c>
      <c r="C147" t="s">
        <v>2698</v>
      </c>
      <c r="F147" t="s">
        <v>2697</v>
      </c>
      <c r="G147" t="s">
        <v>6</v>
      </c>
      <c r="H147" t="s">
        <v>5</v>
      </c>
      <c r="I147" t="s">
        <v>2696</v>
      </c>
      <c r="N147">
        <v>2</v>
      </c>
      <c r="O147" t="s">
        <v>2695</v>
      </c>
      <c r="P147" t="s">
        <v>2694</v>
      </c>
      <c r="Q147" t="s">
        <v>73</v>
      </c>
      <c r="R147" s="8">
        <v>35034</v>
      </c>
      <c r="S147" s="9">
        <f t="shared" si="16"/>
        <v>1995</v>
      </c>
      <c r="T147" s="9">
        <v>1995</v>
      </c>
      <c r="U147" s="9">
        <f t="shared" si="17"/>
        <v>27</v>
      </c>
      <c r="V147" s="8">
        <v>1995</v>
      </c>
      <c r="W147" t="s">
        <v>2693</v>
      </c>
      <c r="X147" s="2">
        <v>0.9</v>
      </c>
      <c r="Y147" s="7">
        <f t="shared" si="18"/>
        <v>2.4024985985424845E-2</v>
      </c>
      <c r="AA147">
        <v>9630252</v>
      </c>
      <c r="AB147">
        <v>29614</v>
      </c>
      <c r="AD147" t="s">
        <v>3</v>
      </c>
      <c r="AE147">
        <v>4</v>
      </c>
      <c r="AF147">
        <v>4</v>
      </c>
      <c r="AG147">
        <v>4</v>
      </c>
      <c r="AH147" t="s">
        <v>2692</v>
      </c>
      <c r="AI147" t="s">
        <v>2691</v>
      </c>
      <c r="AK147" t="s">
        <v>2690</v>
      </c>
      <c r="AL147">
        <v>41</v>
      </c>
      <c r="AM147" s="5">
        <f t="shared" si="19"/>
        <v>1.5185185185185186</v>
      </c>
      <c r="AN147" s="4">
        <f t="shared" si="20"/>
        <v>2.2999144544013912E-3</v>
      </c>
      <c r="AO147" s="3"/>
      <c r="AP147">
        <v>0</v>
      </c>
      <c r="AR147" t="s">
        <v>1</v>
      </c>
      <c r="AT147" s="2" t="s">
        <v>7</v>
      </c>
      <c r="AU147" s="1">
        <f t="shared" si="21"/>
        <v>1.7507464526117809</v>
      </c>
      <c r="AV147" s="1">
        <f t="shared" si="22"/>
        <v>1.3162450219913118</v>
      </c>
      <c r="AW147" s="1">
        <f t="shared" si="23"/>
        <v>0.88174359137084268</v>
      </c>
    </row>
    <row r="148" spans="1:49" x14ac:dyDescent="0.2">
      <c r="A148">
        <v>146</v>
      </c>
      <c r="B148" t="s">
        <v>2689</v>
      </c>
      <c r="E148">
        <v>8582281</v>
      </c>
      <c r="F148" t="s">
        <v>2688</v>
      </c>
      <c r="G148" t="s">
        <v>6</v>
      </c>
      <c r="H148" t="s">
        <v>5</v>
      </c>
      <c r="I148" t="s">
        <v>2687</v>
      </c>
      <c r="J148">
        <v>60010065</v>
      </c>
      <c r="K148" t="s">
        <v>48</v>
      </c>
      <c r="L148" t="s">
        <v>47</v>
      </c>
      <c r="M148" t="s">
        <v>4</v>
      </c>
      <c r="N148">
        <v>3</v>
      </c>
      <c r="O148" t="s">
        <v>2686</v>
      </c>
      <c r="P148" t="s">
        <v>2685</v>
      </c>
      <c r="Q148" t="s">
        <v>46</v>
      </c>
      <c r="R148" s="8">
        <v>35030</v>
      </c>
      <c r="S148" s="9">
        <f t="shared" si="16"/>
        <v>1995</v>
      </c>
      <c r="T148" s="9">
        <v>1995</v>
      </c>
      <c r="U148" s="9">
        <f t="shared" si="17"/>
        <v>27</v>
      </c>
      <c r="V148" s="8">
        <v>1995</v>
      </c>
      <c r="W148" t="s">
        <v>35</v>
      </c>
      <c r="X148" s="2">
        <v>0.15</v>
      </c>
      <c r="Y148" s="7">
        <f t="shared" si="18"/>
        <v>4.0041643309041402E-3</v>
      </c>
      <c r="AA148">
        <v>9501991</v>
      </c>
      <c r="AB148">
        <v>14531</v>
      </c>
      <c r="AD148" t="s">
        <v>3</v>
      </c>
      <c r="AE148">
        <v>121</v>
      </c>
      <c r="AF148">
        <v>11</v>
      </c>
      <c r="AH148" t="s">
        <v>2684</v>
      </c>
      <c r="AI148" t="s">
        <v>2683</v>
      </c>
      <c r="AJ148" t="s">
        <v>2682</v>
      </c>
      <c r="AK148" t="s">
        <v>2681</v>
      </c>
      <c r="AL148">
        <v>215</v>
      </c>
      <c r="AM148" s="5">
        <f t="shared" si="19"/>
        <v>7.9629629629629628</v>
      </c>
      <c r="AN148" s="4">
        <f t="shared" si="20"/>
        <v>1.2060527016982904E-2</v>
      </c>
      <c r="AO148" s="3"/>
      <c r="AP148">
        <v>0</v>
      </c>
      <c r="AR148" t="s">
        <v>1</v>
      </c>
      <c r="AT148" s="2">
        <v>6.8680000000000003</v>
      </c>
      <c r="AU148" s="1">
        <f t="shared" si="21"/>
        <v>0.64210731367277696</v>
      </c>
      <c r="AV148" s="1">
        <f t="shared" si="22"/>
        <v>0.80323456739435217</v>
      </c>
      <c r="AW148" s="1">
        <f t="shared" si="23"/>
        <v>0.96436182111592739</v>
      </c>
    </row>
    <row r="149" spans="1:49" x14ac:dyDescent="0.2">
      <c r="A149">
        <v>147</v>
      </c>
      <c r="B149" t="s">
        <v>2680</v>
      </c>
      <c r="C149" t="s">
        <v>2679</v>
      </c>
      <c r="F149" t="s">
        <v>2678</v>
      </c>
      <c r="G149" t="s">
        <v>6</v>
      </c>
      <c r="H149" t="s">
        <v>5</v>
      </c>
      <c r="I149" t="s">
        <v>2677</v>
      </c>
      <c r="J149">
        <v>60010421</v>
      </c>
      <c r="K149" t="s">
        <v>2676</v>
      </c>
      <c r="L149" t="s">
        <v>218</v>
      </c>
      <c r="M149" t="s">
        <v>183</v>
      </c>
      <c r="N149">
        <v>3</v>
      </c>
      <c r="O149" t="s">
        <v>2675</v>
      </c>
      <c r="P149" t="s">
        <v>2674</v>
      </c>
      <c r="Q149" t="s">
        <v>2673</v>
      </c>
      <c r="R149" s="8">
        <v>35026</v>
      </c>
      <c r="S149" s="9">
        <f t="shared" si="16"/>
        <v>1995</v>
      </c>
      <c r="T149" s="9">
        <v>1995</v>
      </c>
      <c r="U149" s="9">
        <f t="shared" si="17"/>
        <v>27</v>
      </c>
      <c r="V149" s="8">
        <v>35026</v>
      </c>
      <c r="W149" t="s">
        <v>390</v>
      </c>
      <c r="X149" s="2">
        <v>0.375</v>
      </c>
      <c r="Y149" s="7">
        <f t="shared" si="18"/>
        <v>1.0010410827260351E-2</v>
      </c>
      <c r="AA149">
        <v>135194</v>
      </c>
      <c r="AB149">
        <v>24918</v>
      </c>
      <c r="AD149" t="s">
        <v>3</v>
      </c>
      <c r="AE149">
        <v>31</v>
      </c>
      <c r="AF149">
        <v>24</v>
      </c>
      <c r="AH149" t="s">
        <v>2672</v>
      </c>
      <c r="AI149" t="s">
        <v>2671</v>
      </c>
      <c r="AJ149" t="s">
        <v>2670</v>
      </c>
      <c r="AK149" t="s">
        <v>2669</v>
      </c>
      <c r="AL149">
        <v>3</v>
      </c>
      <c r="AM149" s="5">
        <f t="shared" si="19"/>
        <v>0.1111111111111111</v>
      </c>
      <c r="AN149" s="4">
        <f t="shared" si="20"/>
        <v>1.682864234927847E-4</v>
      </c>
      <c r="AO149" s="3"/>
      <c r="AP149">
        <v>0</v>
      </c>
      <c r="AR149" t="s">
        <v>1</v>
      </c>
      <c r="AT149" s="2">
        <v>1.3140000000000001</v>
      </c>
      <c r="AU149" s="1">
        <f t="shared" si="21"/>
        <v>0.70577735061300817</v>
      </c>
      <c r="AV149" s="1">
        <f t="shared" si="22"/>
        <v>0.50893486253765674</v>
      </c>
      <c r="AW149" s="1">
        <f t="shared" si="23"/>
        <v>0.31209237446230542</v>
      </c>
    </row>
    <row r="150" spans="1:49" x14ac:dyDescent="0.2">
      <c r="A150">
        <v>148</v>
      </c>
      <c r="B150" t="s">
        <v>2668</v>
      </c>
      <c r="C150" t="s">
        <v>2667</v>
      </c>
      <c r="F150" t="s">
        <v>2666</v>
      </c>
      <c r="G150" t="s">
        <v>6</v>
      </c>
      <c r="H150" t="s">
        <v>5</v>
      </c>
      <c r="I150" t="s">
        <v>2665</v>
      </c>
      <c r="J150" t="s">
        <v>2664</v>
      </c>
      <c r="K150" t="s">
        <v>2663</v>
      </c>
      <c r="L150" t="s">
        <v>2662</v>
      </c>
      <c r="M150" t="s">
        <v>13</v>
      </c>
      <c r="N150">
        <v>2</v>
      </c>
      <c r="O150" t="s">
        <v>2661</v>
      </c>
      <c r="P150" t="s">
        <v>2660</v>
      </c>
      <c r="Q150" t="s">
        <v>2659</v>
      </c>
      <c r="R150" s="8">
        <v>35026</v>
      </c>
      <c r="S150" s="9">
        <f t="shared" si="16"/>
        <v>1995</v>
      </c>
      <c r="T150" s="9">
        <v>1995</v>
      </c>
      <c r="U150" s="9">
        <f t="shared" si="17"/>
        <v>27</v>
      </c>
      <c r="V150" s="8">
        <v>35026</v>
      </c>
      <c r="W150" t="s">
        <v>390</v>
      </c>
      <c r="X150" s="2">
        <v>0.375</v>
      </c>
      <c r="Y150" s="7">
        <f t="shared" si="18"/>
        <v>1.0010410827260351E-2</v>
      </c>
      <c r="AA150">
        <v>135194</v>
      </c>
      <c r="AB150">
        <v>24918</v>
      </c>
      <c r="AD150" t="s">
        <v>3</v>
      </c>
      <c r="AE150">
        <v>31</v>
      </c>
      <c r="AF150">
        <v>24</v>
      </c>
      <c r="AH150" t="s">
        <v>2658</v>
      </c>
      <c r="AI150" t="s">
        <v>2657</v>
      </c>
      <c r="AJ150" t="s">
        <v>2656</v>
      </c>
      <c r="AK150" t="s">
        <v>2655</v>
      </c>
      <c r="AL150">
        <v>2</v>
      </c>
      <c r="AM150" s="5">
        <f t="shared" si="19"/>
        <v>7.407407407407407E-2</v>
      </c>
      <c r="AN150" s="4">
        <f t="shared" si="20"/>
        <v>1.1219094899518981E-4</v>
      </c>
      <c r="AO150" s="3"/>
      <c r="AP150">
        <v>0</v>
      </c>
      <c r="AR150" t="s">
        <v>1</v>
      </c>
      <c r="AT150" s="2">
        <v>1.3140000000000001</v>
      </c>
      <c r="AU150" s="1">
        <f t="shared" si="21"/>
        <v>0.70409448637808025</v>
      </c>
      <c r="AV150" s="1">
        <f t="shared" si="22"/>
        <v>0.5061300888127771</v>
      </c>
      <c r="AW150" s="1">
        <f t="shared" si="23"/>
        <v>0.30816569124747378</v>
      </c>
    </row>
    <row r="151" spans="1:49" x14ac:dyDescent="0.2">
      <c r="A151">
        <v>149</v>
      </c>
      <c r="B151" t="s">
        <v>2654</v>
      </c>
      <c r="C151" t="s">
        <v>2653</v>
      </c>
      <c r="F151" t="s">
        <v>2652</v>
      </c>
      <c r="G151" t="s">
        <v>6</v>
      </c>
      <c r="H151" t="s">
        <v>5</v>
      </c>
      <c r="I151" t="s">
        <v>2651</v>
      </c>
      <c r="J151" t="s">
        <v>2650</v>
      </c>
      <c r="K151" t="s">
        <v>2649</v>
      </c>
      <c r="L151" t="s">
        <v>2648</v>
      </c>
      <c r="M151" t="s">
        <v>12</v>
      </c>
      <c r="N151">
        <v>2</v>
      </c>
      <c r="O151" t="s">
        <v>2647</v>
      </c>
      <c r="P151" t="s">
        <v>2646</v>
      </c>
      <c r="Q151" t="s">
        <v>2645</v>
      </c>
      <c r="R151" s="8">
        <v>35026</v>
      </c>
      <c r="S151" s="9">
        <f t="shared" si="16"/>
        <v>1995</v>
      </c>
      <c r="T151" s="9">
        <v>1995</v>
      </c>
      <c r="U151" s="9">
        <f t="shared" si="17"/>
        <v>27</v>
      </c>
      <c r="V151" s="8">
        <v>35026</v>
      </c>
      <c r="W151" t="s">
        <v>390</v>
      </c>
      <c r="X151" s="2">
        <v>0.375</v>
      </c>
      <c r="Y151" s="7">
        <f t="shared" si="18"/>
        <v>1.0010410827260351E-2</v>
      </c>
      <c r="AA151">
        <v>135194</v>
      </c>
      <c r="AB151">
        <v>24918</v>
      </c>
      <c r="AD151" t="s">
        <v>3</v>
      </c>
      <c r="AE151">
        <v>31</v>
      </c>
      <c r="AF151">
        <v>24</v>
      </c>
      <c r="AH151" t="s">
        <v>2644</v>
      </c>
      <c r="AI151" t="s">
        <v>2643</v>
      </c>
      <c r="AJ151" t="s">
        <v>2642</v>
      </c>
      <c r="AK151" t="s">
        <v>2641</v>
      </c>
      <c r="AL151">
        <v>12</v>
      </c>
      <c r="AM151" s="5">
        <f t="shared" si="19"/>
        <v>0.44444444444444442</v>
      </c>
      <c r="AN151" s="4">
        <f t="shared" si="20"/>
        <v>6.7314569397113879E-4</v>
      </c>
      <c r="AO151" s="3"/>
      <c r="AP151">
        <v>0</v>
      </c>
      <c r="AR151" t="s">
        <v>1</v>
      </c>
      <c r="AT151" s="2">
        <v>1.3140000000000001</v>
      </c>
      <c r="AU151" s="1">
        <f t="shared" si="21"/>
        <v>0.72092312872735875</v>
      </c>
      <c r="AV151" s="1">
        <f t="shared" si="22"/>
        <v>0.53417782606157449</v>
      </c>
      <c r="AW151" s="1">
        <f t="shared" si="23"/>
        <v>0.34743252339579023</v>
      </c>
    </row>
    <row r="152" spans="1:49" x14ac:dyDescent="0.2">
      <c r="A152">
        <v>150</v>
      </c>
      <c r="B152" t="s">
        <v>2640</v>
      </c>
      <c r="C152" t="s">
        <v>2639</v>
      </c>
      <c r="F152" t="s">
        <v>2638</v>
      </c>
      <c r="G152" t="s">
        <v>6</v>
      </c>
      <c r="H152" t="s">
        <v>5</v>
      </c>
      <c r="I152" t="s">
        <v>2637</v>
      </c>
      <c r="J152">
        <v>60021378</v>
      </c>
      <c r="K152" t="s">
        <v>163</v>
      </c>
      <c r="L152" t="s">
        <v>162</v>
      </c>
      <c r="M152" t="s">
        <v>4</v>
      </c>
      <c r="N152">
        <v>5</v>
      </c>
      <c r="O152" t="s">
        <v>2636</v>
      </c>
      <c r="P152" t="s">
        <v>2635</v>
      </c>
      <c r="Q152" t="s">
        <v>2634</v>
      </c>
      <c r="R152" s="8">
        <v>35026</v>
      </c>
      <c r="S152" s="9">
        <f t="shared" si="16"/>
        <v>1995</v>
      </c>
      <c r="T152" s="9">
        <v>1995</v>
      </c>
      <c r="U152" s="9">
        <f t="shared" si="17"/>
        <v>27</v>
      </c>
      <c r="V152" s="8">
        <v>35026</v>
      </c>
      <c r="W152" t="s">
        <v>390</v>
      </c>
      <c r="X152" s="2">
        <v>0.375</v>
      </c>
      <c r="Y152" s="7">
        <f t="shared" si="18"/>
        <v>1.0010410827260351E-2</v>
      </c>
      <c r="AA152">
        <v>135194</v>
      </c>
      <c r="AB152">
        <v>24918</v>
      </c>
      <c r="AD152" t="s">
        <v>3</v>
      </c>
      <c r="AE152">
        <v>31</v>
      </c>
      <c r="AF152">
        <v>24</v>
      </c>
      <c r="AH152" t="s">
        <v>2633</v>
      </c>
      <c r="AI152" t="s">
        <v>2632</v>
      </c>
      <c r="AJ152" t="s">
        <v>2631</v>
      </c>
      <c r="AK152" t="s">
        <v>2630</v>
      </c>
      <c r="AL152">
        <v>42</v>
      </c>
      <c r="AM152" s="5">
        <f t="shared" si="19"/>
        <v>1.5555555555555556</v>
      </c>
      <c r="AN152" s="4">
        <f t="shared" si="20"/>
        <v>2.356009928898986E-3</v>
      </c>
      <c r="AO152" s="3"/>
      <c r="AP152">
        <v>0</v>
      </c>
      <c r="AR152" t="s">
        <v>1</v>
      </c>
      <c r="AT152" s="2">
        <v>1.3140000000000001</v>
      </c>
      <c r="AU152" s="1">
        <f t="shared" si="21"/>
        <v>0.77140905577519414</v>
      </c>
      <c r="AV152" s="1">
        <f t="shared" si="22"/>
        <v>0.61832103780796688</v>
      </c>
      <c r="AW152" s="1">
        <f t="shared" si="23"/>
        <v>0.4652330198407395</v>
      </c>
    </row>
    <row r="153" spans="1:49" x14ac:dyDescent="0.2">
      <c r="A153">
        <v>151</v>
      </c>
      <c r="B153" t="s">
        <v>2629</v>
      </c>
      <c r="C153" t="s">
        <v>2628</v>
      </c>
      <c r="F153" t="s">
        <v>2627</v>
      </c>
      <c r="G153" t="s">
        <v>6</v>
      </c>
      <c r="H153" t="s">
        <v>5</v>
      </c>
      <c r="I153" t="s">
        <v>2626</v>
      </c>
      <c r="J153">
        <v>60009658</v>
      </c>
      <c r="K153" t="s">
        <v>1145</v>
      </c>
      <c r="L153" t="s">
        <v>1144</v>
      </c>
      <c r="M153" t="s">
        <v>37</v>
      </c>
      <c r="N153">
        <v>2</v>
      </c>
      <c r="O153" t="s">
        <v>2625</v>
      </c>
      <c r="P153" t="s">
        <v>2624</v>
      </c>
      <c r="Q153" t="s">
        <v>1141</v>
      </c>
      <c r="R153" s="8">
        <v>35026</v>
      </c>
      <c r="S153" s="9">
        <f t="shared" si="16"/>
        <v>1995</v>
      </c>
      <c r="T153" s="9">
        <v>1995</v>
      </c>
      <c r="U153" s="9">
        <f t="shared" si="17"/>
        <v>27</v>
      </c>
      <c r="V153" s="8">
        <v>35026</v>
      </c>
      <c r="W153" t="s">
        <v>390</v>
      </c>
      <c r="X153" s="2">
        <v>0.375</v>
      </c>
      <c r="Y153" s="7">
        <f t="shared" si="18"/>
        <v>1.0010410827260351E-2</v>
      </c>
      <c r="AA153">
        <v>135194</v>
      </c>
      <c r="AB153">
        <v>24918</v>
      </c>
      <c r="AD153" t="s">
        <v>3</v>
      </c>
      <c r="AE153">
        <v>31</v>
      </c>
      <c r="AF153">
        <v>24</v>
      </c>
      <c r="AH153" t="s">
        <v>2623</v>
      </c>
      <c r="AI153" t="s">
        <v>2622</v>
      </c>
      <c r="AJ153" t="s">
        <v>2621</v>
      </c>
      <c r="AK153" t="s">
        <v>2620</v>
      </c>
      <c r="AL153">
        <v>8</v>
      </c>
      <c r="AM153" s="5">
        <f t="shared" si="19"/>
        <v>0.29629629629629628</v>
      </c>
      <c r="AN153" s="4">
        <f t="shared" si="20"/>
        <v>4.4876379598075925E-4</v>
      </c>
      <c r="AO153" s="3"/>
      <c r="AP153">
        <v>0</v>
      </c>
      <c r="AR153" t="s">
        <v>1</v>
      </c>
      <c r="AT153" s="2">
        <v>1.3140000000000001</v>
      </c>
      <c r="AU153" s="1">
        <f t="shared" si="21"/>
        <v>0.71419167178764731</v>
      </c>
      <c r="AV153" s="1">
        <f t="shared" si="22"/>
        <v>0.5229587311620556</v>
      </c>
      <c r="AW153" s="1">
        <f t="shared" si="23"/>
        <v>0.33172579053646367</v>
      </c>
    </row>
    <row r="154" spans="1:49" x14ac:dyDescent="0.2">
      <c r="A154">
        <v>152</v>
      </c>
      <c r="B154" t="s">
        <v>2619</v>
      </c>
      <c r="C154" t="s">
        <v>2618</v>
      </c>
      <c r="F154" t="s">
        <v>2617</v>
      </c>
      <c r="G154" t="s">
        <v>6</v>
      </c>
      <c r="H154" t="s">
        <v>5</v>
      </c>
      <c r="I154" t="s">
        <v>2616</v>
      </c>
      <c r="J154">
        <v>60024322</v>
      </c>
      <c r="K154" t="s">
        <v>2615</v>
      </c>
      <c r="L154" t="s">
        <v>2614</v>
      </c>
      <c r="M154" t="s">
        <v>14</v>
      </c>
      <c r="N154">
        <v>3</v>
      </c>
      <c r="O154" t="s">
        <v>2613</v>
      </c>
      <c r="P154" t="s">
        <v>2612</v>
      </c>
      <c r="Q154" t="s">
        <v>2611</v>
      </c>
      <c r="R154" s="8">
        <v>35026</v>
      </c>
      <c r="S154" s="9">
        <f t="shared" si="16"/>
        <v>1995</v>
      </c>
      <c r="T154" s="9">
        <v>1995</v>
      </c>
      <c r="U154" s="9">
        <f t="shared" si="17"/>
        <v>27</v>
      </c>
      <c r="V154" s="8">
        <v>35026</v>
      </c>
      <c r="W154" t="s">
        <v>390</v>
      </c>
      <c r="X154" s="2">
        <v>0.375</v>
      </c>
      <c r="Y154" s="7">
        <f t="shared" si="18"/>
        <v>1.0010410827260351E-2</v>
      </c>
      <c r="AA154">
        <v>135194</v>
      </c>
      <c r="AB154">
        <v>24918</v>
      </c>
      <c r="AD154" t="s">
        <v>3</v>
      </c>
      <c r="AE154">
        <v>31</v>
      </c>
      <c r="AF154">
        <v>24</v>
      </c>
      <c r="AH154" t="s">
        <v>2610</v>
      </c>
      <c r="AI154" t="s">
        <v>2609</v>
      </c>
      <c r="AJ154" t="s">
        <v>2608</v>
      </c>
      <c r="AK154" t="s">
        <v>2607</v>
      </c>
      <c r="AL154">
        <v>4</v>
      </c>
      <c r="AM154" s="5">
        <f t="shared" si="19"/>
        <v>0.14814814814814814</v>
      </c>
      <c r="AN154" s="4">
        <f t="shared" si="20"/>
        <v>2.2438189799037963E-4</v>
      </c>
      <c r="AO154" s="3"/>
      <c r="AP154">
        <v>0</v>
      </c>
      <c r="AR154" t="s">
        <v>1</v>
      </c>
      <c r="AT154" s="2">
        <v>1.3140000000000001</v>
      </c>
      <c r="AU154" s="1">
        <f t="shared" si="21"/>
        <v>0.70746021484793598</v>
      </c>
      <c r="AV154" s="1">
        <f t="shared" si="22"/>
        <v>0.51173963626253649</v>
      </c>
      <c r="AW154" s="1">
        <f t="shared" si="23"/>
        <v>0.31601905767713712</v>
      </c>
    </row>
    <row r="155" spans="1:49" x14ac:dyDescent="0.2">
      <c r="A155">
        <v>153</v>
      </c>
      <c r="B155" t="s">
        <v>2606</v>
      </c>
      <c r="C155" t="s">
        <v>2605</v>
      </c>
      <c r="D155">
        <v>5272895001046</v>
      </c>
      <c r="F155" t="s">
        <v>2604</v>
      </c>
      <c r="G155" t="s">
        <v>6</v>
      </c>
      <c r="H155" t="s">
        <v>5</v>
      </c>
      <c r="I155" t="s">
        <v>2603</v>
      </c>
      <c r="J155">
        <v>60001343</v>
      </c>
      <c r="K155" t="s">
        <v>2602</v>
      </c>
      <c r="L155" t="s">
        <v>2601</v>
      </c>
      <c r="M155" t="s">
        <v>20</v>
      </c>
      <c r="N155">
        <v>2</v>
      </c>
      <c r="O155" t="s">
        <v>2600</v>
      </c>
      <c r="P155" t="s">
        <v>2599</v>
      </c>
      <c r="Q155" t="s">
        <v>2598</v>
      </c>
      <c r="R155" s="8">
        <v>35024</v>
      </c>
      <c r="S155" s="9">
        <f t="shared" si="16"/>
        <v>1995</v>
      </c>
      <c r="T155" s="9">
        <v>1995</v>
      </c>
      <c r="U155" s="9">
        <f t="shared" si="17"/>
        <v>27</v>
      </c>
      <c r="V155" s="8">
        <v>35024</v>
      </c>
      <c r="W155" t="s">
        <v>419</v>
      </c>
      <c r="X155" s="2">
        <v>1.59</v>
      </c>
      <c r="Y155" s="7">
        <f t="shared" si="18"/>
        <v>4.2444141907583888E-2</v>
      </c>
      <c r="AA155">
        <v>52728</v>
      </c>
      <c r="AB155">
        <v>16791</v>
      </c>
      <c r="AD155" t="s">
        <v>3</v>
      </c>
      <c r="AE155">
        <v>1232</v>
      </c>
      <c r="AF155" s="6">
        <v>44228</v>
      </c>
      <c r="AH155" t="s">
        <v>2597</v>
      </c>
      <c r="AI155" t="s">
        <v>2596</v>
      </c>
      <c r="AJ155" t="s">
        <v>2595</v>
      </c>
      <c r="AK155" t="s">
        <v>2594</v>
      </c>
      <c r="AL155">
        <v>31</v>
      </c>
      <c r="AM155" s="5">
        <f t="shared" si="19"/>
        <v>1.1481481481481481</v>
      </c>
      <c r="AN155" s="4">
        <f t="shared" si="20"/>
        <v>1.738959709425442E-3</v>
      </c>
      <c r="AO155" s="3"/>
      <c r="AP155">
        <v>1</v>
      </c>
      <c r="AQ155" t="s">
        <v>77</v>
      </c>
      <c r="AR155" t="s">
        <v>1</v>
      </c>
      <c r="AS155" t="s">
        <v>76</v>
      </c>
      <c r="AT155" s="2" t="s">
        <v>7</v>
      </c>
      <c r="AU155" s="1">
        <f t="shared" si="21"/>
        <v>3.0232587248136356</v>
      </c>
      <c r="AV155" s="1">
        <f t="shared" si="22"/>
        <v>2.2091550808504663</v>
      </c>
      <c r="AW155" s="1">
        <f t="shared" si="23"/>
        <v>1.3950514368872975</v>
      </c>
    </row>
    <row r="156" spans="1:49" x14ac:dyDescent="0.2">
      <c r="A156">
        <v>154</v>
      </c>
      <c r="B156" t="s">
        <v>2593</v>
      </c>
      <c r="C156" t="s">
        <v>2592</v>
      </c>
      <c r="D156" t="s">
        <v>2591</v>
      </c>
      <c r="F156" t="s">
        <v>2590</v>
      </c>
      <c r="G156" t="s">
        <v>6</v>
      </c>
      <c r="H156" t="s">
        <v>5</v>
      </c>
      <c r="I156" t="s">
        <v>2589</v>
      </c>
      <c r="J156">
        <v>60008740</v>
      </c>
      <c r="K156" t="s">
        <v>2588</v>
      </c>
      <c r="L156" t="s">
        <v>2587</v>
      </c>
      <c r="M156" t="s">
        <v>4</v>
      </c>
      <c r="N156">
        <v>3</v>
      </c>
      <c r="O156" t="s">
        <v>2586</v>
      </c>
      <c r="P156" t="s">
        <v>2585</v>
      </c>
      <c r="Q156" t="s">
        <v>2584</v>
      </c>
      <c r="R156" s="8">
        <v>35018</v>
      </c>
      <c r="S156" s="9">
        <f t="shared" si="16"/>
        <v>1995</v>
      </c>
      <c r="T156" s="9">
        <v>1995</v>
      </c>
      <c r="U156" s="9">
        <f t="shared" si="17"/>
        <v>27</v>
      </c>
      <c r="V156" s="8">
        <v>35018</v>
      </c>
      <c r="W156" t="s">
        <v>2070</v>
      </c>
      <c r="X156" s="2">
        <v>0.625</v>
      </c>
      <c r="Y156" s="7">
        <f t="shared" si="18"/>
        <v>1.6684018045433919E-2</v>
      </c>
      <c r="AA156">
        <v>304018</v>
      </c>
      <c r="AB156">
        <v>12352</v>
      </c>
      <c r="AD156" t="s">
        <v>3</v>
      </c>
      <c r="AE156">
        <v>121</v>
      </c>
      <c r="AF156" s="6">
        <v>44256</v>
      </c>
      <c r="AH156" s="6">
        <v>44538</v>
      </c>
      <c r="AI156" t="s">
        <v>2583</v>
      </c>
      <c r="AK156" t="s">
        <v>2582</v>
      </c>
      <c r="AL156">
        <v>22</v>
      </c>
      <c r="AM156" s="5">
        <f t="shared" si="19"/>
        <v>0.81481481481481477</v>
      </c>
      <c r="AN156" s="4">
        <f t="shared" si="20"/>
        <v>1.2341004389470878E-3</v>
      </c>
      <c r="AO156" s="3"/>
      <c r="AP156">
        <v>0</v>
      </c>
      <c r="AR156" t="s">
        <v>1</v>
      </c>
      <c r="AT156" s="2">
        <v>2.31</v>
      </c>
      <c r="AU156" s="1">
        <f t="shared" si="21"/>
        <v>1.2049042763487869</v>
      </c>
      <c r="AV156" s="1">
        <f t="shared" si="22"/>
        <v>0.89590592421905035</v>
      </c>
      <c r="AW156" s="1">
        <f t="shared" si="23"/>
        <v>0.58690757208931377</v>
      </c>
    </row>
    <row r="157" spans="1:49" x14ac:dyDescent="0.2">
      <c r="A157">
        <v>155</v>
      </c>
      <c r="B157" t="s">
        <v>2581</v>
      </c>
      <c r="C157" t="s">
        <v>2580</v>
      </c>
      <c r="F157" t="s">
        <v>2579</v>
      </c>
      <c r="G157" t="s">
        <v>6</v>
      </c>
      <c r="H157" t="s">
        <v>5</v>
      </c>
      <c r="I157" t="s">
        <v>193</v>
      </c>
      <c r="J157" t="s">
        <v>308</v>
      </c>
      <c r="K157" t="s">
        <v>307</v>
      </c>
      <c r="L157" t="s">
        <v>306</v>
      </c>
      <c r="M157" t="s">
        <v>263</v>
      </c>
      <c r="N157">
        <v>3</v>
      </c>
      <c r="O157" t="s">
        <v>2578</v>
      </c>
      <c r="P157" t="s">
        <v>2577</v>
      </c>
      <c r="Q157" t="s">
        <v>2576</v>
      </c>
      <c r="R157" s="8">
        <v>35012</v>
      </c>
      <c r="S157" s="9">
        <f t="shared" si="16"/>
        <v>1995</v>
      </c>
      <c r="T157" s="9">
        <v>1995</v>
      </c>
      <c r="U157" s="9">
        <f t="shared" si="17"/>
        <v>27</v>
      </c>
      <c r="V157" s="8">
        <v>35012</v>
      </c>
      <c r="W157" t="s">
        <v>390</v>
      </c>
      <c r="X157" s="2">
        <v>0.375</v>
      </c>
      <c r="Y157" s="7">
        <f t="shared" si="18"/>
        <v>1.0010410827260351E-2</v>
      </c>
      <c r="AA157">
        <v>135194</v>
      </c>
      <c r="AB157">
        <v>24918</v>
      </c>
      <c r="AD157" t="s">
        <v>3</v>
      </c>
      <c r="AE157">
        <v>31</v>
      </c>
      <c r="AF157">
        <v>23</v>
      </c>
      <c r="AH157" t="s">
        <v>2575</v>
      </c>
      <c r="AI157" t="s">
        <v>2574</v>
      </c>
      <c r="AJ157" t="s">
        <v>2573</v>
      </c>
      <c r="AK157" t="s">
        <v>2572</v>
      </c>
      <c r="AL157">
        <v>3</v>
      </c>
      <c r="AM157" s="5">
        <f t="shared" si="19"/>
        <v>0.1111111111111111</v>
      </c>
      <c r="AN157" s="4">
        <f t="shared" si="20"/>
        <v>1.682864234927847E-4</v>
      </c>
      <c r="AO157" s="3"/>
      <c r="AP157">
        <v>0</v>
      </c>
      <c r="AR157" t="s">
        <v>1</v>
      </c>
      <c r="AT157" s="2">
        <v>1.3140000000000001</v>
      </c>
      <c r="AU157" s="1">
        <f t="shared" si="21"/>
        <v>0.70577735061300817</v>
      </c>
      <c r="AV157" s="1">
        <f t="shared" si="22"/>
        <v>0.50893486253765674</v>
      </c>
      <c r="AW157" s="1">
        <f t="shared" si="23"/>
        <v>0.31209237446230542</v>
      </c>
    </row>
    <row r="158" spans="1:49" x14ac:dyDescent="0.2">
      <c r="A158">
        <v>156</v>
      </c>
      <c r="B158" t="s">
        <v>2571</v>
      </c>
      <c r="C158" t="s">
        <v>2570</v>
      </c>
      <c r="F158" t="s">
        <v>2569</v>
      </c>
      <c r="G158" t="s">
        <v>6</v>
      </c>
      <c r="H158" t="s">
        <v>5</v>
      </c>
      <c r="I158" t="s">
        <v>2568</v>
      </c>
      <c r="J158">
        <v>60030000</v>
      </c>
      <c r="K158" t="s">
        <v>106</v>
      </c>
      <c r="L158" t="s">
        <v>105</v>
      </c>
      <c r="M158" t="s">
        <v>34</v>
      </c>
      <c r="N158">
        <v>2</v>
      </c>
      <c r="O158" t="s">
        <v>2567</v>
      </c>
      <c r="P158" t="s">
        <v>2566</v>
      </c>
      <c r="Q158" t="s">
        <v>104</v>
      </c>
      <c r="R158" s="8">
        <v>35012</v>
      </c>
      <c r="S158" s="9">
        <f t="shared" si="16"/>
        <v>1995</v>
      </c>
      <c r="T158" s="9">
        <v>1995</v>
      </c>
      <c r="U158" s="9">
        <f t="shared" si="17"/>
        <v>27</v>
      </c>
      <c r="V158" s="8">
        <v>35012</v>
      </c>
      <c r="W158" t="s">
        <v>390</v>
      </c>
      <c r="X158" s="2">
        <v>0.375</v>
      </c>
      <c r="Y158" s="7">
        <f t="shared" si="18"/>
        <v>1.0010410827260351E-2</v>
      </c>
      <c r="AA158">
        <v>135194</v>
      </c>
      <c r="AB158">
        <v>24918</v>
      </c>
      <c r="AD158" t="s">
        <v>3</v>
      </c>
      <c r="AE158">
        <v>31</v>
      </c>
      <c r="AF158">
        <v>23</v>
      </c>
      <c r="AH158" t="s">
        <v>2565</v>
      </c>
      <c r="AI158" t="s">
        <v>2564</v>
      </c>
      <c r="AJ158" t="s">
        <v>2563</v>
      </c>
      <c r="AK158" t="s">
        <v>2562</v>
      </c>
      <c r="AL158">
        <v>24</v>
      </c>
      <c r="AM158" s="5">
        <f t="shared" si="19"/>
        <v>0.88888888888888884</v>
      </c>
      <c r="AN158" s="4">
        <f t="shared" si="20"/>
        <v>1.3462913879422776E-3</v>
      </c>
      <c r="AO158" s="3"/>
      <c r="AP158">
        <v>0</v>
      </c>
      <c r="AR158" t="s">
        <v>1</v>
      </c>
      <c r="AT158" s="2">
        <v>1.3140000000000001</v>
      </c>
      <c r="AU158" s="1">
        <f t="shared" si="21"/>
        <v>0.74111749954649286</v>
      </c>
      <c r="AV158" s="1">
        <f t="shared" si="22"/>
        <v>0.56783511076013149</v>
      </c>
      <c r="AW158" s="1">
        <f t="shared" si="23"/>
        <v>0.39455272197376995</v>
      </c>
    </row>
    <row r="159" spans="1:49" x14ac:dyDescent="0.2">
      <c r="A159">
        <v>157</v>
      </c>
      <c r="B159" t="s">
        <v>2561</v>
      </c>
      <c r="C159" t="s">
        <v>2560</v>
      </c>
      <c r="F159" t="s">
        <v>2559</v>
      </c>
      <c r="G159" t="s">
        <v>6</v>
      </c>
      <c r="H159" t="s">
        <v>5</v>
      </c>
      <c r="I159" t="s">
        <v>2558</v>
      </c>
      <c r="J159" t="s">
        <v>2557</v>
      </c>
      <c r="K159" t="s">
        <v>2556</v>
      </c>
      <c r="L159" t="s">
        <v>2555</v>
      </c>
      <c r="M159" t="s">
        <v>2554</v>
      </c>
      <c r="N159">
        <v>6</v>
      </c>
      <c r="O159" t="s">
        <v>2553</v>
      </c>
      <c r="P159" t="s">
        <v>2552</v>
      </c>
      <c r="Q159" t="s">
        <v>2551</v>
      </c>
      <c r="R159" s="8">
        <v>35004</v>
      </c>
      <c r="S159" s="9">
        <f t="shared" si="16"/>
        <v>1995</v>
      </c>
      <c r="T159" s="9">
        <v>1995</v>
      </c>
      <c r="U159" s="9">
        <f t="shared" si="17"/>
        <v>27</v>
      </c>
      <c r="V159" s="8">
        <v>35004</v>
      </c>
      <c r="W159" t="s">
        <v>409</v>
      </c>
      <c r="X159" s="2">
        <v>2.3759999999999999</v>
      </c>
      <c r="Y159" s="7">
        <f t="shared" si="18"/>
        <v>6.3425963001521576E-2</v>
      </c>
      <c r="AA159" t="s">
        <v>408</v>
      </c>
      <c r="AB159">
        <v>26765</v>
      </c>
      <c r="AC159">
        <v>15384357</v>
      </c>
      <c r="AD159" t="s">
        <v>3</v>
      </c>
      <c r="AE159">
        <v>453</v>
      </c>
      <c r="AF159">
        <v>1</v>
      </c>
      <c r="AH159" t="s">
        <v>2550</v>
      </c>
      <c r="AI159" t="s">
        <v>2549</v>
      </c>
      <c r="AJ159" t="s">
        <v>2548</v>
      </c>
      <c r="AK159" t="s">
        <v>2547</v>
      </c>
      <c r="AL159">
        <v>91</v>
      </c>
      <c r="AM159" s="5">
        <f t="shared" si="19"/>
        <v>3.3703703703703702</v>
      </c>
      <c r="AN159" s="4">
        <f t="shared" si="20"/>
        <v>5.1046881792811364E-3</v>
      </c>
      <c r="AO159" s="3"/>
      <c r="AP159">
        <v>0</v>
      </c>
      <c r="AR159" t="s">
        <v>1</v>
      </c>
      <c r="AT159" s="2">
        <v>5.8739999999999997</v>
      </c>
      <c r="AU159" s="1">
        <f t="shared" si="21"/>
        <v>4.5929580554849441</v>
      </c>
      <c r="AV159" s="1">
        <f t="shared" si="22"/>
        <v>3.4265325590401359</v>
      </c>
      <c r="AW159" s="1">
        <f t="shared" si="23"/>
        <v>2.2601070625953268</v>
      </c>
    </row>
    <row r="160" spans="1:49" x14ac:dyDescent="0.2">
      <c r="A160">
        <v>158</v>
      </c>
      <c r="B160" t="s">
        <v>2546</v>
      </c>
      <c r="C160" t="s">
        <v>2545</v>
      </c>
      <c r="F160" t="s">
        <v>2544</v>
      </c>
      <c r="G160" t="s">
        <v>6</v>
      </c>
      <c r="H160" t="s">
        <v>5</v>
      </c>
      <c r="I160" t="s">
        <v>2543</v>
      </c>
      <c r="J160">
        <v>101275665</v>
      </c>
      <c r="K160" t="s">
        <v>2542</v>
      </c>
      <c r="L160" t="s">
        <v>2541</v>
      </c>
      <c r="M160" t="s">
        <v>4</v>
      </c>
      <c r="N160">
        <v>4</v>
      </c>
      <c r="O160" t="s">
        <v>2540</v>
      </c>
      <c r="P160" t="s">
        <v>2539</v>
      </c>
      <c r="Q160" t="s">
        <v>2538</v>
      </c>
      <c r="R160" s="8">
        <v>35004</v>
      </c>
      <c r="S160" s="9">
        <f t="shared" si="16"/>
        <v>1995</v>
      </c>
      <c r="T160" s="9">
        <v>1995</v>
      </c>
      <c r="U160" s="9">
        <f t="shared" si="17"/>
        <v>27</v>
      </c>
      <c r="V160" s="8">
        <v>35004</v>
      </c>
      <c r="W160" t="s">
        <v>121</v>
      </c>
      <c r="X160" s="2">
        <v>1.6519999999999999</v>
      </c>
      <c r="Y160" s="7">
        <f t="shared" si="18"/>
        <v>4.409919649769093E-2</v>
      </c>
      <c r="AA160" t="s">
        <v>120</v>
      </c>
      <c r="AB160">
        <v>17337</v>
      </c>
      <c r="AD160" t="s">
        <v>3</v>
      </c>
      <c r="AE160">
        <v>43</v>
      </c>
      <c r="AF160">
        <v>11</v>
      </c>
      <c r="AH160" t="s">
        <v>2537</v>
      </c>
      <c r="AI160" t="s">
        <v>2536</v>
      </c>
      <c r="AK160" t="s">
        <v>2535</v>
      </c>
      <c r="AL160">
        <v>7</v>
      </c>
      <c r="AM160" s="5">
        <f t="shared" si="19"/>
        <v>0.25925925925925924</v>
      </c>
      <c r="AN160" s="4">
        <f t="shared" si="20"/>
        <v>3.9266832148316435E-4</v>
      </c>
      <c r="AO160" s="3"/>
      <c r="AP160">
        <v>0</v>
      </c>
      <c r="AR160" t="s">
        <v>1</v>
      </c>
      <c r="AT160" s="2" t="s">
        <v>7</v>
      </c>
      <c r="AU160" s="1">
        <f t="shared" si="21"/>
        <v>3.09872380448286</v>
      </c>
      <c r="AV160" s="1">
        <f t="shared" si="22"/>
        <v>2.2245932409587046</v>
      </c>
      <c r="AW160" s="1">
        <f t="shared" si="23"/>
        <v>1.3504626774345492</v>
      </c>
    </row>
    <row r="161" spans="1:49" x14ac:dyDescent="0.2">
      <c r="A161">
        <v>159</v>
      </c>
      <c r="B161" t="s">
        <v>2534</v>
      </c>
      <c r="F161" t="s">
        <v>2533</v>
      </c>
      <c r="G161" t="s">
        <v>6</v>
      </c>
      <c r="H161" t="s">
        <v>5</v>
      </c>
      <c r="I161" t="s">
        <v>315</v>
      </c>
      <c r="J161">
        <v>60018279</v>
      </c>
      <c r="K161" t="s">
        <v>251</v>
      </c>
      <c r="L161" t="s">
        <v>250</v>
      </c>
      <c r="M161" t="s">
        <v>14</v>
      </c>
      <c r="N161">
        <v>2</v>
      </c>
      <c r="O161" t="s">
        <v>921</v>
      </c>
      <c r="P161" t="s">
        <v>920</v>
      </c>
      <c r="Q161" t="s">
        <v>249</v>
      </c>
      <c r="R161" s="8">
        <v>35004</v>
      </c>
      <c r="S161" s="9">
        <f t="shared" si="16"/>
        <v>1995</v>
      </c>
      <c r="T161" s="9">
        <v>1995</v>
      </c>
      <c r="U161" s="9">
        <f t="shared" si="17"/>
        <v>27</v>
      </c>
      <c r="V161" s="8">
        <v>35004</v>
      </c>
      <c r="W161" t="s">
        <v>403</v>
      </c>
      <c r="X161" s="2">
        <v>0.21099999999999999</v>
      </c>
      <c r="Y161" s="7">
        <f t="shared" si="18"/>
        <v>5.6325244921384904E-3</v>
      </c>
      <c r="AA161">
        <v>9168516</v>
      </c>
      <c r="AB161">
        <v>18936</v>
      </c>
      <c r="AD161" t="s">
        <v>3</v>
      </c>
      <c r="AE161" t="s">
        <v>402</v>
      </c>
      <c r="AF161">
        <v>11</v>
      </c>
      <c r="AH161" t="s">
        <v>2532</v>
      </c>
      <c r="AI161" t="s">
        <v>2531</v>
      </c>
      <c r="AK161" t="s">
        <v>2530</v>
      </c>
      <c r="AL161">
        <v>8</v>
      </c>
      <c r="AM161" s="5">
        <f t="shared" si="19"/>
        <v>0.29629629629629628</v>
      </c>
      <c r="AN161" s="4">
        <f t="shared" si="20"/>
        <v>4.4876379598075925E-4</v>
      </c>
      <c r="AO161" s="3"/>
      <c r="AP161">
        <v>0</v>
      </c>
      <c r="AR161" t="s">
        <v>1</v>
      </c>
      <c r="AT161" s="2">
        <v>0.52500000000000002</v>
      </c>
      <c r="AU161" s="1">
        <f t="shared" si="21"/>
        <v>0.40773962832911703</v>
      </c>
      <c r="AV161" s="1">
        <f t="shared" si="22"/>
        <v>0.30406441440596249</v>
      </c>
      <c r="AW161" s="1">
        <f t="shared" si="23"/>
        <v>0.20038920048280787</v>
      </c>
    </row>
    <row r="162" spans="1:49" x14ac:dyDescent="0.2">
      <c r="A162">
        <v>160</v>
      </c>
      <c r="B162" t="s">
        <v>2529</v>
      </c>
      <c r="C162" t="s">
        <v>2528</v>
      </c>
      <c r="F162" t="s">
        <v>2527</v>
      </c>
      <c r="G162" t="s">
        <v>6</v>
      </c>
      <c r="H162" t="s">
        <v>5</v>
      </c>
      <c r="I162" t="s">
        <v>2526</v>
      </c>
      <c r="J162">
        <v>60013983</v>
      </c>
      <c r="K162" t="s">
        <v>136</v>
      </c>
      <c r="L162" t="s">
        <v>135</v>
      </c>
      <c r="M162" t="s">
        <v>134</v>
      </c>
      <c r="N162">
        <v>4</v>
      </c>
      <c r="O162" t="s">
        <v>2525</v>
      </c>
      <c r="P162" t="s">
        <v>2524</v>
      </c>
      <c r="Q162" t="s">
        <v>1350</v>
      </c>
      <c r="R162" s="8">
        <v>35004</v>
      </c>
      <c r="S162" s="9">
        <f t="shared" si="16"/>
        <v>1995</v>
      </c>
      <c r="T162" s="9">
        <v>1995</v>
      </c>
      <c r="U162" s="9">
        <f t="shared" si="17"/>
        <v>27</v>
      </c>
      <c r="V162" s="8">
        <v>35004</v>
      </c>
      <c r="W162" t="s">
        <v>121</v>
      </c>
      <c r="X162" s="2">
        <v>1.6519999999999999</v>
      </c>
      <c r="Y162" s="7">
        <f t="shared" si="18"/>
        <v>4.409919649769093E-2</v>
      </c>
      <c r="AA162" t="s">
        <v>120</v>
      </c>
      <c r="AB162">
        <v>17337</v>
      </c>
      <c r="AD162" t="s">
        <v>3</v>
      </c>
      <c r="AE162">
        <v>43</v>
      </c>
      <c r="AF162">
        <v>11</v>
      </c>
      <c r="AH162" t="s">
        <v>2523</v>
      </c>
      <c r="AI162" t="s">
        <v>2522</v>
      </c>
      <c r="AK162" t="s">
        <v>2521</v>
      </c>
      <c r="AL162">
        <v>105</v>
      </c>
      <c r="AM162" s="5">
        <f t="shared" si="19"/>
        <v>3.8888888888888888</v>
      </c>
      <c r="AN162" s="4">
        <f t="shared" si="20"/>
        <v>5.8900248222474652E-3</v>
      </c>
      <c r="AO162" s="3"/>
      <c r="AP162">
        <v>0</v>
      </c>
      <c r="AR162" t="s">
        <v>1</v>
      </c>
      <c r="AT162" s="2" t="s">
        <v>7</v>
      </c>
      <c r="AU162" s="1">
        <f t="shared" si="21"/>
        <v>3.2636444995057889</v>
      </c>
      <c r="AV162" s="1">
        <f t="shared" si="22"/>
        <v>2.4994610659969196</v>
      </c>
      <c r="AW162" s="1">
        <f t="shared" si="23"/>
        <v>1.7352776324880506</v>
      </c>
    </row>
    <row r="163" spans="1:49" x14ac:dyDescent="0.2">
      <c r="A163">
        <v>161</v>
      </c>
      <c r="B163" t="s">
        <v>2520</v>
      </c>
      <c r="C163" t="s">
        <v>2519</v>
      </c>
      <c r="F163" t="s">
        <v>2518</v>
      </c>
      <c r="G163" t="s">
        <v>6</v>
      </c>
      <c r="H163" t="s">
        <v>5</v>
      </c>
      <c r="I163" t="s">
        <v>2517</v>
      </c>
      <c r="J163">
        <v>60033316</v>
      </c>
      <c r="K163" t="s">
        <v>336</v>
      </c>
      <c r="L163" t="s">
        <v>335</v>
      </c>
      <c r="M163" t="s">
        <v>174</v>
      </c>
      <c r="N163">
        <v>4</v>
      </c>
      <c r="O163" t="s">
        <v>2516</v>
      </c>
      <c r="P163" t="s">
        <v>2515</v>
      </c>
      <c r="Q163" t="s">
        <v>2514</v>
      </c>
      <c r="R163" s="8">
        <v>35004</v>
      </c>
      <c r="S163" s="9">
        <f t="shared" si="16"/>
        <v>1995</v>
      </c>
      <c r="T163" s="9">
        <v>1995</v>
      </c>
      <c r="U163" s="9">
        <f t="shared" si="17"/>
        <v>27</v>
      </c>
      <c r="V163" s="8">
        <v>35004</v>
      </c>
      <c r="W163" t="s">
        <v>121</v>
      </c>
      <c r="X163" s="2">
        <v>1.6519999999999999</v>
      </c>
      <c r="Y163" s="7">
        <f t="shared" si="18"/>
        <v>4.409919649769093E-2</v>
      </c>
      <c r="AA163" t="s">
        <v>120</v>
      </c>
      <c r="AB163">
        <v>17337</v>
      </c>
      <c r="AD163" t="s">
        <v>3</v>
      </c>
      <c r="AE163">
        <v>43</v>
      </c>
      <c r="AF163">
        <v>11</v>
      </c>
      <c r="AH163" t="s">
        <v>2513</v>
      </c>
      <c r="AI163" t="s">
        <v>2512</v>
      </c>
      <c r="AK163" t="s">
        <v>2511</v>
      </c>
      <c r="AL163">
        <v>19</v>
      </c>
      <c r="AM163" s="5">
        <f t="shared" si="19"/>
        <v>0.70370370370370372</v>
      </c>
      <c r="AN163" s="4">
        <f t="shared" si="20"/>
        <v>1.0658140154543032E-3</v>
      </c>
      <c r="AO163" s="3"/>
      <c r="AP163">
        <v>0</v>
      </c>
      <c r="AR163" t="s">
        <v>1</v>
      </c>
      <c r="AT163" s="2" t="s">
        <v>7</v>
      </c>
      <c r="AU163" s="1">
        <f t="shared" si="21"/>
        <v>3.1189181753019941</v>
      </c>
      <c r="AV163" s="1">
        <f t="shared" si="22"/>
        <v>2.2582505256572616</v>
      </c>
      <c r="AW163" s="1">
        <f t="shared" si="23"/>
        <v>1.3975828760125291</v>
      </c>
    </row>
    <row r="164" spans="1:49" x14ac:dyDescent="0.2">
      <c r="A164">
        <v>162</v>
      </c>
      <c r="B164" t="s">
        <v>2510</v>
      </c>
      <c r="F164" t="s">
        <v>2509</v>
      </c>
      <c r="G164" t="s">
        <v>6</v>
      </c>
      <c r="H164" t="s">
        <v>5</v>
      </c>
      <c r="I164" t="s">
        <v>2508</v>
      </c>
      <c r="J164">
        <v>60015150</v>
      </c>
      <c r="K164" t="s">
        <v>57</v>
      </c>
      <c r="L164" t="s">
        <v>41</v>
      </c>
      <c r="M164" t="s">
        <v>37</v>
      </c>
      <c r="N164">
        <v>2</v>
      </c>
      <c r="O164" t="s">
        <v>2507</v>
      </c>
      <c r="P164" t="s">
        <v>2506</v>
      </c>
      <c r="Q164" t="s">
        <v>2505</v>
      </c>
      <c r="R164" s="8">
        <v>35004</v>
      </c>
      <c r="S164" s="9">
        <f t="shared" si="16"/>
        <v>1995</v>
      </c>
      <c r="T164" s="9">
        <v>1995</v>
      </c>
      <c r="U164" s="9">
        <f t="shared" si="17"/>
        <v>27</v>
      </c>
      <c r="V164" s="8">
        <v>35004</v>
      </c>
      <c r="W164" t="s">
        <v>403</v>
      </c>
      <c r="X164" s="2">
        <v>0.21099999999999999</v>
      </c>
      <c r="Y164" s="7">
        <f t="shared" si="18"/>
        <v>5.6325244921384904E-3</v>
      </c>
      <c r="AA164">
        <v>9168516</v>
      </c>
      <c r="AB164">
        <v>18936</v>
      </c>
      <c r="AD164" t="s">
        <v>3</v>
      </c>
      <c r="AE164" t="s">
        <v>402</v>
      </c>
      <c r="AF164">
        <v>11</v>
      </c>
      <c r="AH164" t="s">
        <v>2504</v>
      </c>
      <c r="AI164" t="s">
        <v>2503</v>
      </c>
      <c r="AK164" t="s">
        <v>2502</v>
      </c>
      <c r="AL164">
        <v>1</v>
      </c>
      <c r="AM164" s="5">
        <f t="shared" si="19"/>
        <v>3.7037037037037035E-2</v>
      </c>
      <c r="AN164" s="4">
        <f t="shared" si="20"/>
        <v>5.6095474497594906E-5</v>
      </c>
      <c r="AO164" s="3"/>
      <c r="AP164">
        <v>0</v>
      </c>
      <c r="AR164" t="s">
        <v>1</v>
      </c>
      <c r="AT164" s="2">
        <v>0.52500000000000002</v>
      </c>
      <c r="AU164" s="1">
        <f t="shared" si="21"/>
        <v>0.39595957868462217</v>
      </c>
      <c r="AV164" s="1">
        <f t="shared" si="22"/>
        <v>0.28443099833180424</v>
      </c>
      <c r="AW164" s="1">
        <f t="shared" si="23"/>
        <v>0.17290241797898637</v>
      </c>
    </row>
    <row r="165" spans="1:49" x14ac:dyDescent="0.2">
      <c r="A165">
        <v>163</v>
      </c>
      <c r="B165" t="s">
        <v>2501</v>
      </c>
      <c r="C165" t="s">
        <v>2500</v>
      </c>
      <c r="F165" t="s">
        <v>2499</v>
      </c>
      <c r="G165" t="s">
        <v>6</v>
      </c>
      <c r="H165" t="s">
        <v>5</v>
      </c>
      <c r="I165" t="s">
        <v>188</v>
      </c>
      <c r="J165">
        <v>60014171</v>
      </c>
      <c r="K165" t="s">
        <v>187</v>
      </c>
      <c r="L165" t="s">
        <v>186</v>
      </c>
      <c r="M165" t="s">
        <v>20</v>
      </c>
      <c r="N165">
        <v>2</v>
      </c>
      <c r="O165" t="s">
        <v>2498</v>
      </c>
      <c r="P165" t="s">
        <v>2497</v>
      </c>
      <c r="Q165" t="s">
        <v>1808</v>
      </c>
      <c r="R165" s="8">
        <v>35004</v>
      </c>
      <c r="S165" s="9">
        <f t="shared" si="16"/>
        <v>1995</v>
      </c>
      <c r="T165" s="9">
        <v>1995</v>
      </c>
      <c r="U165" s="9">
        <f t="shared" si="17"/>
        <v>27</v>
      </c>
      <c r="V165" s="8">
        <v>35004</v>
      </c>
      <c r="W165" t="s">
        <v>121</v>
      </c>
      <c r="X165" s="2">
        <v>1.6519999999999999</v>
      </c>
      <c r="Y165" s="7">
        <f t="shared" si="18"/>
        <v>4.409919649769093E-2</v>
      </c>
      <c r="AA165" t="s">
        <v>120</v>
      </c>
      <c r="AB165">
        <v>17337</v>
      </c>
      <c r="AD165" t="s">
        <v>3</v>
      </c>
      <c r="AE165">
        <v>43</v>
      </c>
      <c r="AF165">
        <v>11</v>
      </c>
      <c r="AH165" t="s">
        <v>2496</v>
      </c>
      <c r="AI165" t="s">
        <v>2495</v>
      </c>
      <c r="AK165" t="s">
        <v>2494</v>
      </c>
      <c r="AL165">
        <v>6</v>
      </c>
      <c r="AM165" s="5">
        <f t="shared" si="19"/>
        <v>0.22222222222222221</v>
      </c>
      <c r="AN165" s="4">
        <f t="shared" si="20"/>
        <v>3.365728469855694E-4</v>
      </c>
      <c r="AO165" s="3"/>
      <c r="AP165">
        <v>0</v>
      </c>
      <c r="AQ165" t="s">
        <v>77</v>
      </c>
      <c r="AR165" t="s">
        <v>185</v>
      </c>
      <c r="AS165" t="s">
        <v>76</v>
      </c>
      <c r="AT165" s="2" t="s">
        <v>7</v>
      </c>
      <c r="AU165" s="1">
        <f t="shared" si="21"/>
        <v>3.0970409402479322</v>
      </c>
      <c r="AV165" s="1">
        <f t="shared" si="22"/>
        <v>2.2217884672338251</v>
      </c>
      <c r="AW165" s="1">
        <f t="shared" si="23"/>
        <v>1.3465359942197175</v>
      </c>
    </row>
    <row r="166" spans="1:49" x14ac:dyDescent="0.2">
      <c r="A166">
        <v>164</v>
      </c>
      <c r="B166" t="s">
        <v>2493</v>
      </c>
      <c r="C166" t="s">
        <v>2492</v>
      </c>
      <c r="F166" t="s">
        <v>2491</v>
      </c>
      <c r="G166" t="s">
        <v>6</v>
      </c>
      <c r="H166" t="s">
        <v>5</v>
      </c>
      <c r="I166" t="s">
        <v>2490</v>
      </c>
      <c r="J166">
        <v>60103476</v>
      </c>
      <c r="K166" t="s">
        <v>2489</v>
      </c>
      <c r="L166" t="s">
        <v>2488</v>
      </c>
      <c r="M166" t="s">
        <v>2487</v>
      </c>
      <c r="N166">
        <v>2</v>
      </c>
      <c r="O166" t="s">
        <v>2486</v>
      </c>
      <c r="P166" t="s">
        <v>2485</v>
      </c>
      <c r="Q166" t="s">
        <v>2484</v>
      </c>
      <c r="R166" s="8">
        <v>35004</v>
      </c>
      <c r="S166" s="9">
        <f t="shared" si="16"/>
        <v>1995</v>
      </c>
      <c r="T166" s="9">
        <v>1995</v>
      </c>
      <c r="U166" s="9">
        <f t="shared" si="17"/>
        <v>27</v>
      </c>
      <c r="V166" s="8">
        <v>35004</v>
      </c>
      <c r="W166" t="s">
        <v>121</v>
      </c>
      <c r="X166" s="2">
        <v>1.6519999999999999</v>
      </c>
      <c r="Y166" s="7">
        <f t="shared" si="18"/>
        <v>4.409919649769093E-2</v>
      </c>
      <c r="AA166" t="s">
        <v>120</v>
      </c>
      <c r="AB166">
        <v>17337</v>
      </c>
      <c r="AD166" t="s">
        <v>3</v>
      </c>
      <c r="AE166">
        <v>43</v>
      </c>
      <c r="AF166">
        <v>11</v>
      </c>
      <c r="AH166" t="s">
        <v>2483</v>
      </c>
      <c r="AI166" t="s">
        <v>2482</v>
      </c>
      <c r="AK166" t="s">
        <v>2481</v>
      </c>
      <c r="AL166">
        <v>49</v>
      </c>
      <c r="AM166" s="5">
        <f t="shared" si="19"/>
        <v>1.8148148148148149</v>
      </c>
      <c r="AN166" s="4">
        <f t="shared" si="20"/>
        <v>2.7486782503821504E-3</v>
      </c>
      <c r="AO166" s="3"/>
      <c r="AP166">
        <v>0</v>
      </c>
      <c r="AR166" t="s">
        <v>1</v>
      </c>
      <c r="AT166" s="2" t="s">
        <v>7</v>
      </c>
      <c r="AU166" s="1">
        <f t="shared" si="21"/>
        <v>3.1694041023498292</v>
      </c>
      <c r="AV166" s="1">
        <f t="shared" si="22"/>
        <v>2.3423937374036541</v>
      </c>
      <c r="AW166" s="1">
        <f t="shared" si="23"/>
        <v>1.5153833724574783</v>
      </c>
    </row>
    <row r="167" spans="1:49" x14ac:dyDescent="0.2">
      <c r="A167">
        <v>165</v>
      </c>
      <c r="B167" t="s">
        <v>2480</v>
      </c>
      <c r="F167" t="s">
        <v>2479</v>
      </c>
      <c r="G167" t="s">
        <v>6</v>
      </c>
      <c r="H167" t="s">
        <v>5</v>
      </c>
      <c r="I167" t="s">
        <v>2478</v>
      </c>
      <c r="J167">
        <v>60002787</v>
      </c>
      <c r="K167" t="s">
        <v>126</v>
      </c>
      <c r="L167" t="s">
        <v>125</v>
      </c>
      <c r="M167" t="s">
        <v>14</v>
      </c>
      <c r="N167">
        <v>4</v>
      </c>
      <c r="O167" t="s">
        <v>2477</v>
      </c>
      <c r="P167" t="s">
        <v>2476</v>
      </c>
      <c r="Q167" t="s">
        <v>471</v>
      </c>
      <c r="R167" s="8">
        <v>35004</v>
      </c>
      <c r="S167" s="9">
        <f t="shared" si="16"/>
        <v>1995</v>
      </c>
      <c r="T167" s="9">
        <v>1995</v>
      </c>
      <c r="U167" s="9">
        <f t="shared" si="17"/>
        <v>27</v>
      </c>
      <c r="V167" s="8">
        <v>35004</v>
      </c>
      <c r="W167" t="s">
        <v>425</v>
      </c>
      <c r="X167" s="2">
        <v>0.182</v>
      </c>
      <c r="Y167" s="7">
        <f t="shared" si="18"/>
        <v>4.8583860548303574E-3</v>
      </c>
      <c r="AA167">
        <v>9168524</v>
      </c>
      <c r="AB167">
        <v>26075</v>
      </c>
      <c r="AD167" t="s">
        <v>3</v>
      </c>
      <c r="AE167" t="s">
        <v>424</v>
      </c>
      <c r="AF167">
        <v>11</v>
      </c>
      <c r="AH167" t="s">
        <v>2475</v>
      </c>
      <c r="AI167" t="s">
        <v>2474</v>
      </c>
      <c r="AK167" t="s">
        <v>2473</v>
      </c>
      <c r="AL167">
        <v>7</v>
      </c>
      <c r="AM167" s="5">
        <f t="shared" si="19"/>
        <v>0.25925925925925924</v>
      </c>
      <c r="AN167" s="4">
        <f t="shared" si="20"/>
        <v>3.9266832148316435E-4</v>
      </c>
      <c r="AO167" s="3"/>
      <c r="AP167">
        <v>0</v>
      </c>
      <c r="AR167" t="s">
        <v>1</v>
      </c>
      <c r="AT167" s="2">
        <v>0.35199999999999998</v>
      </c>
      <c r="AU167" s="1">
        <f t="shared" si="21"/>
        <v>0.35186707348261992</v>
      </c>
      <c r="AV167" s="1">
        <f t="shared" si="22"/>
        <v>0.2625527188156761</v>
      </c>
      <c r="AW167" s="1">
        <f t="shared" si="23"/>
        <v>0.17323836414873223</v>
      </c>
    </row>
    <row r="168" spans="1:49" x14ac:dyDescent="0.2">
      <c r="A168">
        <v>166</v>
      </c>
      <c r="B168" t="s">
        <v>2472</v>
      </c>
      <c r="F168" t="s">
        <v>2471</v>
      </c>
      <c r="G168" t="s">
        <v>6</v>
      </c>
      <c r="H168" t="s">
        <v>5</v>
      </c>
      <c r="I168" t="s">
        <v>2455</v>
      </c>
      <c r="J168">
        <v>60022990</v>
      </c>
      <c r="K168" t="s">
        <v>2454</v>
      </c>
      <c r="L168" t="s">
        <v>404</v>
      </c>
      <c r="M168" t="s">
        <v>14</v>
      </c>
      <c r="N168">
        <v>1</v>
      </c>
      <c r="O168" t="s">
        <v>2453</v>
      </c>
      <c r="P168">
        <v>7401440961</v>
      </c>
      <c r="Q168">
        <v>60022990</v>
      </c>
      <c r="R168" s="8">
        <v>35004</v>
      </c>
      <c r="S168" s="9">
        <f t="shared" si="16"/>
        <v>1995</v>
      </c>
      <c r="T168" s="9">
        <v>1995</v>
      </c>
      <c r="U168" s="9">
        <f t="shared" si="17"/>
        <v>27</v>
      </c>
      <c r="V168" s="8">
        <v>35004</v>
      </c>
      <c r="W168" t="s">
        <v>2452</v>
      </c>
      <c r="X168" s="2">
        <v>0.25700000000000001</v>
      </c>
      <c r="Y168" s="7">
        <f t="shared" si="18"/>
        <v>6.8604682202824275E-3</v>
      </c>
      <c r="AA168">
        <v>5493811</v>
      </c>
      <c r="AB168">
        <v>29565</v>
      </c>
      <c r="AD168" t="s">
        <v>3</v>
      </c>
      <c r="AE168">
        <v>38</v>
      </c>
      <c r="AF168">
        <v>121</v>
      </c>
      <c r="AH168" t="s">
        <v>2470</v>
      </c>
      <c r="AI168" t="s">
        <v>2469</v>
      </c>
      <c r="AK168" t="s">
        <v>2468</v>
      </c>
      <c r="AL168">
        <v>1</v>
      </c>
      <c r="AM168" s="5">
        <f t="shared" si="19"/>
        <v>3.7037037037037035E-2</v>
      </c>
      <c r="AN168" s="4">
        <f t="shared" si="20"/>
        <v>5.6095474497594906E-5</v>
      </c>
      <c r="AO168" s="3"/>
      <c r="AP168">
        <v>0</v>
      </c>
      <c r="AR168" t="s">
        <v>1</v>
      </c>
      <c r="AT168" s="2">
        <v>0.88200000000000001</v>
      </c>
      <c r="AU168" s="1">
        <f t="shared" si="21"/>
        <v>0.48191563965469775</v>
      </c>
      <c r="AV168" s="1">
        <f t="shared" si="22"/>
        <v>0.34582818473900112</v>
      </c>
      <c r="AW168" s="1">
        <f t="shared" si="23"/>
        <v>0.20974072982330444</v>
      </c>
    </row>
    <row r="169" spans="1:49" x14ac:dyDescent="0.2">
      <c r="A169">
        <v>167</v>
      </c>
      <c r="B169" t="s">
        <v>2467</v>
      </c>
      <c r="C169" t="s">
        <v>2466</v>
      </c>
      <c r="F169" t="s">
        <v>2465</v>
      </c>
      <c r="G169" t="s">
        <v>6</v>
      </c>
      <c r="H169" t="s">
        <v>5</v>
      </c>
      <c r="I169" t="s">
        <v>2464</v>
      </c>
      <c r="J169">
        <v>60006667</v>
      </c>
      <c r="K169" t="s">
        <v>2463</v>
      </c>
      <c r="L169" t="s">
        <v>2462</v>
      </c>
      <c r="M169" t="s">
        <v>4</v>
      </c>
      <c r="N169">
        <v>1</v>
      </c>
      <c r="O169" t="s">
        <v>2461</v>
      </c>
      <c r="P169">
        <v>7102186842</v>
      </c>
      <c r="Q169">
        <v>60006667</v>
      </c>
      <c r="R169" s="8">
        <v>35004</v>
      </c>
      <c r="S169" s="9">
        <f t="shared" si="16"/>
        <v>1995</v>
      </c>
      <c r="T169" s="9">
        <v>1995</v>
      </c>
      <c r="U169" s="9">
        <f t="shared" si="17"/>
        <v>27</v>
      </c>
      <c r="V169" s="8">
        <v>35004</v>
      </c>
      <c r="W169" t="s">
        <v>121</v>
      </c>
      <c r="X169" s="2">
        <v>1.6519999999999999</v>
      </c>
      <c r="Y169" s="7">
        <f t="shared" si="18"/>
        <v>4.409919649769093E-2</v>
      </c>
      <c r="AA169" t="s">
        <v>120</v>
      </c>
      <c r="AB169">
        <v>17337</v>
      </c>
      <c r="AD169" t="s">
        <v>3</v>
      </c>
      <c r="AE169">
        <v>43</v>
      </c>
      <c r="AF169">
        <v>11</v>
      </c>
      <c r="AH169" t="s">
        <v>2460</v>
      </c>
      <c r="AI169" t="s">
        <v>2459</v>
      </c>
      <c r="AK169" t="s">
        <v>2458</v>
      </c>
      <c r="AL169">
        <v>7</v>
      </c>
      <c r="AM169" s="5">
        <f t="shared" si="19"/>
        <v>0.25925925925925924</v>
      </c>
      <c r="AN169" s="4">
        <f t="shared" si="20"/>
        <v>3.9266832148316435E-4</v>
      </c>
      <c r="AO169" s="3"/>
      <c r="AP169">
        <v>0</v>
      </c>
      <c r="AR169" t="s">
        <v>1</v>
      </c>
      <c r="AT169" s="2" t="s">
        <v>7</v>
      </c>
      <c r="AU169" s="1">
        <f t="shared" si="21"/>
        <v>3.09872380448286</v>
      </c>
      <c r="AV169" s="1">
        <f t="shared" si="22"/>
        <v>2.2245932409587046</v>
      </c>
      <c r="AW169" s="1">
        <f t="shared" si="23"/>
        <v>1.3504626774345492</v>
      </c>
    </row>
    <row r="170" spans="1:49" x14ac:dyDescent="0.2">
      <c r="A170">
        <v>168</v>
      </c>
      <c r="B170" t="s">
        <v>2457</v>
      </c>
      <c r="F170" t="s">
        <v>2456</v>
      </c>
      <c r="G170" t="s">
        <v>6</v>
      </c>
      <c r="H170" t="s">
        <v>5</v>
      </c>
      <c r="I170" t="s">
        <v>2455</v>
      </c>
      <c r="J170">
        <v>60022990</v>
      </c>
      <c r="K170" t="s">
        <v>2454</v>
      </c>
      <c r="L170" t="s">
        <v>404</v>
      </c>
      <c r="M170" t="s">
        <v>14</v>
      </c>
      <c r="N170">
        <v>1</v>
      </c>
      <c r="O170" t="s">
        <v>2453</v>
      </c>
      <c r="P170">
        <v>7401440961</v>
      </c>
      <c r="Q170">
        <v>60022990</v>
      </c>
      <c r="R170" s="8">
        <v>35004</v>
      </c>
      <c r="S170" s="9">
        <f t="shared" si="16"/>
        <v>1995</v>
      </c>
      <c r="T170" s="9">
        <v>1995</v>
      </c>
      <c r="U170" s="9">
        <f t="shared" si="17"/>
        <v>27</v>
      </c>
      <c r="V170" s="8">
        <v>35004</v>
      </c>
      <c r="W170" t="s">
        <v>2452</v>
      </c>
      <c r="X170" s="2">
        <v>0.25700000000000001</v>
      </c>
      <c r="Y170" s="7">
        <f t="shared" si="18"/>
        <v>6.8604682202824275E-3</v>
      </c>
      <c r="AA170">
        <v>5493811</v>
      </c>
      <c r="AB170">
        <v>29565</v>
      </c>
      <c r="AD170" t="s">
        <v>3</v>
      </c>
      <c r="AE170">
        <v>38</v>
      </c>
      <c r="AF170">
        <v>121</v>
      </c>
      <c r="AH170" t="s">
        <v>2451</v>
      </c>
      <c r="AI170" t="s">
        <v>2450</v>
      </c>
      <c r="AK170" t="s">
        <v>2449</v>
      </c>
      <c r="AL170">
        <v>1</v>
      </c>
      <c r="AM170" s="5">
        <f t="shared" si="19"/>
        <v>3.7037037037037035E-2</v>
      </c>
      <c r="AN170" s="4">
        <f t="shared" si="20"/>
        <v>5.6095474497594906E-5</v>
      </c>
      <c r="AO170" s="3"/>
      <c r="AP170">
        <v>0</v>
      </c>
      <c r="AR170" t="s">
        <v>1</v>
      </c>
      <c r="AT170" s="2">
        <v>0.88200000000000001</v>
      </c>
      <c r="AU170" s="1">
        <f t="shared" si="21"/>
        <v>0.48191563965469775</v>
      </c>
      <c r="AV170" s="1">
        <f t="shared" si="22"/>
        <v>0.34582818473900112</v>
      </c>
      <c r="AW170" s="1">
        <f t="shared" si="23"/>
        <v>0.20974072982330444</v>
      </c>
    </row>
    <row r="171" spans="1:49" x14ac:dyDescent="0.2">
      <c r="A171">
        <v>169</v>
      </c>
      <c r="B171" t="s">
        <v>2448</v>
      </c>
      <c r="F171" t="s">
        <v>2447</v>
      </c>
      <c r="G171" t="s">
        <v>6</v>
      </c>
      <c r="H171" t="s">
        <v>5</v>
      </c>
      <c r="I171" t="s">
        <v>2446</v>
      </c>
      <c r="J171">
        <v>100333294</v>
      </c>
      <c r="K171" t="s">
        <v>2445</v>
      </c>
      <c r="L171" t="s">
        <v>2444</v>
      </c>
      <c r="M171" t="s">
        <v>4</v>
      </c>
      <c r="N171">
        <v>3</v>
      </c>
      <c r="O171" t="s">
        <v>2443</v>
      </c>
      <c r="P171" t="s">
        <v>2442</v>
      </c>
      <c r="Q171" t="s">
        <v>2441</v>
      </c>
      <c r="R171" s="8">
        <v>35004</v>
      </c>
      <c r="S171" s="9">
        <f t="shared" si="16"/>
        <v>1995</v>
      </c>
      <c r="T171" s="9">
        <v>1995</v>
      </c>
      <c r="U171" s="9">
        <f t="shared" si="17"/>
        <v>27</v>
      </c>
      <c r="V171" s="8">
        <v>35004</v>
      </c>
      <c r="W171" t="s">
        <v>2267</v>
      </c>
      <c r="X171" s="2">
        <v>0.216</v>
      </c>
      <c r="Y171" s="7">
        <f t="shared" si="18"/>
        <v>5.765996636501962E-3</v>
      </c>
      <c r="AA171">
        <v>10544887</v>
      </c>
      <c r="AB171">
        <v>13200</v>
      </c>
      <c r="AD171" t="s">
        <v>3</v>
      </c>
      <c r="AE171">
        <v>10</v>
      </c>
      <c r="AF171">
        <v>3</v>
      </c>
      <c r="AH171" t="s">
        <v>2440</v>
      </c>
      <c r="AI171" t="s">
        <v>2439</v>
      </c>
      <c r="AK171" t="s">
        <v>2438</v>
      </c>
      <c r="AL171">
        <v>0</v>
      </c>
      <c r="AM171" s="5">
        <f t="shared" si="19"/>
        <v>0</v>
      </c>
      <c r="AN171" s="4">
        <f t="shared" si="20"/>
        <v>0</v>
      </c>
      <c r="AO171" s="3"/>
      <c r="AP171">
        <v>0</v>
      </c>
      <c r="AR171" t="s">
        <v>1</v>
      </c>
      <c r="AT171" s="2" t="s">
        <v>7</v>
      </c>
      <c r="AU171" s="1">
        <f t="shared" si="21"/>
        <v>0.40361976455513726</v>
      </c>
      <c r="AV171" s="1">
        <f t="shared" si="22"/>
        <v>0.28829983182509811</v>
      </c>
      <c r="AW171" s="1">
        <f t="shared" si="23"/>
        <v>0.17297989909505887</v>
      </c>
    </row>
    <row r="172" spans="1:49" x14ac:dyDescent="0.2">
      <c r="A172">
        <v>170</v>
      </c>
      <c r="B172" t="s">
        <v>2437</v>
      </c>
      <c r="F172" t="s">
        <v>2436</v>
      </c>
      <c r="G172" t="s">
        <v>6</v>
      </c>
      <c r="H172" t="s">
        <v>5</v>
      </c>
      <c r="I172" t="s">
        <v>206</v>
      </c>
      <c r="J172">
        <v>60011357</v>
      </c>
      <c r="K172" t="s">
        <v>156</v>
      </c>
      <c r="L172" t="s">
        <v>155</v>
      </c>
      <c r="M172" t="s">
        <v>141</v>
      </c>
      <c r="N172">
        <v>2</v>
      </c>
      <c r="O172" t="s">
        <v>2435</v>
      </c>
      <c r="P172" t="s">
        <v>205</v>
      </c>
      <c r="Q172" t="s">
        <v>154</v>
      </c>
      <c r="R172" s="8">
        <v>35004</v>
      </c>
      <c r="S172" s="9">
        <f t="shared" si="16"/>
        <v>1995</v>
      </c>
      <c r="T172" s="9">
        <v>1995</v>
      </c>
      <c r="U172" s="9">
        <f t="shared" si="17"/>
        <v>27</v>
      </c>
      <c r="V172" s="8">
        <v>35004</v>
      </c>
      <c r="W172" t="s">
        <v>2434</v>
      </c>
      <c r="X172" s="2" t="s">
        <v>7</v>
      </c>
      <c r="Y172" s="7" t="e">
        <f t="shared" si="18"/>
        <v>#VALUE!</v>
      </c>
      <c r="AA172">
        <v>2556588</v>
      </c>
      <c r="AB172">
        <v>62659</v>
      </c>
      <c r="AD172" t="s">
        <v>3</v>
      </c>
      <c r="AE172">
        <v>19</v>
      </c>
      <c r="AF172">
        <v>6</v>
      </c>
      <c r="AH172" t="s">
        <v>2433</v>
      </c>
      <c r="AI172" t="s">
        <v>2432</v>
      </c>
      <c r="AK172" t="s">
        <v>2431</v>
      </c>
      <c r="AL172">
        <v>0</v>
      </c>
      <c r="AM172" s="5">
        <f t="shared" si="19"/>
        <v>0</v>
      </c>
      <c r="AN172" s="4">
        <f t="shared" si="20"/>
        <v>0</v>
      </c>
      <c r="AO172" s="3"/>
      <c r="AP172">
        <v>0</v>
      </c>
      <c r="AR172" t="s">
        <v>1</v>
      </c>
      <c r="AT172" s="2" t="s">
        <v>7</v>
      </c>
      <c r="AU172" s="1" t="e">
        <f t="shared" si="21"/>
        <v>#VALUE!</v>
      </c>
      <c r="AV172" s="1" t="e">
        <f t="shared" si="22"/>
        <v>#VALUE!</v>
      </c>
      <c r="AW172" s="1" t="e">
        <f t="shared" si="23"/>
        <v>#VALUE!</v>
      </c>
    </row>
    <row r="173" spans="1:49" x14ac:dyDescent="0.2">
      <c r="A173">
        <v>171</v>
      </c>
      <c r="B173" t="s">
        <v>2430</v>
      </c>
      <c r="C173" t="s">
        <v>2429</v>
      </c>
      <c r="F173" t="s">
        <v>2428</v>
      </c>
      <c r="G173" t="s">
        <v>6</v>
      </c>
      <c r="H173" t="s">
        <v>5</v>
      </c>
      <c r="I173" t="s">
        <v>2427</v>
      </c>
      <c r="J173">
        <v>60003892</v>
      </c>
      <c r="K173" t="s">
        <v>50</v>
      </c>
      <c r="L173" t="s">
        <v>49</v>
      </c>
      <c r="M173" t="s">
        <v>4</v>
      </c>
      <c r="N173">
        <v>2</v>
      </c>
      <c r="O173" t="s">
        <v>2426</v>
      </c>
      <c r="P173" t="s">
        <v>2425</v>
      </c>
      <c r="Q173" t="s">
        <v>256</v>
      </c>
      <c r="R173" s="8">
        <v>35004</v>
      </c>
      <c r="S173" s="9">
        <f t="shared" si="16"/>
        <v>1995</v>
      </c>
      <c r="T173" s="9">
        <v>1995</v>
      </c>
      <c r="U173" s="9">
        <f t="shared" si="17"/>
        <v>27</v>
      </c>
      <c r="V173" s="8">
        <v>35004</v>
      </c>
      <c r="W173" t="s">
        <v>121</v>
      </c>
      <c r="X173" s="2">
        <v>1.6519999999999999</v>
      </c>
      <c r="Y173" s="7">
        <f t="shared" si="18"/>
        <v>4.409919649769093E-2</v>
      </c>
      <c r="AA173" t="s">
        <v>120</v>
      </c>
      <c r="AB173">
        <v>17337</v>
      </c>
      <c r="AD173" t="s">
        <v>3</v>
      </c>
      <c r="AE173">
        <v>43</v>
      </c>
      <c r="AF173">
        <v>11</v>
      </c>
      <c r="AH173" t="s">
        <v>2424</v>
      </c>
      <c r="AI173" t="s">
        <v>2423</v>
      </c>
      <c r="AK173" t="s">
        <v>2422</v>
      </c>
      <c r="AL173">
        <v>25</v>
      </c>
      <c r="AM173" s="5">
        <f t="shared" si="19"/>
        <v>0.92592592592592593</v>
      </c>
      <c r="AN173" s="4">
        <f t="shared" si="20"/>
        <v>1.4023868624398726E-3</v>
      </c>
      <c r="AO173" s="3"/>
      <c r="AP173">
        <v>0</v>
      </c>
      <c r="AR173" t="s">
        <v>1</v>
      </c>
      <c r="AT173" s="2" t="s">
        <v>7</v>
      </c>
      <c r="AU173" s="1">
        <f t="shared" si="21"/>
        <v>3.1290153607115609</v>
      </c>
      <c r="AV173" s="1">
        <f t="shared" si="22"/>
        <v>2.2750791680065401</v>
      </c>
      <c r="AW173" s="1">
        <f t="shared" si="23"/>
        <v>1.421142975301519</v>
      </c>
    </row>
    <row r="174" spans="1:49" x14ac:dyDescent="0.2">
      <c r="A174">
        <v>172</v>
      </c>
      <c r="B174" t="s">
        <v>2421</v>
      </c>
      <c r="F174" t="s">
        <v>2420</v>
      </c>
      <c r="G174" t="s">
        <v>6</v>
      </c>
      <c r="H174" t="s">
        <v>5</v>
      </c>
      <c r="I174" t="s">
        <v>2419</v>
      </c>
      <c r="J174">
        <v>60025555</v>
      </c>
      <c r="K174" t="s">
        <v>195</v>
      </c>
      <c r="L174" t="s">
        <v>172</v>
      </c>
      <c r="M174" t="s">
        <v>14</v>
      </c>
      <c r="N174">
        <v>3</v>
      </c>
      <c r="O174" t="s">
        <v>2418</v>
      </c>
      <c r="P174" t="s">
        <v>2417</v>
      </c>
      <c r="Q174" t="s">
        <v>194</v>
      </c>
      <c r="R174" s="8">
        <v>35004</v>
      </c>
      <c r="S174" s="9">
        <f t="shared" si="16"/>
        <v>1995</v>
      </c>
      <c r="T174" s="9">
        <v>1995</v>
      </c>
      <c r="U174" s="9">
        <f t="shared" si="17"/>
        <v>27</v>
      </c>
      <c r="V174" s="8">
        <v>35004</v>
      </c>
      <c r="W174" t="s">
        <v>403</v>
      </c>
      <c r="X174" s="2">
        <v>0.21099999999999999</v>
      </c>
      <c r="Y174" s="7">
        <f t="shared" si="18"/>
        <v>5.6325244921384904E-3</v>
      </c>
      <c r="AA174">
        <v>9168516</v>
      </c>
      <c r="AB174">
        <v>18936</v>
      </c>
      <c r="AD174" t="s">
        <v>3</v>
      </c>
      <c r="AE174" t="s">
        <v>402</v>
      </c>
      <c r="AF174">
        <v>11</v>
      </c>
      <c r="AH174" t="s">
        <v>2416</v>
      </c>
      <c r="AI174" t="s">
        <v>2415</v>
      </c>
      <c r="AK174" t="s">
        <v>2414</v>
      </c>
      <c r="AL174">
        <v>11</v>
      </c>
      <c r="AM174" s="5">
        <f t="shared" si="19"/>
        <v>0.40740740740740738</v>
      </c>
      <c r="AN174" s="4">
        <f t="shared" si="20"/>
        <v>6.1705021947354389E-4</v>
      </c>
      <c r="AO174" s="3"/>
      <c r="AP174">
        <v>0</v>
      </c>
      <c r="AR174" t="s">
        <v>1</v>
      </c>
      <c r="AT174" s="2">
        <v>0.52500000000000002</v>
      </c>
      <c r="AU174" s="1">
        <f t="shared" si="21"/>
        <v>0.41278822103390062</v>
      </c>
      <c r="AV174" s="1">
        <f t="shared" si="22"/>
        <v>0.31247873558060169</v>
      </c>
      <c r="AW174" s="1">
        <f t="shared" si="23"/>
        <v>0.21216925012730281</v>
      </c>
    </row>
    <row r="175" spans="1:49" x14ac:dyDescent="0.2">
      <c r="A175">
        <v>173</v>
      </c>
      <c r="B175" t="s">
        <v>2413</v>
      </c>
      <c r="F175" t="s">
        <v>2412</v>
      </c>
      <c r="G175" t="s">
        <v>6</v>
      </c>
      <c r="H175" t="s">
        <v>5</v>
      </c>
      <c r="I175" t="s">
        <v>2313</v>
      </c>
      <c r="J175">
        <v>60014652</v>
      </c>
      <c r="K175" t="s">
        <v>314</v>
      </c>
      <c r="L175" t="s">
        <v>313</v>
      </c>
      <c r="M175" t="s">
        <v>14</v>
      </c>
      <c r="N175">
        <v>4</v>
      </c>
      <c r="O175" t="s">
        <v>2411</v>
      </c>
      <c r="P175" t="s">
        <v>2410</v>
      </c>
      <c r="Q175" t="s">
        <v>2409</v>
      </c>
      <c r="R175" s="8">
        <v>35004</v>
      </c>
      <c r="S175" s="9">
        <f t="shared" si="16"/>
        <v>1995</v>
      </c>
      <c r="T175" s="9">
        <v>1995</v>
      </c>
      <c r="U175" s="9">
        <f t="shared" si="17"/>
        <v>27</v>
      </c>
      <c r="V175" s="8">
        <v>35004</v>
      </c>
      <c r="W175" t="s">
        <v>403</v>
      </c>
      <c r="X175" s="2">
        <v>0.21099999999999999</v>
      </c>
      <c r="Y175" s="7">
        <f t="shared" si="18"/>
        <v>5.6325244921384904E-3</v>
      </c>
      <c r="AA175">
        <v>9168516</v>
      </c>
      <c r="AB175">
        <v>18936</v>
      </c>
      <c r="AD175" t="s">
        <v>3</v>
      </c>
      <c r="AE175" t="s">
        <v>402</v>
      </c>
      <c r="AF175">
        <v>11</v>
      </c>
      <c r="AH175" t="s">
        <v>2408</v>
      </c>
      <c r="AI175" t="s">
        <v>2407</v>
      </c>
      <c r="AK175" t="s">
        <v>2406</v>
      </c>
      <c r="AL175">
        <v>29</v>
      </c>
      <c r="AM175" s="5">
        <f t="shared" si="19"/>
        <v>1.0740740740740742</v>
      </c>
      <c r="AN175" s="4">
        <f t="shared" si="20"/>
        <v>1.6267687604302524E-3</v>
      </c>
      <c r="AO175" s="3"/>
      <c r="AP175">
        <v>0</v>
      </c>
      <c r="AR175" t="s">
        <v>1</v>
      </c>
      <c r="AT175" s="2">
        <v>0.52500000000000002</v>
      </c>
      <c r="AU175" s="1">
        <f t="shared" si="21"/>
        <v>0.44307977726260189</v>
      </c>
      <c r="AV175" s="1">
        <f t="shared" si="22"/>
        <v>0.36296466262843713</v>
      </c>
      <c r="AW175" s="1">
        <f t="shared" si="23"/>
        <v>0.28284954799427237</v>
      </c>
    </row>
    <row r="176" spans="1:49" x14ac:dyDescent="0.2">
      <c r="A176">
        <v>174</v>
      </c>
      <c r="B176" t="s">
        <v>2405</v>
      </c>
      <c r="F176" t="s">
        <v>2404</v>
      </c>
      <c r="G176" t="s">
        <v>6</v>
      </c>
      <c r="H176" t="s">
        <v>5</v>
      </c>
      <c r="I176" t="s">
        <v>470</v>
      </c>
      <c r="J176">
        <v>60014256</v>
      </c>
      <c r="K176" t="s">
        <v>16</v>
      </c>
      <c r="L176" t="s">
        <v>15</v>
      </c>
      <c r="M176" t="s">
        <v>14</v>
      </c>
      <c r="N176">
        <v>3</v>
      </c>
      <c r="O176" t="s">
        <v>2403</v>
      </c>
      <c r="P176" t="s">
        <v>2402</v>
      </c>
      <c r="Q176" t="s">
        <v>23</v>
      </c>
      <c r="R176" s="8">
        <v>35004</v>
      </c>
      <c r="S176" s="9">
        <f t="shared" si="16"/>
        <v>1995</v>
      </c>
      <c r="T176" s="9">
        <v>1995</v>
      </c>
      <c r="U176" s="9">
        <f t="shared" si="17"/>
        <v>27</v>
      </c>
      <c r="V176" s="8">
        <v>35004</v>
      </c>
      <c r="W176" t="s">
        <v>403</v>
      </c>
      <c r="X176" s="2">
        <v>0.21099999999999999</v>
      </c>
      <c r="Y176" s="7">
        <f t="shared" si="18"/>
        <v>5.6325244921384904E-3</v>
      </c>
      <c r="AA176">
        <v>9168516</v>
      </c>
      <c r="AB176">
        <v>18936</v>
      </c>
      <c r="AD176" t="s">
        <v>3</v>
      </c>
      <c r="AE176" t="s">
        <v>402</v>
      </c>
      <c r="AF176">
        <v>11</v>
      </c>
      <c r="AH176" t="s">
        <v>2401</v>
      </c>
      <c r="AI176" t="s">
        <v>2400</v>
      </c>
      <c r="AK176" t="s">
        <v>2399</v>
      </c>
      <c r="AL176">
        <v>3</v>
      </c>
      <c r="AM176" s="5">
        <f t="shared" si="19"/>
        <v>0.1111111111111111</v>
      </c>
      <c r="AN176" s="4">
        <f t="shared" si="20"/>
        <v>1.682864234927847E-4</v>
      </c>
      <c r="AO176" s="3"/>
      <c r="AP176">
        <v>0</v>
      </c>
      <c r="AR176" t="s">
        <v>1</v>
      </c>
      <c r="AT176" s="2">
        <v>0.52500000000000002</v>
      </c>
      <c r="AU176" s="1">
        <f t="shared" si="21"/>
        <v>0.39932530715447784</v>
      </c>
      <c r="AV176" s="1">
        <f t="shared" si="22"/>
        <v>0.29004054578156374</v>
      </c>
      <c r="AW176" s="1">
        <f t="shared" si="23"/>
        <v>0.18075578440864964</v>
      </c>
    </row>
    <row r="177" spans="1:49" x14ac:dyDescent="0.2">
      <c r="A177">
        <v>175</v>
      </c>
      <c r="B177" t="s">
        <v>2398</v>
      </c>
      <c r="F177" t="s">
        <v>2397</v>
      </c>
      <c r="G177" t="s">
        <v>6</v>
      </c>
      <c r="H177" t="s">
        <v>5</v>
      </c>
      <c r="I177" t="s">
        <v>2396</v>
      </c>
      <c r="J177">
        <v>60001271</v>
      </c>
      <c r="K177" t="s">
        <v>191</v>
      </c>
      <c r="L177" t="s">
        <v>190</v>
      </c>
      <c r="M177" t="s">
        <v>14</v>
      </c>
      <c r="N177">
        <v>4</v>
      </c>
      <c r="O177" t="s">
        <v>2395</v>
      </c>
      <c r="P177" t="s">
        <v>2394</v>
      </c>
      <c r="Q177" t="s">
        <v>2393</v>
      </c>
      <c r="R177" s="8">
        <v>35004</v>
      </c>
      <c r="S177" s="9">
        <f t="shared" si="16"/>
        <v>1995</v>
      </c>
      <c r="T177" s="9">
        <v>1995</v>
      </c>
      <c r="U177" s="9">
        <f t="shared" si="17"/>
        <v>27</v>
      </c>
      <c r="V177" s="8">
        <v>35004</v>
      </c>
      <c r="W177" t="s">
        <v>403</v>
      </c>
      <c r="X177" s="2">
        <v>0.21099999999999999</v>
      </c>
      <c r="Y177" s="7">
        <f t="shared" si="18"/>
        <v>5.6325244921384904E-3</v>
      </c>
      <c r="AA177">
        <v>9168516</v>
      </c>
      <c r="AB177">
        <v>18936</v>
      </c>
      <c r="AD177" t="s">
        <v>3</v>
      </c>
      <c r="AE177" t="s">
        <v>402</v>
      </c>
      <c r="AF177">
        <v>11</v>
      </c>
      <c r="AH177" t="s">
        <v>2392</v>
      </c>
      <c r="AI177" t="s">
        <v>2391</v>
      </c>
      <c r="AK177" t="s">
        <v>2390</v>
      </c>
      <c r="AL177">
        <v>29</v>
      </c>
      <c r="AM177" s="5">
        <f t="shared" si="19"/>
        <v>1.0740740740740742</v>
      </c>
      <c r="AN177" s="4">
        <f t="shared" si="20"/>
        <v>1.6267687604302524E-3</v>
      </c>
      <c r="AO177" s="3"/>
      <c r="AP177">
        <v>0</v>
      </c>
      <c r="AR177" t="s">
        <v>1</v>
      </c>
      <c r="AT177" s="2">
        <v>0.52500000000000002</v>
      </c>
      <c r="AU177" s="1">
        <f t="shared" si="21"/>
        <v>0.44307977726260189</v>
      </c>
      <c r="AV177" s="1">
        <f t="shared" si="22"/>
        <v>0.36296466262843713</v>
      </c>
      <c r="AW177" s="1">
        <f t="shared" si="23"/>
        <v>0.28284954799427237</v>
      </c>
    </row>
    <row r="178" spans="1:49" x14ac:dyDescent="0.2">
      <c r="A178">
        <v>176</v>
      </c>
      <c r="B178" t="s">
        <v>2389</v>
      </c>
      <c r="C178" t="s">
        <v>2388</v>
      </c>
      <c r="F178" t="s">
        <v>2387</v>
      </c>
      <c r="G178" t="s">
        <v>6</v>
      </c>
      <c r="H178" t="s">
        <v>5</v>
      </c>
      <c r="I178" t="s">
        <v>2386</v>
      </c>
      <c r="J178">
        <v>60013372</v>
      </c>
      <c r="K178" t="s">
        <v>248</v>
      </c>
      <c r="L178" t="s">
        <v>247</v>
      </c>
      <c r="M178" t="s">
        <v>4</v>
      </c>
      <c r="N178">
        <v>2</v>
      </c>
      <c r="O178" t="s">
        <v>2385</v>
      </c>
      <c r="P178" t="s">
        <v>2384</v>
      </c>
      <c r="Q178" t="s">
        <v>2383</v>
      </c>
      <c r="R178" s="8">
        <v>35004</v>
      </c>
      <c r="S178" s="9">
        <f t="shared" si="16"/>
        <v>1995</v>
      </c>
      <c r="T178" s="9">
        <v>1995</v>
      </c>
      <c r="U178" s="9">
        <f t="shared" si="17"/>
        <v>27</v>
      </c>
      <c r="V178" s="8">
        <v>35004</v>
      </c>
      <c r="W178" t="s">
        <v>121</v>
      </c>
      <c r="X178" s="2">
        <v>1.6519999999999999</v>
      </c>
      <c r="Y178" s="7">
        <f t="shared" si="18"/>
        <v>4.409919649769093E-2</v>
      </c>
      <c r="AA178" t="s">
        <v>120</v>
      </c>
      <c r="AB178">
        <v>17337</v>
      </c>
      <c r="AD178" t="s">
        <v>3</v>
      </c>
      <c r="AE178">
        <v>43</v>
      </c>
      <c r="AF178">
        <v>11</v>
      </c>
      <c r="AH178" t="s">
        <v>2382</v>
      </c>
      <c r="AI178" t="s">
        <v>2381</v>
      </c>
      <c r="AK178" t="s">
        <v>2380</v>
      </c>
      <c r="AL178">
        <v>12</v>
      </c>
      <c r="AM178" s="5">
        <f t="shared" si="19"/>
        <v>0.44444444444444442</v>
      </c>
      <c r="AN178" s="4">
        <f t="shared" si="20"/>
        <v>6.7314569397113879E-4</v>
      </c>
      <c r="AO178" s="3"/>
      <c r="AP178">
        <v>0</v>
      </c>
      <c r="AQ178" t="s">
        <v>2</v>
      </c>
      <c r="AR178" t="s">
        <v>2379</v>
      </c>
      <c r="AS178" t="s">
        <v>0</v>
      </c>
      <c r="AT178" s="2" t="s">
        <v>7</v>
      </c>
      <c r="AU178" s="1">
        <f t="shared" si="21"/>
        <v>3.1071381256574995</v>
      </c>
      <c r="AV178" s="1">
        <f t="shared" si="22"/>
        <v>2.2386171095831036</v>
      </c>
      <c r="AW178" s="1">
        <f t="shared" si="23"/>
        <v>1.3700960935087076</v>
      </c>
    </row>
    <row r="179" spans="1:49" x14ac:dyDescent="0.2">
      <c r="A179">
        <v>177</v>
      </c>
      <c r="B179" t="s">
        <v>2378</v>
      </c>
      <c r="C179" t="s">
        <v>2377</v>
      </c>
      <c r="F179" t="s">
        <v>2376</v>
      </c>
      <c r="G179" t="s">
        <v>6</v>
      </c>
      <c r="H179" t="s">
        <v>5</v>
      </c>
      <c r="I179" t="s">
        <v>2375</v>
      </c>
      <c r="N179">
        <v>2</v>
      </c>
      <c r="O179" t="s">
        <v>2374</v>
      </c>
      <c r="P179" t="s">
        <v>2373</v>
      </c>
      <c r="Q179" t="s">
        <v>73</v>
      </c>
      <c r="R179" s="8">
        <v>35004</v>
      </c>
      <c r="S179" s="9">
        <f t="shared" si="16"/>
        <v>1995</v>
      </c>
      <c r="T179" s="9">
        <v>1995</v>
      </c>
      <c r="U179" s="9">
        <f t="shared" si="17"/>
        <v>27</v>
      </c>
      <c r="V179" s="8">
        <v>35004</v>
      </c>
      <c r="W179" t="s">
        <v>121</v>
      </c>
      <c r="X179" s="2">
        <v>1.6519999999999999</v>
      </c>
      <c r="Y179" s="7">
        <f t="shared" si="18"/>
        <v>4.409919649769093E-2</v>
      </c>
      <c r="AA179" t="s">
        <v>120</v>
      </c>
      <c r="AB179">
        <v>17337</v>
      </c>
      <c r="AD179" t="s">
        <v>3</v>
      </c>
      <c r="AE179">
        <v>43</v>
      </c>
      <c r="AF179">
        <v>11</v>
      </c>
      <c r="AH179" t="s">
        <v>2372</v>
      </c>
      <c r="AI179" t="s">
        <v>2371</v>
      </c>
      <c r="AK179" t="s">
        <v>2370</v>
      </c>
      <c r="AL179">
        <v>63</v>
      </c>
      <c r="AM179" s="5">
        <f t="shared" si="19"/>
        <v>2.3333333333333335</v>
      </c>
      <c r="AN179" s="4">
        <f t="shared" si="20"/>
        <v>3.5340148933484792E-3</v>
      </c>
      <c r="AO179" s="3"/>
      <c r="AP179">
        <v>0</v>
      </c>
      <c r="AR179" t="s">
        <v>1</v>
      </c>
      <c r="AT179" s="2" t="s">
        <v>7</v>
      </c>
      <c r="AU179" s="1">
        <f t="shared" si="21"/>
        <v>3.1929642016388198</v>
      </c>
      <c r="AV179" s="1">
        <f t="shared" si="22"/>
        <v>2.3816605695519706</v>
      </c>
      <c r="AW179" s="1">
        <f t="shared" si="23"/>
        <v>1.5703569374651214</v>
      </c>
    </row>
    <row r="180" spans="1:49" x14ac:dyDescent="0.2">
      <c r="A180">
        <v>178</v>
      </c>
      <c r="B180" t="s">
        <v>2369</v>
      </c>
      <c r="C180" t="s">
        <v>2368</v>
      </c>
      <c r="F180" t="s">
        <v>2367</v>
      </c>
      <c r="G180" t="s">
        <v>6</v>
      </c>
      <c r="H180" t="s">
        <v>5</v>
      </c>
      <c r="I180" t="s">
        <v>2366</v>
      </c>
      <c r="J180">
        <v>60108318</v>
      </c>
      <c r="K180" t="s">
        <v>287</v>
      </c>
      <c r="L180" t="s">
        <v>286</v>
      </c>
      <c r="M180" t="s">
        <v>4</v>
      </c>
      <c r="N180">
        <v>4</v>
      </c>
      <c r="O180" t="s">
        <v>2365</v>
      </c>
      <c r="P180" t="s">
        <v>2364</v>
      </c>
      <c r="Q180" t="s">
        <v>285</v>
      </c>
      <c r="R180" s="8">
        <v>35004</v>
      </c>
      <c r="S180" s="9">
        <f t="shared" si="16"/>
        <v>1995</v>
      </c>
      <c r="T180" s="9">
        <v>1995</v>
      </c>
      <c r="U180" s="9">
        <f t="shared" si="17"/>
        <v>27</v>
      </c>
      <c r="V180" s="8">
        <v>35004</v>
      </c>
      <c r="W180" t="s">
        <v>121</v>
      </c>
      <c r="X180" s="2">
        <v>1.6519999999999999</v>
      </c>
      <c r="Y180" s="7">
        <f t="shared" si="18"/>
        <v>4.409919649769093E-2</v>
      </c>
      <c r="AA180" t="s">
        <v>120</v>
      </c>
      <c r="AB180">
        <v>17337</v>
      </c>
      <c r="AD180" t="s">
        <v>3</v>
      </c>
      <c r="AE180">
        <v>43</v>
      </c>
      <c r="AF180">
        <v>11</v>
      </c>
      <c r="AH180" t="s">
        <v>2363</v>
      </c>
      <c r="AI180" t="s">
        <v>2362</v>
      </c>
      <c r="AK180" t="s">
        <v>2361</v>
      </c>
      <c r="AL180">
        <v>5</v>
      </c>
      <c r="AM180" s="5">
        <f t="shared" si="19"/>
        <v>0.18518518518518517</v>
      </c>
      <c r="AN180" s="4">
        <f t="shared" si="20"/>
        <v>2.804773724879745E-4</v>
      </c>
      <c r="AO180" s="3"/>
      <c r="AP180">
        <v>0</v>
      </c>
      <c r="AR180" t="s">
        <v>1</v>
      </c>
      <c r="AT180" s="2" t="s">
        <v>7</v>
      </c>
      <c r="AU180" s="1">
        <f t="shared" si="21"/>
        <v>3.0953580760130044</v>
      </c>
      <c r="AV180" s="1">
        <f t="shared" si="22"/>
        <v>2.2189836935089451</v>
      </c>
      <c r="AW180" s="1">
        <f t="shared" si="23"/>
        <v>1.342609311004886</v>
      </c>
    </row>
    <row r="181" spans="1:49" x14ac:dyDescent="0.2">
      <c r="A181">
        <v>179</v>
      </c>
      <c r="B181" t="s">
        <v>2360</v>
      </c>
      <c r="F181" t="s">
        <v>2359</v>
      </c>
      <c r="G181" t="s">
        <v>6</v>
      </c>
      <c r="H181" t="s">
        <v>5</v>
      </c>
      <c r="I181" t="s">
        <v>2358</v>
      </c>
      <c r="J181">
        <v>60011001</v>
      </c>
      <c r="K181" t="s">
        <v>207</v>
      </c>
      <c r="L181" t="s">
        <v>190</v>
      </c>
      <c r="M181" t="s">
        <v>14</v>
      </c>
      <c r="N181">
        <v>2</v>
      </c>
      <c r="O181" t="s">
        <v>2357</v>
      </c>
      <c r="P181" t="s">
        <v>2356</v>
      </c>
      <c r="Q181" t="s">
        <v>2355</v>
      </c>
      <c r="R181" s="8">
        <v>35004</v>
      </c>
      <c r="S181" s="9">
        <f t="shared" si="16"/>
        <v>1995</v>
      </c>
      <c r="T181" s="9">
        <v>1995</v>
      </c>
      <c r="U181" s="9">
        <f t="shared" si="17"/>
        <v>27</v>
      </c>
      <c r="V181" s="8">
        <v>35004</v>
      </c>
      <c r="W181" t="s">
        <v>403</v>
      </c>
      <c r="X181" s="2">
        <v>0.21099999999999999</v>
      </c>
      <c r="Y181" s="7">
        <f t="shared" si="18"/>
        <v>5.6325244921384904E-3</v>
      </c>
      <c r="AA181">
        <v>9168516</v>
      </c>
      <c r="AB181">
        <v>18936</v>
      </c>
      <c r="AD181" t="s">
        <v>3</v>
      </c>
      <c r="AE181" t="s">
        <v>402</v>
      </c>
      <c r="AF181">
        <v>11</v>
      </c>
      <c r="AH181" t="s">
        <v>2354</v>
      </c>
      <c r="AI181" t="s">
        <v>2353</v>
      </c>
      <c r="AK181" t="s">
        <v>2352</v>
      </c>
      <c r="AL181">
        <v>17</v>
      </c>
      <c r="AM181" s="5">
        <f t="shared" si="19"/>
        <v>0.62962962962962965</v>
      </c>
      <c r="AN181" s="4">
        <f t="shared" si="20"/>
        <v>9.536230664591134E-4</v>
      </c>
      <c r="AO181" s="3"/>
      <c r="AP181">
        <v>0</v>
      </c>
      <c r="AR181" t="s">
        <v>1</v>
      </c>
      <c r="AT181" s="2">
        <v>0.52500000000000002</v>
      </c>
      <c r="AU181" s="1">
        <f t="shared" si="21"/>
        <v>0.42288540644346773</v>
      </c>
      <c r="AV181" s="1">
        <f t="shared" si="22"/>
        <v>0.32930737792988019</v>
      </c>
      <c r="AW181" s="1">
        <f t="shared" si="23"/>
        <v>0.23572934941629267</v>
      </c>
    </row>
    <row r="182" spans="1:49" x14ac:dyDescent="0.2">
      <c r="A182">
        <v>180</v>
      </c>
      <c r="B182" t="s">
        <v>2351</v>
      </c>
      <c r="C182" t="s">
        <v>2350</v>
      </c>
      <c r="F182" t="s">
        <v>2349</v>
      </c>
      <c r="G182" t="s">
        <v>6</v>
      </c>
      <c r="H182" t="s">
        <v>5</v>
      </c>
      <c r="I182" t="s">
        <v>2348</v>
      </c>
      <c r="J182">
        <v>60019722</v>
      </c>
      <c r="K182" t="s">
        <v>214</v>
      </c>
      <c r="L182" t="s">
        <v>213</v>
      </c>
      <c r="M182" t="s">
        <v>9</v>
      </c>
      <c r="N182">
        <v>2</v>
      </c>
      <c r="O182" t="s">
        <v>2347</v>
      </c>
      <c r="P182" t="s">
        <v>2346</v>
      </c>
      <c r="Q182" t="s">
        <v>212</v>
      </c>
      <c r="R182" s="8">
        <v>35004</v>
      </c>
      <c r="S182" s="9">
        <f t="shared" si="16"/>
        <v>1995</v>
      </c>
      <c r="T182" s="9">
        <v>1995</v>
      </c>
      <c r="U182" s="9">
        <f t="shared" si="17"/>
        <v>27</v>
      </c>
      <c r="V182" s="8">
        <v>35004</v>
      </c>
      <c r="W182" t="s">
        <v>121</v>
      </c>
      <c r="X182" s="2">
        <v>1.6519999999999999</v>
      </c>
      <c r="Y182" s="7">
        <f t="shared" si="18"/>
        <v>4.409919649769093E-2</v>
      </c>
      <c r="AA182" t="s">
        <v>120</v>
      </c>
      <c r="AB182">
        <v>17337</v>
      </c>
      <c r="AD182" t="s">
        <v>3</v>
      </c>
      <c r="AE182">
        <v>43</v>
      </c>
      <c r="AF182">
        <v>11</v>
      </c>
      <c r="AH182" t="s">
        <v>2345</v>
      </c>
      <c r="AI182" t="s">
        <v>2344</v>
      </c>
      <c r="AK182" t="s">
        <v>2343</v>
      </c>
      <c r="AL182">
        <v>9</v>
      </c>
      <c r="AM182" s="5">
        <f t="shared" si="19"/>
        <v>0.33333333333333331</v>
      </c>
      <c r="AN182" s="4">
        <f t="shared" si="20"/>
        <v>5.048592704783541E-4</v>
      </c>
      <c r="AO182" s="3"/>
      <c r="AP182">
        <v>0</v>
      </c>
      <c r="AR182" t="s">
        <v>1</v>
      </c>
      <c r="AT182" s="2" t="s">
        <v>7</v>
      </c>
      <c r="AU182" s="1">
        <f t="shared" si="21"/>
        <v>3.1020895329527156</v>
      </c>
      <c r="AV182" s="1">
        <f t="shared" si="22"/>
        <v>2.2302027884084641</v>
      </c>
      <c r="AW182" s="1">
        <f t="shared" si="23"/>
        <v>1.3583160438642126</v>
      </c>
    </row>
    <row r="183" spans="1:49" x14ac:dyDescent="0.2">
      <c r="A183">
        <v>181</v>
      </c>
      <c r="B183" t="s">
        <v>2342</v>
      </c>
      <c r="C183" t="s">
        <v>2341</v>
      </c>
      <c r="F183" t="s">
        <v>2340</v>
      </c>
      <c r="G183" t="s">
        <v>6</v>
      </c>
      <c r="H183" t="s">
        <v>5</v>
      </c>
      <c r="I183" t="s">
        <v>2339</v>
      </c>
      <c r="J183">
        <v>60027090</v>
      </c>
      <c r="K183" t="s">
        <v>138</v>
      </c>
      <c r="L183" t="s">
        <v>137</v>
      </c>
      <c r="M183" t="s">
        <v>4</v>
      </c>
      <c r="N183">
        <v>2</v>
      </c>
      <c r="O183" t="s">
        <v>2338</v>
      </c>
      <c r="P183" t="s">
        <v>2337</v>
      </c>
      <c r="Q183" t="s">
        <v>182</v>
      </c>
      <c r="R183" s="8">
        <v>35004</v>
      </c>
      <c r="S183" s="9">
        <f t="shared" si="16"/>
        <v>1995</v>
      </c>
      <c r="T183" s="9">
        <v>1995</v>
      </c>
      <c r="U183" s="9">
        <f t="shared" si="17"/>
        <v>27</v>
      </c>
      <c r="V183" s="8">
        <v>35004</v>
      </c>
      <c r="W183" t="s">
        <v>121</v>
      </c>
      <c r="X183" s="2">
        <v>1.6519999999999999</v>
      </c>
      <c r="Y183" s="7">
        <f t="shared" si="18"/>
        <v>4.409919649769093E-2</v>
      </c>
      <c r="AA183" t="s">
        <v>120</v>
      </c>
      <c r="AB183">
        <v>17337</v>
      </c>
      <c r="AD183" t="s">
        <v>3</v>
      </c>
      <c r="AE183">
        <v>43</v>
      </c>
      <c r="AF183">
        <v>11</v>
      </c>
      <c r="AH183" t="s">
        <v>2336</v>
      </c>
      <c r="AI183" t="s">
        <v>2335</v>
      </c>
      <c r="AK183" t="s">
        <v>2334</v>
      </c>
      <c r="AL183">
        <v>34</v>
      </c>
      <c r="AM183" s="5">
        <f t="shared" si="19"/>
        <v>1.2592592592592593</v>
      </c>
      <c r="AN183" s="4">
        <f t="shared" si="20"/>
        <v>1.9072461329182268E-3</v>
      </c>
      <c r="AO183" s="3"/>
      <c r="AP183">
        <v>0</v>
      </c>
      <c r="AR183" t="s">
        <v>1</v>
      </c>
      <c r="AT183" s="2" t="s">
        <v>7</v>
      </c>
      <c r="AU183" s="1">
        <f t="shared" si="21"/>
        <v>3.1441611388259121</v>
      </c>
      <c r="AV183" s="1">
        <f t="shared" si="22"/>
        <v>2.3003221315304581</v>
      </c>
      <c r="AW183" s="1">
        <f t="shared" si="23"/>
        <v>1.4564831242350036</v>
      </c>
    </row>
    <row r="184" spans="1:49" x14ac:dyDescent="0.2">
      <c r="A184">
        <v>182</v>
      </c>
      <c r="B184" t="s">
        <v>2333</v>
      </c>
      <c r="F184" t="s">
        <v>2332</v>
      </c>
      <c r="G184" t="s">
        <v>6</v>
      </c>
      <c r="H184" t="s">
        <v>5</v>
      </c>
      <c r="I184" t="s">
        <v>88</v>
      </c>
      <c r="J184">
        <v>60000809</v>
      </c>
      <c r="K184" t="s">
        <v>229</v>
      </c>
      <c r="L184" t="s">
        <v>228</v>
      </c>
      <c r="M184" t="s">
        <v>14</v>
      </c>
      <c r="N184">
        <v>3</v>
      </c>
      <c r="O184" t="s">
        <v>2331</v>
      </c>
      <c r="P184" t="s">
        <v>2330</v>
      </c>
      <c r="Q184" t="s">
        <v>2329</v>
      </c>
      <c r="R184" s="8">
        <v>35004</v>
      </c>
      <c r="S184" s="9">
        <f t="shared" si="16"/>
        <v>1995</v>
      </c>
      <c r="T184" s="9">
        <v>1995</v>
      </c>
      <c r="U184" s="9">
        <f t="shared" si="17"/>
        <v>27</v>
      </c>
      <c r="V184" s="8">
        <v>35004</v>
      </c>
      <c r="W184" t="s">
        <v>403</v>
      </c>
      <c r="X184" s="2">
        <v>0.21099999999999999</v>
      </c>
      <c r="Y184" s="7">
        <f t="shared" si="18"/>
        <v>5.6325244921384904E-3</v>
      </c>
      <c r="AA184">
        <v>9168516</v>
      </c>
      <c r="AB184">
        <v>18936</v>
      </c>
      <c r="AD184" t="s">
        <v>3</v>
      </c>
      <c r="AE184" t="s">
        <v>402</v>
      </c>
      <c r="AF184">
        <v>11</v>
      </c>
      <c r="AH184" t="s">
        <v>2328</v>
      </c>
      <c r="AI184" t="s">
        <v>2327</v>
      </c>
      <c r="AK184" t="s">
        <v>2326</v>
      </c>
      <c r="AL184">
        <v>1</v>
      </c>
      <c r="AM184" s="5">
        <f t="shared" si="19"/>
        <v>3.7037037037037035E-2</v>
      </c>
      <c r="AN184" s="4">
        <f t="shared" si="20"/>
        <v>5.6095474497594906E-5</v>
      </c>
      <c r="AO184" s="3"/>
      <c r="AP184">
        <v>0</v>
      </c>
      <c r="AR184" t="s">
        <v>1</v>
      </c>
      <c r="AT184" s="2">
        <v>0.52500000000000002</v>
      </c>
      <c r="AU184" s="1">
        <f t="shared" si="21"/>
        <v>0.39595957868462217</v>
      </c>
      <c r="AV184" s="1">
        <f t="shared" si="22"/>
        <v>0.28443099833180424</v>
      </c>
      <c r="AW184" s="1">
        <f t="shared" si="23"/>
        <v>0.17290241797898637</v>
      </c>
    </row>
    <row r="185" spans="1:49" x14ac:dyDescent="0.2">
      <c r="A185">
        <v>183</v>
      </c>
      <c r="B185" t="s">
        <v>2325</v>
      </c>
      <c r="C185" t="s">
        <v>2324</v>
      </c>
      <c r="F185" t="s">
        <v>2323</v>
      </c>
      <c r="G185" t="s">
        <v>6</v>
      </c>
      <c r="H185" t="s">
        <v>5</v>
      </c>
      <c r="I185" t="s">
        <v>2322</v>
      </c>
      <c r="J185">
        <v>60014171</v>
      </c>
      <c r="K185" t="s">
        <v>187</v>
      </c>
      <c r="L185" t="s">
        <v>186</v>
      </c>
      <c r="M185" t="s">
        <v>20</v>
      </c>
      <c r="N185">
        <v>2</v>
      </c>
      <c r="O185" t="s">
        <v>2321</v>
      </c>
      <c r="P185" t="s">
        <v>2320</v>
      </c>
      <c r="Q185" t="s">
        <v>1808</v>
      </c>
      <c r="R185" s="8">
        <v>35004</v>
      </c>
      <c r="S185" s="9">
        <f t="shared" si="16"/>
        <v>1995</v>
      </c>
      <c r="T185" s="9">
        <v>1995</v>
      </c>
      <c r="U185" s="9">
        <f t="shared" si="17"/>
        <v>27</v>
      </c>
      <c r="V185" s="8">
        <v>35004</v>
      </c>
      <c r="W185" t="s">
        <v>121</v>
      </c>
      <c r="X185" s="2">
        <v>1.6519999999999999</v>
      </c>
      <c r="Y185" s="7">
        <f t="shared" si="18"/>
        <v>4.409919649769093E-2</v>
      </c>
      <c r="AA185" t="s">
        <v>120</v>
      </c>
      <c r="AB185">
        <v>17337</v>
      </c>
      <c r="AD185" t="s">
        <v>3</v>
      </c>
      <c r="AE185">
        <v>43</v>
      </c>
      <c r="AF185">
        <v>11</v>
      </c>
      <c r="AH185" t="s">
        <v>2319</v>
      </c>
      <c r="AI185" t="s">
        <v>2318</v>
      </c>
      <c r="AK185" t="s">
        <v>2317</v>
      </c>
      <c r="AL185">
        <v>14</v>
      </c>
      <c r="AM185" s="5">
        <f t="shared" si="19"/>
        <v>0.51851851851851849</v>
      </c>
      <c r="AN185" s="4">
        <f t="shared" si="20"/>
        <v>7.853366429663287E-4</v>
      </c>
      <c r="AO185" s="3"/>
      <c r="AP185">
        <v>0</v>
      </c>
      <c r="AQ185" t="s">
        <v>77</v>
      </c>
      <c r="AR185" t="s">
        <v>2316</v>
      </c>
      <c r="AS185" t="s">
        <v>76</v>
      </c>
      <c r="AT185" s="2" t="s">
        <v>7</v>
      </c>
      <c r="AU185" s="1">
        <f t="shared" si="21"/>
        <v>3.1105038541273546</v>
      </c>
      <c r="AV185" s="1">
        <f t="shared" si="22"/>
        <v>2.2442266570328631</v>
      </c>
      <c r="AW185" s="1">
        <f t="shared" si="23"/>
        <v>1.3779494599383708</v>
      </c>
    </row>
    <row r="186" spans="1:49" x14ac:dyDescent="0.2">
      <c r="A186">
        <v>184</v>
      </c>
      <c r="B186" t="s">
        <v>2315</v>
      </c>
      <c r="F186" t="s">
        <v>2314</v>
      </c>
      <c r="G186" t="s">
        <v>6</v>
      </c>
      <c r="H186" t="s">
        <v>5</v>
      </c>
      <c r="I186" t="s">
        <v>2313</v>
      </c>
      <c r="J186">
        <v>60014652</v>
      </c>
      <c r="K186" t="s">
        <v>314</v>
      </c>
      <c r="L186" t="s">
        <v>313</v>
      </c>
      <c r="M186" t="s">
        <v>14</v>
      </c>
      <c r="N186">
        <v>2</v>
      </c>
      <c r="O186" t="s">
        <v>2312</v>
      </c>
      <c r="P186" t="s">
        <v>2311</v>
      </c>
      <c r="Q186" t="s">
        <v>312</v>
      </c>
      <c r="R186" s="8">
        <v>35004</v>
      </c>
      <c r="S186" s="9">
        <f t="shared" si="16"/>
        <v>1995</v>
      </c>
      <c r="T186" s="9">
        <v>1995</v>
      </c>
      <c r="U186" s="9">
        <f t="shared" si="17"/>
        <v>27</v>
      </c>
      <c r="V186" s="8">
        <v>35004</v>
      </c>
      <c r="W186" t="s">
        <v>403</v>
      </c>
      <c r="X186" s="2">
        <v>0.21099999999999999</v>
      </c>
      <c r="Y186" s="7">
        <f t="shared" si="18"/>
        <v>5.6325244921384904E-3</v>
      </c>
      <c r="AA186">
        <v>9168516</v>
      </c>
      <c r="AB186">
        <v>18936</v>
      </c>
      <c r="AD186" t="s">
        <v>3</v>
      </c>
      <c r="AE186" t="s">
        <v>402</v>
      </c>
      <c r="AF186">
        <v>11</v>
      </c>
      <c r="AH186" t="s">
        <v>2310</v>
      </c>
      <c r="AI186" t="s">
        <v>2309</v>
      </c>
      <c r="AK186" t="s">
        <v>2308</v>
      </c>
      <c r="AL186">
        <v>10</v>
      </c>
      <c r="AM186" s="5">
        <f t="shared" si="19"/>
        <v>0.37037037037037035</v>
      </c>
      <c r="AN186" s="4">
        <f t="shared" si="20"/>
        <v>5.60954744975949E-4</v>
      </c>
      <c r="AO186" s="3"/>
      <c r="AP186">
        <v>0</v>
      </c>
      <c r="AR186" t="s">
        <v>1</v>
      </c>
      <c r="AT186" s="2">
        <v>0.52500000000000002</v>
      </c>
      <c r="AU186" s="1">
        <f t="shared" si="21"/>
        <v>0.4111053567989727</v>
      </c>
      <c r="AV186" s="1">
        <f t="shared" si="22"/>
        <v>0.30967396185572194</v>
      </c>
      <c r="AW186" s="1">
        <f t="shared" si="23"/>
        <v>0.20824256691247114</v>
      </c>
    </row>
    <row r="187" spans="1:49" x14ac:dyDescent="0.2">
      <c r="A187">
        <v>185</v>
      </c>
      <c r="B187" t="s">
        <v>2307</v>
      </c>
      <c r="C187" t="s">
        <v>2306</v>
      </c>
      <c r="F187" t="s">
        <v>2305</v>
      </c>
      <c r="G187" t="s">
        <v>6</v>
      </c>
      <c r="H187" t="s">
        <v>5</v>
      </c>
      <c r="I187" t="s">
        <v>2304</v>
      </c>
      <c r="J187">
        <v>60012564</v>
      </c>
      <c r="K187" t="s">
        <v>124</v>
      </c>
      <c r="L187" t="s">
        <v>123</v>
      </c>
      <c r="M187" t="s">
        <v>4</v>
      </c>
      <c r="N187">
        <v>1</v>
      </c>
      <c r="O187" t="s">
        <v>2303</v>
      </c>
      <c r="P187">
        <v>7402556171</v>
      </c>
      <c r="Q187">
        <v>60012564</v>
      </c>
      <c r="R187" s="8">
        <v>35004</v>
      </c>
      <c r="S187" s="9">
        <f t="shared" si="16"/>
        <v>1995</v>
      </c>
      <c r="T187" s="9">
        <v>1995</v>
      </c>
      <c r="U187" s="9">
        <f t="shared" si="17"/>
        <v>27</v>
      </c>
      <c r="V187" s="8">
        <v>35004</v>
      </c>
      <c r="W187" t="s">
        <v>121</v>
      </c>
      <c r="X187" s="2">
        <v>1.6519999999999999</v>
      </c>
      <c r="Y187" s="7">
        <f t="shared" si="18"/>
        <v>4.409919649769093E-2</v>
      </c>
      <c r="AA187" t="s">
        <v>120</v>
      </c>
      <c r="AB187">
        <v>17337</v>
      </c>
      <c r="AD187" t="s">
        <v>3</v>
      </c>
      <c r="AE187">
        <v>43</v>
      </c>
      <c r="AF187">
        <v>11</v>
      </c>
      <c r="AH187" t="s">
        <v>2302</v>
      </c>
      <c r="AI187" t="s">
        <v>2301</v>
      </c>
      <c r="AK187" t="s">
        <v>2300</v>
      </c>
      <c r="AL187">
        <v>6</v>
      </c>
      <c r="AM187" s="5">
        <f t="shared" si="19"/>
        <v>0.22222222222222221</v>
      </c>
      <c r="AN187" s="4">
        <f t="shared" si="20"/>
        <v>3.365728469855694E-4</v>
      </c>
      <c r="AO187" s="3"/>
      <c r="AP187">
        <v>0</v>
      </c>
      <c r="AR187" t="s">
        <v>1</v>
      </c>
      <c r="AT187" s="2" t="s">
        <v>7</v>
      </c>
      <c r="AU187" s="1">
        <f t="shared" si="21"/>
        <v>3.0970409402479322</v>
      </c>
      <c r="AV187" s="1">
        <f t="shared" si="22"/>
        <v>2.2217884672338251</v>
      </c>
      <c r="AW187" s="1">
        <f t="shared" si="23"/>
        <v>1.3465359942197175</v>
      </c>
    </row>
    <row r="188" spans="1:49" x14ac:dyDescent="0.2">
      <c r="A188">
        <v>186</v>
      </c>
      <c r="B188" t="s">
        <v>2299</v>
      </c>
      <c r="C188" t="s">
        <v>2298</v>
      </c>
      <c r="F188" t="s">
        <v>2297</v>
      </c>
      <c r="G188" t="s">
        <v>6</v>
      </c>
      <c r="H188" t="s">
        <v>5</v>
      </c>
      <c r="I188" t="s">
        <v>2296</v>
      </c>
      <c r="J188">
        <v>60017293</v>
      </c>
      <c r="K188" t="s">
        <v>354</v>
      </c>
      <c r="L188" t="s">
        <v>317</v>
      </c>
      <c r="M188" t="s">
        <v>30</v>
      </c>
      <c r="N188">
        <v>3</v>
      </c>
      <c r="O188" t="s">
        <v>2295</v>
      </c>
      <c r="P188" t="s">
        <v>2294</v>
      </c>
      <c r="Q188" t="s">
        <v>353</v>
      </c>
      <c r="R188" s="8">
        <v>35004</v>
      </c>
      <c r="S188" s="9">
        <f t="shared" si="16"/>
        <v>1995</v>
      </c>
      <c r="T188" s="9">
        <v>1995</v>
      </c>
      <c r="U188" s="9">
        <f t="shared" si="17"/>
        <v>27</v>
      </c>
      <c r="V188" s="8">
        <v>35004</v>
      </c>
      <c r="W188" t="s">
        <v>121</v>
      </c>
      <c r="X188" s="2">
        <v>1.6519999999999999</v>
      </c>
      <c r="Y188" s="7">
        <f t="shared" si="18"/>
        <v>4.409919649769093E-2</v>
      </c>
      <c r="AA188" t="s">
        <v>120</v>
      </c>
      <c r="AB188">
        <v>17337</v>
      </c>
      <c r="AD188" t="s">
        <v>3</v>
      </c>
      <c r="AE188">
        <v>43</v>
      </c>
      <c r="AF188">
        <v>11</v>
      </c>
      <c r="AH188" t="s">
        <v>2293</v>
      </c>
      <c r="AI188" t="s">
        <v>2292</v>
      </c>
      <c r="AK188" t="s">
        <v>2291</v>
      </c>
      <c r="AL188">
        <v>6</v>
      </c>
      <c r="AM188" s="5">
        <f t="shared" si="19"/>
        <v>0.22222222222222221</v>
      </c>
      <c r="AN188" s="4">
        <f t="shared" si="20"/>
        <v>3.365728469855694E-4</v>
      </c>
      <c r="AO188" s="3"/>
      <c r="AP188">
        <v>0</v>
      </c>
      <c r="AR188" t="s">
        <v>1</v>
      </c>
      <c r="AT188" s="2" t="s">
        <v>7</v>
      </c>
      <c r="AU188" s="1">
        <f t="shared" si="21"/>
        <v>3.0970409402479322</v>
      </c>
      <c r="AV188" s="1">
        <f t="shared" si="22"/>
        <v>2.2217884672338251</v>
      </c>
      <c r="AW188" s="1">
        <f t="shared" si="23"/>
        <v>1.3465359942197175</v>
      </c>
    </row>
    <row r="189" spans="1:49" x14ac:dyDescent="0.2">
      <c r="A189">
        <v>187</v>
      </c>
      <c r="B189" t="s">
        <v>2290</v>
      </c>
      <c r="F189" t="s">
        <v>2289</v>
      </c>
      <c r="G189" t="s">
        <v>6</v>
      </c>
      <c r="H189" t="s">
        <v>5</v>
      </c>
      <c r="I189" t="s">
        <v>2288</v>
      </c>
      <c r="J189">
        <v>60018279</v>
      </c>
      <c r="K189" t="s">
        <v>251</v>
      </c>
      <c r="L189" t="s">
        <v>250</v>
      </c>
      <c r="M189" t="s">
        <v>14</v>
      </c>
      <c r="N189">
        <v>2</v>
      </c>
      <c r="O189" t="s">
        <v>2287</v>
      </c>
      <c r="P189" t="s">
        <v>2286</v>
      </c>
      <c r="Q189" t="s">
        <v>249</v>
      </c>
      <c r="R189" s="8">
        <v>35004</v>
      </c>
      <c r="S189" s="9">
        <f t="shared" si="16"/>
        <v>1995</v>
      </c>
      <c r="T189" s="9">
        <v>1995</v>
      </c>
      <c r="U189" s="9">
        <f t="shared" si="17"/>
        <v>27</v>
      </c>
      <c r="V189" s="8">
        <v>35004</v>
      </c>
      <c r="W189" t="s">
        <v>403</v>
      </c>
      <c r="X189" s="2">
        <v>0.21099999999999999</v>
      </c>
      <c r="Y189" s="7">
        <f t="shared" si="18"/>
        <v>5.6325244921384904E-3</v>
      </c>
      <c r="AA189">
        <v>9168516</v>
      </c>
      <c r="AB189">
        <v>18936</v>
      </c>
      <c r="AD189" t="s">
        <v>3</v>
      </c>
      <c r="AE189" t="s">
        <v>402</v>
      </c>
      <c r="AF189">
        <v>11</v>
      </c>
      <c r="AH189" t="s">
        <v>2285</v>
      </c>
      <c r="AI189" t="s">
        <v>2284</v>
      </c>
      <c r="AK189" t="s">
        <v>2283</v>
      </c>
      <c r="AL189">
        <v>47</v>
      </c>
      <c r="AM189" s="5">
        <f t="shared" si="19"/>
        <v>1.7407407407407407</v>
      </c>
      <c r="AN189" s="4">
        <f t="shared" si="20"/>
        <v>2.6364873013869604E-3</v>
      </c>
      <c r="AO189" s="3"/>
      <c r="AP189">
        <v>0</v>
      </c>
      <c r="AR189" t="s">
        <v>1</v>
      </c>
      <c r="AT189" s="2">
        <v>0.52500000000000002</v>
      </c>
      <c r="AU189" s="1">
        <f t="shared" si="21"/>
        <v>0.47337133349130311</v>
      </c>
      <c r="AV189" s="1">
        <f t="shared" si="22"/>
        <v>0.41345058967627252</v>
      </c>
      <c r="AW189" s="1">
        <f t="shared" si="23"/>
        <v>0.35352984586124192</v>
      </c>
    </row>
    <row r="190" spans="1:49" x14ac:dyDescent="0.2">
      <c r="A190">
        <v>188</v>
      </c>
      <c r="B190" t="s">
        <v>2282</v>
      </c>
      <c r="F190" t="s">
        <v>2281</v>
      </c>
      <c r="G190" t="s">
        <v>6</v>
      </c>
      <c r="H190" t="s">
        <v>5</v>
      </c>
      <c r="I190" t="s">
        <v>2280</v>
      </c>
      <c r="J190">
        <v>60024751</v>
      </c>
      <c r="K190" t="s">
        <v>2279</v>
      </c>
      <c r="L190" t="s">
        <v>196</v>
      </c>
      <c r="M190" t="s">
        <v>14</v>
      </c>
      <c r="N190">
        <v>3</v>
      </c>
      <c r="O190" t="s">
        <v>2278</v>
      </c>
      <c r="P190" t="s">
        <v>2277</v>
      </c>
      <c r="Q190" t="s">
        <v>2276</v>
      </c>
      <c r="R190" s="8">
        <v>35004</v>
      </c>
      <c r="S190" s="9">
        <f t="shared" si="16"/>
        <v>1995</v>
      </c>
      <c r="T190" s="9">
        <v>1995</v>
      </c>
      <c r="U190" s="9">
        <f t="shared" si="17"/>
        <v>27</v>
      </c>
      <c r="V190" s="8">
        <v>35004</v>
      </c>
      <c r="W190" t="s">
        <v>403</v>
      </c>
      <c r="X190" s="2">
        <v>0.21099999999999999</v>
      </c>
      <c r="Y190" s="7">
        <f t="shared" si="18"/>
        <v>5.6325244921384904E-3</v>
      </c>
      <c r="AA190">
        <v>9168516</v>
      </c>
      <c r="AB190">
        <v>18936</v>
      </c>
      <c r="AD190" t="s">
        <v>3</v>
      </c>
      <c r="AE190" t="s">
        <v>402</v>
      </c>
      <c r="AF190">
        <v>11</v>
      </c>
      <c r="AH190" t="s">
        <v>2275</v>
      </c>
      <c r="AI190" t="s">
        <v>2274</v>
      </c>
      <c r="AK190" t="s">
        <v>2273</v>
      </c>
      <c r="AL190">
        <v>27</v>
      </c>
      <c r="AM190" s="5">
        <f t="shared" si="19"/>
        <v>1</v>
      </c>
      <c r="AN190" s="4">
        <f t="shared" si="20"/>
        <v>1.5145778114350624E-3</v>
      </c>
      <c r="AO190" s="3"/>
      <c r="AP190">
        <v>0</v>
      </c>
      <c r="AR190" t="s">
        <v>1</v>
      </c>
      <c r="AT190" s="2">
        <v>0.52500000000000002</v>
      </c>
      <c r="AU190" s="1">
        <f t="shared" si="21"/>
        <v>0.43971404879274611</v>
      </c>
      <c r="AV190" s="1">
        <f t="shared" si="22"/>
        <v>0.35735511517867763</v>
      </c>
      <c r="AW190" s="1">
        <f t="shared" si="23"/>
        <v>0.27499618156460909</v>
      </c>
    </row>
    <row r="191" spans="1:49" x14ac:dyDescent="0.2">
      <c r="A191">
        <v>189</v>
      </c>
      <c r="B191" t="s">
        <v>2272</v>
      </c>
      <c r="F191" t="s">
        <v>2271</v>
      </c>
      <c r="G191" t="s">
        <v>6</v>
      </c>
      <c r="H191" t="s">
        <v>5</v>
      </c>
      <c r="I191" t="s">
        <v>2270</v>
      </c>
      <c r="J191">
        <v>60021902</v>
      </c>
      <c r="K191" t="s">
        <v>147</v>
      </c>
      <c r="L191" t="s">
        <v>146</v>
      </c>
      <c r="M191" t="s">
        <v>145</v>
      </c>
      <c r="N191">
        <v>2</v>
      </c>
      <c r="O191" t="s">
        <v>2269</v>
      </c>
      <c r="P191" t="s">
        <v>2268</v>
      </c>
      <c r="Q191" t="s">
        <v>387</v>
      </c>
      <c r="R191" s="8">
        <v>35004</v>
      </c>
      <c r="S191" s="9">
        <f t="shared" si="16"/>
        <v>1995</v>
      </c>
      <c r="T191" s="9">
        <v>1995</v>
      </c>
      <c r="U191" s="9">
        <f t="shared" si="17"/>
        <v>27</v>
      </c>
      <c r="V191" s="8">
        <v>35004</v>
      </c>
      <c r="W191" t="s">
        <v>2267</v>
      </c>
      <c r="X191" s="2">
        <v>0.216</v>
      </c>
      <c r="Y191" s="7">
        <f t="shared" si="18"/>
        <v>5.765996636501962E-3</v>
      </c>
      <c r="AA191">
        <v>10544887</v>
      </c>
      <c r="AB191">
        <v>13200</v>
      </c>
      <c r="AD191" t="s">
        <v>3</v>
      </c>
      <c r="AE191">
        <v>10</v>
      </c>
      <c r="AF191">
        <v>3</v>
      </c>
      <c r="AH191" t="s">
        <v>2266</v>
      </c>
      <c r="AI191" t="s">
        <v>2265</v>
      </c>
      <c r="AK191" t="s">
        <v>2264</v>
      </c>
      <c r="AL191">
        <v>4</v>
      </c>
      <c r="AM191" s="5">
        <f t="shared" si="19"/>
        <v>0.14814814814814814</v>
      </c>
      <c r="AN191" s="4">
        <f t="shared" si="20"/>
        <v>2.2438189799037963E-4</v>
      </c>
      <c r="AO191" s="3"/>
      <c r="AP191">
        <v>0</v>
      </c>
      <c r="AR191" t="s">
        <v>1</v>
      </c>
      <c r="AT191" s="2" t="s">
        <v>7</v>
      </c>
      <c r="AU191" s="1">
        <f t="shared" si="21"/>
        <v>0.41035122149484871</v>
      </c>
      <c r="AV191" s="1">
        <f t="shared" si="22"/>
        <v>0.29951892672461711</v>
      </c>
      <c r="AW191" s="1">
        <f t="shared" si="23"/>
        <v>0.18868663195438543</v>
      </c>
    </row>
    <row r="192" spans="1:49" x14ac:dyDescent="0.2">
      <c r="A192">
        <v>190</v>
      </c>
      <c r="B192" t="s">
        <v>2263</v>
      </c>
      <c r="C192" t="s">
        <v>2262</v>
      </c>
      <c r="F192" t="s">
        <v>2261</v>
      </c>
      <c r="G192" t="s">
        <v>6</v>
      </c>
      <c r="H192" t="s">
        <v>5</v>
      </c>
      <c r="I192" t="s">
        <v>2260</v>
      </c>
      <c r="J192">
        <v>60025761</v>
      </c>
      <c r="K192" t="s">
        <v>2259</v>
      </c>
      <c r="L192" t="s">
        <v>2258</v>
      </c>
      <c r="M192" t="s">
        <v>183</v>
      </c>
      <c r="N192">
        <v>2</v>
      </c>
      <c r="O192" t="s">
        <v>2257</v>
      </c>
      <c r="P192" t="s">
        <v>2256</v>
      </c>
      <c r="Q192" t="s">
        <v>2255</v>
      </c>
      <c r="R192" s="8">
        <v>35004</v>
      </c>
      <c r="S192" s="9">
        <f t="shared" si="16"/>
        <v>1995</v>
      </c>
      <c r="T192" s="9">
        <v>1995</v>
      </c>
      <c r="U192" s="9">
        <f t="shared" si="17"/>
        <v>27</v>
      </c>
      <c r="V192" s="8">
        <v>35004</v>
      </c>
      <c r="W192" t="s">
        <v>282</v>
      </c>
      <c r="X192" s="2">
        <v>0.61499999999999999</v>
      </c>
      <c r="Y192" s="7">
        <f t="shared" si="18"/>
        <v>1.6417073756706976E-2</v>
      </c>
      <c r="AA192">
        <v>1959271</v>
      </c>
      <c r="AB192">
        <v>12141</v>
      </c>
      <c r="AC192">
        <v>15729559</v>
      </c>
      <c r="AD192" t="s">
        <v>3</v>
      </c>
      <c r="AE192">
        <v>16</v>
      </c>
      <c r="AF192">
        <v>11</v>
      </c>
      <c r="AH192" t="s">
        <v>2254</v>
      </c>
      <c r="AI192" t="s">
        <v>2253</v>
      </c>
      <c r="AK192" t="s">
        <v>2252</v>
      </c>
      <c r="AL192">
        <v>0</v>
      </c>
      <c r="AM192" s="5">
        <f t="shared" si="19"/>
        <v>0</v>
      </c>
      <c r="AN192" s="4">
        <f t="shared" si="20"/>
        <v>0</v>
      </c>
      <c r="AO192" s="3"/>
      <c r="AP192">
        <v>0</v>
      </c>
      <c r="AR192" t="s">
        <v>1</v>
      </c>
      <c r="AT192" s="2" t="s">
        <v>7</v>
      </c>
      <c r="AU192" s="1">
        <f t="shared" si="21"/>
        <v>1.1491951629694881</v>
      </c>
      <c r="AV192" s="1">
        <f t="shared" si="22"/>
        <v>0.82085368783534873</v>
      </c>
      <c r="AW192" s="1">
        <f t="shared" si="23"/>
        <v>0.49251221270120926</v>
      </c>
    </row>
    <row r="193" spans="1:49" x14ac:dyDescent="0.2">
      <c r="A193">
        <v>191</v>
      </c>
      <c r="B193" t="s">
        <v>2251</v>
      </c>
      <c r="C193" t="s">
        <v>2250</v>
      </c>
      <c r="F193" t="s">
        <v>2249</v>
      </c>
      <c r="G193" t="s">
        <v>6</v>
      </c>
      <c r="H193" t="s">
        <v>5</v>
      </c>
      <c r="I193" t="s">
        <v>2248</v>
      </c>
      <c r="J193">
        <v>60005244</v>
      </c>
      <c r="K193" t="s">
        <v>2236</v>
      </c>
      <c r="L193" t="s">
        <v>267</v>
      </c>
      <c r="M193" t="s">
        <v>183</v>
      </c>
      <c r="N193">
        <v>3</v>
      </c>
      <c r="O193" t="s">
        <v>2247</v>
      </c>
      <c r="P193" t="s">
        <v>2246</v>
      </c>
      <c r="Q193" t="s">
        <v>2245</v>
      </c>
      <c r="R193" s="8">
        <v>35004</v>
      </c>
      <c r="S193" s="9">
        <f t="shared" si="16"/>
        <v>1995</v>
      </c>
      <c r="T193" s="9">
        <v>1995</v>
      </c>
      <c r="U193" s="9">
        <f t="shared" si="17"/>
        <v>27</v>
      </c>
      <c r="V193" s="8">
        <v>35004</v>
      </c>
      <c r="W193" t="s">
        <v>282</v>
      </c>
      <c r="X193" s="2">
        <v>0.61499999999999999</v>
      </c>
      <c r="Y193" s="7">
        <f t="shared" si="18"/>
        <v>1.6417073756706976E-2</v>
      </c>
      <c r="AA193">
        <v>1959271</v>
      </c>
      <c r="AB193">
        <v>12141</v>
      </c>
      <c r="AC193">
        <v>15729559</v>
      </c>
      <c r="AD193" t="s">
        <v>3</v>
      </c>
      <c r="AE193">
        <v>16</v>
      </c>
      <c r="AF193">
        <v>11</v>
      </c>
      <c r="AH193" t="s">
        <v>2244</v>
      </c>
      <c r="AI193" t="s">
        <v>2243</v>
      </c>
      <c r="AJ193" t="s">
        <v>2242</v>
      </c>
      <c r="AK193" t="s">
        <v>2241</v>
      </c>
      <c r="AL193">
        <v>0</v>
      </c>
      <c r="AM193" s="5">
        <f t="shared" si="19"/>
        <v>0</v>
      </c>
      <c r="AN193" s="4">
        <f t="shared" si="20"/>
        <v>0</v>
      </c>
      <c r="AO193" s="3"/>
      <c r="AP193">
        <v>0</v>
      </c>
      <c r="AR193" t="s">
        <v>1</v>
      </c>
      <c r="AT193" s="2" t="s">
        <v>7</v>
      </c>
      <c r="AU193" s="1">
        <f t="shared" si="21"/>
        <v>1.1491951629694881</v>
      </c>
      <c r="AV193" s="1">
        <f t="shared" si="22"/>
        <v>0.82085368783534873</v>
      </c>
      <c r="AW193" s="1">
        <f t="shared" si="23"/>
        <v>0.49251221270120926</v>
      </c>
    </row>
    <row r="194" spans="1:49" x14ac:dyDescent="0.2">
      <c r="A194">
        <v>192</v>
      </c>
      <c r="B194" t="s">
        <v>2240</v>
      </c>
      <c r="C194" t="s">
        <v>2239</v>
      </c>
      <c r="F194" t="s">
        <v>2238</v>
      </c>
      <c r="G194" t="s">
        <v>6</v>
      </c>
      <c r="H194" t="s">
        <v>5</v>
      </c>
      <c r="I194" t="s">
        <v>2237</v>
      </c>
      <c r="J194">
        <v>60005244</v>
      </c>
      <c r="K194" t="s">
        <v>2236</v>
      </c>
      <c r="L194" t="s">
        <v>267</v>
      </c>
      <c r="M194" t="s">
        <v>183</v>
      </c>
      <c r="N194">
        <v>2</v>
      </c>
      <c r="O194" t="s">
        <v>2235</v>
      </c>
      <c r="P194" t="s">
        <v>2234</v>
      </c>
      <c r="Q194" t="s">
        <v>2233</v>
      </c>
      <c r="R194" s="8">
        <v>35004</v>
      </c>
      <c r="S194" s="9">
        <f t="shared" ref="S194:S257" si="24">YEAR(R194)</f>
        <v>1995</v>
      </c>
      <c r="T194" s="9">
        <v>1995</v>
      </c>
      <c r="U194" s="9">
        <f t="shared" ref="U194:U257" si="25">2022-T194</f>
        <v>27</v>
      </c>
      <c r="V194" s="8">
        <v>35004</v>
      </c>
      <c r="W194" t="s">
        <v>282</v>
      </c>
      <c r="X194" s="2">
        <v>0.61499999999999999</v>
      </c>
      <c r="Y194" s="7">
        <f t="shared" ref="Y194:Y257" si="26">(X194-$Z$4)/($Z$3-$Z$4)</f>
        <v>1.6417073756706976E-2</v>
      </c>
      <c r="AA194">
        <v>1959271</v>
      </c>
      <c r="AB194">
        <v>12141</v>
      </c>
      <c r="AC194">
        <v>15729559</v>
      </c>
      <c r="AD194" t="s">
        <v>3</v>
      </c>
      <c r="AE194">
        <v>16</v>
      </c>
      <c r="AF194">
        <v>11</v>
      </c>
      <c r="AH194" t="s">
        <v>2232</v>
      </c>
      <c r="AI194" t="s">
        <v>2231</v>
      </c>
      <c r="AJ194" t="s">
        <v>2230</v>
      </c>
      <c r="AK194" t="s">
        <v>2229</v>
      </c>
      <c r="AL194">
        <v>7</v>
      </c>
      <c r="AM194" s="5">
        <f t="shared" ref="AM194:AM257" si="27">AL194/U194</f>
        <v>0.25925925925925924</v>
      </c>
      <c r="AN194" s="4">
        <f t="shared" ref="AN194:AN257" si="28">(AM194-$AO$4)/($AO$3-$AO$4)</f>
        <v>3.9266832148316435E-4</v>
      </c>
      <c r="AO194" s="3"/>
      <c r="AP194">
        <v>0</v>
      </c>
      <c r="AR194" t="s">
        <v>1</v>
      </c>
      <c r="AT194" s="2" t="s">
        <v>7</v>
      </c>
      <c r="AU194" s="1">
        <f t="shared" ref="AU194:AU257" si="29">(Y194*0.7+AN194*0.3)*100</f>
        <v>1.160975212613983</v>
      </c>
      <c r="AV194" s="1">
        <f t="shared" ref="AV194:AV257" si="30">(Y194*0.5+AN194*0.5)*100</f>
        <v>0.84048710390950709</v>
      </c>
      <c r="AW194" s="1">
        <f t="shared" ref="AW194:AW257" si="31">(Y194*0.3+AN194*0.7)*100</f>
        <v>0.51999899520503068</v>
      </c>
    </row>
    <row r="195" spans="1:49" x14ac:dyDescent="0.2">
      <c r="A195">
        <v>193</v>
      </c>
      <c r="B195" t="s">
        <v>2228</v>
      </c>
      <c r="C195" t="s">
        <v>2227</v>
      </c>
      <c r="F195" t="s">
        <v>2226</v>
      </c>
      <c r="G195" t="s">
        <v>6</v>
      </c>
      <c r="H195" t="s">
        <v>5</v>
      </c>
      <c r="I195" t="s">
        <v>2225</v>
      </c>
      <c r="J195">
        <v>60002793</v>
      </c>
      <c r="K195" t="s">
        <v>2224</v>
      </c>
      <c r="L195" t="s">
        <v>2223</v>
      </c>
      <c r="M195" t="s">
        <v>37</v>
      </c>
      <c r="N195">
        <v>4</v>
      </c>
      <c r="O195" t="s">
        <v>2222</v>
      </c>
      <c r="P195" t="s">
        <v>2221</v>
      </c>
      <c r="Q195" t="s">
        <v>2220</v>
      </c>
      <c r="R195" s="8">
        <v>35004</v>
      </c>
      <c r="S195" s="9">
        <f t="shared" si="24"/>
        <v>1995</v>
      </c>
      <c r="T195" s="9">
        <v>1995</v>
      </c>
      <c r="U195" s="9">
        <f t="shared" si="25"/>
        <v>27</v>
      </c>
      <c r="V195" s="8">
        <v>35004</v>
      </c>
      <c r="W195" t="s">
        <v>83</v>
      </c>
      <c r="X195" s="2">
        <v>0.85499999999999998</v>
      </c>
      <c r="Y195" s="7">
        <f t="shared" si="26"/>
        <v>2.28237366861536E-2</v>
      </c>
      <c r="AA195">
        <v>980331</v>
      </c>
      <c r="AB195">
        <v>23342</v>
      </c>
      <c r="AC195">
        <v>15731561</v>
      </c>
      <c r="AD195" t="s">
        <v>3</v>
      </c>
      <c r="AE195">
        <v>21</v>
      </c>
      <c r="AF195">
        <v>11</v>
      </c>
      <c r="AH195" t="s">
        <v>2219</v>
      </c>
      <c r="AI195" t="s">
        <v>2218</v>
      </c>
      <c r="AJ195" t="s">
        <v>2217</v>
      </c>
      <c r="AK195" t="s">
        <v>2216</v>
      </c>
      <c r="AL195">
        <v>99</v>
      </c>
      <c r="AM195" s="5">
        <f t="shared" si="27"/>
        <v>3.6666666666666665</v>
      </c>
      <c r="AN195" s="4">
        <f t="shared" si="28"/>
        <v>5.5534519752618956E-3</v>
      </c>
      <c r="AO195" s="3"/>
      <c r="AP195">
        <v>0</v>
      </c>
      <c r="AR195" t="s">
        <v>1</v>
      </c>
      <c r="AT195" s="2">
        <v>2.6259999999999999</v>
      </c>
      <c r="AU195" s="1">
        <f t="shared" si="29"/>
        <v>1.7642651272886087</v>
      </c>
      <c r="AV195" s="1">
        <f t="shared" si="30"/>
        <v>1.4188594330707749</v>
      </c>
      <c r="AW195" s="1">
        <f t="shared" si="31"/>
        <v>1.0734537388529408</v>
      </c>
    </row>
    <row r="196" spans="1:49" x14ac:dyDescent="0.2">
      <c r="A196">
        <v>194</v>
      </c>
      <c r="B196" t="s">
        <v>2215</v>
      </c>
      <c r="C196" t="s">
        <v>2214</v>
      </c>
      <c r="F196" t="s">
        <v>2213</v>
      </c>
      <c r="G196" t="s">
        <v>6</v>
      </c>
      <c r="H196" t="s">
        <v>5</v>
      </c>
      <c r="I196" t="s">
        <v>2212</v>
      </c>
      <c r="J196">
        <v>60029526</v>
      </c>
      <c r="K196" t="s">
        <v>2211</v>
      </c>
      <c r="L196" t="s">
        <v>2210</v>
      </c>
      <c r="M196" t="s">
        <v>4</v>
      </c>
      <c r="N196">
        <v>5</v>
      </c>
      <c r="O196" t="s">
        <v>2209</v>
      </c>
      <c r="P196" t="s">
        <v>2208</v>
      </c>
      <c r="Q196" t="s">
        <v>2207</v>
      </c>
      <c r="R196" s="8">
        <v>35004</v>
      </c>
      <c r="S196" s="9">
        <f t="shared" si="24"/>
        <v>1995</v>
      </c>
      <c r="T196" s="9">
        <v>1995</v>
      </c>
      <c r="U196" s="9">
        <f t="shared" si="25"/>
        <v>27</v>
      </c>
      <c r="V196" s="8">
        <v>35004</v>
      </c>
      <c r="W196" t="s">
        <v>83</v>
      </c>
      <c r="X196" s="2">
        <v>0.85499999999999998</v>
      </c>
      <c r="Y196" s="7">
        <f t="shared" si="26"/>
        <v>2.28237366861536E-2</v>
      </c>
      <c r="AA196">
        <v>980331</v>
      </c>
      <c r="AB196">
        <v>23342</v>
      </c>
      <c r="AC196">
        <v>15731561</v>
      </c>
      <c r="AD196" t="s">
        <v>3</v>
      </c>
      <c r="AE196">
        <v>21</v>
      </c>
      <c r="AF196">
        <v>11</v>
      </c>
      <c r="AH196" t="s">
        <v>2206</v>
      </c>
      <c r="AI196" t="s">
        <v>2205</v>
      </c>
      <c r="AJ196" t="s">
        <v>2204</v>
      </c>
      <c r="AK196" t="s">
        <v>2203</v>
      </c>
      <c r="AL196">
        <v>71</v>
      </c>
      <c r="AM196" s="5">
        <f t="shared" si="27"/>
        <v>2.6296296296296298</v>
      </c>
      <c r="AN196" s="4">
        <f t="shared" si="28"/>
        <v>3.9827786893292388E-3</v>
      </c>
      <c r="AO196" s="3"/>
      <c r="AP196">
        <v>0</v>
      </c>
      <c r="AR196" t="s">
        <v>1</v>
      </c>
      <c r="AT196" s="2">
        <v>2.6259999999999999</v>
      </c>
      <c r="AU196" s="1">
        <f t="shared" si="29"/>
        <v>1.7171449287106288</v>
      </c>
      <c r="AV196" s="1">
        <f t="shared" si="30"/>
        <v>1.3403257687741419</v>
      </c>
      <c r="AW196" s="1">
        <f t="shared" si="31"/>
        <v>0.96350660883765471</v>
      </c>
    </row>
    <row r="197" spans="1:49" x14ac:dyDescent="0.2">
      <c r="A197">
        <v>195</v>
      </c>
      <c r="B197" t="s">
        <v>2202</v>
      </c>
      <c r="C197" t="s">
        <v>2201</v>
      </c>
      <c r="F197" t="s">
        <v>2200</v>
      </c>
      <c r="G197" t="s">
        <v>6</v>
      </c>
      <c r="H197" t="s">
        <v>5</v>
      </c>
      <c r="I197" t="s">
        <v>2199</v>
      </c>
      <c r="J197">
        <v>60103678</v>
      </c>
      <c r="K197" t="s">
        <v>2198</v>
      </c>
      <c r="L197" t="s">
        <v>2197</v>
      </c>
      <c r="M197" t="s">
        <v>4</v>
      </c>
      <c r="N197">
        <v>2</v>
      </c>
      <c r="O197" t="s">
        <v>2196</v>
      </c>
      <c r="P197" t="s">
        <v>2195</v>
      </c>
      <c r="Q197" t="s">
        <v>2194</v>
      </c>
      <c r="R197" s="8">
        <v>35004</v>
      </c>
      <c r="S197" s="9">
        <f t="shared" si="24"/>
        <v>1995</v>
      </c>
      <c r="T197" s="9">
        <v>1995</v>
      </c>
      <c r="U197" s="9">
        <f t="shared" si="25"/>
        <v>27</v>
      </c>
      <c r="V197" s="8">
        <v>35004</v>
      </c>
      <c r="W197" t="s">
        <v>83</v>
      </c>
      <c r="X197" s="2">
        <v>0.85499999999999998</v>
      </c>
      <c r="Y197" s="7">
        <f t="shared" si="26"/>
        <v>2.28237366861536E-2</v>
      </c>
      <c r="AA197">
        <v>980331</v>
      </c>
      <c r="AB197">
        <v>23342</v>
      </c>
      <c r="AC197">
        <v>15731561</v>
      </c>
      <c r="AD197" t="s">
        <v>3</v>
      </c>
      <c r="AE197">
        <v>21</v>
      </c>
      <c r="AF197">
        <v>11</v>
      </c>
      <c r="AH197" t="s">
        <v>2193</v>
      </c>
      <c r="AI197" t="s">
        <v>2192</v>
      </c>
      <c r="AJ197" t="s">
        <v>2191</v>
      </c>
      <c r="AK197" t="s">
        <v>2190</v>
      </c>
      <c r="AL197">
        <v>8</v>
      </c>
      <c r="AM197" s="5">
        <f t="shared" si="27"/>
        <v>0.29629629629629628</v>
      </c>
      <c r="AN197" s="4">
        <f t="shared" si="28"/>
        <v>4.4876379598075925E-4</v>
      </c>
      <c r="AO197" s="3"/>
      <c r="AP197">
        <v>0</v>
      </c>
      <c r="AR197" t="s">
        <v>1</v>
      </c>
      <c r="AT197" s="2">
        <v>2.6259999999999999</v>
      </c>
      <c r="AU197" s="1">
        <f t="shared" si="29"/>
        <v>1.6111244819101744</v>
      </c>
      <c r="AV197" s="1">
        <f t="shared" si="30"/>
        <v>1.1636250241067179</v>
      </c>
      <c r="AW197" s="1">
        <f t="shared" si="31"/>
        <v>0.71612556630326119</v>
      </c>
    </row>
    <row r="198" spans="1:49" x14ac:dyDescent="0.2">
      <c r="A198">
        <v>196</v>
      </c>
      <c r="B198" t="s">
        <v>2189</v>
      </c>
      <c r="C198" t="s">
        <v>2188</v>
      </c>
      <c r="E198">
        <v>8565054</v>
      </c>
      <c r="F198" t="s">
        <v>2187</v>
      </c>
      <c r="G198" t="s">
        <v>6</v>
      </c>
      <c r="H198" t="s">
        <v>5</v>
      </c>
      <c r="I198" t="s">
        <v>2186</v>
      </c>
      <c r="J198">
        <v>60031855</v>
      </c>
      <c r="K198" t="s">
        <v>70</v>
      </c>
      <c r="L198" t="s">
        <v>69</v>
      </c>
      <c r="M198" t="s">
        <v>68</v>
      </c>
      <c r="N198">
        <v>3</v>
      </c>
      <c r="O198" t="s">
        <v>2185</v>
      </c>
      <c r="P198" t="s">
        <v>2184</v>
      </c>
      <c r="Q198" t="s">
        <v>2183</v>
      </c>
      <c r="R198" s="8">
        <v>35004</v>
      </c>
      <c r="S198" s="9">
        <f t="shared" si="24"/>
        <v>1995</v>
      </c>
      <c r="T198" s="9">
        <v>1995</v>
      </c>
      <c r="U198" s="9">
        <f t="shared" si="25"/>
        <v>27</v>
      </c>
      <c r="V198" s="8">
        <v>35004</v>
      </c>
      <c r="W198" t="s">
        <v>388</v>
      </c>
      <c r="X198" s="2" t="s">
        <v>7</v>
      </c>
      <c r="Y198" s="7" t="e">
        <f t="shared" si="26"/>
        <v>#VALUE!</v>
      </c>
      <c r="AA198" t="s">
        <v>60</v>
      </c>
      <c r="AB198">
        <v>18446</v>
      </c>
      <c r="AC198">
        <v>14320878</v>
      </c>
      <c r="AD198" t="s">
        <v>3</v>
      </c>
      <c r="AE198">
        <v>282</v>
      </c>
      <c r="AF198">
        <v>2</v>
      </c>
      <c r="AH198" t="s">
        <v>2182</v>
      </c>
      <c r="AI198" t="s">
        <v>2181</v>
      </c>
      <c r="AJ198" t="s">
        <v>2180</v>
      </c>
      <c r="AK198" t="s">
        <v>2179</v>
      </c>
      <c r="AL198">
        <v>78</v>
      </c>
      <c r="AM198" s="5">
        <f t="shared" si="27"/>
        <v>2.8888888888888888</v>
      </c>
      <c r="AN198" s="4">
        <f t="shared" si="28"/>
        <v>4.3754470108124024E-3</v>
      </c>
      <c r="AO198" s="3"/>
      <c r="AP198">
        <v>0</v>
      </c>
      <c r="AR198" t="s">
        <v>1</v>
      </c>
      <c r="AT198" s="2" t="s">
        <v>7</v>
      </c>
      <c r="AU198" s="1" t="e">
        <f t="shared" si="29"/>
        <v>#VALUE!</v>
      </c>
      <c r="AV198" s="1" t="e">
        <f t="shared" si="30"/>
        <v>#VALUE!</v>
      </c>
      <c r="AW198" s="1" t="e">
        <f t="shared" si="31"/>
        <v>#VALUE!</v>
      </c>
    </row>
    <row r="199" spans="1:49" x14ac:dyDescent="0.2">
      <c r="A199">
        <v>197</v>
      </c>
      <c r="B199" t="s">
        <v>2178</v>
      </c>
      <c r="C199" t="s">
        <v>2177</v>
      </c>
      <c r="F199" t="s">
        <v>2176</v>
      </c>
      <c r="G199" t="s">
        <v>6</v>
      </c>
      <c r="H199" t="s">
        <v>5</v>
      </c>
      <c r="I199" t="s">
        <v>33</v>
      </c>
      <c r="J199">
        <v>60030318</v>
      </c>
      <c r="K199" t="s">
        <v>32</v>
      </c>
      <c r="L199" t="s">
        <v>31</v>
      </c>
      <c r="M199" t="s">
        <v>30</v>
      </c>
      <c r="N199">
        <v>2</v>
      </c>
      <c r="O199" t="s">
        <v>29</v>
      </c>
      <c r="P199" t="s">
        <v>28</v>
      </c>
      <c r="Q199" t="s">
        <v>27</v>
      </c>
      <c r="R199" s="8">
        <v>35004</v>
      </c>
      <c r="S199" s="9">
        <f t="shared" si="24"/>
        <v>1995</v>
      </c>
      <c r="T199" s="9">
        <v>1995</v>
      </c>
      <c r="U199" s="9">
        <f t="shared" si="25"/>
        <v>27</v>
      </c>
      <c r="V199" s="8">
        <v>35004</v>
      </c>
      <c r="W199" t="s">
        <v>349</v>
      </c>
      <c r="X199" s="2">
        <v>0.84299999999999997</v>
      </c>
      <c r="Y199" s="7">
        <f t="shared" si="26"/>
        <v>2.250340353968127E-2</v>
      </c>
      <c r="AA199">
        <v>188158</v>
      </c>
      <c r="AB199">
        <v>15168</v>
      </c>
      <c r="AC199">
        <v>15735117</v>
      </c>
      <c r="AD199" t="s">
        <v>3</v>
      </c>
      <c r="AE199" t="s">
        <v>318</v>
      </c>
      <c r="AF199">
        <v>1</v>
      </c>
      <c r="AH199" t="s">
        <v>372</v>
      </c>
      <c r="AI199" t="s">
        <v>2175</v>
      </c>
      <c r="AJ199" t="s">
        <v>2174</v>
      </c>
      <c r="AK199" t="s">
        <v>2173</v>
      </c>
      <c r="AL199">
        <v>54</v>
      </c>
      <c r="AM199" s="5">
        <f t="shared" si="27"/>
        <v>2</v>
      </c>
      <c r="AN199" s="4">
        <f t="shared" si="28"/>
        <v>3.0291556228701248E-3</v>
      </c>
      <c r="AO199" s="3"/>
      <c r="AP199">
        <v>0</v>
      </c>
      <c r="AR199" t="s">
        <v>1</v>
      </c>
      <c r="AT199" s="2">
        <v>2.694</v>
      </c>
      <c r="AU199" s="1">
        <f t="shared" si="29"/>
        <v>1.6661129164637929</v>
      </c>
      <c r="AV199" s="1">
        <f t="shared" si="30"/>
        <v>1.2766279581275697</v>
      </c>
      <c r="AW199" s="1">
        <f t="shared" si="31"/>
        <v>0.88714299979134692</v>
      </c>
    </row>
    <row r="200" spans="1:49" x14ac:dyDescent="0.2">
      <c r="A200">
        <v>198</v>
      </c>
      <c r="B200" t="s">
        <v>2172</v>
      </c>
      <c r="C200" t="s">
        <v>2171</v>
      </c>
      <c r="F200" t="s">
        <v>2170</v>
      </c>
      <c r="G200" t="s">
        <v>6</v>
      </c>
      <c r="H200" t="s">
        <v>5</v>
      </c>
      <c r="I200" t="s">
        <v>2169</v>
      </c>
      <c r="J200">
        <v>60003878</v>
      </c>
      <c r="K200" t="s">
        <v>473</v>
      </c>
      <c r="L200" t="s">
        <v>472</v>
      </c>
      <c r="M200" t="s">
        <v>40</v>
      </c>
      <c r="N200">
        <v>2</v>
      </c>
      <c r="O200" t="s">
        <v>2168</v>
      </c>
      <c r="P200" t="s">
        <v>2167</v>
      </c>
      <c r="Q200" t="s">
        <v>2166</v>
      </c>
      <c r="R200" s="8">
        <v>35004</v>
      </c>
      <c r="S200" s="9">
        <f t="shared" si="24"/>
        <v>1995</v>
      </c>
      <c r="T200" s="9">
        <v>1995</v>
      </c>
      <c r="U200" s="9">
        <f t="shared" si="25"/>
        <v>27</v>
      </c>
      <c r="V200" s="8">
        <v>35004</v>
      </c>
      <c r="W200" t="s">
        <v>24</v>
      </c>
      <c r="X200" s="2">
        <v>1.1579999999999999</v>
      </c>
      <c r="Y200" s="7">
        <f t="shared" si="26"/>
        <v>3.0912148634579962E-2</v>
      </c>
      <c r="AA200">
        <v>1668595</v>
      </c>
      <c r="AB200">
        <v>14223</v>
      </c>
      <c r="AC200">
        <v>15735079</v>
      </c>
      <c r="AD200" t="s">
        <v>3</v>
      </c>
      <c r="AE200">
        <v>46</v>
      </c>
      <c r="AF200" s="6">
        <v>44228</v>
      </c>
      <c r="AH200" t="s">
        <v>2165</v>
      </c>
      <c r="AI200" t="s">
        <v>2164</v>
      </c>
      <c r="AJ200" t="s">
        <v>2163</v>
      </c>
      <c r="AK200" t="s">
        <v>2162</v>
      </c>
      <c r="AL200">
        <v>52</v>
      </c>
      <c r="AM200" s="5">
        <f t="shared" si="27"/>
        <v>1.9259259259259258</v>
      </c>
      <c r="AN200" s="4">
        <f t="shared" si="28"/>
        <v>2.9169646738749348E-3</v>
      </c>
      <c r="AO200" s="3"/>
      <c r="AP200">
        <v>0</v>
      </c>
      <c r="AR200" t="s">
        <v>1</v>
      </c>
      <c r="AT200" s="2">
        <v>3.573</v>
      </c>
      <c r="AU200" s="1">
        <f t="shared" si="29"/>
        <v>2.2513593446368452</v>
      </c>
      <c r="AV200" s="1">
        <f t="shared" si="30"/>
        <v>1.6914556654227448</v>
      </c>
      <c r="AW200" s="1">
        <f t="shared" si="31"/>
        <v>1.1315519862086443</v>
      </c>
    </row>
    <row r="201" spans="1:49" x14ac:dyDescent="0.2">
      <c r="A201">
        <v>199</v>
      </c>
      <c r="B201" t="s">
        <v>2161</v>
      </c>
      <c r="C201" t="s">
        <v>2160</v>
      </c>
      <c r="F201" t="s">
        <v>2159</v>
      </c>
      <c r="G201" t="s">
        <v>6</v>
      </c>
      <c r="H201" t="s">
        <v>5</v>
      </c>
      <c r="I201" t="s">
        <v>2158</v>
      </c>
      <c r="J201">
        <v>60008673</v>
      </c>
      <c r="K201" t="s">
        <v>327</v>
      </c>
      <c r="L201" t="s">
        <v>326</v>
      </c>
      <c r="M201" t="s">
        <v>58</v>
      </c>
      <c r="N201">
        <v>1</v>
      </c>
      <c r="O201" t="s">
        <v>2157</v>
      </c>
      <c r="P201">
        <v>6508286649</v>
      </c>
      <c r="Q201">
        <v>60008673</v>
      </c>
      <c r="R201" s="8">
        <v>35003</v>
      </c>
      <c r="S201" s="9">
        <f t="shared" si="24"/>
        <v>1995</v>
      </c>
      <c r="T201" s="9">
        <v>1995</v>
      </c>
      <c r="U201" s="9">
        <f t="shared" si="25"/>
        <v>27</v>
      </c>
      <c r="V201" s="8">
        <v>35003</v>
      </c>
      <c r="W201" t="s">
        <v>2144</v>
      </c>
      <c r="X201" s="2">
        <v>0.41799999999999998</v>
      </c>
      <c r="Y201" s="7">
        <f t="shared" si="26"/>
        <v>1.1158271268786204E-2</v>
      </c>
      <c r="AA201">
        <v>10637818</v>
      </c>
      <c r="AB201">
        <v>29653</v>
      </c>
      <c r="AC201">
        <v>14684799</v>
      </c>
      <c r="AD201" t="s">
        <v>3</v>
      </c>
      <c r="AE201">
        <v>25</v>
      </c>
      <c r="AF201">
        <v>10</v>
      </c>
      <c r="AH201" t="s">
        <v>2156</v>
      </c>
      <c r="AI201" t="s">
        <v>2155</v>
      </c>
      <c r="AK201" t="s">
        <v>2154</v>
      </c>
      <c r="AL201">
        <v>0</v>
      </c>
      <c r="AM201" s="5">
        <f t="shared" si="27"/>
        <v>0</v>
      </c>
      <c r="AN201" s="4">
        <f t="shared" si="28"/>
        <v>0</v>
      </c>
      <c r="AO201" s="3"/>
      <c r="AP201">
        <v>0</v>
      </c>
      <c r="AR201" t="s">
        <v>1</v>
      </c>
      <c r="AT201" s="2">
        <v>1.022</v>
      </c>
      <c r="AU201" s="1">
        <f t="shared" si="29"/>
        <v>0.78107898881503424</v>
      </c>
      <c r="AV201" s="1">
        <f t="shared" si="30"/>
        <v>0.5579135634393102</v>
      </c>
      <c r="AW201" s="1">
        <f t="shared" si="31"/>
        <v>0.33474813806358611</v>
      </c>
    </row>
    <row r="202" spans="1:49" x14ac:dyDescent="0.2">
      <c r="A202">
        <v>200</v>
      </c>
      <c r="B202" t="s">
        <v>2153</v>
      </c>
      <c r="C202" t="s">
        <v>2152</v>
      </c>
      <c r="F202" t="s">
        <v>2151</v>
      </c>
      <c r="G202" t="s">
        <v>6</v>
      </c>
      <c r="H202" t="s">
        <v>5</v>
      </c>
      <c r="I202" t="s">
        <v>2150</v>
      </c>
      <c r="J202">
        <v>60017103</v>
      </c>
      <c r="K202" t="s">
        <v>2149</v>
      </c>
      <c r="L202" t="s">
        <v>2148</v>
      </c>
      <c r="M202" t="s">
        <v>58</v>
      </c>
      <c r="N202">
        <v>7</v>
      </c>
      <c r="O202" t="s">
        <v>2147</v>
      </c>
      <c r="P202" t="s">
        <v>2146</v>
      </c>
      <c r="Q202" t="s">
        <v>2145</v>
      </c>
      <c r="R202" s="8">
        <v>35003</v>
      </c>
      <c r="S202" s="9">
        <f t="shared" si="24"/>
        <v>1995</v>
      </c>
      <c r="T202" s="9">
        <v>1995</v>
      </c>
      <c r="U202" s="9">
        <f t="shared" si="25"/>
        <v>27</v>
      </c>
      <c r="V202" s="8">
        <v>35003</v>
      </c>
      <c r="W202" t="s">
        <v>2144</v>
      </c>
      <c r="X202" s="2">
        <v>0.41799999999999998</v>
      </c>
      <c r="Y202" s="7">
        <f t="shared" si="26"/>
        <v>1.1158271268786204E-2</v>
      </c>
      <c r="AA202">
        <v>10637818</v>
      </c>
      <c r="AB202">
        <v>29653</v>
      </c>
      <c r="AC202">
        <v>14684799</v>
      </c>
      <c r="AD202" t="s">
        <v>3</v>
      </c>
      <c r="AE202">
        <v>25</v>
      </c>
      <c r="AF202">
        <v>10</v>
      </c>
      <c r="AH202" t="s">
        <v>2143</v>
      </c>
      <c r="AI202" t="s">
        <v>2142</v>
      </c>
      <c r="AK202" t="s">
        <v>2141</v>
      </c>
      <c r="AL202">
        <v>4</v>
      </c>
      <c r="AM202" s="5">
        <f t="shared" si="27"/>
        <v>0.14814814814814814</v>
      </c>
      <c r="AN202" s="4">
        <f t="shared" si="28"/>
        <v>2.2438189799037963E-4</v>
      </c>
      <c r="AO202" s="3"/>
      <c r="AP202">
        <v>0</v>
      </c>
      <c r="AR202" t="s">
        <v>1</v>
      </c>
      <c r="AT202" s="2">
        <v>1.022</v>
      </c>
      <c r="AU202" s="1">
        <f t="shared" si="29"/>
        <v>0.78781044575474568</v>
      </c>
      <c r="AV202" s="1">
        <f t="shared" si="30"/>
        <v>0.5691326583388292</v>
      </c>
      <c r="AW202" s="1">
        <f t="shared" si="31"/>
        <v>0.35045487092291272</v>
      </c>
    </row>
    <row r="203" spans="1:49" x14ac:dyDescent="0.2">
      <c r="A203">
        <v>201</v>
      </c>
      <c r="B203" t="s">
        <v>2140</v>
      </c>
      <c r="C203" t="s">
        <v>2139</v>
      </c>
      <c r="F203" t="s">
        <v>2138</v>
      </c>
      <c r="G203" t="s">
        <v>6</v>
      </c>
      <c r="H203" t="s">
        <v>5</v>
      </c>
      <c r="I203" t="s">
        <v>2137</v>
      </c>
      <c r="J203" t="s">
        <v>2136</v>
      </c>
      <c r="K203" t="s">
        <v>2135</v>
      </c>
      <c r="L203" t="s">
        <v>2134</v>
      </c>
      <c r="M203" t="s">
        <v>227</v>
      </c>
      <c r="N203">
        <v>5</v>
      </c>
      <c r="O203" t="s">
        <v>2133</v>
      </c>
      <c r="P203" t="s">
        <v>2132</v>
      </c>
      <c r="Q203" t="s">
        <v>2131</v>
      </c>
      <c r="R203" s="8">
        <v>34998</v>
      </c>
      <c r="S203" s="9">
        <f t="shared" si="24"/>
        <v>1995</v>
      </c>
      <c r="T203" s="9">
        <v>1995</v>
      </c>
      <c r="U203" s="9">
        <f t="shared" si="25"/>
        <v>27</v>
      </c>
      <c r="V203" s="8">
        <v>34998</v>
      </c>
      <c r="W203" t="s">
        <v>390</v>
      </c>
      <c r="X203" s="2">
        <v>0.375</v>
      </c>
      <c r="Y203" s="7">
        <f t="shared" si="26"/>
        <v>1.0010410827260351E-2</v>
      </c>
      <c r="AA203">
        <v>135194</v>
      </c>
      <c r="AB203">
        <v>24918</v>
      </c>
      <c r="AD203" t="s">
        <v>3</v>
      </c>
      <c r="AE203">
        <v>31</v>
      </c>
      <c r="AF203">
        <v>22</v>
      </c>
      <c r="AH203" t="s">
        <v>2130</v>
      </c>
      <c r="AI203" t="s">
        <v>2129</v>
      </c>
      <c r="AJ203" t="s">
        <v>2128</v>
      </c>
      <c r="AK203" t="s">
        <v>2127</v>
      </c>
      <c r="AL203">
        <v>4</v>
      </c>
      <c r="AM203" s="5">
        <f t="shared" si="27"/>
        <v>0.14814814814814814</v>
      </c>
      <c r="AN203" s="4">
        <f t="shared" si="28"/>
        <v>2.2438189799037963E-4</v>
      </c>
      <c r="AO203" s="3"/>
      <c r="AP203">
        <v>0</v>
      </c>
      <c r="AR203" t="s">
        <v>1</v>
      </c>
      <c r="AT203" s="2">
        <v>1.3140000000000001</v>
      </c>
      <c r="AU203" s="1">
        <f t="shared" si="29"/>
        <v>0.70746021484793598</v>
      </c>
      <c r="AV203" s="1">
        <f t="shared" si="30"/>
        <v>0.51173963626253649</v>
      </c>
      <c r="AW203" s="1">
        <f t="shared" si="31"/>
        <v>0.31601905767713712</v>
      </c>
    </row>
    <row r="204" spans="1:49" x14ac:dyDescent="0.2">
      <c r="A204">
        <v>202</v>
      </c>
      <c r="B204" t="s">
        <v>2126</v>
      </c>
      <c r="C204" t="s">
        <v>2125</v>
      </c>
      <c r="F204" t="s">
        <v>2124</v>
      </c>
      <c r="G204" t="s">
        <v>6</v>
      </c>
      <c r="H204" t="s">
        <v>5</v>
      </c>
      <c r="I204" t="s">
        <v>2123</v>
      </c>
      <c r="J204">
        <v>60032144</v>
      </c>
      <c r="K204" t="s">
        <v>886</v>
      </c>
      <c r="L204" t="s">
        <v>885</v>
      </c>
      <c r="M204" t="s">
        <v>197</v>
      </c>
      <c r="N204">
        <v>3</v>
      </c>
      <c r="O204" t="s">
        <v>2122</v>
      </c>
      <c r="P204" t="s">
        <v>2121</v>
      </c>
      <c r="Q204" t="s">
        <v>2120</v>
      </c>
      <c r="R204" s="8">
        <v>34998</v>
      </c>
      <c r="S204" s="9">
        <f t="shared" si="24"/>
        <v>1995</v>
      </c>
      <c r="T204" s="9">
        <v>1995</v>
      </c>
      <c r="U204" s="9">
        <f t="shared" si="25"/>
        <v>27</v>
      </c>
      <c r="V204" s="8">
        <v>34998</v>
      </c>
      <c r="W204" t="s">
        <v>390</v>
      </c>
      <c r="X204" s="2">
        <v>0.375</v>
      </c>
      <c r="Y204" s="7">
        <f t="shared" si="26"/>
        <v>1.0010410827260351E-2</v>
      </c>
      <c r="AA204">
        <v>135194</v>
      </c>
      <c r="AB204">
        <v>24918</v>
      </c>
      <c r="AD204" t="s">
        <v>3</v>
      </c>
      <c r="AE204">
        <v>31</v>
      </c>
      <c r="AF204">
        <v>22</v>
      </c>
      <c r="AH204" t="s">
        <v>2119</v>
      </c>
      <c r="AI204" t="s">
        <v>2118</v>
      </c>
      <c r="AJ204" t="s">
        <v>2117</v>
      </c>
      <c r="AK204" t="s">
        <v>2116</v>
      </c>
      <c r="AL204">
        <v>0</v>
      </c>
      <c r="AM204" s="5">
        <f t="shared" si="27"/>
        <v>0</v>
      </c>
      <c r="AN204" s="4">
        <f t="shared" si="28"/>
        <v>0</v>
      </c>
      <c r="AO204" s="3"/>
      <c r="AP204">
        <v>0</v>
      </c>
      <c r="AR204" t="s">
        <v>1</v>
      </c>
      <c r="AT204" s="2">
        <v>1.3140000000000001</v>
      </c>
      <c r="AU204" s="1">
        <f t="shared" si="29"/>
        <v>0.70072875790822453</v>
      </c>
      <c r="AV204" s="1">
        <f t="shared" si="30"/>
        <v>0.5005205413630176</v>
      </c>
      <c r="AW204" s="1">
        <f t="shared" si="31"/>
        <v>0.30031232481781051</v>
      </c>
    </row>
    <row r="205" spans="1:49" x14ac:dyDescent="0.2">
      <c r="A205">
        <v>203</v>
      </c>
      <c r="B205" t="s">
        <v>2115</v>
      </c>
      <c r="C205" t="s">
        <v>2114</v>
      </c>
      <c r="F205" t="s">
        <v>2113</v>
      </c>
      <c r="G205" t="s">
        <v>6</v>
      </c>
      <c r="H205" t="s">
        <v>5</v>
      </c>
      <c r="I205" t="s">
        <v>2112</v>
      </c>
      <c r="J205" t="s">
        <v>2111</v>
      </c>
      <c r="K205" t="s">
        <v>2110</v>
      </c>
      <c r="L205" t="s">
        <v>2109</v>
      </c>
      <c r="M205" t="s">
        <v>13</v>
      </c>
      <c r="N205">
        <v>8</v>
      </c>
      <c r="O205" t="s">
        <v>2108</v>
      </c>
      <c r="P205" t="s">
        <v>2107</v>
      </c>
      <c r="Q205" t="s">
        <v>2106</v>
      </c>
      <c r="R205" s="8">
        <v>34998</v>
      </c>
      <c r="S205" s="9">
        <f t="shared" si="24"/>
        <v>1995</v>
      </c>
      <c r="T205" s="9">
        <v>1995</v>
      </c>
      <c r="U205" s="9">
        <f t="shared" si="25"/>
        <v>27</v>
      </c>
      <c r="V205" s="8">
        <v>34998</v>
      </c>
      <c r="W205" t="s">
        <v>390</v>
      </c>
      <c r="X205" s="2">
        <v>0.375</v>
      </c>
      <c r="Y205" s="7">
        <f t="shared" si="26"/>
        <v>1.0010410827260351E-2</v>
      </c>
      <c r="AA205">
        <v>135194</v>
      </c>
      <c r="AB205">
        <v>24918</v>
      </c>
      <c r="AD205" t="s">
        <v>3</v>
      </c>
      <c r="AE205">
        <v>31</v>
      </c>
      <c r="AF205">
        <v>22</v>
      </c>
      <c r="AH205" t="s">
        <v>2105</v>
      </c>
      <c r="AI205" t="s">
        <v>2104</v>
      </c>
      <c r="AJ205" t="s">
        <v>2103</v>
      </c>
      <c r="AK205" t="s">
        <v>2102</v>
      </c>
      <c r="AL205">
        <v>20</v>
      </c>
      <c r="AM205" s="5">
        <f t="shared" si="27"/>
        <v>0.7407407407407407</v>
      </c>
      <c r="AN205" s="4">
        <f t="shared" si="28"/>
        <v>1.121909489951898E-3</v>
      </c>
      <c r="AO205" s="3"/>
      <c r="AP205">
        <v>0</v>
      </c>
      <c r="AR205" t="s">
        <v>1</v>
      </c>
      <c r="AT205" s="2">
        <v>1.3140000000000001</v>
      </c>
      <c r="AU205" s="1">
        <f t="shared" si="29"/>
        <v>0.73438604260678153</v>
      </c>
      <c r="AV205" s="1">
        <f t="shared" si="30"/>
        <v>0.55661601586061249</v>
      </c>
      <c r="AW205" s="1">
        <f t="shared" si="31"/>
        <v>0.37884598911444334</v>
      </c>
    </row>
    <row r="206" spans="1:49" x14ac:dyDescent="0.2">
      <c r="A206">
        <v>204</v>
      </c>
      <c r="B206" t="s">
        <v>2101</v>
      </c>
      <c r="C206" t="s">
        <v>2100</v>
      </c>
      <c r="F206" t="s">
        <v>2099</v>
      </c>
      <c r="G206" t="s">
        <v>6</v>
      </c>
      <c r="H206" t="s">
        <v>5</v>
      </c>
      <c r="I206" t="s">
        <v>2098</v>
      </c>
      <c r="J206">
        <v>60030553</v>
      </c>
      <c r="K206" t="s">
        <v>365</v>
      </c>
      <c r="L206" t="s">
        <v>331</v>
      </c>
      <c r="M206" t="s">
        <v>79</v>
      </c>
      <c r="N206">
        <v>3</v>
      </c>
      <c r="O206" t="s">
        <v>2097</v>
      </c>
      <c r="P206" t="s">
        <v>2096</v>
      </c>
      <c r="Q206" t="s">
        <v>364</v>
      </c>
      <c r="R206" s="8">
        <v>34998</v>
      </c>
      <c r="S206" s="9">
        <f t="shared" si="24"/>
        <v>1995</v>
      </c>
      <c r="T206" s="9">
        <v>1995</v>
      </c>
      <c r="U206" s="9">
        <f t="shared" si="25"/>
        <v>27</v>
      </c>
      <c r="V206" s="8">
        <v>34998</v>
      </c>
      <c r="W206" t="s">
        <v>390</v>
      </c>
      <c r="X206" s="2">
        <v>0.375</v>
      </c>
      <c r="Y206" s="7">
        <f t="shared" si="26"/>
        <v>1.0010410827260351E-2</v>
      </c>
      <c r="AA206">
        <v>135194</v>
      </c>
      <c r="AB206">
        <v>24918</v>
      </c>
      <c r="AD206" t="s">
        <v>3</v>
      </c>
      <c r="AE206">
        <v>31</v>
      </c>
      <c r="AF206">
        <v>22</v>
      </c>
      <c r="AH206" t="s">
        <v>2095</v>
      </c>
      <c r="AI206" t="s">
        <v>2094</v>
      </c>
      <c r="AJ206" t="s">
        <v>2093</v>
      </c>
      <c r="AK206" t="s">
        <v>2092</v>
      </c>
      <c r="AL206">
        <v>0</v>
      </c>
      <c r="AM206" s="5">
        <f t="shared" si="27"/>
        <v>0</v>
      </c>
      <c r="AN206" s="4">
        <f t="shared" si="28"/>
        <v>0</v>
      </c>
      <c r="AO206" s="3"/>
      <c r="AP206">
        <v>0</v>
      </c>
      <c r="AR206" t="s">
        <v>1</v>
      </c>
      <c r="AT206" s="2">
        <v>1.3140000000000001</v>
      </c>
      <c r="AU206" s="1">
        <f t="shared" si="29"/>
        <v>0.70072875790822453</v>
      </c>
      <c r="AV206" s="1">
        <f t="shared" si="30"/>
        <v>0.5005205413630176</v>
      </c>
      <c r="AW206" s="1">
        <f t="shared" si="31"/>
        <v>0.30031232481781051</v>
      </c>
    </row>
    <row r="207" spans="1:49" x14ac:dyDescent="0.2">
      <c r="A207">
        <v>205</v>
      </c>
      <c r="B207" t="s">
        <v>2091</v>
      </c>
      <c r="C207" t="s">
        <v>2090</v>
      </c>
      <c r="D207">
        <v>1010603095040140</v>
      </c>
      <c r="F207" t="s">
        <v>2089</v>
      </c>
      <c r="G207" t="s">
        <v>6</v>
      </c>
      <c r="H207" t="s">
        <v>5</v>
      </c>
      <c r="I207" t="s">
        <v>2088</v>
      </c>
      <c r="J207">
        <v>60073625</v>
      </c>
      <c r="K207" t="s">
        <v>2087</v>
      </c>
      <c r="L207" t="s">
        <v>2086</v>
      </c>
      <c r="M207" t="s">
        <v>183</v>
      </c>
      <c r="N207">
        <v>1</v>
      </c>
      <c r="O207" t="s">
        <v>2085</v>
      </c>
      <c r="P207">
        <v>35235601300</v>
      </c>
      <c r="Q207">
        <v>60073625</v>
      </c>
      <c r="R207" s="8">
        <v>34997</v>
      </c>
      <c r="S207" s="9">
        <f t="shared" si="24"/>
        <v>1995</v>
      </c>
      <c r="T207" s="9">
        <v>1995</v>
      </c>
      <c r="U207" s="9">
        <f t="shared" si="25"/>
        <v>27</v>
      </c>
      <c r="V207" s="8">
        <v>34997</v>
      </c>
      <c r="W207" t="s">
        <v>431</v>
      </c>
      <c r="X207" s="2" t="s">
        <v>7</v>
      </c>
      <c r="Y207" s="7" t="e">
        <f t="shared" si="26"/>
        <v>#VALUE!</v>
      </c>
      <c r="AA207">
        <v>10106030</v>
      </c>
      <c r="AB207">
        <v>26966</v>
      </c>
      <c r="AD207" t="s">
        <v>3</v>
      </c>
      <c r="AE207">
        <v>91</v>
      </c>
      <c r="AF207">
        <v>2</v>
      </c>
      <c r="AH207" t="s">
        <v>2084</v>
      </c>
      <c r="AI207" t="s">
        <v>2083</v>
      </c>
      <c r="AJ207" t="s">
        <v>2082</v>
      </c>
      <c r="AK207" t="s">
        <v>2081</v>
      </c>
      <c r="AL207">
        <v>9</v>
      </c>
      <c r="AM207" s="5">
        <f t="shared" si="27"/>
        <v>0.33333333333333331</v>
      </c>
      <c r="AN207" s="4">
        <f t="shared" si="28"/>
        <v>5.048592704783541E-4</v>
      </c>
      <c r="AO207" s="3"/>
      <c r="AP207">
        <v>0</v>
      </c>
      <c r="AR207" t="s">
        <v>1</v>
      </c>
      <c r="AT207" s="2" t="s">
        <v>7</v>
      </c>
      <c r="AU207" s="1" t="e">
        <f t="shared" si="29"/>
        <v>#VALUE!</v>
      </c>
      <c r="AV207" s="1" t="e">
        <f t="shared" si="30"/>
        <v>#VALUE!</v>
      </c>
      <c r="AW207" s="1" t="e">
        <f t="shared" si="31"/>
        <v>#VALUE!</v>
      </c>
    </row>
    <row r="208" spans="1:49" x14ac:dyDescent="0.2">
      <c r="A208">
        <v>206</v>
      </c>
      <c r="B208" t="s">
        <v>2080</v>
      </c>
      <c r="C208" t="s">
        <v>2079</v>
      </c>
      <c r="D208">
        <v>30401895004199</v>
      </c>
      <c r="F208" t="s">
        <v>2078</v>
      </c>
      <c r="G208" t="s">
        <v>6</v>
      </c>
      <c r="H208" t="s">
        <v>5</v>
      </c>
      <c r="I208" t="s">
        <v>2077</v>
      </c>
      <c r="J208" t="s">
        <v>2076</v>
      </c>
      <c r="K208" t="s">
        <v>2075</v>
      </c>
      <c r="L208" t="s">
        <v>2074</v>
      </c>
      <c r="M208" t="s">
        <v>51</v>
      </c>
      <c r="N208">
        <v>5</v>
      </c>
      <c r="O208" t="s">
        <v>2073</v>
      </c>
      <c r="P208" t="s">
        <v>2072</v>
      </c>
      <c r="Q208" t="s">
        <v>2071</v>
      </c>
      <c r="R208" s="8">
        <v>34987</v>
      </c>
      <c r="S208" s="9">
        <f t="shared" si="24"/>
        <v>1995</v>
      </c>
      <c r="T208" s="9">
        <v>1995</v>
      </c>
      <c r="U208" s="9">
        <f t="shared" si="25"/>
        <v>27</v>
      </c>
      <c r="V208" s="8">
        <v>34987</v>
      </c>
      <c r="W208" t="s">
        <v>2070</v>
      </c>
      <c r="X208" s="2">
        <v>0.625</v>
      </c>
      <c r="Y208" s="7">
        <f t="shared" si="26"/>
        <v>1.6684018045433919E-2</v>
      </c>
      <c r="AA208">
        <v>304018</v>
      </c>
      <c r="AB208">
        <v>12352</v>
      </c>
      <c r="AD208" t="s">
        <v>3</v>
      </c>
      <c r="AE208">
        <v>120</v>
      </c>
      <c r="AF208" s="6">
        <v>44289</v>
      </c>
      <c r="AH208" t="s">
        <v>2069</v>
      </c>
      <c r="AI208" t="s">
        <v>2068</v>
      </c>
      <c r="AK208" t="s">
        <v>2067</v>
      </c>
      <c r="AL208">
        <v>9</v>
      </c>
      <c r="AM208" s="5">
        <f t="shared" si="27"/>
        <v>0.33333333333333331</v>
      </c>
      <c r="AN208" s="4">
        <f t="shared" si="28"/>
        <v>5.048592704783541E-4</v>
      </c>
      <c r="AO208" s="3"/>
      <c r="AP208">
        <v>0</v>
      </c>
      <c r="AR208" t="s">
        <v>1</v>
      </c>
      <c r="AT208" s="2">
        <v>2.31</v>
      </c>
      <c r="AU208" s="1">
        <f t="shared" si="29"/>
        <v>1.183027041294725</v>
      </c>
      <c r="AV208" s="1">
        <f t="shared" si="30"/>
        <v>0.85944386579561372</v>
      </c>
      <c r="AW208" s="1">
        <f t="shared" si="31"/>
        <v>0.5358606902965023</v>
      </c>
    </row>
    <row r="209" spans="1:49" x14ac:dyDescent="0.2">
      <c r="A209">
        <v>207</v>
      </c>
      <c r="B209" t="s">
        <v>2066</v>
      </c>
      <c r="C209" t="s">
        <v>2065</v>
      </c>
      <c r="F209" t="s">
        <v>2064</v>
      </c>
      <c r="G209" t="s">
        <v>6</v>
      </c>
      <c r="H209" t="s">
        <v>5</v>
      </c>
      <c r="I209" t="s">
        <v>2063</v>
      </c>
      <c r="J209" t="s">
        <v>2062</v>
      </c>
      <c r="K209" t="s">
        <v>2061</v>
      </c>
      <c r="L209" t="s">
        <v>2060</v>
      </c>
      <c r="M209" t="s">
        <v>13</v>
      </c>
      <c r="N209">
        <v>2</v>
      </c>
      <c r="O209" t="s">
        <v>2059</v>
      </c>
      <c r="P209" t="s">
        <v>2058</v>
      </c>
      <c r="Q209" t="s">
        <v>2057</v>
      </c>
      <c r="R209" s="8">
        <v>34984</v>
      </c>
      <c r="S209" s="9">
        <f t="shared" si="24"/>
        <v>1995</v>
      </c>
      <c r="T209" s="9">
        <v>1995</v>
      </c>
      <c r="U209" s="9">
        <f t="shared" si="25"/>
        <v>27</v>
      </c>
      <c r="V209" s="8">
        <v>34984</v>
      </c>
      <c r="W209" t="s">
        <v>390</v>
      </c>
      <c r="X209" s="2">
        <v>0.375</v>
      </c>
      <c r="Y209" s="7">
        <f t="shared" si="26"/>
        <v>1.0010410827260351E-2</v>
      </c>
      <c r="AA209">
        <v>135194</v>
      </c>
      <c r="AB209">
        <v>24918</v>
      </c>
      <c r="AD209" t="s">
        <v>3</v>
      </c>
      <c r="AE209">
        <v>31</v>
      </c>
      <c r="AF209">
        <v>21</v>
      </c>
      <c r="AH209" t="s">
        <v>2056</v>
      </c>
      <c r="AI209" t="s">
        <v>2055</v>
      </c>
      <c r="AJ209" t="s">
        <v>2054</v>
      </c>
      <c r="AK209" t="s">
        <v>2053</v>
      </c>
      <c r="AL209">
        <v>4</v>
      </c>
      <c r="AM209" s="5">
        <f t="shared" si="27"/>
        <v>0.14814814814814814</v>
      </c>
      <c r="AN209" s="4">
        <f t="shared" si="28"/>
        <v>2.2438189799037963E-4</v>
      </c>
      <c r="AO209" s="3"/>
      <c r="AP209">
        <v>0</v>
      </c>
      <c r="AR209" t="s">
        <v>1</v>
      </c>
      <c r="AT209" s="2">
        <v>1.3140000000000001</v>
      </c>
      <c r="AU209" s="1">
        <f t="shared" si="29"/>
        <v>0.70746021484793598</v>
      </c>
      <c r="AV209" s="1">
        <f t="shared" si="30"/>
        <v>0.51173963626253649</v>
      </c>
      <c r="AW209" s="1">
        <f t="shared" si="31"/>
        <v>0.31601905767713712</v>
      </c>
    </row>
    <row r="210" spans="1:49" x14ac:dyDescent="0.2">
      <c r="A210">
        <v>208</v>
      </c>
      <c r="B210" t="s">
        <v>2052</v>
      </c>
      <c r="C210" t="s">
        <v>2051</v>
      </c>
      <c r="D210">
        <v>5272895000995</v>
      </c>
      <c r="F210" t="s">
        <v>2050</v>
      </c>
      <c r="G210" t="s">
        <v>6</v>
      </c>
      <c r="H210" t="s">
        <v>5</v>
      </c>
      <c r="I210" t="s">
        <v>2049</v>
      </c>
      <c r="J210" t="s">
        <v>2048</v>
      </c>
      <c r="K210" t="s">
        <v>2047</v>
      </c>
      <c r="L210" t="s">
        <v>2046</v>
      </c>
      <c r="M210" t="s">
        <v>376</v>
      </c>
      <c r="N210">
        <v>5</v>
      </c>
      <c r="O210" t="s">
        <v>2045</v>
      </c>
      <c r="P210" t="s">
        <v>2044</v>
      </c>
      <c r="Q210" t="s">
        <v>2043</v>
      </c>
      <c r="R210" s="8">
        <v>34982</v>
      </c>
      <c r="S210" s="9">
        <f t="shared" si="24"/>
        <v>1995</v>
      </c>
      <c r="T210" s="9">
        <v>1995</v>
      </c>
      <c r="U210" s="9">
        <f t="shared" si="25"/>
        <v>27</v>
      </c>
      <c r="V210" s="8">
        <v>34982</v>
      </c>
      <c r="W210" t="s">
        <v>419</v>
      </c>
      <c r="X210" s="2">
        <v>1.59</v>
      </c>
      <c r="Y210" s="7">
        <f t="shared" si="26"/>
        <v>4.2444141907583888E-2</v>
      </c>
      <c r="AA210">
        <v>52728</v>
      </c>
      <c r="AB210">
        <v>16791</v>
      </c>
      <c r="AD210" t="s">
        <v>3</v>
      </c>
      <c r="AE210">
        <v>1231</v>
      </c>
      <c r="AF210">
        <v>3</v>
      </c>
      <c r="AH210" t="s">
        <v>2042</v>
      </c>
      <c r="AI210" t="s">
        <v>2041</v>
      </c>
      <c r="AJ210" t="s">
        <v>2040</v>
      </c>
      <c r="AK210" t="s">
        <v>2039</v>
      </c>
      <c r="AL210">
        <v>11</v>
      </c>
      <c r="AM210" s="5">
        <f t="shared" si="27"/>
        <v>0.40740740740740738</v>
      </c>
      <c r="AN210" s="4">
        <f t="shared" si="28"/>
        <v>6.1705021947354389E-4</v>
      </c>
      <c r="AO210" s="3"/>
      <c r="AP210">
        <v>1</v>
      </c>
      <c r="AR210" t="s">
        <v>1</v>
      </c>
      <c r="AT210" s="2" t="s">
        <v>7</v>
      </c>
      <c r="AU210" s="1">
        <f t="shared" si="29"/>
        <v>2.9896014401150786</v>
      </c>
      <c r="AV210" s="1">
        <f t="shared" si="30"/>
        <v>2.1530596063528717</v>
      </c>
      <c r="AW210" s="1">
        <f t="shared" si="31"/>
        <v>1.3165177725906645</v>
      </c>
    </row>
    <row r="211" spans="1:49" x14ac:dyDescent="0.2">
      <c r="A211">
        <v>209</v>
      </c>
      <c r="B211" t="s">
        <v>2038</v>
      </c>
      <c r="C211" t="s">
        <v>2037</v>
      </c>
      <c r="D211" t="s">
        <v>2036</v>
      </c>
      <c r="F211" t="s">
        <v>2035</v>
      </c>
      <c r="G211" t="s">
        <v>6</v>
      </c>
      <c r="H211" t="s">
        <v>5</v>
      </c>
      <c r="I211" t="s">
        <v>2034</v>
      </c>
      <c r="J211">
        <v>60029170</v>
      </c>
      <c r="K211" t="s">
        <v>44</v>
      </c>
      <c r="L211" t="s">
        <v>43</v>
      </c>
      <c r="M211" t="s">
        <v>11</v>
      </c>
      <c r="N211">
        <v>4</v>
      </c>
      <c r="O211" t="s">
        <v>2033</v>
      </c>
      <c r="P211" t="s">
        <v>2032</v>
      </c>
      <c r="Q211" t="s">
        <v>380</v>
      </c>
      <c r="R211" s="8">
        <v>34982</v>
      </c>
      <c r="S211" s="9">
        <f t="shared" si="24"/>
        <v>1995</v>
      </c>
      <c r="T211" s="9">
        <v>1995</v>
      </c>
      <c r="U211" s="9">
        <f t="shared" si="25"/>
        <v>27</v>
      </c>
      <c r="V211" s="8">
        <v>34982</v>
      </c>
      <c r="W211" t="s">
        <v>419</v>
      </c>
      <c r="X211" s="2">
        <v>1.59</v>
      </c>
      <c r="Y211" s="7">
        <f t="shared" si="26"/>
        <v>4.2444141907583888E-2</v>
      </c>
      <c r="AA211">
        <v>52728</v>
      </c>
      <c r="AB211">
        <v>16791</v>
      </c>
      <c r="AD211" t="s">
        <v>3</v>
      </c>
      <c r="AE211">
        <v>1231</v>
      </c>
      <c r="AF211">
        <v>3</v>
      </c>
      <c r="AH211" t="s">
        <v>2031</v>
      </c>
      <c r="AI211" t="s">
        <v>2030</v>
      </c>
      <c r="AJ211" t="s">
        <v>2029</v>
      </c>
      <c r="AK211" t="s">
        <v>2028</v>
      </c>
      <c r="AL211">
        <v>16</v>
      </c>
      <c r="AM211" s="5">
        <f t="shared" si="27"/>
        <v>0.59259259259259256</v>
      </c>
      <c r="AN211" s="4">
        <f t="shared" si="28"/>
        <v>8.975275919615185E-4</v>
      </c>
      <c r="AO211" s="3"/>
      <c r="AP211">
        <v>1</v>
      </c>
      <c r="AR211" t="s">
        <v>1</v>
      </c>
      <c r="AT211" s="2" t="s">
        <v>7</v>
      </c>
      <c r="AU211" s="1">
        <f t="shared" si="29"/>
        <v>2.9980157612897176</v>
      </c>
      <c r="AV211" s="1">
        <f t="shared" si="30"/>
        <v>2.1670834749772703</v>
      </c>
      <c r="AW211" s="1">
        <f t="shared" si="31"/>
        <v>1.3361511886648227</v>
      </c>
    </row>
    <row r="212" spans="1:49" x14ac:dyDescent="0.2">
      <c r="A212">
        <v>210</v>
      </c>
      <c r="B212" t="s">
        <v>2027</v>
      </c>
      <c r="C212" t="s">
        <v>2026</v>
      </c>
      <c r="E212">
        <v>7559566</v>
      </c>
      <c r="F212" t="s">
        <v>2025</v>
      </c>
      <c r="G212" t="s">
        <v>6</v>
      </c>
      <c r="H212" t="s">
        <v>5</v>
      </c>
      <c r="I212" t="s">
        <v>2024</v>
      </c>
      <c r="J212" t="s">
        <v>2023</v>
      </c>
      <c r="K212" t="s">
        <v>2022</v>
      </c>
      <c r="L212" t="s">
        <v>2021</v>
      </c>
      <c r="M212" t="s">
        <v>12</v>
      </c>
      <c r="N212">
        <v>8</v>
      </c>
      <c r="O212" t="s">
        <v>2020</v>
      </c>
      <c r="P212" t="s">
        <v>2019</v>
      </c>
      <c r="Q212" t="s">
        <v>2018</v>
      </c>
      <c r="R212" s="8">
        <v>34978</v>
      </c>
      <c r="S212" s="9">
        <f t="shared" si="24"/>
        <v>1995</v>
      </c>
      <c r="T212" s="9">
        <v>1995</v>
      </c>
      <c r="U212" s="9">
        <f t="shared" si="25"/>
        <v>27</v>
      </c>
      <c r="V212" s="8">
        <v>34978</v>
      </c>
      <c r="W212" t="s">
        <v>56</v>
      </c>
      <c r="X212" s="2">
        <v>2.3610000000000002</v>
      </c>
      <c r="Y212" s="7">
        <f t="shared" si="26"/>
        <v>6.3025546568431179E-2</v>
      </c>
      <c r="AA212">
        <v>219258</v>
      </c>
      <c r="AB212">
        <v>17592</v>
      </c>
      <c r="AD212" t="s">
        <v>3</v>
      </c>
      <c r="AE212">
        <v>270</v>
      </c>
      <c r="AF212">
        <v>40</v>
      </c>
      <c r="AH212" t="s">
        <v>2017</v>
      </c>
      <c r="AI212" t="s">
        <v>2016</v>
      </c>
      <c r="AK212" t="s">
        <v>2015</v>
      </c>
      <c r="AL212">
        <v>24</v>
      </c>
      <c r="AM212" s="5">
        <f t="shared" si="27"/>
        <v>0.88888888888888884</v>
      </c>
      <c r="AN212" s="4">
        <f t="shared" si="28"/>
        <v>1.3462913879422776E-3</v>
      </c>
      <c r="AO212" s="3"/>
      <c r="AP212">
        <v>1</v>
      </c>
      <c r="AR212" t="s">
        <v>1</v>
      </c>
      <c r="AT212" s="2">
        <v>5.157</v>
      </c>
      <c r="AU212" s="1">
        <f t="shared" si="29"/>
        <v>4.452177001428451</v>
      </c>
      <c r="AV212" s="1">
        <f t="shared" si="30"/>
        <v>3.2185918978186727</v>
      </c>
      <c r="AW212" s="1">
        <f t="shared" si="31"/>
        <v>1.9850067942088947</v>
      </c>
    </row>
    <row r="213" spans="1:49" x14ac:dyDescent="0.2">
      <c r="A213">
        <v>211</v>
      </c>
      <c r="B213" t="s">
        <v>2014</v>
      </c>
      <c r="C213" t="s">
        <v>2013</v>
      </c>
      <c r="F213" t="s">
        <v>2012</v>
      </c>
      <c r="G213" t="s">
        <v>6</v>
      </c>
      <c r="H213" t="s">
        <v>5</v>
      </c>
      <c r="I213" t="s">
        <v>334</v>
      </c>
      <c r="J213" t="s">
        <v>2011</v>
      </c>
      <c r="K213" t="s">
        <v>2010</v>
      </c>
      <c r="L213" t="s">
        <v>2009</v>
      </c>
      <c r="M213" t="s">
        <v>337</v>
      </c>
      <c r="N213">
        <v>3</v>
      </c>
      <c r="O213" t="s">
        <v>2008</v>
      </c>
      <c r="P213" t="s">
        <v>2007</v>
      </c>
      <c r="Q213" t="s">
        <v>2006</v>
      </c>
      <c r="R213" s="8">
        <v>34973</v>
      </c>
      <c r="S213" s="9">
        <f t="shared" si="24"/>
        <v>1995</v>
      </c>
      <c r="T213" s="9">
        <v>1995</v>
      </c>
      <c r="U213" s="9">
        <f t="shared" si="25"/>
        <v>27</v>
      </c>
      <c r="V213" s="8">
        <v>34973</v>
      </c>
      <c r="W213" t="s">
        <v>358</v>
      </c>
      <c r="X213" s="2">
        <v>0.11700000000000001</v>
      </c>
      <c r="Y213" s="7">
        <f t="shared" si="26"/>
        <v>3.1232481781052297E-3</v>
      </c>
      <c r="AA213">
        <v>2179822</v>
      </c>
      <c r="AB213">
        <v>5300152612</v>
      </c>
      <c r="AC213">
        <v>19930615</v>
      </c>
      <c r="AD213" t="s">
        <v>3</v>
      </c>
      <c r="AE213">
        <v>12</v>
      </c>
      <c r="AF213">
        <v>4</v>
      </c>
      <c r="AH213" t="s">
        <v>2005</v>
      </c>
      <c r="AI213" t="s">
        <v>2004</v>
      </c>
      <c r="AJ213" t="s">
        <v>2003</v>
      </c>
      <c r="AK213" t="s">
        <v>2002</v>
      </c>
      <c r="AL213">
        <v>0</v>
      </c>
      <c r="AM213" s="5">
        <f t="shared" si="27"/>
        <v>0</v>
      </c>
      <c r="AN213" s="4">
        <f t="shared" si="28"/>
        <v>0</v>
      </c>
      <c r="AO213" s="3"/>
      <c r="AP213">
        <v>0</v>
      </c>
      <c r="AR213" t="s">
        <v>1</v>
      </c>
      <c r="AT213" s="2" t="s">
        <v>7</v>
      </c>
      <c r="AU213" s="1">
        <f t="shared" si="29"/>
        <v>0.21862737246736608</v>
      </c>
      <c r="AV213" s="1">
        <f t="shared" si="30"/>
        <v>0.15616240890526148</v>
      </c>
      <c r="AW213" s="1">
        <f t="shared" si="31"/>
        <v>9.3697445343156896E-2</v>
      </c>
    </row>
    <row r="214" spans="1:49" x14ac:dyDescent="0.2">
      <c r="A214">
        <v>212</v>
      </c>
      <c r="B214" t="s">
        <v>2001</v>
      </c>
      <c r="C214" t="s">
        <v>2000</v>
      </c>
      <c r="F214" t="s">
        <v>1999</v>
      </c>
      <c r="G214" t="s">
        <v>6</v>
      </c>
      <c r="H214" t="s">
        <v>5</v>
      </c>
      <c r="I214" t="s">
        <v>1998</v>
      </c>
      <c r="J214">
        <v>60003674</v>
      </c>
      <c r="K214" t="s">
        <v>1997</v>
      </c>
      <c r="L214" t="s">
        <v>80</v>
      </c>
      <c r="M214" t="s">
        <v>79</v>
      </c>
      <c r="N214">
        <v>2</v>
      </c>
      <c r="O214" t="s">
        <v>1996</v>
      </c>
      <c r="P214" t="s">
        <v>1995</v>
      </c>
      <c r="Q214" t="s">
        <v>1994</v>
      </c>
      <c r="R214" s="8">
        <v>34973</v>
      </c>
      <c r="S214" s="9">
        <f t="shared" si="24"/>
        <v>1995</v>
      </c>
      <c r="T214" s="9">
        <v>1995</v>
      </c>
      <c r="U214" s="9">
        <f t="shared" si="25"/>
        <v>27</v>
      </c>
      <c r="V214" s="8">
        <v>34973</v>
      </c>
      <c r="W214" t="s">
        <v>1993</v>
      </c>
      <c r="X214" s="2">
        <v>0.24199999999999999</v>
      </c>
      <c r="Y214" s="7">
        <f t="shared" si="26"/>
        <v>6.4600517871920135E-3</v>
      </c>
      <c r="AA214">
        <v>5717256</v>
      </c>
      <c r="AB214">
        <v>26770</v>
      </c>
      <c r="AC214">
        <v>15738191</v>
      </c>
      <c r="AD214" t="s">
        <v>3</v>
      </c>
      <c r="AE214">
        <v>38</v>
      </c>
      <c r="AF214">
        <v>4</v>
      </c>
      <c r="AH214" t="s">
        <v>1992</v>
      </c>
      <c r="AI214" t="s">
        <v>1991</v>
      </c>
      <c r="AK214" t="s">
        <v>1990</v>
      </c>
      <c r="AL214">
        <v>0</v>
      </c>
      <c r="AM214" s="5">
        <f t="shared" si="27"/>
        <v>0</v>
      </c>
      <c r="AN214" s="4">
        <f t="shared" si="28"/>
        <v>0</v>
      </c>
      <c r="AO214" s="3"/>
      <c r="AP214">
        <v>0</v>
      </c>
      <c r="AR214" t="s">
        <v>1</v>
      </c>
      <c r="AT214" s="2">
        <v>0.71699999999999997</v>
      </c>
      <c r="AU214" s="1">
        <f t="shared" si="29"/>
        <v>0.45220362510344098</v>
      </c>
      <c r="AV214" s="1">
        <f t="shared" si="30"/>
        <v>0.32300258935960069</v>
      </c>
      <c r="AW214" s="1">
        <f t="shared" si="31"/>
        <v>0.1938015536157604</v>
      </c>
    </row>
    <row r="215" spans="1:49" x14ac:dyDescent="0.2">
      <c r="A215">
        <v>213</v>
      </c>
      <c r="B215" t="s">
        <v>1989</v>
      </c>
      <c r="C215" t="s">
        <v>1988</v>
      </c>
      <c r="F215" t="s">
        <v>1987</v>
      </c>
      <c r="G215" t="s">
        <v>6</v>
      </c>
      <c r="H215" t="s">
        <v>5</v>
      </c>
      <c r="I215" t="s">
        <v>1986</v>
      </c>
      <c r="J215">
        <v>60101780</v>
      </c>
      <c r="K215" t="s">
        <v>1985</v>
      </c>
      <c r="L215" t="s">
        <v>113</v>
      </c>
      <c r="M215" t="s">
        <v>37</v>
      </c>
      <c r="N215">
        <v>1</v>
      </c>
      <c r="O215" t="s">
        <v>1984</v>
      </c>
      <c r="P215">
        <v>57203048048</v>
      </c>
      <c r="Q215">
        <v>60101780</v>
      </c>
      <c r="R215" s="8">
        <v>34973</v>
      </c>
      <c r="S215" s="9">
        <f t="shared" si="24"/>
        <v>1995</v>
      </c>
      <c r="T215" s="9">
        <v>1995</v>
      </c>
      <c r="U215" s="9">
        <f t="shared" si="25"/>
        <v>27</v>
      </c>
      <c r="V215" s="8">
        <v>34973</v>
      </c>
      <c r="W215" t="s">
        <v>396</v>
      </c>
      <c r="X215" s="2">
        <v>2.4740000000000002</v>
      </c>
      <c r="Y215" s="7">
        <f t="shared" si="26"/>
        <v>6.6042017031045633E-2</v>
      </c>
      <c r="AA215">
        <v>386308</v>
      </c>
      <c r="AB215">
        <v>28261</v>
      </c>
      <c r="AC215">
        <v>15729672</v>
      </c>
      <c r="AD215" t="s">
        <v>3</v>
      </c>
      <c r="AE215">
        <v>74</v>
      </c>
      <c r="AF215" s="6">
        <v>44228</v>
      </c>
      <c r="AH215" t="s">
        <v>1983</v>
      </c>
      <c r="AI215" t="s">
        <v>1982</v>
      </c>
      <c r="AJ215" t="s">
        <v>1981</v>
      </c>
      <c r="AK215" t="s">
        <v>1980</v>
      </c>
      <c r="AL215">
        <v>1</v>
      </c>
      <c r="AM215" s="5">
        <f t="shared" si="27"/>
        <v>3.7037037037037035E-2</v>
      </c>
      <c r="AN215" s="4">
        <f t="shared" si="28"/>
        <v>5.6095474497594906E-5</v>
      </c>
      <c r="AO215" s="3"/>
      <c r="AP215">
        <v>0</v>
      </c>
      <c r="AR215" t="s">
        <v>1</v>
      </c>
      <c r="AT215" s="2">
        <v>8.0169999999999995</v>
      </c>
      <c r="AU215" s="1">
        <f t="shared" si="29"/>
        <v>4.6246240564081216</v>
      </c>
      <c r="AV215" s="1">
        <f t="shared" si="30"/>
        <v>3.3049056252771618</v>
      </c>
      <c r="AW215" s="1">
        <f t="shared" si="31"/>
        <v>1.9851871941462005</v>
      </c>
    </row>
    <row r="216" spans="1:49" x14ac:dyDescent="0.2">
      <c r="A216">
        <v>214</v>
      </c>
      <c r="B216" t="s">
        <v>1979</v>
      </c>
      <c r="C216" t="s">
        <v>1978</v>
      </c>
      <c r="E216">
        <v>7674197</v>
      </c>
      <c r="F216" t="s">
        <v>1977</v>
      </c>
      <c r="G216" t="s">
        <v>6</v>
      </c>
      <c r="H216" t="s">
        <v>5</v>
      </c>
      <c r="I216" t="s">
        <v>1976</v>
      </c>
      <c r="J216">
        <v>60025525</v>
      </c>
      <c r="K216" t="s">
        <v>1975</v>
      </c>
      <c r="L216" t="s">
        <v>1974</v>
      </c>
      <c r="M216" t="s">
        <v>9</v>
      </c>
      <c r="N216">
        <v>3</v>
      </c>
      <c r="O216" t="s">
        <v>1973</v>
      </c>
      <c r="P216" t="s">
        <v>1972</v>
      </c>
      <c r="Q216" t="s">
        <v>1971</v>
      </c>
      <c r="R216" s="8">
        <v>34973</v>
      </c>
      <c r="S216" s="9">
        <f t="shared" si="24"/>
        <v>1995</v>
      </c>
      <c r="T216" s="9">
        <v>1995</v>
      </c>
      <c r="U216" s="9">
        <f t="shared" si="25"/>
        <v>27</v>
      </c>
      <c r="V216" s="8">
        <v>34973</v>
      </c>
      <c r="W216" t="s">
        <v>90</v>
      </c>
      <c r="X216" s="2">
        <v>0.8</v>
      </c>
      <c r="Y216" s="7">
        <f t="shared" si="26"/>
        <v>2.1355543098155415E-2</v>
      </c>
      <c r="AA216">
        <v>3407594</v>
      </c>
      <c r="AB216">
        <v>23456</v>
      </c>
      <c r="AC216">
        <v>14321351</v>
      </c>
      <c r="AD216" t="s">
        <v>3</v>
      </c>
      <c r="AE216">
        <v>177</v>
      </c>
      <c r="AF216">
        <v>4</v>
      </c>
      <c r="AH216" t="s">
        <v>1970</v>
      </c>
      <c r="AI216" t="s">
        <v>1969</v>
      </c>
      <c r="AJ216" t="s">
        <v>1968</v>
      </c>
      <c r="AK216" t="s">
        <v>1967</v>
      </c>
      <c r="AL216">
        <v>32</v>
      </c>
      <c r="AM216" s="5">
        <f t="shared" si="27"/>
        <v>1.1851851851851851</v>
      </c>
      <c r="AN216" s="4">
        <f t="shared" si="28"/>
        <v>1.795055183923037E-3</v>
      </c>
      <c r="AO216" s="3"/>
      <c r="AP216">
        <v>0</v>
      </c>
      <c r="AR216" t="s">
        <v>1</v>
      </c>
      <c r="AT216" s="2" t="s">
        <v>7</v>
      </c>
      <c r="AU216" s="1">
        <f t="shared" si="29"/>
        <v>1.54873967238857</v>
      </c>
      <c r="AV216" s="1">
        <f t="shared" si="30"/>
        <v>1.1575299141039226</v>
      </c>
      <c r="AW216" s="1">
        <f t="shared" si="31"/>
        <v>0.76632015581927504</v>
      </c>
    </row>
    <row r="217" spans="1:49" x14ac:dyDescent="0.2">
      <c r="A217">
        <v>215</v>
      </c>
      <c r="B217" t="s">
        <v>1966</v>
      </c>
      <c r="F217" t="s">
        <v>1965</v>
      </c>
      <c r="G217" t="s">
        <v>6</v>
      </c>
      <c r="H217" t="s">
        <v>5</v>
      </c>
      <c r="I217" t="s">
        <v>1964</v>
      </c>
      <c r="N217">
        <v>1</v>
      </c>
      <c r="O217" t="s">
        <v>1963</v>
      </c>
      <c r="P217">
        <v>7402254871</v>
      </c>
      <c r="R217" s="8">
        <v>34973</v>
      </c>
      <c r="S217" s="9">
        <f t="shared" si="24"/>
        <v>1995</v>
      </c>
      <c r="T217" s="9">
        <v>1995</v>
      </c>
      <c r="U217" s="9">
        <f t="shared" si="25"/>
        <v>27</v>
      </c>
      <c r="V217" s="8">
        <v>34700</v>
      </c>
      <c r="W217" t="s">
        <v>1103</v>
      </c>
      <c r="X217" s="2" t="s">
        <v>7</v>
      </c>
      <c r="Y217" s="7" t="e">
        <f t="shared" si="26"/>
        <v>#VALUE!</v>
      </c>
      <c r="AA217">
        <v>119407</v>
      </c>
      <c r="AB217">
        <v>16022</v>
      </c>
      <c r="AD217" t="s">
        <v>3</v>
      </c>
      <c r="AE217">
        <v>50</v>
      </c>
      <c r="AF217">
        <v>20</v>
      </c>
      <c r="AI217" t="s">
        <v>1962</v>
      </c>
      <c r="AK217" t="s">
        <v>1961</v>
      </c>
      <c r="AL217">
        <v>0</v>
      </c>
      <c r="AM217" s="5">
        <f t="shared" si="27"/>
        <v>0</v>
      </c>
      <c r="AN217" s="4">
        <f t="shared" si="28"/>
        <v>0</v>
      </c>
      <c r="AO217" s="3"/>
      <c r="AP217">
        <v>0</v>
      </c>
      <c r="AR217" t="s">
        <v>1</v>
      </c>
      <c r="AT217" s="2" t="s">
        <v>7</v>
      </c>
      <c r="AU217" s="1" t="e">
        <f t="shared" si="29"/>
        <v>#VALUE!</v>
      </c>
      <c r="AV217" s="1" t="e">
        <f t="shared" si="30"/>
        <v>#VALUE!</v>
      </c>
      <c r="AW217" s="1" t="e">
        <f t="shared" si="31"/>
        <v>#VALUE!</v>
      </c>
    </row>
    <row r="218" spans="1:49" x14ac:dyDescent="0.2">
      <c r="A218">
        <v>216</v>
      </c>
      <c r="B218" t="s">
        <v>1960</v>
      </c>
      <c r="F218" t="s">
        <v>1959</v>
      </c>
      <c r="G218" t="s">
        <v>6</v>
      </c>
      <c r="H218" t="s">
        <v>5</v>
      </c>
      <c r="I218" t="s">
        <v>1958</v>
      </c>
      <c r="N218">
        <v>1</v>
      </c>
      <c r="O218" t="s">
        <v>1104</v>
      </c>
      <c r="P218">
        <v>57196697408</v>
      </c>
      <c r="R218" s="8">
        <v>34973</v>
      </c>
      <c r="S218" s="9">
        <f t="shared" si="24"/>
        <v>1995</v>
      </c>
      <c r="T218" s="9">
        <v>1995</v>
      </c>
      <c r="U218" s="9">
        <f t="shared" si="25"/>
        <v>27</v>
      </c>
      <c r="V218" s="8">
        <v>34700</v>
      </c>
      <c r="W218" t="s">
        <v>1103</v>
      </c>
      <c r="X218" s="2" t="s">
        <v>7</v>
      </c>
      <c r="Y218" s="7" t="e">
        <f t="shared" si="26"/>
        <v>#VALUE!</v>
      </c>
      <c r="AA218">
        <v>119407</v>
      </c>
      <c r="AB218">
        <v>16022</v>
      </c>
      <c r="AD218" t="s">
        <v>3</v>
      </c>
      <c r="AE218">
        <v>50</v>
      </c>
      <c r="AF218">
        <v>20</v>
      </c>
      <c r="AH218" t="s">
        <v>1957</v>
      </c>
      <c r="AI218" t="s">
        <v>1956</v>
      </c>
      <c r="AK218" t="s">
        <v>1955</v>
      </c>
      <c r="AL218">
        <v>0</v>
      </c>
      <c r="AM218" s="5">
        <f t="shared" si="27"/>
        <v>0</v>
      </c>
      <c r="AN218" s="4">
        <f t="shared" si="28"/>
        <v>0</v>
      </c>
      <c r="AO218" s="3"/>
      <c r="AP218">
        <v>0</v>
      </c>
      <c r="AR218" t="s">
        <v>1</v>
      </c>
      <c r="AT218" s="2" t="s">
        <v>7</v>
      </c>
      <c r="AU218" s="1" t="e">
        <f t="shared" si="29"/>
        <v>#VALUE!</v>
      </c>
      <c r="AV218" s="1" t="e">
        <f t="shared" si="30"/>
        <v>#VALUE!</v>
      </c>
      <c r="AW218" s="1" t="e">
        <f t="shared" si="31"/>
        <v>#VALUE!</v>
      </c>
    </row>
    <row r="219" spans="1:49" x14ac:dyDescent="0.2">
      <c r="A219">
        <v>217</v>
      </c>
      <c r="B219" t="s">
        <v>1954</v>
      </c>
      <c r="F219" t="s">
        <v>1953</v>
      </c>
      <c r="G219" t="s">
        <v>6</v>
      </c>
      <c r="H219" t="s">
        <v>5</v>
      </c>
      <c r="I219" t="s">
        <v>166</v>
      </c>
      <c r="J219">
        <v>60005913</v>
      </c>
      <c r="K219" t="s">
        <v>165</v>
      </c>
      <c r="L219" t="s">
        <v>59</v>
      </c>
      <c r="M219" t="s">
        <v>58</v>
      </c>
      <c r="N219">
        <v>1</v>
      </c>
      <c r="O219" t="s">
        <v>164</v>
      </c>
      <c r="P219">
        <v>7004641779</v>
      </c>
      <c r="Q219">
        <v>60005913</v>
      </c>
      <c r="R219" s="8">
        <v>34973</v>
      </c>
      <c r="S219" s="9">
        <f t="shared" si="24"/>
        <v>1995</v>
      </c>
      <c r="T219" s="9">
        <v>1995</v>
      </c>
      <c r="U219" s="9">
        <f t="shared" si="25"/>
        <v>27</v>
      </c>
      <c r="V219" s="8">
        <v>34973</v>
      </c>
      <c r="W219" t="s">
        <v>425</v>
      </c>
      <c r="X219" s="2">
        <v>0.182</v>
      </c>
      <c r="Y219" s="7">
        <f t="shared" si="26"/>
        <v>4.8583860548303574E-3</v>
      </c>
      <c r="AA219">
        <v>9168524</v>
      </c>
      <c r="AB219">
        <v>26075</v>
      </c>
      <c r="AD219" t="s">
        <v>3</v>
      </c>
      <c r="AE219" t="s">
        <v>424</v>
      </c>
      <c r="AF219">
        <v>10</v>
      </c>
      <c r="AH219" t="s">
        <v>1952</v>
      </c>
      <c r="AI219" t="s">
        <v>1951</v>
      </c>
      <c r="AK219" t="s">
        <v>1950</v>
      </c>
      <c r="AL219">
        <v>6</v>
      </c>
      <c r="AM219" s="5">
        <f t="shared" si="27"/>
        <v>0.22222222222222221</v>
      </c>
      <c r="AN219" s="4">
        <f t="shared" si="28"/>
        <v>3.365728469855694E-4</v>
      </c>
      <c r="AO219" s="3"/>
      <c r="AP219">
        <v>0</v>
      </c>
      <c r="AR219" t="s">
        <v>1</v>
      </c>
      <c r="AT219" s="2">
        <v>0.35199999999999998</v>
      </c>
      <c r="AU219" s="1">
        <f t="shared" si="29"/>
        <v>0.35018420924769211</v>
      </c>
      <c r="AV219" s="1">
        <f t="shared" si="30"/>
        <v>0.25974794509079635</v>
      </c>
      <c r="AW219" s="1">
        <f t="shared" si="31"/>
        <v>0.16931168093390059</v>
      </c>
    </row>
    <row r="220" spans="1:49" x14ac:dyDescent="0.2">
      <c r="A220">
        <v>218</v>
      </c>
      <c r="B220" t="s">
        <v>1949</v>
      </c>
      <c r="C220" t="s">
        <v>1948</v>
      </c>
      <c r="F220" t="s">
        <v>1947</v>
      </c>
      <c r="G220" t="s">
        <v>6</v>
      </c>
      <c r="H220" t="s">
        <v>5</v>
      </c>
      <c r="I220" t="s">
        <v>1946</v>
      </c>
      <c r="J220">
        <v>60029445</v>
      </c>
      <c r="K220" t="s">
        <v>217</v>
      </c>
      <c r="L220" t="s">
        <v>216</v>
      </c>
      <c r="M220" t="s">
        <v>4</v>
      </c>
      <c r="N220">
        <v>2</v>
      </c>
      <c r="O220" t="s">
        <v>1945</v>
      </c>
      <c r="P220" t="s">
        <v>1944</v>
      </c>
      <c r="Q220" t="s">
        <v>215</v>
      </c>
      <c r="R220" s="8">
        <v>34973</v>
      </c>
      <c r="S220" s="9">
        <f t="shared" si="24"/>
        <v>1995</v>
      </c>
      <c r="T220" s="9">
        <v>1995</v>
      </c>
      <c r="U220" s="9">
        <f t="shared" si="25"/>
        <v>27</v>
      </c>
      <c r="V220" s="8">
        <v>34973</v>
      </c>
      <c r="W220" t="s">
        <v>118</v>
      </c>
      <c r="X220" s="2">
        <v>0.28799999999999998</v>
      </c>
      <c r="Y220" s="7">
        <f t="shared" si="26"/>
        <v>7.6879955153359488E-3</v>
      </c>
      <c r="AA220">
        <v>10689605</v>
      </c>
      <c r="AB220">
        <v>19515</v>
      </c>
      <c r="AC220">
        <v>15728129</v>
      </c>
      <c r="AD220" t="s">
        <v>3</v>
      </c>
      <c r="AE220">
        <v>2</v>
      </c>
      <c r="AF220">
        <v>4</v>
      </c>
      <c r="AH220" t="s">
        <v>1943</v>
      </c>
      <c r="AI220" t="s">
        <v>1942</v>
      </c>
      <c r="AJ220" t="s">
        <v>1941</v>
      </c>
      <c r="AK220" t="s">
        <v>1940</v>
      </c>
      <c r="AL220">
        <v>6</v>
      </c>
      <c r="AM220" s="5">
        <f t="shared" si="27"/>
        <v>0.22222222222222221</v>
      </c>
      <c r="AN220" s="4">
        <f t="shared" si="28"/>
        <v>3.365728469855694E-4</v>
      </c>
      <c r="AO220" s="3"/>
      <c r="AP220">
        <v>0</v>
      </c>
      <c r="AR220" t="s">
        <v>1</v>
      </c>
      <c r="AT220" s="2" t="s">
        <v>7</v>
      </c>
      <c r="AU220" s="1">
        <f t="shared" si="29"/>
        <v>0.54825687148308344</v>
      </c>
      <c r="AV220" s="1">
        <f t="shared" si="30"/>
        <v>0.4012284181160759</v>
      </c>
      <c r="AW220" s="1">
        <f t="shared" si="31"/>
        <v>0.25419996474906831</v>
      </c>
    </row>
    <row r="221" spans="1:49" x14ac:dyDescent="0.2">
      <c r="A221">
        <v>219</v>
      </c>
      <c r="B221" t="s">
        <v>1939</v>
      </c>
      <c r="C221" t="s">
        <v>1938</v>
      </c>
      <c r="F221" t="s">
        <v>1937</v>
      </c>
      <c r="G221" t="s">
        <v>6</v>
      </c>
      <c r="H221" t="s">
        <v>5</v>
      </c>
      <c r="I221" t="s">
        <v>1936</v>
      </c>
      <c r="J221">
        <v>60012197</v>
      </c>
      <c r="K221" t="s">
        <v>1935</v>
      </c>
      <c r="L221" t="s">
        <v>399</v>
      </c>
      <c r="M221" t="s">
        <v>37</v>
      </c>
      <c r="N221">
        <v>1</v>
      </c>
      <c r="O221" t="s">
        <v>1934</v>
      </c>
      <c r="P221">
        <v>7402066733</v>
      </c>
      <c r="Q221">
        <v>60012197</v>
      </c>
      <c r="R221" s="8">
        <v>34973</v>
      </c>
      <c r="S221" s="9">
        <f t="shared" si="24"/>
        <v>1995</v>
      </c>
      <c r="T221" s="9">
        <v>1995</v>
      </c>
      <c r="U221" s="9">
        <f t="shared" si="25"/>
        <v>27</v>
      </c>
      <c r="V221" s="8">
        <v>34973</v>
      </c>
      <c r="W221" t="s">
        <v>282</v>
      </c>
      <c r="X221" s="2">
        <v>0.61499999999999999</v>
      </c>
      <c r="Y221" s="7">
        <f t="shared" si="26"/>
        <v>1.6417073756706976E-2</v>
      </c>
      <c r="AA221">
        <v>1959271</v>
      </c>
      <c r="AB221">
        <v>12141</v>
      </c>
      <c r="AC221">
        <v>15729559</v>
      </c>
      <c r="AD221" t="s">
        <v>3</v>
      </c>
      <c r="AE221">
        <v>16</v>
      </c>
      <c r="AF221">
        <v>10</v>
      </c>
      <c r="AH221" t="s">
        <v>1933</v>
      </c>
      <c r="AI221" t="s">
        <v>1932</v>
      </c>
      <c r="AJ221" t="s">
        <v>1931</v>
      </c>
      <c r="AK221" t="s">
        <v>1930</v>
      </c>
      <c r="AL221">
        <v>1</v>
      </c>
      <c r="AM221" s="5">
        <f t="shared" si="27"/>
        <v>3.7037037037037035E-2</v>
      </c>
      <c r="AN221" s="4">
        <f t="shared" si="28"/>
        <v>5.6095474497594906E-5</v>
      </c>
      <c r="AO221" s="3"/>
      <c r="AP221">
        <v>0</v>
      </c>
      <c r="AR221" t="s">
        <v>1</v>
      </c>
      <c r="AT221" s="2" t="s">
        <v>7</v>
      </c>
      <c r="AU221" s="1">
        <f t="shared" si="29"/>
        <v>1.1508780272044159</v>
      </c>
      <c r="AV221" s="1">
        <f t="shared" si="30"/>
        <v>0.82365846156022859</v>
      </c>
      <c r="AW221" s="1">
        <f t="shared" si="31"/>
        <v>0.49643889591604085</v>
      </c>
    </row>
    <row r="222" spans="1:49" x14ac:dyDescent="0.2">
      <c r="A222">
        <v>220</v>
      </c>
      <c r="B222" t="s">
        <v>1929</v>
      </c>
      <c r="F222" t="s">
        <v>1928</v>
      </c>
      <c r="G222" t="s">
        <v>6</v>
      </c>
      <c r="H222" t="s">
        <v>5</v>
      </c>
      <c r="I222" t="s">
        <v>1927</v>
      </c>
      <c r="J222">
        <v>60082706</v>
      </c>
      <c r="K222" t="s">
        <v>1926</v>
      </c>
      <c r="M222" t="s">
        <v>37</v>
      </c>
      <c r="N222">
        <v>1</v>
      </c>
      <c r="O222" t="s">
        <v>1925</v>
      </c>
      <c r="P222">
        <v>6602543482</v>
      </c>
      <c r="Q222">
        <v>60082706</v>
      </c>
      <c r="R222" s="8">
        <v>34973</v>
      </c>
      <c r="S222" s="9">
        <f t="shared" si="24"/>
        <v>1995</v>
      </c>
      <c r="T222" s="9">
        <v>1995</v>
      </c>
      <c r="U222" s="9">
        <f t="shared" si="25"/>
        <v>27</v>
      </c>
      <c r="V222" s="8">
        <v>34973</v>
      </c>
      <c r="W222" t="s">
        <v>122</v>
      </c>
      <c r="X222" s="2">
        <v>0.13800000000000001</v>
      </c>
      <c r="Y222" s="7">
        <f t="shared" si="26"/>
        <v>3.6838311844318095E-3</v>
      </c>
      <c r="AA222">
        <v>1926225</v>
      </c>
      <c r="AB222">
        <v>18580</v>
      </c>
      <c r="AD222" t="s">
        <v>3</v>
      </c>
      <c r="AE222">
        <v>38</v>
      </c>
      <c r="AF222">
        <v>10</v>
      </c>
      <c r="AI222" t="s">
        <v>1924</v>
      </c>
      <c r="AK222" t="s">
        <v>1923</v>
      </c>
      <c r="AL222">
        <v>30</v>
      </c>
      <c r="AM222" s="5">
        <f t="shared" si="27"/>
        <v>1.1111111111111112</v>
      </c>
      <c r="AN222" s="4">
        <f t="shared" si="28"/>
        <v>1.6828642349278472E-3</v>
      </c>
      <c r="AO222" s="3"/>
      <c r="AP222">
        <v>0</v>
      </c>
      <c r="AR222" t="s">
        <v>1</v>
      </c>
      <c r="AT222" s="2">
        <v>0.30599999999999999</v>
      </c>
      <c r="AU222" s="1">
        <f t="shared" si="29"/>
        <v>0.30835410995806206</v>
      </c>
      <c r="AV222" s="1">
        <f t="shared" si="30"/>
        <v>0.26833477096798286</v>
      </c>
      <c r="AW222" s="1">
        <f t="shared" si="31"/>
        <v>0.22831543197790355</v>
      </c>
    </row>
    <row r="223" spans="1:49" x14ac:dyDescent="0.2">
      <c r="A223">
        <v>221</v>
      </c>
      <c r="B223" t="s">
        <v>1922</v>
      </c>
      <c r="C223" t="s">
        <v>1921</v>
      </c>
      <c r="F223" t="s">
        <v>1920</v>
      </c>
      <c r="G223" t="s">
        <v>6</v>
      </c>
      <c r="H223" t="s">
        <v>5</v>
      </c>
      <c r="I223" t="s">
        <v>1919</v>
      </c>
      <c r="J223">
        <v>60005322</v>
      </c>
      <c r="K223" t="s">
        <v>1918</v>
      </c>
      <c r="L223" t="s">
        <v>1917</v>
      </c>
      <c r="M223" t="s">
        <v>9</v>
      </c>
      <c r="N223">
        <v>3</v>
      </c>
      <c r="O223" t="s">
        <v>1916</v>
      </c>
      <c r="P223" t="s">
        <v>1915</v>
      </c>
      <c r="Q223" t="s">
        <v>1914</v>
      </c>
      <c r="R223" s="8">
        <v>34973</v>
      </c>
      <c r="S223" s="9">
        <f t="shared" si="24"/>
        <v>1995</v>
      </c>
      <c r="T223" s="9">
        <v>1995</v>
      </c>
      <c r="U223" s="9">
        <f t="shared" si="25"/>
        <v>27</v>
      </c>
      <c r="V223" s="8">
        <v>34973</v>
      </c>
      <c r="W223" s="11" t="s">
        <v>400</v>
      </c>
      <c r="X223" s="2">
        <v>2.383</v>
      </c>
      <c r="Y223" s="7">
        <f t="shared" si="26"/>
        <v>6.3612824003630442E-2</v>
      </c>
      <c r="AA223">
        <v>13502395</v>
      </c>
      <c r="AB223">
        <v>17418</v>
      </c>
      <c r="AD223" t="s">
        <v>3</v>
      </c>
      <c r="AE223">
        <v>142</v>
      </c>
      <c r="AF223">
        <v>5</v>
      </c>
      <c r="AH223" t="s">
        <v>1913</v>
      </c>
      <c r="AI223" t="s">
        <v>1912</v>
      </c>
      <c r="AK223" t="s">
        <v>1911</v>
      </c>
      <c r="AL223">
        <v>25</v>
      </c>
      <c r="AM223" s="5">
        <f t="shared" si="27"/>
        <v>0.92592592592592593</v>
      </c>
      <c r="AN223" s="4">
        <f t="shared" si="28"/>
        <v>1.4023868624398726E-3</v>
      </c>
      <c r="AO223" s="3"/>
      <c r="AP223">
        <v>0</v>
      </c>
      <c r="AR223" t="s">
        <v>1</v>
      </c>
      <c r="AT223" s="2" t="s">
        <v>7</v>
      </c>
      <c r="AU223" s="1">
        <f t="shared" si="29"/>
        <v>4.4949692861273265</v>
      </c>
      <c r="AV223" s="1">
        <f t="shared" si="30"/>
        <v>3.2507605433035156</v>
      </c>
      <c r="AW223" s="1">
        <f t="shared" si="31"/>
        <v>2.0065518004797043</v>
      </c>
    </row>
    <row r="224" spans="1:49" x14ac:dyDescent="0.2">
      <c r="A224">
        <v>222</v>
      </c>
      <c r="B224" t="s">
        <v>1910</v>
      </c>
      <c r="C224" t="s">
        <v>1909</v>
      </c>
      <c r="F224" t="s">
        <v>1908</v>
      </c>
      <c r="G224" t="s">
        <v>6</v>
      </c>
      <c r="H224" t="s">
        <v>5</v>
      </c>
      <c r="I224" t="s">
        <v>1907</v>
      </c>
      <c r="J224">
        <v>60021859</v>
      </c>
      <c r="K224" t="s">
        <v>311</v>
      </c>
      <c r="L224" t="s">
        <v>310</v>
      </c>
      <c r="M224" t="s">
        <v>30</v>
      </c>
      <c r="N224">
        <v>3</v>
      </c>
      <c r="O224" t="s">
        <v>1906</v>
      </c>
      <c r="P224" t="s">
        <v>1905</v>
      </c>
      <c r="Q224" t="s">
        <v>309</v>
      </c>
      <c r="R224" s="8">
        <v>34973</v>
      </c>
      <c r="S224" s="9">
        <f t="shared" si="24"/>
        <v>1995</v>
      </c>
      <c r="T224" s="9">
        <v>1995</v>
      </c>
      <c r="U224" s="9">
        <f t="shared" si="25"/>
        <v>27</v>
      </c>
      <c r="V224" s="8">
        <v>34973</v>
      </c>
      <c r="W224" s="11" t="s">
        <v>238</v>
      </c>
      <c r="X224" s="2">
        <v>2.383</v>
      </c>
      <c r="Y224" s="7">
        <f t="shared" si="26"/>
        <v>6.3612824003630442E-2</v>
      </c>
      <c r="AA224">
        <v>13502417</v>
      </c>
      <c r="AB224">
        <v>17416</v>
      </c>
      <c r="AD224" t="s">
        <v>3</v>
      </c>
      <c r="AE224">
        <v>142</v>
      </c>
      <c r="AF224">
        <v>5</v>
      </c>
      <c r="AH224" t="s">
        <v>1904</v>
      </c>
      <c r="AI224" t="s">
        <v>1903</v>
      </c>
      <c r="AK224" t="s">
        <v>1902</v>
      </c>
      <c r="AL224">
        <v>7</v>
      </c>
      <c r="AM224" s="5">
        <f t="shared" si="27"/>
        <v>0.25925925925925924</v>
      </c>
      <c r="AN224" s="4">
        <f t="shared" si="28"/>
        <v>3.9266832148316435E-4</v>
      </c>
      <c r="AO224" s="3"/>
      <c r="AP224">
        <v>0</v>
      </c>
      <c r="AR224" t="s">
        <v>1</v>
      </c>
      <c r="AT224" s="2" t="s">
        <v>7</v>
      </c>
      <c r="AU224" s="1">
        <f t="shared" si="29"/>
        <v>4.464677729898626</v>
      </c>
      <c r="AV224" s="1">
        <f t="shared" si="30"/>
        <v>3.2002746162556801</v>
      </c>
      <c r="AW224" s="1">
        <f t="shared" si="31"/>
        <v>1.9358715026127349</v>
      </c>
    </row>
    <row r="225" spans="1:49" x14ac:dyDescent="0.2">
      <c r="A225">
        <v>223</v>
      </c>
      <c r="B225" t="s">
        <v>1901</v>
      </c>
      <c r="F225" t="s">
        <v>1900</v>
      </c>
      <c r="G225" t="s">
        <v>6</v>
      </c>
      <c r="H225" t="s">
        <v>5</v>
      </c>
      <c r="I225" t="s">
        <v>1899</v>
      </c>
      <c r="N225">
        <v>1</v>
      </c>
      <c r="O225" t="s">
        <v>1898</v>
      </c>
      <c r="P225">
        <v>6506930684</v>
      </c>
      <c r="R225" s="8">
        <v>34973</v>
      </c>
      <c r="S225" s="9">
        <f t="shared" si="24"/>
        <v>1995</v>
      </c>
      <c r="T225" s="9">
        <v>1995</v>
      </c>
      <c r="U225" s="9">
        <f t="shared" si="25"/>
        <v>27</v>
      </c>
      <c r="V225" s="8">
        <v>34973</v>
      </c>
      <c r="W225" t="s">
        <v>1897</v>
      </c>
      <c r="X225" s="2" t="s">
        <v>7</v>
      </c>
      <c r="Y225" s="7" t="e">
        <f t="shared" si="26"/>
        <v>#VALUE!</v>
      </c>
      <c r="AA225">
        <v>181153</v>
      </c>
      <c r="AB225">
        <v>80073</v>
      </c>
      <c r="AD225" t="s">
        <v>3</v>
      </c>
      <c r="AE225">
        <v>46</v>
      </c>
      <c r="AF225">
        <v>5</v>
      </c>
      <c r="AH225" t="s">
        <v>99</v>
      </c>
      <c r="AI225" t="s">
        <v>1896</v>
      </c>
      <c r="AK225" t="s">
        <v>1895</v>
      </c>
      <c r="AL225">
        <v>0</v>
      </c>
      <c r="AM225" s="5">
        <f t="shared" si="27"/>
        <v>0</v>
      </c>
      <c r="AN225" s="4">
        <f t="shared" si="28"/>
        <v>0</v>
      </c>
      <c r="AO225" s="3"/>
      <c r="AP225">
        <v>0</v>
      </c>
      <c r="AR225" t="s">
        <v>1</v>
      </c>
      <c r="AT225" s="2" t="s">
        <v>7</v>
      </c>
      <c r="AU225" s="1" t="e">
        <f t="shared" si="29"/>
        <v>#VALUE!</v>
      </c>
      <c r="AV225" s="1" t="e">
        <f t="shared" si="30"/>
        <v>#VALUE!</v>
      </c>
      <c r="AW225" s="1" t="e">
        <f t="shared" si="31"/>
        <v>#VALUE!</v>
      </c>
    </row>
    <row r="226" spans="1:49" x14ac:dyDescent="0.2">
      <c r="A226">
        <v>224</v>
      </c>
      <c r="B226" t="s">
        <v>1894</v>
      </c>
      <c r="F226" t="s">
        <v>1893</v>
      </c>
      <c r="G226" t="s">
        <v>6</v>
      </c>
      <c r="H226" t="s">
        <v>5</v>
      </c>
      <c r="I226" t="s">
        <v>1892</v>
      </c>
      <c r="N226">
        <v>5</v>
      </c>
      <c r="O226" t="s">
        <v>1891</v>
      </c>
      <c r="P226" t="s">
        <v>1890</v>
      </c>
      <c r="Q226" t="s">
        <v>110</v>
      </c>
      <c r="R226" s="8">
        <v>34973</v>
      </c>
      <c r="S226" s="9">
        <f t="shared" si="24"/>
        <v>1995</v>
      </c>
      <c r="T226" s="9">
        <v>1995</v>
      </c>
      <c r="U226" s="9">
        <f t="shared" si="25"/>
        <v>27</v>
      </c>
      <c r="V226" s="8">
        <v>34973</v>
      </c>
      <c r="W226" t="s">
        <v>127</v>
      </c>
      <c r="X226" s="2">
        <v>0.14099999999999999</v>
      </c>
      <c r="Y226" s="7">
        <f t="shared" si="26"/>
        <v>3.7639144710498915E-3</v>
      </c>
      <c r="AA226">
        <v>402508</v>
      </c>
      <c r="AB226">
        <v>20868</v>
      </c>
      <c r="AD226" t="s">
        <v>3</v>
      </c>
      <c r="AE226">
        <v>49</v>
      </c>
      <c r="AF226">
        <v>10</v>
      </c>
      <c r="AH226" s="6">
        <v>44409</v>
      </c>
      <c r="AI226" t="s">
        <v>1889</v>
      </c>
      <c r="AK226" t="s">
        <v>1888</v>
      </c>
      <c r="AL226">
        <v>0</v>
      </c>
      <c r="AM226" s="5">
        <f t="shared" si="27"/>
        <v>0</v>
      </c>
      <c r="AN226" s="4">
        <f t="shared" si="28"/>
        <v>0</v>
      </c>
      <c r="AO226" s="3"/>
      <c r="AP226">
        <v>0</v>
      </c>
      <c r="AR226" t="s">
        <v>1</v>
      </c>
      <c r="AT226" s="2" t="s">
        <v>7</v>
      </c>
      <c r="AU226" s="1">
        <f t="shared" si="29"/>
        <v>0.26347401297349238</v>
      </c>
      <c r="AV226" s="1">
        <f t="shared" si="30"/>
        <v>0.18819572355249459</v>
      </c>
      <c r="AW226" s="1">
        <f t="shared" si="31"/>
        <v>0.11291743413149673</v>
      </c>
    </row>
    <row r="227" spans="1:49" x14ac:dyDescent="0.2">
      <c r="A227">
        <v>225</v>
      </c>
      <c r="B227" t="s">
        <v>1887</v>
      </c>
      <c r="F227" t="s">
        <v>1886</v>
      </c>
      <c r="G227" t="s">
        <v>6</v>
      </c>
      <c r="H227" t="s">
        <v>5</v>
      </c>
      <c r="I227" t="s">
        <v>1885</v>
      </c>
      <c r="J227">
        <v>100325229</v>
      </c>
      <c r="K227" t="s">
        <v>1884</v>
      </c>
      <c r="L227" t="s">
        <v>1883</v>
      </c>
      <c r="M227" t="s">
        <v>9</v>
      </c>
      <c r="N227">
        <v>1</v>
      </c>
      <c r="O227" t="s">
        <v>1882</v>
      </c>
      <c r="P227">
        <v>6602505684</v>
      </c>
      <c r="Q227">
        <v>100325229</v>
      </c>
      <c r="R227" s="8">
        <v>34973</v>
      </c>
      <c r="S227" s="9">
        <f t="shared" si="24"/>
        <v>1995</v>
      </c>
      <c r="T227" s="9">
        <v>1995</v>
      </c>
      <c r="U227" s="9">
        <f t="shared" si="25"/>
        <v>27</v>
      </c>
      <c r="V227" s="8">
        <v>34973</v>
      </c>
      <c r="W227" t="s">
        <v>425</v>
      </c>
      <c r="X227" s="2">
        <v>0.182</v>
      </c>
      <c r="Y227" s="7">
        <f t="shared" si="26"/>
        <v>4.8583860548303574E-3</v>
      </c>
      <c r="AA227">
        <v>9168524</v>
      </c>
      <c r="AB227">
        <v>26075</v>
      </c>
      <c r="AD227" t="s">
        <v>3</v>
      </c>
      <c r="AE227" t="s">
        <v>424</v>
      </c>
      <c r="AF227">
        <v>10</v>
      </c>
      <c r="AH227" t="s">
        <v>1881</v>
      </c>
      <c r="AI227" t="s">
        <v>1880</v>
      </c>
      <c r="AK227" t="s">
        <v>1879</v>
      </c>
      <c r="AL227">
        <v>33</v>
      </c>
      <c r="AM227" s="5">
        <f t="shared" si="27"/>
        <v>1.2222222222222223</v>
      </c>
      <c r="AN227" s="4">
        <f t="shared" si="28"/>
        <v>1.851150658420632E-3</v>
      </c>
      <c r="AO227" s="3"/>
      <c r="AP227">
        <v>0</v>
      </c>
      <c r="AR227" t="s">
        <v>1</v>
      </c>
      <c r="AT227" s="2">
        <v>0.35199999999999998</v>
      </c>
      <c r="AU227" s="1">
        <f t="shared" si="29"/>
        <v>0.39562154359074392</v>
      </c>
      <c r="AV227" s="1">
        <f t="shared" si="30"/>
        <v>0.33547683566254949</v>
      </c>
      <c r="AW227" s="1">
        <f t="shared" si="31"/>
        <v>0.27533212773435495</v>
      </c>
    </row>
    <row r="228" spans="1:49" x14ac:dyDescent="0.2">
      <c r="A228">
        <v>226</v>
      </c>
      <c r="B228" t="s">
        <v>1878</v>
      </c>
      <c r="F228" t="s">
        <v>1877</v>
      </c>
      <c r="G228" t="s">
        <v>6</v>
      </c>
      <c r="H228" t="s">
        <v>5</v>
      </c>
      <c r="I228" t="s">
        <v>1876</v>
      </c>
      <c r="J228">
        <v>60020739</v>
      </c>
      <c r="K228" t="s">
        <v>1875</v>
      </c>
      <c r="L228" t="s">
        <v>1874</v>
      </c>
      <c r="M228" t="s">
        <v>14</v>
      </c>
      <c r="N228">
        <v>3</v>
      </c>
      <c r="O228" t="s">
        <v>1873</v>
      </c>
      <c r="P228" t="s">
        <v>1872</v>
      </c>
      <c r="Q228" t="s">
        <v>1871</v>
      </c>
      <c r="R228" s="8">
        <v>34973</v>
      </c>
      <c r="S228" s="9">
        <f t="shared" si="24"/>
        <v>1995</v>
      </c>
      <c r="T228" s="9">
        <v>1995</v>
      </c>
      <c r="U228" s="9">
        <f t="shared" si="25"/>
        <v>27</v>
      </c>
      <c r="V228" s="8">
        <v>34973</v>
      </c>
      <c r="W228" t="s">
        <v>425</v>
      </c>
      <c r="X228" s="2">
        <v>0.182</v>
      </c>
      <c r="Y228" s="7">
        <f t="shared" si="26"/>
        <v>4.8583860548303574E-3</v>
      </c>
      <c r="AA228">
        <v>9168524</v>
      </c>
      <c r="AB228">
        <v>26075</v>
      </c>
      <c r="AD228" t="s">
        <v>3</v>
      </c>
      <c r="AE228" t="s">
        <v>424</v>
      </c>
      <c r="AF228">
        <v>10</v>
      </c>
      <c r="AH228" t="s">
        <v>1870</v>
      </c>
      <c r="AI228" t="s">
        <v>1869</v>
      </c>
      <c r="AK228" t="s">
        <v>1868</v>
      </c>
      <c r="AL228">
        <v>4</v>
      </c>
      <c r="AM228" s="5">
        <f t="shared" si="27"/>
        <v>0.14814814814814814</v>
      </c>
      <c r="AN228" s="4">
        <f t="shared" si="28"/>
        <v>2.2438189799037963E-4</v>
      </c>
      <c r="AO228" s="3"/>
      <c r="AP228">
        <v>0</v>
      </c>
      <c r="AR228" t="s">
        <v>1</v>
      </c>
      <c r="AT228" s="2">
        <v>0.35199999999999998</v>
      </c>
      <c r="AU228" s="1">
        <f t="shared" si="29"/>
        <v>0.34681848077783639</v>
      </c>
      <c r="AV228" s="1">
        <f t="shared" si="30"/>
        <v>0.25413839764103685</v>
      </c>
      <c r="AW228" s="1">
        <f t="shared" si="31"/>
        <v>0.16145831450423731</v>
      </c>
    </row>
    <row r="229" spans="1:49" x14ac:dyDescent="0.2">
      <c r="A229">
        <v>227</v>
      </c>
      <c r="B229" t="s">
        <v>1867</v>
      </c>
      <c r="F229" t="s">
        <v>1866</v>
      </c>
      <c r="G229" t="s">
        <v>6</v>
      </c>
      <c r="H229" t="s">
        <v>5</v>
      </c>
      <c r="I229" t="s">
        <v>1865</v>
      </c>
      <c r="N229">
        <v>1</v>
      </c>
      <c r="O229" t="s">
        <v>1864</v>
      </c>
      <c r="P229">
        <v>7102050122</v>
      </c>
      <c r="R229" s="8">
        <v>34973</v>
      </c>
      <c r="S229" s="9">
        <f t="shared" si="24"/>
        <v>1995</v>
      </c>
      <c r="T229" s="9">
        <v>1995</v>
      </c>
      <c r="U229" s="9">
        <f t="shared" si="25"/>
        <v>27</v>
      </c>
      <c r="V229" s="8">
        <v>34973</v>
      </c>
      <c r="W229" t="s">
        <v>1863</v>
      </c>
      <c r="X229" s="2" t="s">
        <v>7</v>
      </c>
      <c r="Y229" s="7" t="e">
        <f t="shared" si="26"/>
        <v>#VALUE!</v>
      </c>
      <c r="AA229">
        <v>268127</v>
      </c>
      <c r="AB229">
        <v>27808</v>
      </c>
      <c r="AD229" t="s">
        <v>3</v>
      </c>
      <c r="AE229">
        <v>51</v>
      </c>
      <c r="AF229">
        <v>9</v>
      </c>
      <c r="AI229" t="s">
        <v>1862</v>
      </c>
      <c r="AK229" t="s">
        <v>1861</v>
      </c>
      <c r="AL229">
        <v>0</v>
      </c>
      <c r="AM229" s="5">
        <f t="shared" si="27"/>
        <v>0</v>
      </c>
      <c r="AN229" s="4">
        <f t="shared" si="28"/>
        <v>0</v>
      </c>
      <c r="AO229" s="3"/>
      <c r="AP229">
        <v>0</v>
      </c>
      <c r="AR229" t="s">
        <v>1</v>
      </c>
      <c r="AT229" s="2" t="s">
        <v>7</v>
      </c>
      <c r="AU229" s="1" t="e">
        <f t="shared" si="29"/>
        <v>#VALUE!</v>
      </c>
      <c r="AV229" s="1" t="e">
        <f t="shared" si="30"/>
        <v>#VALUE!</v>
      </c>
      <c r="AW229" s="1" t="e">
        <f t="shared" si="31"/>
        <v>#VALUE!</v>
      </c>
    </row>
    <row r="230" spans="1:49" x14ac:dyDescent="0.2">
      <c r="A230">
        <v>228</v>
      </c>
      <c r="B230" t="s">
        <v>1860</v>
      </c>
      <c r="C230" t="s">
        <v>1859</v>
      </c>
      <c r="F230" t="s">
        <v>1858</v>
      </c>
      <c r="G230" t="s">
        <v>6</v>
      </c>
      <c r="H230" t="s">
        <v>5</v>
      </c>
      <c r="I230" t="s">
        <v>1857</v>
      </c>
      <c r="J230">
        <v>60033387</v>
      </c>
      <c r="K230" t="s">
        <v>469</v>
      </c>
      <c r="L230" t="s">
        <v>41</v>
      </c>
      <c r="M230" t="s">
        <v>37</v>
      </c>
      <c r="N230">
        <v>2</v>
      </c>
      <c r="O230" t="s">
        <v>1856</v>
      </c>
      <c r="P230" t="s">
        <v>1855</v>
      </c>
      <c r="Q230" t="s">
        <v>468</v>
      </c>
      <c r="R230" s="8">
        <v>34973</v>
      </c>
      <c r="S230" s="9">
        <f t="shared" si="24"/>
        <v>1995</v>
      </c>
      <c r="T230" s="9">
        <v>1995</v>
      </c>
      <c r="U230" s="9">
        <f t="shared" si="25"/>
        <v>27</v>
      </c>
      <c r="V230" s="8">
        <v>34973</v>
      </c>
      <c r="W230" s="11" t="s">
        <v>238</v>
      </c>
      <c r="X230" s="2">
        <v>2.383</v>
      </c>
      <c r="Y230" s="7">
        <f t="shared" si="26"/>
        <v>6.3612824003630442E-2</v>
      </c>
      <c r="AA230">
        <v>13502417</v>
      </c>
      <c r="AB230">
        <v>17416</v>
      </c>
      <c r="AD230" t="s">
        <v>3</v>
      </c>
      <c r="AE230">
        <v>142</v>
      </c>
      <c r="AF230">
        <v>5</v>
      </c>
      <c r="AH230" t="s">
        <v>1854</v>
      </c>
      <c r="AI230" t="s">
        <v>1853</v>
      </c>
      <c r="AK230" t="s">
        <v>1852</v>
      </c>
      <c r="AL230">
        <v>24</v>
      </c>
      <c r="AM230" s="5">
        <f t="shared" si="27"/>
        <v>0.88888888888888884</v>
      </c>
      <c r="AN230" s="4">
        <f t="shared" si="28"/>
        <v>1.3462913879422776E-3</v>
      </c>
      <c r="AO230" s="3"/>
      <c r="AP230">
        <v>0</v>
      </c>
      <c r="AR230" t="s">
        <v>1</v>
      </c>
      <c r="AT230" s="2" t="s">
        <v>7</v>
      </c>
      <c r="AU230" s="1">
        <f t="shared" si="29"/>
        <v>4.4932864218923996</v>
      </c>
      <c r="AV230" s="1">
        <f t="shared" si="30"/>
        <v>3.2479557695786356</v>
      </c>
      <c r="AW230" s="1">
        <f t="shared" si="31"/>
        <v>2.0026251172648726</v>
      </c>
    </row>
    <row r="231" spans="1:49" x14ac:dyDescent="0.2">
      <c r="A231">
        <v>229</v>
      </c>
      <c r="B231" t="s">
        <v>1851</v>
      </c>
      <c r="C231" t="s">
        <v>1850</v>
      </c>
      <c r="F231" t="s">
        <v>1849</v>
      </c>
      <c r="G231" t="s">
        <v>6</v>
      </c>
      <c r="H231" t="s">
        <v>5</v>
      </c>
      <c r="I231" t="s">
        <v>1848</v>
      </c>
      <c r="J231">
        <v>60028900</v>
      </c>
      <c r="K231" t="s">
        <v>1847</v>
      </c>
      <c r="L231" t="s">
        <v>1846</v>
      </c>
      <c r="M231" t="s">
        <v>81</v>
      </c>
      <c r="N231">
        <v>2</v>
      </c>
      <c r="O231" t="s">
        <v>1845</v>
      </c>
      <c r="P231" t="s">
        <v>1844</v>
      </c>
      <c r="Q231" t="s">
        <v>1843</v>
      </c>
      <c r="R231" s="8">
        <v>34973</v>
      </c>
      <c r="S231" s="9">
        <f t="shared" si="24"/>
        <v>1995</v>
      </c>
      <c r="T231" s="9">
        <v>1995</v>
      </c>
      <c r="U231" s="9">
        <f t="shared" si="25"/>
        <v>27</v>
      </c>
      <c r="V231" s="8">
        <v>34973</v>
      </c>
      <c r="W231" t="s">
        <v>282</v>
      </c>
      <c r="X231" s="2">
        <v>0.61499999999999999</v>
      </c>
      <c r="Y231" s="7">
        <f t="shared" si="26"/>
        <v>1.6417073756706976E-2</v>
      </c>
      <c r="AA231">
        <v>1959271</v>
      </c>
      <c r="AB231">
        <v>12141</v>
      </c>
      <c r="AC231">
        <v>15729559</v>
      </c>
      <c r="AD231" t="s">
        <v>3</v>
      </c>
      <c r="AE231">
        <v>16</v>
      </c>
      <c r="AF231">
        <v>10</v>
      </c>
      <c r="AH231" t="s">
        <v>1842</v>
      </c>
      <c r="AI231" t="s">
        <v>1841</v>
      </c>
      <c r="AJ231" t="s">
        <v>1840</v>
      </c>
      <c r="AK231" t="s">
        <v>1839</v>
      </c>
      <c r="AL231">
        <v>3</v>
      </c>
      <c r="AM231" s="5">
        <f t="shared" si="27"/>
        <v>0.1111111111111111</v>
      </c>
      <c r="AN231" s="4">
        <f t="shared" si="28"/>
        <v>1.682864234927847E-4</v>
      </c>
      <c r="AO231" s="3"/>
      <c r="AP231">
        <v>0</v>
      </c>
      <c r="AR231" t="s">
        <v>1</v>
      </c>
      <c r="AT231" s="2" t="s">
        <v>7</v>
      </c>
      <c r="AU231" s="1">
        <f t="shared" si="29"/>
        <v>1.1542437556742717</v>
      </c>
      <c r="AV231" s="1">
        <f t="shared" si="30"/>
        <v>0.82926800900998809</v>
      </c>
      <c r="AW231" s="1">
        <f t="shared" si="31"/>
        <v>0.50429226234570412</v>
      </c>
    </row>
    <row r="232" spans="1:49" x14ac:dyDescent="0.2">
      <c r="A232">
        <v>230</v>
      </c>
      <c r="B232" t="s">
        <v>1838</v>
      </c>
      <c r="F232" t="s">
        <v>1837</v>
      </c>
      <c r="G232" t="s">
        <v>6</v>
      </c>
      <c r="H232" t="s">
        <v>5</v>
      </c>
      <c r="I232" t="s">
        <v>1836</v>
      </c>
      <c r="J232">
        <v>60027251</v>
      </c>
      <c r="K232" t="s">
        <v>1835</v>
      </c>
      <c r="L232" t="s">
        <v>26</v>
      </c>
      <c r="M232" t="s">
        <v>25</v>
      </c>
      <c r="N232">
        <v>1</v>
      </c>
      <c r="O232" t="s">
        <v>1834</v>
      </c>
      <c r="P232">
        <v>24774219300</v>
      </c>
      <c r="Q232">
        <v>60027251</v>
      </c>
      <c r="R232" s="8">
        <v>34973</v>
      </c>
      <c r="S232" s="9">
        <f t="shared" si="24"/>
        <v>1995</v>
      </c>
      <c r="T232" s="9">
        <v>1995</v>
      </c>
      <c r="U232" s="9">
        <f t="shared" si="25"/>
        <v>27</v>
      </c>
      <c r="V232" s="8">
        <v>34973</v>
      </c>
      <c r="W232" t="s">
        <v>425</v>
      </c>
      <c r="X232" s="2">
        <v>0.182</v>
      </c>
      <c r="Y232" s="7">
        <f t="shared" si="26"/>
        <v>4.8583860548303574E-3</v>
      </c>
      <c r="AA232">
        <v>9168524</v>
      </c>
      <c r="AB232">
        <v>26075</v>
      </c>
      <c r="AD232" t="s">
        <v>3</v>
      </c>
      <c r="AE232" t="s">
        <v>424</v>
      </c>
      <c r="AF232">
        <v>10</v>
      </c>
      <c r="AH232" t="s">
        <v>1833</v>
      </c>
      <c r="AI232" t="s">
        <v>1832</v>
      </c>
      <c r="AK232" t="s">
        <v>1831</v>
      </c>
      <c r="AL232">
        <v>8</v>
      </c>
      <c r="AM232" s="5">
        <f t="shared" si="27"/>
        <v>0.29629629629629628</v>
      </c>
      <c r="AN232" s="4">
        <f t="shared" si="28"/>
        <v>4.4876379598075925E-4</v>
      </c>
      <c r="AO232" s="3"/>
      <c r="AP232">
        <v>0</v>
      </c>
      <c r="AR232" t="s">
        <v>1</v>
      </c>
      <c r="AT232" s="2">
        <v>0.35199999999999998</v>
      </c>
      <c r="AU232" s="1">
        <f t="shared" si="29"/>
        <v>0.35354993771754778</v>
      </c>
      <c r="AV232" s="1">
        <f t="shared" si="30"/>
        <v>0.26535749254055585</v>
      </c>
      <c r="AW232" s="1">
        <f t="shared" si="31"/>
        <v>0.17716504736356387</v>
      </c>
    </row>
    <row r="233" spans="1:49" x14ac:dyDescent="0.2">
      <c r="A233">
        <v>231</v>
      </c>
      <c r="B233" t="s">
        <v>1830</v>
      </c>
      <c r="F233" t="s">
        <v>1829</v>
      </c>
      <c r="G233" t="s">
        <v>6</v>
      </c>
      <c r="H233" t="s">
        <v>5</v>
      </c>
      <c r="I233" t="s">
        <v>1828</v>
      </c>
      <c r="J233">
        <v>60012630</v>
      </c>
      <c r="K233" t="s">
        <v>1827</v>
      </c>
      <c r="L233" t="s">
        <v>252</v>
      </c>
      <c r="M233" t="s">
        <v>30</v>
      </c>
      <c r="N233">
        <v>2</v>
      </c>
      <c r="O233" t="s">
        <v>1826</v>
      </c>
      <c r="P233" t="s">
        <v>1825</v>
      </c>
      <c r="Q233" t="s">
        <v>1824</v>
      </c>
      <c r="R233" s="8">
        <v>34973</v>
      </c>
      <c r="S233" s="9">
        <f t="shared" si="24"/>
        <v>1995</v>
      </c>
      <c r="T233" s="9">
        <v>1995</v>
      </c>
      <c r="U233" s="9">
        <f t="shared" si="25"/>
        <v>27</v>
      </c>
      <c r="V233" s="8">
        <v>34973</v>
      </c>
      <c r="W233" t="s">
        <v>425</v>
      </c>
      <c r="X233" s="2">
        <v>0.182</v>
      </c>
      <c r="Y233" s="7">
        <f t="shared" si="26"/>
        <v>4.8583860548303574E-3</v>
      </c>
      <c r="AA233">
        <v>9168524</v>
      </c>
      <c r="AB233">
        <v>26075</v>
      </c>
      <c r="AD233" t="s">
        <v>3</v>
      </c>
      <c r="AE233" t="s">
        <v>424</v>
      </c>
      <c r="AF233">
        <v>10</v>
      </c>
      <c r="AH233" t="s">
        <v>1823</v>
      </c>
      <c r="AI233" t="s">
        <v>1822</v>
      </c>
      <c r="AK233" t="s">
        <v>1821</v>
      </c>
      <c r="AL233">
        <v>10</v>
      </c>
      <c r="AM233" s="5">
        <f t="shared" si="27"/>
        <v>0.37037037037037035</v>
      </c>
      <c r="AN233" s="4">
        <f t="shared" si="28"/>
        <v>5.60954744975949E-4</v>
      </c>
      <c r="AO233" s="3"/>
      <c r="AP233">
        <v>0</v>
      </c>
      <c r="AR233" t="s">
        <v>1</v>
      </c>
      <c r="AT233" s="2">
        <v>0.35199999999999998</v>
      </c>
      <c r="AU233" s="1">
        <f t="shared" si="29"/>
        <v>0.35691566618740345</v>
      </c>
      <c r="AV233" s="1">
        <f t="shared" si="30"/>
        <v>0.27096703999031529</v>
      </c>
      <c r="AW233" s="1">
        <f t="shared" si="31"/>
        <v>0.18501841379322714</v>
      </c>
    </row>
    <row r="234" spans="1:49" x14ac:dyDescent="0.2">
      <c r="A234">
        <v>232</v>
      </c>
      <c r="B234" t="s">
        <v>1820</v>
      </c>
      <c r="F234" t="s">
        <v>1819</v>
      </c>
      <c r="G234" t="s">
        <v>6</v>
      </c>
      <c r="H234" t="s">
        <v>5</v>
      </c>
      <c r="I234" t="s">
        <v>1818</v>
      </c>
      <c r="N234">
        <v>2</v>
      </c>
      <c r="O234" t="s">
        <v>1817</v>
      </c>
      <c r="P234" t="s">
        <v>1816</v>
      </c>
      <c r="Q234" t="s">
        <v>73</v>
      </c>
      <c r="R234" s="8">
        <v>34973</v>
      </c>
      <c r="S234" s="9">
        <f t="shared" si="24"/>
        <v>1995</v>
      </c>
      <c r="T234" s="9">
        <v>1995</v>
      </c>
      <c r="U234" s="9">
        <f t="shared" si="25"/>
        <v>27</v>
      </c>
      <c r="V234" s="8">
        <v>34973</v>
      </c>
      <c r="W234" t="s">
        <v>127</v>
      </c>
      <c r="X234" s="2">
        <v>0.14099999999999999</v>
      </c>
      <c r="Y234" s="7">
        <f t="shared" si="26"/>
        <v>3.7639144710498915E-3</v>
      </c>
      <c r="AA234">
        <v>402508</v>
      </c>
      <c r="AB234">
        <v>20868</v>
      </c>
      <c r="AD234" t="s">
        <v>3</v>
      </c>
      <c r="AE234">
        <v>49</v>
      </c>
      <c r="AF234">
        <v>10</v>
      </c>
      <c r="AH234" s="10">
        <v>42248</v>
      </c>
      <c r="AI234" t="s">
        <v>1815</v>
      </c>
      <c r="AK234" t="s">
        <v>1814</v>
      </c>
      <c r="AL234">
        <v>0</v>
      </c>
      <c r="AM234" s="5">
        <f t="shared" si="27"/>
        <v>0</v>
      </c>
      <c r="AN234" s="4">
        <f t="shared" si="28"/>
        <v>0</v>
      </c>
      <c r="AO234" s="3"/>
      <c r="AP234">
        <v>0</v>
      </c>
      <c r="AR234" t="s">
        <v>1</v>
      </c>
      <c r="AT234" s="2" t="s">
        <v>7</v>
      </c>
      <c r="AU234" s="1">
        <f t="shared" si="29"/>
        <v>0.26347401297349238</v>
      </c>
      <c r="AV234" s="1">
        <f t="shared" si="30"/>
        <v>0.18819572355249459</v>
      </c>
      <c r="AW234" s="1">
        <f t="shared" si="31"/>
        <v>0.11291743413149673</v>
      </c>
    </row>
    <row r="235" spans="1:49" x14ac:dyDescent="0.2">
      <c r="A235">
        <v>233</v>
      </c>
      <c r="B235" t="s">
        <v>1813</v>
      </c>
      <c r="C235" t="s">
        <v>1812</v>
      </c>
      <c r="F235" t="s">
        <v>1811</v>
      </c>
      <c r="G235" t="s">
        <v>6</v>
      </c>
      <c r="H235" t="s">
        <v>5</v>
      </c>
      <c r="I235" t="s">
        <v>377</v>
      </c>
      <c r="J235">
        <v>60014171</v>
      </c>
      <c r="K235" t="s">
        <v>187</v>
      </c>
      <c r="L235" t="s">
        <v>186</v>
      </c>
      <c r="M235" t="s">
        <v>20</v>
      </c>
      <c r="N235">
        <v>2</v>
      </c>
      <c r="O235" t="s">
        <v>1810</v>
      </c>
      <c r="P235" t="s">
        <v>1809</v>
      </c>
      <c r="Q235" t="s">
        <v>1808</v>
      </c>
      <c r="R235" s="8">
        <v>34973</v>
      </c>
      <c r="S235" s="9">
        <f t="shared" si="24"/>
        <v>1995</v>
      </c>
      <c r="T235" s="9">
        <v>1995</v>
      </c>
      <c r="U235" s="9">
        <f t="shared" si="25"/>
        <v>27</v>
      </c>
      <c r="V235" s="8">
        <v>34973</v>
      </c>
      <c r="W235" s="11" t="s">
        <v>400</v>
      </c>
      <c r="X235" s="2">
        <v>2.383</v>
      </c>
      <c r="Y235" s="7">
        <f t="shared" si="26"/>
        <v>6.3612824003630442E-2</v>
      </c>
      <c r="AA235">
        <v>13502395</v>
      </c>
      <c r="AB235">
        <v>17418</v>
      </c>
      <c r="AD235" t="s">
        <v>3</v>
      </c>
      <c r="AE235">
        <v>142</v>
      </c>
      <c r="AF235">
        <v>5</v>
      </c>
      <c r="AH235" t="s">
        <v>1807</v>
      </c>
      <c r="AI235" t="s">
        <v>1806</v>
      </c>
      <c r="AK235" t="s">
        <v>1805</v>
      </c>
      <c r="AL235">
        <v>16</v>
      </c>
      <c r="AM235" s="5">
        <f t="shared" si="27"/>
        <v>0.59259259259259256</v>
      </c>
      <c r="AN235" s="4">
        <f t="shared" si="28"/>
        <v>8.975275919615185E-4</v>
      </c>
      <c r="AO235" s="3"/>
      <c r="AP235">
        <v>0</v>
      </c>
      <c r="AR235" t="s">
        <v>1</v>
      </c>
      <c r="AT235" s="2" t="s">
        <v>7</v>
      </c>
      <c r="AU235" s="1">
        <f t="shared" si="29"/>
        <v>4.4798235080129762</v>
      </c>
      <c r="AV235" s="1">
        <f t="shared" si="30"/>
        <v>3.2255175797795981</v>
      </c>
      <c r="AW235" s="1">
        <f t="shared" si="31"/>
        <v>1.9712116515462195</v>
      </c>
    </row>
    <row r="236" spans="1:49" x14ac:dyDescent="0.2">
      <c r="A236">
        <v>234</v>
      </c>
      <c r="B236" t="s">
        <v>1804</v>
      </c>
      <c r="C236" t="s">
        <v>1803</v>
      </c>
      <c r="F236" t="s">
        <v>1802</v>
      </c>
      <c r="G236" t="s">
        <v>6</v>
      </c>
      <c r="H236" t="s">
        <v>5</v>
      </c>
      <c r="I236" t="s">
        <v>1801</v>
      </c>
      <c r="N236">
        <v>4</v>
      </c>
      <c r="O236" t="s">
        <v>1800</v>
      </c>
      <c r="P236" t="s">
        <v>1799</v>
      </c>
      <c r="Q236" t="s">
        <v>98</v>
      </c>
      <c r="R236" s="8">
        <v>34973</v>
      </c>
      <c r="S236" s="9">
        <f t="shared" si="24"/>
        <v>1995</v>
      </c>
      <c r="T236" s="9">
        <v>1995</v>
      </c>
      <c r="U236" s="9">
        <f t="shared" si="25"/>
        <v>27</v>
      </c>
      <c r="V236" s="8">
        <v>34700</v>
      </c>
      <c r="W236" t="s">
        <v>390</v>
      </c>
      <c r="X236" s="2">
        <v>0.375</v>
      </c>
      <c r="Y236" s="7">
        <f t="shared" si="26"/>
        <v>1.0010410827260351E-2</v>
      </c>
      <c r="AA236">
        <v>135194</v>
      </c>
      <c r="AB236">
        <v>24918</v>
      </c>
      <c r="AD236" t="s">
        <v>3</v>
      </c>
      <c r="AE236">
        <v>31</v>
      </c>
      <c r="AF236">
        <v>21</v>
      </c>
      <c r="AH236" t="s">
        <v>1798</v>
      </c>
      <c r="AI236" t="s">
        <v>1797</v>
      </c>
      <c r="AK236" t="s">
        <v>1796</v>
      </c>
      <c r="AL236">
        <v>0</v>
      </c>
      <c r="AM236" s="5">
        <f t="shared" si="27"/>
        <v>0</v>
      </c>
      <c r="AN236" s="4">
        <f t="shared" si="28"/>
        <v>0</v>
      </c>
      <c r="AO236" s="3"/>
      <c r="AP236">
        <v>0</v>
      </c>
      <c r="AR236" t="s">
        <v>1</v>
      </c>
      <c r="AT236" s="2">
        <v>1.3140000000000001</v>
      </c>
      <c r="AU236" s="1">
        <f t="shared" si="29"/>
        <v>0.70072875790822453</v>
      </c>
      <c r="AV236" s="1">
        <f t="shared" si="30"/>
        <v>0.5005205413630176</v>
      </c>
      <c r="AW236" s="1">
        <f t="shared" si="31"/>
        <v>0.30031232481781051</v>
      </c>
    </row>
    <row r="237" spans="1:49" x14ac:dyDescent="0.2">
      <c r="A237">
        <v>235</v>
      </c>
      <c r="B237" t="s">
        <v>1795</v>
      </c>
      <c r="C237" t="s">
        <v>1794</v>
      </c>
      <c r="F237" t="s">
        <v>1793</v>
      </c>
      <c r="G237" t="s">
        <v>6</v>
      </c>
      <c r="H237" t="s">
        <v>5</v>
      </c>
      <c r="I237" t="s">
        <v>1792</v>
      </c>
      <c r="J237" t="s">
        <v>1791</v>
      </c>
      <c r="K237" t="s">
        <v>1790</v>
      </c>
      <c r="L237" t="s">
        <v>1789</v>
      </c>
      <c r="M237" t="s">
        <v>1788</v>
      </c>
      <c r="N237">
        <v>3</v>
      </c>
      <c r="O237" t="s">
        <v>1787</v>
      </c>
      <c r="P237" t="s">
        <v>1786</v>
      </c>
      <c r="Q237" t="s">
        <v>1785</v>
      </c>
      <c r="R237" s="8">
        <v>34973</v>
      </c>
      <c r="S237" s="9">
        <f t="shared" si="24"/>
        <v>1995</v>
      </c>
      <c r="T237" s="9">
        <v>1995</v>
      </c>
      <c r="U237" s="9">
        <f t="shared" si="25"/>
        <v>27</v>
      </c>
      <c r="V237" s="8">
        <v>34973</v>
      </c>
      <c r="W237" t="s">
        <v>90</v>
      </c>
      <c r="X237" s="2">
        <v>0.8</v>
      </c>
      <c r="Y237" s="7">
        <f t="shared" si="26"/>
        <v>2.1355543098155415E-2</v>
      </c>
      <c r="AA237">
        <v>3407594</v>
      </c>
      <c r="AB237">
        <v>23456</v>
      </c>
      <c r="AC237">
        <v>14321351</v>
      </c>
      <c r="AD237" t="s">
        <v>3</v>
      </c>
      <c r="AE237">
        <v>177</v>
      </c>
      <c r="AF237">
        <v>5</v>
      </c>
      <c r="AH237" t="s">
        <v>1784</v>
      </c>
      <c r="AI237" t="s">
        <v>1783</v>
      </c>
      <c r="AK237" t="s">
        <v>1782</v>
      </c>
      <c r="AL237">
        <v>49</v>
      </c>
      <c r="AM237" s="5">
        <f t="shared" si="27"/>
        <v>1.8148148148148149</v>
      </c>
      <c r="AN237" s="4">
        <f t="shared" si="28"/>
        <v>2.7486782503821504E-3</v>
      </c>
      <c r="AO237" s="3"/>
      <c r="AP237">
        <v>0</v>
      </c>
      <c r="AR237" t="s">
        <v>1</v>
      </c>
      <c r="AT237" s="2" t="s">
        <v>7</v>
      </c>
      <c r="AU237" s="1">
        <f t="shared" si="29"/>
        <v>1.5773483643823434</v>
      </c>
      <c r="AV237" s="1">
        <f t="shared" si="30"/>
        <v>1.2052110674268783</v>
      </c>
      <c r="AW237" s="1">
        <f t="shared" si="31"/>
        <v>0.83307377047141284</v>
      </c>
    </row>
    <row r="238" spans="1:49" x14ac:dyDescent="0.2">
      <c r="A238">
        <v>236</v>
      </c>
      <c r="B238" t="s">
        <v>1781</v>
      </c>
      <c r="C238" t="s">
        <v>1780</v>
      </c>
      <c r="F238" t="s">
        <v>1779</v>
      </c>
      <c r="G238" t="s">
        <v>6</v>
      </c>
      <c r="H238" t="s">
        <v>5</v>
      </c>
      <c r="I238" t="s">
        <v>1778</v>
      </c>
      <c r="J238" t="s">
        <v>1777</v>
      </c>
      <c r="K238" t="s">
        <v>1776</v>
      </c>
      <c r="L238" t="s">
        <v>1775</v>
      </c>
      <c r="M238" t="s">
        <v>1774</v>
      </c>
      <c r="N238">
        <v>3</v>
      </c>
      <c r="O238" t="s">
        <v>1773</v>
      </c>
      <c r="P238" t="s">
        <v>1772</v>
      </c>
      <c r="Q238" t="s">
        <v>1771</v>
      </c>
      <c r="R238" s="8">
        <v>34973</v>
      </c>
      <c r="S238" s="9">
        <f t="shared" si="24"/>
        <v>1995</v>
      </c>
      <c r="T238" s="9">
        <v>1995</v>
      </c>
      <c r="U238" s="9">
        <f t="shared" si="25"/>
        <v>27</v>
      </c>
      <c r="V238" s="8">
        <v>34973</v>
      </c>
      <c r="W238" t="s">
        <v>397</v>
      </c>
      <c r="X238" s="2">
        <v>0.30099999999999999</v>
      </c>
      <c r="Y238" s="7">
        <f t="shared" si="26"/>
        <v>8.0350230906809754E-3</v>
      </c>
      <c r="AA238">
        <v>9395075</v>
      </c>
      <c r="AB238">
        <v>14954</v>
      </c>
      <c r="AC238">
        <v>18657125</v>
      </c>
      <c r="AD238" t="s">
        <v>3</v>
      </c>
      <c r="AE238">
        <v>50</v>
      </c>
      <c r="AF238" s="6">
        <v>44478</v>
      </c>
      <c r="AH238" t="s">
        <v>1770</v>
      </c>
      <c r="AI238" t="s">
        <v>1769</v>
      </c>
      <c r="AJ238" t="s">
        <v>1768</v>
      </c>
      <c r="AK238" t="s">
        <v>1767</v>
      </c>
      <c r="AL238">
        <v>13</v>
      </c>
      <c r="AM238" s="5">
        <f t="shared" si="27"/>
        <v>0.48148148148148145</v>
      </c>
      <c r="AN238" s="4">
        <f t="shared" si="28"/>
        <v>7.2924116846873369E-4</v>
      </c>
      <c r="AO238" s="3"/>
      <c r="AP238">
        <v>1</v>
      </c>
      <c r="AR238" t="s">
        <v>1</v>
      </c>
      <c r="AT238" s="2" t="s">
        <v>7</v>
      </c>
      <c r="AU238" s="1">
        <f t="shared" si="29"/>
        <v>0.58432885140173019</v>
      </c>
      <c r="AV238" s="1">
        <f t="shared" si="30"/>
        <v>0.4382132129574855</v>
      </c>
      <c r="AW238" s="1">
        <f t="shared" si="31"/>
        <v>0.29209757451324064</v>
      </c>
    </row>
    <row r="239" spans="1:49" x14ac:dyDescent="0.2">
      <c r="A239">
        <v>237</v>
      </c>
      <c r="B239" t="s">
        <v>1766</v>
      </c>
      <c r="C239" t="s">
        <v>1765</v>
      </c>
      <c r="F239" t="s">
        <v>1764</v>
      </c>
      <c r="G239" t="s">
        <v>6</v>
      </c>
      <c r="H239" t="s">
        <v>5</v>
      </c>
      <c r="I239" t="s">
        <v>1763</v>
      </c>
      <c r="J239">
        <v>60084229</v>
      </c>
      <c r="K239" t="s">
        <v>1762</v>
      </c>
      <c r="L239" t="s">
        <v>472</v>
      </c>
      <c r="M239" t="s">
        <v>40</v>
      </c>
      <c r="N239">
        <v>1</v>
      </c>
      <c r="O239" t="s">
        <v>1761</v>
      </c>
      <c r="P239">
        <v>7007117704</v>
      </c>
      <c r="Q239">
        <v>60084229</v>
      </c>
      <c r="R239" s="8">
        <v>34973</v>
      </c>
      <c r="S239" s="9">
        <f t="shared" si="24"/>
        <v>1995</v>
      </c>
      <c r="T239" s="9">
        <v>1995</v>
      </c>
      <c r="U239" s="9">
        <f t="shared" si="25"/>
        <v>27</v>
      </c>
      <c r="V239" s="8">
        <v>34973</v>
      </c>
      <c r="W239" t="s">
        <v>1760</v>
      </c>
      <c r="X239" s="2">
        <v>0.59799999999999998</v>
      </c>
      <c r="Y239" s="7">
        <f t="shared" si="26"/>
        <v>1.5963268465871174E-2</v>
      </c>
      <c r="AA239">
        <v>222291</v>
      </c>
      <c r="AB239">
        <v>13763</v>
      </c>
      <c r="AC239">
        <v>15737357</v>
      </c>
      <c r="AD239" t="s">
        <v>3</v>
      </c>
      <c r="AE239">
        <v>101</v>
      </c>
      <c r="AF239" s="6">
        <v>44228</v>
      </c>
      <c r="AH239" t="s">
        <v>1759</v>
      </c>
      <c r="AI239" t="s">
        <v>1758</v>
      </c>
      <c r="AK239" t="s">
        <v>1757</v>
      </c>
      <c r="AL239">
        <v>3</v>
      </c>
      <c r="AM239" s="5">
        <f t="shared" si="27"/>
        <v>0.1111111111111111</v>
      </c>
      <c r="AN239" s="4">
        <f t="shared" si="28"/>
        <v>1.682864234927847E-4</v>
      </c>
      <c r="AO239" s="3"/>
      <c r="AP239">
        <v>0</v>
      </c>
      <c r="AR239" t="s">
        <v>1</v>
      </c>
      <c r="AT239" s="2">
        <v>1.57</v>
      </c>
      <c r="AU239" s="1">
        <f t="shared" si="29"/>
        <v>1.1224773853157657</v>
      </c>
      <c r="AV239" s="1">
        <f t="shared" si="30"/>
        <v>0.80657774446819797</v>
      </c>
      <c r="AW239" s="1">
        <f t="shared" si="31"/>
        <v>0.49067810362063008</v>
      </c>
    </row>
    <row r="240" spans="1:49" x14ac:dyDescent="0.2">
      <c r="A240">
        <v>238</v>
      </c>
      <c r="B240" t="s">
        <v>1756</v>
      </c>
      <c r="C240" t="s">
        <v>1755</v>
      </c>
      <c r="F240" t="s">
        <v>1754</v>
      </c>
      <c r="G240" t="s">
        <v>6</v>
      </c>
      <c r="H240" t="s">
        <v>5</v>
      </c>
      <c r="I240" t="s">
        <v>447</v>
      </c>
      <c r="J240">
        <v>60004636</v>
      </c>
      <c r="K240" t="s">
        <v>442</v>
      </c>
      <c r="L240" t="s">
        <v>441</v>
      </c>
      <c r="M240" t="s">
        <v>37</v>
      </c>
      <c r="N240">
        <v>3</v>
      </c>
      <c r="O240" t="s">
        <v>446</v>
      </c>
      <c r="P240" t="s">
        <v>445</v>
      </c>
      <c r="Q240" t="s">
        <v>440</v>
      </c>
      <c r="R240" s="8">
        <v>34970</v>
      </c>
      <c r="S240" s="9">
        <f t="shared" si="24"/>
        <v>1995</v>
      </c>
      <c r="T240" s="9">
        <v>1995</v>
      </c>
      <c r="U240" s="9">
        <f t="shared" si="25"/>
        <v>27</v>
      </c>
      <c r="V240" s="8">
        <v>34970</v>
      </c>
      <c r="W240" t="s">
        <v>390</v>
      </c>
      <c r="X240" s="2">
        <v>0.375</v>
      </c>
      <c r="Y240" s="7">
        <f t="shared" si="26"/>
        <v>1.0010410827260351E-2</v>
      </c>
      <c r="AA240">
        <v>135194</v>
      </c>
      <c r="AB240">
        <v>24918</v>
      </c>
      <c r="AD240" t="s">
        <v>3</v>
      </c>
      <c r="AE240">
        <v>31</v>
      </c>
      <c r="AF240">
        <v>20</v>
      </c>
      <c r="AH240" t="s">
        <v>1753</v>
      </c>
      <c r="AI240" t="s">
        <v>1752</v>
      </c>
      <c r="AK240" t="s">
        <v>1751</v>
      </c>
      <c r="AL240">
        <v>4</v>
      </c>
      <c r="AM240" s="5">
        <f t="shared" si="27"/>
        <v>0.14814814814814814</v>
      </c>
      <c r="AN240" s="4">
        <f t="shared" si="28"/>
        <v>2.2438189799037963E-4</v>
      </c>
      <c r="AO240" s="3"/>
      <c r="AP240">
        <v>0</v>
      </c>
      <c r="AR240" t="s">
        <v>1</v>
      </c>
      <c r="AT240" s="2">
        <v>1.3140000000000001</v>
      </c>
      <c r="AU240" s="1">
        <f t="shared" si="29"/>
        <v>0.70746021484793598</v>
      </c>
      <c r="AV240" s="1">
        <f t="shared" si="30"/>
        <v>0.51173963626253649</v>
      </c>
      <c r="AW240" s="1">
        <f t="shared" si="31"/>
        <v>0.31601905767713712</v>
      </c>
    </row>
    <row r="241" spans="1:49" x14ac:dyDescent="0.2">
      <c r="A241">
        <v>239</v>
      </c>
      <c r="B241" t="s">
        <v>1750</v>
      </c>
      <c r="C241" t="s">
        <v>1749</v>
      </c>
      <c r="F241" t="s">
        <v>1748</v>
      </c>
      <c r="G241" t="s">
        <v>6</v>
      </c>
      <c r="H241" t="s">
        <v>5</v>
      </c>
      <c r="I241" t="s">
        <v>1747</v>
      </c>
      <c r="J241">
        <v>60022002</v>
      </c>
      <c r="K241" t="s">
        <v>1746</v>
      </c>
      <c r="L241" t="s">
        <v>1745</v>
      </c>
      <c r="M241" t="s">
        <v>89</v>
      </c>
      <c r="N241">
        <v>1</v>
      </c>
      <c r="O241" t="s">
        <v>1744</v>
      </c>
      <c r="P241">
        <v>56234932000</v>
      </c>
      <c r="Q241">
        <v>60022002</v>
      </c>
      <c r="R241" s="8">
        <v>34970</v>
      </c>
      <c r="S241" s="9">
        <f t="shared" si="24"/>
        <v>1995</v>
      </c>
      <c r="T241" s="9">
        <v>1995</v>
      </c>
      <c r="U241" s="9">
        <f t="shared" si="25"/>
        <v>27</v>
      </c>
      <c r="V241" s="8">
        <v>34970</v>
      </c>
      <c r="W241" t="s">
        <v>390</v>
      </c>
      <c r="X241" s="2">
        <v>0.375</v>
      </c>
      <c r="Y241" s="7">
        <f t="shared" si="26"/>
        <v>1.0010410827260351E-2</v>
      </c>
      <c r="AA241">
        <v>135194</v>
      </c>
      <c r="AB241">
        <v>24918</v>
      </c>
      <c r="AD241" t="s">
        <v>3</v>
      </c>
      <c r="AE241">
        <v>31</v>
      </c>
      <c r="AF241">
        <v>20</v>
      </c>
      <c r="AH241" t="s">
        <v>1743</v>
      </c>
      <c r="AI241" t="s">
        <v>1742</v>
      </c>
      <c r="AK241" t="s">
        <v>1741</v>
      </c>
      <c r="AL241">
        <v>0</v>
      </c>
      <c r="AM241" s="5">
        <f t="shared" si="27"/>
        <v>0</v>
      </c>
      <c r="AN241" s="4">
        <f t="shared" si="28"/>
        <v>0</v>
      </c>
      <c r="AO241" s="3"/>
      <c r="AP241">
        <v>0</v>
      </c>
      <c r="AR241" t="s">
        <v>1</v>
      </c>
      <c r="AT241" s="2">
        <v>1.3140000000000001</v>
      </c>
      <c r="AU241" s="1">
        <f t="shared" si="29"/>
        <v>0.70072875790822453</v>
      </c>
      <c r="AV241" s="1">
        <f t="shared" si="30"/>
        <v>0.5005205413630176</v>
      </c>
      <c r="AW241" s="1">
        <f t="shared" si="31"/>
        <v>0.30031232481781051</v>
      </c>
    </row>
    <row r="242" spans="1:49" x14ac:dyDescent="0.2">
      <c r="A242">
        <v>240</v>
      </c>
      <c r="B242" t="s">
        <v>1740</v>
      </c>
      <c r="C242" t="s">
        <v>1739</v>
      </c>
      <c r="F242" t="s">
        <v>1738</v>
      </c>
      <c r="G242" t="s">
        <v>6</v>
      </c>
      <c r="H242" t="s">
        <v>5</v>
      </c>
      <c r="I242" t="s">
        <v>1737</v>
      </c>
      <c r="J242">
        <v>60021859</v>
      </c>
      <c r="K242" t="s">
        <v>311</v>
      </c>
      <c r="L242" t="s">
        <v>310</v>
      </c>
      <c r="M242" t="s">
        <v>30</v>
      </c>
      <c r="N242">
        <v>4</v>
      </c>
      <c r="O242" t="s">
        <v>1736</v>
      </c>
      <c r="P242" t="s">
        <v>1735</v>
      </c>
      <c r="Q242" t="s">
        <v>463</v>
      </c>
      <c r="R242" s="8">
        <v>34970</v>
      </c>
      <c r="S242" s="9">
        <f t="shared" si="24"/>
        <v>1995</v>
      </c>
      <c r="T242" s="9">
        <v>1995</v>
      </c>
      <c r="U242" s="9">
        <f t="shared" si="25"/>
        <v>27</v>
      </c>
      <c r="V242" s="8">
        <v>34970</v>
      </c>
      <c r="W242" t="s">
        <v>390</v>
      </c>
      <c r="X242" s="2">
        <v>0.375</v>
      </c>
      <c r="Y242" s="7">
        <f t="shared" si="26"/>
        <v>1.0010410827260351E-2</v>
      </c>
      <c r="AA242">
        <v>135194</v>
      </c>
      <c r="AB242">
        <v>24918</v>
      </c>
      <c r="AD242" t="s">
        <v>3</v>
      </c>
      <c r="AE242">
        <v>31</v>
      </c>
      <c r="AF242">
        <v>20</v>
      </c>
      <c r="AH242" t="s">
        <v>1734</v>
      </c>
      <c r="AI242" t="s">
        <v>1733</v>
      </c>
      <c r="AK242" t="s">
        <v>1732</v>
      </c>
      <c r="AL242">
        <v>40</v>
      </c>
      <c r="AM242" s="5">
        <f t="shared" si="27"/>
        <v>1.4814814814814814</v>
      </c>
      <c r="AN242" s="4">
        <f t="shared" si="28"/>
        <v>2.243818979903796E-3</v>
      </c>
      <c r="AO242" s="3"/>
      <c r="AP242">
        <v>0</v>
      </c>
      <c r="AR242" t="s">
        <v>1</v>
      </c>
      <c r="AT242" s="2">
        <v>1.3140000000000001</v>
      </c>
      <c r="AU242" s="1">
        <f t="shared" si="29"/>
        <v>0.76804332730533842</v>
      </c>
      <c r="AV242" s="1">
        <f t="shared" si="30"/>
        <v>0.61271149035820738</v>
      </c>
      <c r="AW242" s="1">
        <f t="shared" si="31"/>
        <v>0.45737965341107623</v>
      </c>
    </row>
    <row r="243" spans="1:49" x14ac:dyDescent="0.2">
      <c r="A243">
        <v>241</v>
      </c>
      <c r="B243" t="s">
        <v>1731</v>
      </c>
      <c r="C243" t="s">
        <v>1730</v>
      </c>
      <c r="F243" t="s">
        <v>1729</v>
      </c>
      <c r="G243" t="s">
        <v>6</v>
      </c>
      <c r="H243" t="s">
        <v>5</v>
      </c>
      <c r="I243" t="s">
        <v>1728</v>
      </c>
      <c r="J243">
        <v>60002798</v>
      </c>
      <c r="K243" t="s">
        <v>1727</v>
      </c>
      <c r="L243" t="s">
        <v>134</v>
      </c>
      <c r="M243" t="s">
        <v>134</v>
      </c>
      <c r="N243">
        <v>4</v>
      </c>
      <c r="O243" t="s">
        <v>1726</v>
      </c>
      <c r="P243" t="s">
        <v>1725</v>
      </c>
      <c r="Q243" t="s">
        <v>1724</v>
      </c>
      <c r="R243" s="8">
        <v>34970</v>
      </c>
      <c r="S243" s="9">
        <f t="shared" si="24"/>
        <v>1995</v>
      </c>
      <c r="T243" s="9">
        <v>1995</v>
      </c>
      <c r="U243" s="9">
        <f t="shared" si="25"/>
        <v>27</v>
      </c>
      <c r="V243" s="8">
        <v>34970</v>
      </c>
      <c r="W243" t="s">
        <v>390</v>
      </c>
      <c r="X243" s="2">
        <v>0.375</v>
      </c>
      <c r="Y243" s="7">
        <f t="shared" si="26"/>
        <v>1.0010410827260351E-2</v>
      </c>
      <c r="AA243">
        <v>135194</v>
      </c>
      <c r="AB243">
        <v>24918</v>
      </c>
      <c r="AD243" t="s">
        <v>3</v>
      </c>
      <c r="AE243">
        <v>31</v>
      </c>
      <c r="AF243">
        <v>20</v>
      </c>
      <c r="AH243" t="s">
        <v>1723</v>
      </c>
      <c r="AI243" t="s">
        <v>1722</v>
      </c>
      <c r="AK243" t="s">
        <v>1721</v>
      </c>
      <c r="AL243">
        <v>82</v>
      </c>
      <c r="AM243" s="5">
        <f t="shared" si="27"/>
        <v>3.0370370370370372</v>
      </c>
      <c r="AN243" s="4">
        <f t="shared" si="28"/>
        <v>4.5998289088027824E-3</v>
      </c>
      <c r="AO243" s="3"/>
      <c r="AP243">
        <v>0</v>
      </c>
      <c r="AR243" t="s">
        <v>1</v>
      </c>
      <c r="AT243" s="2">
        <v>1.3140000000000001</v>
      </c>
      <c r="AU243" s="1">
        <f t="shared" si="29"/>
        <v>0.83872362517230814</v>
      </c>
      <c r="AV243" s="1">
        <f t="shared" si="30"/>
        <v>0.73051198680315677</v>
      </c>
      <c r="AW243" s="1">
        <f t="shared" si="31"/>
        <v>0.62230034843400528</v>
      </c>
    </row>
    <row r="244" spans="1:49" x14ac:dyDescent="0.2">
      <c r="A244">
        <v>242</v>
      </c>
      <c r="B244" t="s">
        <v>1720</v>
      </c>
      <c r="C244" t="s">
        <v>1719</v>
      </c>
      <c r="F244" t="s">
        <v>1718</v>
      </c>
      <c r="G244" t="s">
        <v>6</v>
      </c>
      <c r="H244" t="s">
        <v>5</v>
      </c>
      <c r="I244" t="s">
        <v>1717</v>
      </c>
      <c r="J244" t="s">
        <v>1716</v>
      </c>
      <c r="K244" t="s">
        <v>1715</v>
      </c>
      <c r="L244" t="s">
        <v>1714</v>
      </c>
      <c r="M244" t="s">
        <v>1713</v>
      </c>
      <c r="N244">
        <v>3</v>
      </c>
      <c r="O244" t="s">
        <v>1712</v>
      </c>
      <c r="P244" t="s">
        <v>1711</v>
      </c>
      <c r="Q244" t="s">
        <v>1710</v>
      </c>
      <c r="R244" s="8">
        <v>34970</v>
      </c>
      <c r="S244" s="9">
        <f t="shared" si="24"/>
        <v>1995</v>
      </c>
      <c r="T244" s="9">
        <v>1995</v>
      </c>
      <c r="U244" s="9">
        <f t="shared" si="25"/>
        <v>27</v>
      </c>
      <c r="V244" s="8">
        <v>34970</v>
      </c>
      <c r="W244" t="s">
        <v>390</v>
      </c>
      <c r="X244" s="2">
        <v>0.375</v>
      </c>
      <c r="Y244" s="7">
        <f t="shared" si="26"/>
        <v>1.0010410827260351E-2</v>
      </c>
      <c r="AA244">
        <v>135194</v>
      </c>
      <c r="AB244">
        <v>24918</v>
      </c>
      <c r="AD244" t="s">
        <v>3</v>
      </c>
      <c r="AE244">
        <v>31</v>
      </c>
      <c r="AF244">
        <v>20</v>
      </c>
      <c r="AH244" t="s">
        <v>1709</v>
      </c>
      <c r="AI244" t="s">
        <v>1708</v>
      </c>
      <c r="AK244" t="s">
        <v>1707</v>
      </c>
      <c r="AL244">
        <v>1</v>
      </c>
      <c r="AM244" s="5">
        <f t="shared" si="27"/>
        <v>3.7037037037037035E-2</v>
      </c>
      <c r="AN244" s="4">
        <f t="shared" si="28"/>
        <v>5.6095474497594906E-5</v>
      </c>
      <c r="AO244" s="3"/>
      <c r="AP244">
        <v>0</v>
      </c>
      <c r="AR244" t="s">
        <v>1</v>
      </c>
      <c r="AT244" s="2">
        <v>1.3140000000000001</v>
      </c>
      <c r="AU244" s="1">
        <f t="shared" si="29"/>
        <v>0.70241162214315245</v>
      </c>
      <c r="AV244" s="1">
        <f t="shared" si="30"/>
        <v>0.50332531508789735</v>
      </c>
      <c r="AW244" s="1">
        <f t="shared" si="31"/>
        <v>0.30423900803264214</v>
      </c>
    </row>
    <row r="245" spans="1:49" x14ac:dyDescent="0.2">
      <c r="A245">
        <v>243</v>
      </c>
      <c r="B245" t="s">
        <v>1706</v>
      </c>
      <c r="C245" t="s">
        <v>1705</v>
      </c>
      <c r="F245" t="s">
        <v>1704</v>
      </c>
      <c r="G245" t="s">
        <v>6</v>
      </c>
      <c r="H245" t="s">
        <v>5</v>
      </c>
      <c r="I245" t="s">
        <v>1703</v>
      </c>
      <c r="J245">
        <v>60025578</v>
      </c>
      <c r="K245" t="s">
        <v>359</v>
      </c>
      <c r="L245" t="s">
        <v>296</v>
      </c>
      <c r="M245" t="s">
        <v>183</v>
      </c>
      <c r="N245">
        <v>2</v>
      </c>
      <c r="O245" t="s">
        <v>1702</v>
      </c>
      <c r="P245" t="s">
        <v>1701</v>
      </c>
      <c r="Q245" t="s">
        <v>1700</v>
      </c>
      <c r="R245" s="8">
        <v>34970</v>
      </c>
      <c r="S245" s="9">
        <f t="shared" si="24"/>
        <v>1995</v>
      </c>
      <c r="T245" s="9">
        <v>1995</v>
      </c>
      <c r="U245" s="9">
        <f t="shared" si="25"/>
        <v>27</v>
      </c>
      <c r="V245" s="8">
        <v>34970</v>
      </c>
      <c r="W245" t="s">
        <v>390</v>
      </c>
      <c r="X245" s="2">
        <v>0.375</v>
      </c>
      <c r="Y245" s="7">
        <f t="shared" si="26"/>
        <v>1.0010410827260351E-2</v>
      </c>
      <c r="AA245">
        <v>135194</v>
      </c>
      <c r="AB245">
        <v>24918</v>
      </c>
      <c r="AD245" t="s">
        <v>3</v>
      </c>
      <c r="AE245">
        <v>31</v>
      </c>
      <c r="AF245">
        <v>20</v>
      </c>
      <c r="AH245" t="s">
        <v>1699</v>
      </c>
      <c r="AI245" t="s">
        <v>1698</v>
      </c>
      <c r="AJ245" t="s">
        <v>1697</v>
      </c>
      <c r="AK245" t="s">
        <v>1696</v>
      </c>
      <c r="AL245">
        <v>0</v>
      </c>
      <c r="AM245" s="5">
        <f t="shared" si="27"/>
        <v>0</v>
      </c>
      <c r="AN245" s="4">
        <f t="shared" si="28"/>
        <v>0</v>
      </c>
      <c r="AO245" s="3"/>
      <c r="AP245">
        <v>0</v>
      </c>
      <c r="AR245" t="s">
        <v>1</v>
      </c>
      <c r="AT245" s="2">
        <v>1.3140000000000001</v>
      </c>
      <c r="AU245" s="1">
        <f t="shared" si="29"/>
        <v>0.70072875790822453</v>
      </c>
      <c r="AV245" s="1">
        <f t="shared" si="30"/>
        <v>0.5005205413630176</v>
      </c>
      <c r="AW245" s="1">
        <f t="shared" si="31"/>
        <v>0.30031232481781051</v>
      </c>
    </row>
    <row r="246" spans="1:49" x14ac:dyDescent="0.2">
      <c r="A246">
        <v>244</v>
      </c>
      <c r="B246" t="s">
        <v>1695</v>
      </c>
      <c r="C246" t="s">
        <v>1694</v>
      </c>
      <c r="F246" t="s">
        <v>1693</v>
      </c>
      <c r="G246" t="s">
        <v>6</v>
      </c>
      <c r="H246" t="s">
        <v>5</v>
      </c>
      <c r="I246" t="s">
        <v>1692</v>
      </c>
      <c r="J246">
        <v>60019983</v>
      </c>
      <c r="K246" t="s">
        <v>1691</v>
      </c>
      <c r="L246" t="s">
        <v>1690</v>
      </c>
      <c r="M246" t="s">
        <v>14</v>
      </c>
      <c r="N246">
        <v>3</v>
      </c>
      <c r="O246" t="s">
        <v>1689</v>
      </c>
      <c r="P246" t="s">
        <v>1688</v>
      </c>
      <c r="Q246" t="s">
        <v>1687</v>
      </c>
      <c r="R246" s="8">
        <v>34956</v>
      </c>
      <c r="S246" s="9">
        <f t="shared" si="24"/>
        <v>1995</v>
      </c>
      <c r="T246" s="9">
        <v>1995</v>
      </c>
      <c r="U246" s="9">
        <f t="shared" si="25"/>
        <v>27</v>
      </c>
      <c r="V246" s="8">
        <v>34956</v>
      </c>
      <c r="W246" t="s">
        <v>697</v>
      </c>
      <c r="X246" s="2">
        <v>0.85699999999999998</v>
      </c>
      <c r="Y246" s="7">
        <f t="shared" si="26"/>
        <v>2.287712554389899E-2</v>
      </c>
      <c r="AA246">
        <v>223727</v>
      </c>
      <c r="AB246">
        <v>28570</v>
      </c>
      <c r="AC246">
        <v>13616463</v>
      </c>
      <c r="AD246" t="s">
        <v>3</v>
      </c>
      <c r="AE246">
        <v>28</v>
      </c>
      <c r="AF246">
        <v>9</v>
      </c>
      <c r="AH246" t="s">
        <v>1686</v>
      </c>
      <c r="AI246" t="s">
        <v>1685</v>
      </c>
      <c r="AK246" t="s">
        <v>1684</v>
      </c>
      <c r="AL246">
        <v>8</v>
      </c>
      <c r="AM246" s="5">
        <f t="shared" si="27"/>
        <v>0.29629629629629628</v>
      </c>
      <c r="AN246" s="4">
        <f t="shared" si="28"/>
        <v>4.4876379598075925E-4</v>
      </c>
      <c r="AO246" s="3"/>
      <c r="AP246">
        <v>0</v>
      </c>
      <c r="AR246" t="s">
        <v>1</v>
      </c>
      <c r="AT246" s="2" t="s">
        <v>7</v>
      </c>
      <c r="AU246" s="1">
        <f t="shared" si="29"/>
        <v>1.6148617019523519</v>
      </c>
      <c r="AV246" s="1">
        <f t="shared" si="30"/>
        <v>1.1662944669939874</v>
      </c>
      <c r="AW246" s="1">
        <f t="shared" si="31"/>
        <v>0.71772723203562283</v>
      </c>
    </row>
    <row r="247" spans="1:49" x14ac:dyDescent="0.2">
      <c r="A247">
        <v>245</v>
      </c>
      <c r="B247" t="s">
        <v>1683</v>
      </c>
      <c r="C247" t="s">
        <v>1682</v>
      </c>
      <c r="F247" t="s">
        <v>1681</v>
      </c>
      <c r="G247" t="s">
        <v>6</v>
      </c>
      <c r="H247" t="s">
        <v>5</v>
      </c>
      <c r="I247" t="s">
        <v>1680</v>
      </c>
      <c r="J247">
        <v>60031237</v>
      </c>
      <c r="K247" t="s">
        <v>1679</v>
      </c>
      <c r="L247" t="s">
        <v>41</v>
      </c>
      <c r="M247" t="s">
        <v>37</v>
      </c>
      <c r="N247">
        <v>2</v>
      </c>
      <c r="O247" t="s">
        <v>1678</v>
      </c>
      <c r="P247" t="s">
        <v>1677</v>
      </c>
      <c r="Q247" t="s">
        <v>1676</v>
      </c>
      <c r="R247" s="8">
        <v>34956</v>
      </c>
      <c r="S247" s="9">
        <f t="shared" si="24"/>
        <v>1995</v>
      </c>
      <c r="T247" s="9">
        <v>1995</v>
      </c>
      <c r="U247" s="9">
        <f t="shared" si="25"/>
        <v>27</v>
      </c>
      <c r="V247" s="8">
        <v>34956</v>
      </c>
      <c r="W247" t="s">
        <v>390</v>
      </c>
      <c r="X247" s="2">
        <v>0.375</v>
      </c>
      <c r="Y247" s="7">
        <f t="shared" si="26"/>
        <v>1.0010410827260351E-2</v>
      </c>
      <c r="AA247">
        <v>135194</v>
      </c>
      <c r="AB247">
        <v>24918</v>
      </c>
      <c r="AD247" t="s">
        <v>3</v>
      </c>
      <c r="AE247">
        <v>31</v>
      </c>
      <c r="AF247">
        <v>19</v>
      </c>
      <c r="AH247" t="s">
        <v>1675</v>
      </c>
      <c r="AI247" t="s">
        <v>1674</v>
      </c>
      <c r="AJ247" t="s">
        <v>1673</v>
      </c>
      <c r="AK247" t="s">
        <v>1672</v>
      </c>
      <c r="AL247">
        <v>5</v>
      </c>
      <c r="AM247" s="5">
        <f t="shared" si="27"/>
        <v>0.18518518518518517</v>
      </c>
      <c r="AN247" s="4">
        <f t="shared" si="28"/>
        <v>2.804773724879745E-4</v>
      </c>
      <c r="AO247" s="3"/>
      <c r="AP247">
        <v>0</v>
      </c>
      <c r="AR247" t="s">
        <v>1</v>
      </c>
      <c r="AT247" s="2">
        <v>1.3140000000000001</v>
      </c>
      <c r="AU247" s="1">
        <f t="shared" si="29"/>
        <v>0.70914307908286378</v>
      </c>
      <c r="AV247" s="1">
        <f t="shared" si="30"/>
        <v>0.51454440998741624</v>
      </c>
      <c r="AW247" s="1">
        <f t="shared" si="31"/>
        <v>0.31994574089196876</v>
      </c>
    </row>
    <row r="248" spans="1:49" x14ac:dyDescent="0.2">
      <c r="A248">
        <v>246</v>
      </c>
      <c r="B248" t="s">
        <v>1671</v>
      </c>
      <c r="C248" t="s">
        <v>1670</v>
      </c>
      <c r="F248" t="s">
        <v>1669</v>
      </c>
      <c r="G248" t="s">
        <v>6</v>
      </c>
      <c r="H248" t="s">
        <v>5</v>
      </c>
      <c r="I248" t="s">
        <v>1668</v>
      </c>
      <c r="J248">
        <v>60001881</v>
      </c>
      <c r="K248" t="s">
        <v>1667</v>
      </c>
      <c r="L248" t="s">
        <v>1666</v>
      </c>
      <c r="M248" t="s">
        <v>37</v>
      </c>
      <c r="N248">
        <v>2</v>
      </c>
      <c r="O248" t="s">
        <v>1665</v>
      </c>
      <c r="P248" t="s">
        <v>1664</v>
      </c>
      <c r="Q248" t="s">
        <v>1663</v>
      </c>
      <c r="R248" s="8">
        <v>34956</v>
      </c>
      <c r="S248" s="9">
        <f t="shared" si="24"/>
        <v>1995</v>
      </c>
      <c r="T248" s="9">
        <v>1995</v>
      </c>
      <c r="U248" s="9">
        <f t="shared" si="25"/>
        <v>27</v>
      </c>
      <c r="V248" s="8">
        <v>34956</v>
      </c>
      <c r="W248" t="s">
        <v>390</v>
      </c>
      <c r="X248" s="2">
        <v>0.375</v>
      </c>
      <c r="Y248" s="7">
        <f t="shared" si="26"/>
        <v>1.0010410827260351E-2</v>
      </c>
      <c r="AA248">
        <v>135194</v>
      </c>
      <c r="AB248">
        <v>24918</v>
      </c>
      <c r="AD248" t="s">
        <v>3</v>
      </c>
      <c r="AE248">
        <v>31</v>
      </c>
      <c r="AF248">
        <v>19</v>
      </c>
      <c r="AH248" t="s">
        <v>1662</v>
      </c>
      <c r="AI248" t="s">
        <v>1661</v>
      </c>
      <c r="AJ248" t="s">
        <v>1660</v>
      </c>
      <c r="AK248" t="s">
        <v>1659</v>
      </c>
      <c r="AL248">
        <v>0</v>
      </c>
      <c r="AM248" s="5">
        <f t="shared" si="27"/>
        <v>0</v>
      </c>
      <c r="AN248" s="4">
        <f t="shared" si="28"/>
        <v>0</v>
      </c>
      <c r="AO248" s="3"/>
      <c r="AP248">
        <v>0</v>
      </c>
      <c r="AR248" t="s">
        <v>1</v>
      </c>
      <c r="AT248" s="2">
        <v>1.3140000000000001</v>
      </c>
      <c r="AU248" s="1">
        <f t="shared" si="29"/>
        <v>0.70072875790822453</v>
      </c>
      <c r="AV248" s="1">
        <f t="shared" si="30"/>
        <v>0.5005205413630176</v>
      </c>
      <c r="AW248" s="1">
        <f t="shared" si="31"/>
        <v>0.30031232481781051</v>
      </c>
    </row>
    <row r="249" spans="1:49" x14ac:dyDescent="0.2">
      <c r="A249">
        <v>247</v>
      </c>
      <c r="B249" t="s">
        <v>1658</v>
      </c>
      <c r="C249" t="s">
        <v>1657</v>
      </c>
      <c r="F249" t="s">
        <v>1656</v>
      </c>
      <c r="G249" t="s">
        <v>6</v>
      </c>
      <c r="H249" t="s">
        <v>5</v>
      </c>
      <c r="I249" t="s">
        <v>1655</v>
      </c>
      <c r="J249" t="s">
        <v>1654</v>
      </c>
      <c r="K249" t="s">
        <v>1653</v>
      </c>
      <c r="L249" t="s">
        <v>1652</v>
      </c>
      <c r="M249" t="s">
        <v>1651</v>
      </c>
      <c r="N249">
        <v>4</v>
      </c>
      <c r="O249" t="s">
        <v>1650</v>
      </c>
      <c r="P249" t="s">
        <v>1649</v>
      </c>
      <c r="Q249" t="s">
        <v>1648</v>
      </c>
      <c r="R249" s="8">
        <v>34956</v>
      </c>
      <c r="S249" s="9">
        <f t="shared" si="24"/>
        <v>1995</v>
      </c>
      <c r="T249" s="9">
        <v>1995</v>
      </c>
      <c r="U249" s="9">
        <f t="shared" si="25"/>
        <v>27</v>
      </c>
      <c r="V249" s="8">
        <v>34956</v>
      </c>
      <c r="W249" t="s">
        <v>390</v>
      </c>
      <c r="X249" s="2">
        <v>0.375</v>
      </c>
      <c r="Y249" s="7">
        <f t="shared" si="26"/>
        <v>1.0010410827260351E-2</v>
      </c>
      <c r="AA249">
        <v>135194</v>
      </c>
      <c r="AB249">
        <v>24918</v>
      </c>
      <c r="AD249" t="s">
        <v>3</v>
      </c>
      <c r="AE249">
        <v>31</v>
      </c>
      <c r="AF249">
        <v>19</v>
      </c>
      <c r="AH249" t="s">
        <v>1647</v>
      </c>
      <c r="AI249" t="s">
        <v>1646</v>
      </c>
      <c r="AJ249" t="s">
        <v>439</v>
      </c>
      <c r="AK249" t="s">
        <v>1645</v>
      </c>
      <c r="AL249">
        <v>6</v>
      </c>
      <c r="AM249" s="5">
        <f t="shared" si="27"/>
        <v>0.22222222222222221</v>
      </c>
      <c r="AN249" s="4">
        <f t="shared" si="28"/>
        <v>3.365728469855694E-4</v>
      </c>
      <c r="AO249" s="3"/>
      <c r="AP249">
        <v>0</v>
      </c>
      <c r="AR249" t="s">
        <v>1</v>
      </c>
      <c r="AT249" s="2">
        <v>1.3140000000000001</v>
      </c>
      <c r="AU249" s="1">
        <f t="shared" si="29"/>
        <v>0.7108259433177917</v>
      </c>
      <c r="AV249" s="1">
        <f t="shared" si="30"/>
        <v>0.51734918371229599</v>
      </c>
      <c r="AW249" s="1">
        <f t="shared" si="31"/>
        <v>0.32387242410680039</v>
      </c>
    </row>
    <row r="250" spans="1:49" x14ac:dyDescent="0.2">
      <c r="A250">
        <v>248</v>
      </c>
      <c r="B250" t="s">
        <v>1644</v>
      </c>
      <c r="C250" t="s">
        <v>1643</v>
      </c>
      <c r="F250" t="s">
        <v>1642</v>
      </c>
      <c r="G250" t="s">
        <v>6</v>
      </c>
      <c r="H250" t="s">
        <v>5</v>
      </c>
      <c r="I250" t="s">
        <v>87</v>
      </c>
      <c r="J250">
        <v>60005304</v>
      </c>
      <c r="K250" t="s">
        <v>284</v>
      </c>
      <c r="L250" t="s">
        <v>283</v>
      </c>
      <c r="M250" t="s">
        <v>4</v>
      </c>
      <c r="N250">
        <v>5</v>
      </c>
      <c r="O250" t="s">
        <v>1641</v>
      </c>
      <c r="P250" t="s">
        <v>1640</v>
      </c>
      <c r="Q250" t="s">
        <v>1639</v>
      </c>
      <c r="R250" s="8">
        <v>34956</v>
      </c>
      <c r="S250" s="9">
        <f t="shared" si="24"/>
        <v>1995</v>
      </c>
      <c r="T250" s="9">
        <v>1995</v>
      </c>
      <c r="U250" s="9">
        <f t="shared" si="25"/>
        <v>27</v>
      </c>
      <c r="V250" s="8">
        <v>34956</v>
      </c>
      <c r="W250" t="s">
        <v>390</v>
      </c>
      <c r="X250" s="2">
        <v>0.375</v>
      </c>
      <c r="Y250" s="7">
        <f t="shared" si="26"/>
        <v>1.0010410827260351E-2</v>
      </c>
      <c r="AA250">
        <v>135194</v>
      </c>
      <c r="AB250">
        <v>24918</v>
      </c>
      <c r="AD250" t="s">
        <v>3</v>
      </c>
      <c r="AE250">
        <v>31</v>
      </c>
      <c r="AF250">
        <v>19</v>
      </c>
      <c r="AH250" t="s">
        <v>1638</v>
      </c>
      <c r="AI250" t="s">
        <v>1637</v>
      </c>
      <c r="AJ250" t="s">
        <v>1636</v>
      </c>
      <c r="AK250" t="s">
        <v>1635</v>
      </c>
      <c r="AL250">
        <v>2</v>
      </c>
      <c r="AM250" s="5">
        <f t="shared" si="27"/>
        <v>7.407407407407407E-2</v>
      </c>
      <c r="AN250" s="4">
        <f t="shared" si="28"/>
        <v>1.1219094899518981E-4</v>
      </c>
      <c r="AO250" s="3"/>
      <c r="AP250">
        <v>0</v>
      </c>
      <c r="AR250" t="s">
        <v>1</v>
      </c>
      <c r="AT250" s="2">
        <v>1.3140000000000001</v>
      </c>
      <c r="AU250" s="1">
        <f t="shared" si="29"/>
        <v>0.70409448637808025</v>
      </c>
      <c r="AV250" s="1">
        <f t="shared" si="30"/>
        <v>0.5061300888127771</v>
      </c>
      <c r="AW250" s="1">
        <f t="shared" si="31"/>
        <v>0.30816569124747378</v>
      </c>
    </row>
    <row r="251" spans="1:49" x14ac:dyDescent="0.2">
      <c r="A251">
        <v>249</v>
      </c>
      <c r="B251" t="s">
        <v>1634</v>
      </c>
      <c r="C251" t="s">
        <v>1633</v>
      </c>
      <c r="F251" t="s">
        <v>1632</v>
      </c>
      <c r="G251" t="s">
        <v>6</v>
      </c>
      <c r="H251" t="s">
        <v>5</v>
      </c>
      <c r="I251" t="s">
        <v>1631</v>
      </c>
      <c r="J251">
        <v>60007566</v>
      </c>
      <c r="K251" t="s">
        <v>351</v>
      </c>
      <c r="L251" t="s">
        <v>350</v>
      </c>
      <c r="M251" t="s">
        <v>4</v>
      </c>
      <c r="N251">
        <v>4</v>
      </c>
      <c r="O251" t="s">
        <v>1630</v>
      </c>
      <c r="P251" t="s">
        <v>1629</v>
      </c>
      <c r="Q251" t="s">
        <v>1628</v>
      </c>
      <c r="R251" s="8">
        <v>34952</v>
      </c>
      <c r="S251" s="9">
        <f t="shared" si="24"/>
        <v>1995</v>
      </c>
      <c r="T251" s="9">
        <v>1995</v>
      </c>
      <c r="U251" s="9">
        <f t="shared" si="25"/>
        <v>27</v>
      </c>
      <c r="V251" s="8">
        <v>34952</v>
      </c>
      <c r="W251" t="s">
        <v>409</v>
      </c>
      <c r="X251" s="2">
        <v>2.3759999999999999</v>
      </c>
      <c r="Y251" s="7">
        <f t="shared" si="26"/>
        <v>6.3425963001521576E-2</v>
      </c>
      <c r="AA251" t="s">
        <v>408</v>
      </c>
      <c r="AB251">
        <v>26765</v>
      </c>
      <c r="AC251">
        <v>15384357</v>
      </c>
      <c r="AD251" t="s">
        <v>3</v>
      </c>
      <c r="AE251">
        <v>450</v>
      </c>
      <c r="AF251">
        <v>2</v>
      </c>
      <c r="AH251" t="s">
        <v>1627</v>
      </c>
      <c r="AI251" t="s">
        <v>1626</v>
      </c>
      <c r="AJ251" t="s">
        <v>1625</v>
      </c>
      <c r="AK251" t="s">
        <v>1624</v>
      </c>
      <c r="AL251">
        <v>12</v>
      </c>
      <c r="AM251" s="5">
        <f t="shared" si="27"/>
        <v>0.44444444444444442</v>
      </c>
      <c r="AN251" s="4">
        <f t="shared" si="28"/>
        <v>6.7314569397113879E-4</v>
      </c>
      <c r="AO251" s="3"/>
      <c r="AP251">
        <v>0</v>
      </c>
      <c r="AQ251" t="s">
        <v>54</v>
      </c>
      <c r="AR251">
        <v>9311731</v>
      </c>
      <c r="AS251" t="s">
        <v>53</v>
      </c>
      <c r="AT251" s="2">
        <v>5.8739999999999997</v>
      </c>
      <c r="AU251" s="1">
        <f t="shared" si="29"/>
        <v>4.4600117809256439</v>
      </c>
      <c r="AV251" s="1">
        <f t="shared" si="30"/>
        <v>3.2049554347746358</v>
      </c>
      <c r="AW251" s="1">
        <f t="shared" si="31"/>
        <v>1.9498990886236269</v>
      </c>
    </row>
    <row r="252" spans="1:49" x14ac:dyDescent="0.2">
      <c r="A252">
        <v>250</v>
      </c>
      <c r="B252" t="s">
        <v>1623</v>
      </c>
      <c r="C252" t="s">
        <v>1622</v>
      </c>
      <c r="F252" t="s">
        <v>1621</v>
      </c>
      <c r="G252" t="s">
        <v>6</v>
      </c>
      <c r="H252" t="s">
        <v>5</v>
      </c>
      <c r="I252" t="s">
        <v>1620</v>
      </c>
      <c r="J252" t="s">
        <v>1619</v>
      </c>
      <c r="K252" t="s">
        <v>1618</v>
      </c>
      <c r="L252" t="s">
        <v>1617</v>
      </c>
      <c r="M252" t="s">
        <v>1616</v>
      </c>
      <c r="N252">
        <v>12</v>
      </c>
      <c r="O252" t="s">
        <v>1615</v>
      </c>
      <c r="P252" t="s">
        <v>1614</v>
      </c>
      <c r="Q252" t="s">
        <v>1613</v>
      </c>
      <c r="R252" s="8">
        <v>34943</v>
      </c>
      <c r="S252" s="9">
        <f t="shared" si="24"/>
        <v>1995</v>
      </c>
      <c r="T252" s="9">
        <v>1995</v>
      </c>
      <c r="U252" s="9">
        <f t="shared" si="25"/>
        <v>27</v>
      </c>
      <c r="V252" s="8">
        <v>34943</v>
      </c>
      <c r="W252" t="s">
        <v>455</v>
      </c>
      <c r="X252" s="2">
        <v>0.39800000000000002</v>
      </c>
      <c r="Y252" s="7">
        <f t="shared" si="26"/>
        <v>1.0624382691332319E-2</v>
      </c>
      <c r="AA252" t="s">
        <v>454</v>
      </c>
      <c r="AB252">
        <v>26771</v>
      </c>
      <c r="AC252" t="s">
        <v>453</v>
      </c>
      <c r="AD252" t="s">
        <v>3</v>
      </c>
      <c r="AE252">
        <v>231</v>
      </c>
      <c r="AF252" s="6">
        <v>44228</v>
      </c>
      <c r="AH252" t="s">
        <v>1612</v>
      </c>
      <c r="AI252" t="s">
        <v>1611</v>
      </c>
      <c r="AJ252" t="s">
        <v>1610</v>
      </c>
      <c r="AK252" t="s">
        <v>1609</v>
      </c>
      <c r="AL252">
        <v>4</v>
      </c>
      <c r="AM252" s="5">
        <f t="shared" si="27"/>
        <v>0.14814814814814814</v>
      </c>
      <c r="AN252" s="4">
        <f t="shared" si="28"/>
        <v>2.2438189799037963E-4</v>
      </c>
      <c r="AO252" s="3"/>
      <c r="AP252">
        <v>0</v>
      </c>
      <c r="AR252" t="s">
        <v>1</v>
      </c>
      <c r="AT252" s="2">
        <v>1.83</v>
      </c>
      <c r="AU252" s="1">
        <f t="shared" si="29"/>
        <v>0.75043824533297365</v>
      </c>
      <c r="AV252" s="1">
        <f t="shared" si="30"/>
        <v>0.54243822946613496</v>
      </c>
      <c r="AW252" s="1">
        <f t="shared" si="31"/>
        <v>0.33443821359929615</v>
      </c>
    </row>
    <row r="253" spans="1:49" x14ac:dyDescent="0.2">
      <c r="A253">
        <v>251</v>
      </c>
      <c r="B253" t="s">
        <v>1608</v>
      </c>
      <c r="C253" t="s">
        <v>1607</v>
      </c>
      <c r="F253" t="s">
        <v>1606</v>
      </c>
      <c r="G253" t="s">
        <v>6</v>
      </c>
      <c r="H253" t="s">
        <v>5</v>
      </c>
      <c r="I253" t="s">
        <v>1605</v>
      </c>
      <c r="J253" t="s">
        <v>1604</v>
      </c>
      <c r="K253" t="s">
        <v>1603</v>
      </c>
      <c r="L253" t="s">
        <v>1602</v>
      </c>
      <c r="M253" t="s">
        <v>1601</v>
      </c>
      <c r="N253">
        <v>6</v>
      </c>
      <c r="O253" t="s">
        <v>1600</v>
      </c>
      <c r="P253" t="s">
        <v>1599</v>
      </c>
      <c r="Q253" t="s">
        <v>1598</v>
      </c>
      <c r="R253" s="8">
        <v>34943</v>
      </c>
      <c r="S253" s="9">
        <f t="shared" si="24"/>
        <v>1995</v>
      </c>
      <c r="T253" s="9">
        <v>1995</v>
      </c>
      <c r="U253" s="9">
        <f t="shared" si="25"/>
        <v>27</v>
      </c>
      <c r="V253" s="8">
        <v>34943</v>
      </c>
      <c r="W253" t="s">
        <v>366</v>
      </c>
      <c r="X253" s="2">
        <v>0.78800000000000003</v>
      </c>
      <c r="Y253" s="7">
        <f t="shared" si="26"/>
        <v>2.1035209951683086E-2</v>
      </c>
      <c r="AA253">
        <v>9226435</v>
      </c>
      <c r="AB253">
        <v>27195</v>
      </c>
      <c r="AC253">
        <v>15729508</v>
      </c>
      <c r="AD253" t="s">
        <v>3</v>
      </c>
      <c r="AE253">
        <v>6</v>
      </c>
      <c r="AF253">
        <v>3</v>
      </c>
      <c r="AH253" t="s">
        <v>199</v>
      </c>
      <c r="AI253" t="s">
        <v>1597</v>
      </c>
      <c r="AJ253" t="s">
        <v>1596</v>
      </c>
      <c r="AK253" t="s">
        <v>1595</v>
      </c>
      <c r="AL253">
        <v>5</v>
      </c>
      <c r="AM253" s="5">
        <f t="shared" si="27"/>
        <v>0.18518518518518517</v>
      </c>
      <c r="AN253" s="4">
        <f t="shared" si="28"/>
        <v>2.804773724879745E-4</v>
      </c>
      <c r="AO253" s="3"/>
      <c r="AP253">
        <v>0</v>
      </c>
      <c r="AR253" t="s">
        <v>1</v>
      </c>
      <c r="AT253" s="2">
        <v>2.012</v>
      </c>
      <c r="AU253" s="1">
        <f t="shared" si="29"/>
        <v>1.4808790177924553</v>
      </c>
      <c r="AV253" s="1">
        <f t="shared" si="30"/>
        <v>1.0657843662085531</v>
      </c>
      <c r="AW253" s="1">
        <f t="shared" si="31"/>
        <v>0.65068971462465075</v>
      </c>
    </row>
    <row r="254" spans="1:49" x14ac:dyDescent="0.2">
      <c r="A254">
        <v>252</v>
      </c>
      <c r="B254" t="s">
        <v>1594</v>
      </c>
      <c r="C254" t="s">
        <v>1593</v>
      </c>
      <c r="F254" t="s">
        <v>1592</v>
      </c>
      <c r="G254" t="s">
        <v>6</v>
      </c>
      <c r="H254" t="s">
        <v>5</v>
      </c>
      <c r="I254" t="s">
        <v>1591</v>
      </c>
      <c r="J254">
        <v>60009839</v>
      </c>
      <c r="K254" t="s">
        <v>1590</v>
      </c>
      <c r="L254" t="s">
        <v>1589</v>
      </c>
      <c r="M254" t="s">
        <v>20</v>
      </c>
      <c r="N254">
        <v>1</v>
      </c>
      <c r="O254" t="s">
        <v>1588</v>
      </c>
      <c r="P254">
        <v>56239952700</v>
      </c>
      <c r="Q254">
        <v>60009839</v>
      </c>
      <c r="R254" s="8">
        <v>34943</v>
      </c>
      <c r="S254" s="9">
        <f t="shared" si="24"/>
        <v>1995</v>
      </c>
      <c r="T254" s="9">
        <v>1995</v>
      </c>
      <c r="U254" s="9">
        <f t="shared" si="25"/>
        <v>27</v>
      </c>
      <c r="V254" s="8">
        <v>34943</v>
      </c>
      <c r="W254" t="s">
        <v>409</v>
      </c>
      <c r="X254" s="2">
        <v>2.3759999999999999</v>
      </c>
      <c r="Y254" s="7">
        <f t="shared" si="26"/>
        <v>6.3425963001521576E-2</v>
      </c>
      <c r="AA254" t="s">
        <v>408</v>
      </c>
      <c r="AB254">
        <v>26765</v>
      </c>
      <c r="AC254">
        <v>15384357</v>
      </c>
      <c r="AD254" t="s">
        <v>3</v>
      </c>
      <c r="AE254">
        <v>450</v>
      </c>
      <c r="AF254">
        <v>1</v>
      </c>
      <c r="AH254" t="s">
        <v>1587</v>
      </c>
      <c r="AI254" t="s">
        <v>1586</v>
      </c>
      <c r="AJ254" t="s">
        <v>1585</v>
      </c>
      <c r="AK254" t="s">
        <v>1584</v>
      </c>
      <c r="AL254">
        <v>18</v>
      </c>
      <c r="AM254" s="5">
        <f t="shared" si="27"/>
        <v>0.66666666666666663</v>
      </c>
      <c r="AN254" s="4">
        <f t="shared" si="28"/>
        <v>1.0097185409567082E-3</v>
      </c>
      <c r="AO254" s="3"/>
      <c r="AP254">
        <v>0</v>
      </c>
      <c r="AR254" t="s">
        <v>1</v>
      </c>
      <c r="AT254" s="2">
        <v>5.8739999999999997</v>
      </c>
      <c r="AU254" s="1">
        <f t="shared" si="29"/>
        <v>4.4701089663352107</v>
      </c>
      <c r="AV254" s="1">
        <f t="shared" si="30"/>
        <v>3.2217840771239139</v>
      </c>
      <c r="AW254" s="1">
        <f t="shared" si="31"/>
        <v>1.9734591879126171</v>
      </c>
    </row>
    <row r="255" spans="1:49" x14ac:dyDescent="0.2">
      <c r="A255">
        <v>253</v>
      </c>
      <c r="B255" t="s">
        <v>1583</v>
      </c>
      <c r="C255" t="s">
        <v>1582</v>
      </c>
      <c r="F255" t="s">
        <v>1581</v>
      </c>
      <c r="G255" t="s">
        <v>6</v>
      </c>
      <c r="H255" t="s">
        <v>5</v>
      </c>
      <c r="I255" t="s">
        <v>1580</v>
      </c>
      <c r="J255" t="s">
        <v>1579</v>
      </c>
      <c r="K255" t="s">
        <v>1578</v>
      </c>
      <c r="L255" t="s">
        <v>1577</v>
      </c>
      <c r="M255" t="s">
        <v>1576</v>
      </c>
      <c r="N255">
        <v>3</v>
      </c>
      <c r="O255" t="s">
        <v>1575</v>
      </c>
      <c r="P255" t="s">
        <v>1574</v>
      </c>
      <c r="Q255" t="s">
        <v>1573</v>
      </c>
      <c r="R255" s="8">
        <v>34943</v>
      </c>
      <c r="S255" s="9">
        <f t="shared" si="24"/>
        <v>1995</v>
      </c>
      <c r="T255" s="9">
        <v>1995</v>
      </c>
      <c r="U255" s="9">
        <f t="shared" si="25"/>
        <v>27</v>
      </c>
      <c r="V255" s="8">
        <v>34943</v>
      </c>
      <c r="W255" t="s">
        <v>1572</v>
      </c>
      <c r="X255" s="2">
        <v>0.41499999999999998</v>
      </c>
      <c r="Y255" s="7">
        <f t="shared" si="26"/>
        <v>1.1078187982168121E-2</v>
      </c>
      <c r="AA255">
        <v>318949</v>
      </c>
      <c r="AB255">
        <v>29122</v>
      </c>
      <c r="AC255">
        <v>14024896</v>
      </c>
      <c r="AD255" t="s">
        <v>3</v>
      </c>
      <c r="AE255">
        <v>52</v>
      </c>
      <c r="AF255">
        <v>3</v>
      </c>
      <c r="AH255" t="s">
        <v>1571</v>
      </c>
      <c r="AI255" t="s">
        <v>1570</v>
      </c>
      <c r="AK255" t="s">
        <v>1569</v>
      </c>
      <c r="AL255">
        <v>1</v>
      </c>
      <c r="AM255" s="5">
        <f t="shared" si="27"/>
        <v>3.7037037037037035E-2</v>
      </c>
      <c r="AN255" s="4">
        <f t="shared" si="28"/>
        <v>5.6095474497594906E-5</v>
      </c>
      <c r="AO255" s="3"/>
      <c r="AP255">
        <v>0</v>
      </c>
      <c r="AR255" t="s">
        <v>1</v>
      </c>
      <c r="AT255" s="2">
        <v>2.4870000000000001</v>
      </c>
      <c r="AU255" s="1">
        <f t="shared" si="29"/>
        <v>0.77715602298669628</v>
      </c>
      <c r="AV255" s="1">
        <f t="shared" si="30"/>
        <v>0.55671417283328584</v>
      </c>
      <c r="AW255" s="1">
        <f t="shared" si="31"/>
        <v>0.33627232267987528</v>
      </c>
    </row>
    <row r="256" spans="1:49" x14ac:dyDescent="0.2">
      <c r="A256">
        <v>254</v>
      </c>
      <c r="B256" t="s">
        <v>1568</v>
      </c>
      <c r="C256" t="s">
        <v>1567</v>
      </c>
      <c r="F256" t="s">
        <v>1566</v>
      </c>
      <c r="G256" t="s">
        <v>6</v>
      </c>
      <c r="H256" t="s">
        <v>5</v>
      </c>
      <c r="I256" t="s">
        <v>1565</v>
      </c>
      <c r="J256">
        <v>60071113</v>
      </c>
      <c r="K256" t="s">
        <v>1564</v>
      </c>
      <c r="L256" t="s">
        <v>1563</v>
      </c>
      <c r="M256" t="s">
        <v>1562</v>
      </c>
      <c r="N256">
        <v>2</v>
      </c>
      <c r="O256" t="s">
        <v>1561</v>
      </c>
      <c r="P256" t="s">
        <v>1560</v>
      </c>
      <c r="Q256" t="s">
        <v>1559</v>
      </c>
      <c r="R256" s="8">
        <v>34943</v>
      </c>
      <c r="S256" s="9">
        <f t="shared" si="24"/>
        <v>1995</v>
      </c>
      <c r="T256" s="9">
        <v>1995</v>
      </c>
      <c r="U256" s="9">
        <f t="shared" si="25"/>
        <v>27</v>
      </c>
      <c r="V256" s="8">
        <v>34943</v>
      </c>
      <c r="W256" t="s">
        <v>1558</v>
      </c>
      <c r="X256" s="2">
        <v>0.874</v>
      </c>
      <c r="Y256" s="7">
        <f t="shared" si="26"/>
        <v>2.3330930834734791E-2</v>
      </c>
      <c r="AA256">
        <v>7224060</v>
      </c>
      <c r="AB256">
        <v>13048</v>
      </c>
      <c r="AC256">
        <v>14322056</v>
      </c>
      <c r="AD256" t="s">
        <v>3</v>
      </c>
      <c r="AE256">
        <v>15</v>
      </c>
      <c r="AF256">
        <v>8</v>
      </c>
      <c r="AH256" t="s">
        <v>1557</v>
      </c>
      <c r="AI256" t="s">
        <v>1556</v>
      </c>
      <c r="AK256" t="s">
        <v>1555</v>
      </c>
      <c r="AL256">
        <v>22</v>
      </c>
      <c r="AM256" s="5">
        <f t="shared" si="27"/>
        <v>0.81481481481481477</v>
      </c>
      <c r="AN256" s="4">
        <f t="shared" si="28"/>
        <v>1.2341004389470878E-3</v>
      </c>
      <c r="AO256" s="3"/>
      <c r="AP256">
        <v>0</v>
      </c>
      <c r="AR256" t="s">
        <v>1</v>
      </c>
      <c r="AT256" s="2">
        <v>2.31</v>
      </c>
      <c r="AU256" s="1">
        <f t="shared" si="29"/>
        <v>1.6701881715998477</v>
      </c>
      <c r="AV256" s="1">
        <f t="shared" si="30"/>
        <v>1.228251563684094</v>
      </c>
      <c r="AW256" s="1">
        <f t="shared" si="31"/>
        <v>0.78631495576833998</v>
      </c>
    </row>
    <row r="257" spans="1:49" x14ac:dyDescent="0.2">
      <c r="A257">
        <v>255</v>
      </c>
      <c r="B257" t="s">
        <v>1554</v>
      </c>
      <c r="C257" t="s">
        <v>1553</v>
      </c>
      <c r="F257" t="s">
        <v>1552</v>
      </c>
      <c r="G257" t="s">
        <v>6</v>
      </c>
      <c r="H257" t="s">
        <v>5</v>
      </c>
      <c r="I257" t="s">
        <v>1551</v>
      </c>
      <c r="J257">
        <v>60032021</v>
      </c>
      <c r="K257" t="s">
        <v>1550</v>
      </c>
      <c r="L257" t="s">
        <v>184</v>
      </c>
      <c r="M257" t="s">
        <v>183</v>
      </c>
      <c r="N257">
        <v>3</v>
      </c>
      <c r="O257" t="s">
        <v>1549</v>
      </c>
      <c r="P257" t="s">
        <v>1548</v>
      </c>
      <c r="Q257" t="s">
        <v>1547</v>
      </c>
      <c r="R257" s="8">
        <v>34943</v>
      </c>
      <c r="S257" s="9">
        <f t="shared" si="24"/>
        <v>1995</v>
      </c>
      <c r="T257" s="9">
        <v>1995</v>
      </c>
      <c r="U257" s="9">
        <f t="shared" si="25"/>
        <v>27</v>
      </c>
      <c r="V257" s="8">
        <v>34943</v>
      </c>
      <c r="W257" t="s">
        <v>1546</v>
      </c>
      <c r="X257" s="2" t="s">
        <v>7</v>
      </c>
      <c r="Y257" s="7" t="e">
        <f t="shared" si="26"/>
        <v>#VALUE!</v>
      </c>
      <c r="AA257">
        <v>9291881</v>
      </c>
      <c r="AB257">
        <v>94099</v>
      </c>
      <c r="AC257">
        <v>15728765</v>
      </c>
      <c r="AD257" t="s">
        <v>3</v>
      </c>
      <c r="AE257">
        <v>2</v>
      </c>
      <c r="AF257">
        <v>3</v>
      </c>
      <c r="AH257" t="s">
        <v>1545</v>
      </c>
      <c r="AI257" t="s">
        <v>1544</v>
      </c>
      <c r="AJ257" t="s">
        <v>1543</v>
      </c>
      <c r="AK257" t="s">
        <v>1542</v>
      </c>
      <c r="AL257">
        <v>0</v>
      </c>
      <c r="AM257" s="5">
        <f t="shared" si="27"/>
        <v>0</v>
      </c>
      <c r="AN257" s="4">
        <f t="shared" si="28"/>
        <v>0</v>
      </c>
      <c r="AO257" s="3"/>
      <c r="AP257">
        <v>0</v>
      </c>
      <c r="AR257" t="s">
        <v>1</v>
      </c>
      <c r="AT257" s="2" t="s">
        <v>7</v>
      </c>
      <c r="AU257" s="1" t="e">
        <f t="shared" si="29"/>
        <v>#VALUE!</v>
      </c>
      <c r="AV257" s="1" t="e">
        <f t="shared" si="30"/>
        <v>#VALUE!</v>
      </c>
      <c r="AW257" s="1" t="e">
        <f t="shared" si="31"/>
        <v>#VALUE!</v>
      </c>
    </row>
    <row r="258" spans="1:49" x14ac:dyDescent="0.2">
      <c r="A258">
        <v>256</v>
      </c>
      <c r="B258" t="s">
        <v>1541</v>
      </c>
      <c r="F258" t="s">
        <v>1540</v>
      </c>
      <c r="G258" t="s">
        <v>6</v>
      </c>
      <c r="H258" t="s">
        <v>5</v>
      </c>
      <c r="I258" t="s">
        <v>328</v>
      </c>
      <c r="J258">
        <v>60076904</v>
      </c>
      <c r="K258" t="s">
        <v>458</v>
      </c>
      <c r="L258" t="s">
        <v>457</v>
      </c>
      <c r="M258" t="s">
        <v>4</v>
      </c>
      <c r="N258">
        <v>3</v>
      </c>
      <c r="O258" t="s">
        <v>1539</v>
      </c>
      <c r="P258" t="s">
        <v>1538</v>
      </c>
      <c r="Q258" t="s">
        <v>709</v>
      </c>
      <c r="R258" s="8">
        <v>34943</v>
      </c>
      <c r="S258" s="9">
        <f t="shared" ref="S258:S321" si="32">YEAR(R258)</f>
        <v>1995</v>
      </c>
      <c r="T258" s="9">
        <v>1995</v>
      </c>
      <c r="U258" s="9">
        <f t="shared" ref="U258:U321" si="33">2022-T258</f>
        <v>27</v>
      </c>
      <c r="V258" s="8">
        <v>34943</v>
      </c>
      <c r="W258" t="s">
        <v>122</v>
      </c>
      <c r="X258" s="2">
        <v>0.13800000000000001</v>
      </c>
      <c r="Y258" s="7">
        <f t="shared" ref="Y258:Y321" si="34">(X258-$Z$4)/($Z$3-$Z$4)</f>
        <v>3.6838311844318095E-3</v>
      </c>
      <c r="AA258">
        <v>1926225</v>
      </c>
      <c r="AB258">
        <v>18580</v>
      </c>
      <c r="AD258" t="s">
        <v>3</v>
      </c>
      <c r="AE258">
        <v>38</v>
      </c>
      <c r="AF258">
        <v>9</v>
      </c>
      <c r="AI258" t="s">
        <v>1537</v>
      </c>
      <c r="AK258" t="s">
        <v>1536</v>
      </c>
      <c r="AL258">
        <v>3</v>
      </c>
      <c r="AM258" s="5">
        <f t="shared" ref="AM258:AM321" si="35">AL258/U258</f>
        <v>0.1111111111111111</v>
      </c>
      <c r="AN258" s="4">
        <f t="shared" ref="AN258:AN321" si="36">(AM258-$AO$4)/($AO$3-$AO$4)</f>
        <v>1.682864234927847E-4</v>
      </c>
      <c r="AO258" s="3"/>
      <c r="AP258">
        <v>0</v>
      </c>
      <c r="AR258" t="s">
        <v>1</v>
      </c>
      <c r="AT258" s="2">
        <v>0.30599999999999999</v>
      </c>
      <c r="AU258" s="1">
        <f t="shared" ref="AU258:AU321" si="37">(Y258*0.7+AN258*0.3)*100</f>
        <v>0.2629167756150102</v>
      </c>
      <c r="AV258" s="1">
        <f t="shared" ref="AV258:AV321" si="38">(Y258*0.5+AN258*0.5)*100</f>
        <v>0.19260588039622972</v>
      </c>
      <c r="AW258" s="1">
        <f t="shared" ref="AW258:AW321" si="39">(Y258*0.3+AN258*0.7)*100</f>
        <v>0.12229498517744922</v>
      </c>
    </row>
    <row r="259" spans="1:49" x14ac:dyDescent="0.2">
      <c r="A259">
        <v>257</v>
      </c>
      <c r="B259" t="s">
        <v>1535</v>
      </c>
      <c r="F259" t="s">
        <v>1534</v>
      </c>
      <c r="G259" t="s">
        <v>6</v>
      </c>
      <c r="H259" t="s">
        <v>5</v>
      </c>
      <c r="I259" t="s">
        <v>1533</v>
      </c>
      <c r="N259">
        <v>1</v>
      </c>
      <c r="O259" t="s">
        <v>1532</v>
      </c>
      <c r="P259">
        <v>7103260494</v>
      </c>
      <c r="R259" s="8">
        <v>34943</v>
      </c>
      <c r="S259" s="9">
        <f t="shared" si="32"/>
        <v>1995</v>
      </c>
      <c r="T259" s="9">
        <v>1995</v>
      </c>
      <c r="U259" s="9">
        <f t="shared" si="33"/>
        <v>27</v>
      </c>
      <c r="V259" s="8">
        <v>34943</v>
      </c>
      <c r="W259" t="s">
        <v>122</v>
      </c>
      <c r="X259" s="2">
        <v>0.13800000000000001</v>
      </c>
      <c r="Y259" s="7">
        <f t="shared" si="34"/>
        <v>3.6838311844318095E-3</v>
      </c>
      <c r="AA259">
        <v>1926225</v>
      </c>
      <c r="AB259">
        <v>18580</v>
      </c>
      <c r="AD259" t="s">
        <v>3</v>
      </c>
      <c r="AE259">
        <v>38</v>
      </c>
      <c r="AF259">
        <v>9</v>
      </c>
      <c r="AI259" t="s">
        <v>1531</v>
      </c>
      <c r="AK259" t="s">
        <v>1530</v>
      </c>
      <c r="AL259">
        <v>3</v>
      </c>
      <c r="AM259" s="5">
        <f t="shared" si="35"/>
        <v>0.1111111111111111</v>
      </c>
      <c r="AN259" s="4">
        <f t="shared" si="36"/>
        <v>1.682864234927847E-4</v>
      </c>
      <c r="AO259" s="3"/>
      <c r="AP259">
        <v>0</v>
      </c>
      <c r="AR259" t="s">
        <v>1</v>
      </c>
      <c r="AT259" s="2">
        <v>0.30599999999999999</v>
      </c>
      <c r="AU259" s="1">
        <f t="shared" si="37"/>
        <v>0.2629167756150102</v>
      </c>
      <c r="AV259" s="1">
        <f t="shared" si="38"/>
        <v>0.19260588039622972</v>
      </c>
      <c r="AW259" s="1">
        <f t="shared" si="39"/>
        <v>0.12229498517744922</v>
      </c>
    </row>
    <row r="260" spans="1:49" x14ac:dyDescent="0.2">
      <c r="A260">
        <v>258</v>
      </c>
      <c r="B260" t="s">
        <v>1529</v>
      </c>
      <c r="F260" t="s">
        <v>1528</v>
      </c>
      <c r="G260" t="s">
        <v>6</v>
      </c>
      <c r="H260" t="s">
        <v>5</v>
      </c>
      <c r="I260" t="s">
        <v>1527</v>
      </c>
      <c r="J260">
        <v>60017386</v>
      </c>
      <c r="K260" t="s">
        <v>1526</v>
      </c>
      <c r="L260" t="s">
        <v>1525</v>
      </c>
      <c r="M260" t="s">
        <v>14</v>
      </c>
      <c r="N260">
        <v>1</v>
      </c>
      <c r="O260" t="s">
        <v>1524</v>
      </c>
      <c r="P260">
        <v>7402888761</v>
      </c>
      <c r="Q260">
        <v>60017386</v>
      </c>
      <c r="R260" s="8">
        <v>34943</v>
      </c>
      <c r="S260" s="9">
        <f t="shared" si="32"/>
        <v>1995</v>
      </c>
      <c r="T260" s="9">
        <v>1995</v>
      </c>
      <c r="U260" s="9">
        <f t="shared" si="33"/>
        <v>27</v>
      </c>
      <c r="V260" s="8">
        <v>34943</v>
      </c>
      <c r="W260" t="s">
        <v>1523</v>
      </c>
      <c r="X260" s="2" t="s">
        <v>7</v>
      </c>
      <c r="Y260" s="7" t="e">
        <f t="shared" si="34"/>
        <v>#VALUE!</v>
      </c>
      <c r="AA260">
        <v>3854507</v>
      </c>
      <c r="AB260">
        <v>37257</v>
      </c>
      <c r="AD260" t="s">
        <v>3</v>
      </c>
      <c r="AE260">
        <v>32</v>
      </c>
      <c r="AF260">
        <v>345</v>
      </c>
      <c r="AH260" t="s">
        <v>1522</v>
      </c>
      <c r="AI260" t="s">
        <v>1521</v>
      </c>
      <c r="AK260" t="s">
        <v>1520</v>
      </c>
      <c r="AL260">
        <v>0</v>
      </c>
      <c r="AM260" s="5">
        <f t="shared" si="35"/>
        <v>0</v>
      </c>
      <c r="AN260" s="4">
        <f t="shared" si="36"/>
        <v>0</v>
      </c>
      <c r="AO260" s="3"/>
      <c r="AP260">
        <v>0</v>
      </c>
      <c r="AR260" t="s">
        <v>1</v>
      </c>
      <c r="AT260" s="2" t="s">
        <v>7</v>
      </c>
      <c r="AU260" s="1" t="e">
        <f t="shared" si="37"/>
        <v>#VALUE!</v>
      </c>
      <c r="AV260" s="1" t="e">
        <f t="shared" si="38"/>
        <v>#VALUE!</v>
      </c>
      <c r="AW260" s="1" t="e">
        <f t="shared" si="39"/>
        <v>#VALUE!</v>
      </c>
    </row>
    <row r="261" spans="1:49" x14ac:dyDescent="0.2">
      <c r="A261">
        <v>259</v>
      </c>
      <c r="B261" t="s">
        <v>1519</v>
      </c>
      <c r="F261" t="s">
        <v>1518</v>
      </c>
      <c r="G261" t="s">
        <v>6</v>
      </c>
      <c r="H261" t="s">
        <v>5</v>
      </c>
      <c r="I261" t="s">
        <v>1517</v>
      </c>
      <c r="N261">
        <v>3</v>
      </c>
      <c r="O261" t="s">
        <v>1516</v>
      </c>
      <c r="P261" t="s">
        <v>1515</v>
      </c>
      <c r="Q261" t="s">
        <v>107</v>
      </c>
      <c r="R261" s="8">
        <v>34943</v>
      </c>
      <c r="S261" s="9">
        <f t="shared" si="32"/>
        <v>1995</v>
      </c>
      <c r="T261" s="9">
        <v>1995</v>
      </c>
      <c r="U261" s="9">
        <f t="shared" si="33"/>
        <v>27</v>
      </c>
      <c r="V261" s="8">
        <v>34943</v>
      </c>
      <c r="W261" t="s">
        <v>127</v>
      </c>
      <c r="X261" s="2">
        <v>0.14099999999999999</v>
      </c>
      <c r="Y261" s="7">
        <f t="shared" si="34"/>
        <v>3.7639144710498915E-3</v>
      </c>
      <c r="AA261">
        <v>402508</v>
      </c>
      <c r="AB261">
        <v>20868</v>
      </c>
      <c r="AD261" t="s">
        <v>3</v>
      </c>
      <c r="AE261">
        <v>49</v>
      </c>
      <c r="AF261">
        <v>9</v>
      </c>
      <c r="AH261" t="s">
        <v>1514</v>
      </c>
      <c r="AI261" t="s">
        <v>1513</v>
      </c>
      <c r="AK261" t="s">
        <v>1512</v>
      </c>
      <c r="AL261">
        <v>0</v>
      </c>
      <c r="AM261" s="5">
        <f t="shared" si="35"/>
        <v>0</v>
      </c>
      <c r="AN261" s="4">
        <f t="shared" si="36"/>
        <v>0</v>
      </c>
      <c r="AO261" s="3"/>
      <c r="AP261">
        <v>0</v>
      </c>
      <c r="AR261" t="s">
        <v>1</v>
      </c>
      <c r="AT261" s="2" t="s">
        <v>7</v>
      </c>
      <c r="AU261" s="1">
        <f t="shared" si="37"/>
        <v>0.26347401297349238</v>
      </c>
      <c r="AV261" s="1">
        <f t="shared" si="38"/>
        <v>0.18819572355249459</v>
      </c>
      <c r="AW261" s="1">
        <f t="shared" si="39"/>
        <v>0.11291743413149673</v>
      </c>
    </row>
    <row r="262" spans="1:49" x14ac:dyDescent="0.2">
      <c r="A262">
        <v>260</v>
      </c>
      <c r="B262" t="s">
        <v>1511</v>
      </c>
      <c r="F262" t="s">
        <v>1510</v>
      </c>
      <c r="G262" t="s">
        <v>6</v>
      </c>
      <c r="H262" t="s">
        <v>5</v>
      </c>
      <c r="I262" t="s">
        <v>1509</v>
      </c>
      <c r="N262">
        <v>2</v>
      </c>
      <c r="O262" t="s">
        <v>1508</v>
      </c>
      <c r="P262" t="s">
        <v>1507</v>
      </c>
      <c r="Q262" t="s">
        <v>73</v>
      </c>
      <c r="R262" s="8">
        <v>34943</v>
      </c>
      <c r="S262" s="9">
        <f t="shared" si="32"/>
        <v>1995</v>
      </c>
      <c r="T262" s="9">
        <v>1995</v>
      </c>
      <c r="U262" s="9">
        <f t="shared" si="33"/>
        <v>27</v>
      </c>
      <c r="V262" s="8">
        <v>34943</v>
      </c>
      <c r="W262" t="s">
        <v>127</v>
      </c>
      <c r="X262" s="2">
        <v>0.14099999999999999</v>
      </c>
      <c r="Y262" s="7">
        <f t="shared" si="34"/>
        <v>3.7639144710498915E-3</v>
      </c>
      <c r="AA262">
        <v>402508</v>
      </c>
      <c r="AB262">
        <v>20868</v>
      </c>
      <c r="AD262" t="s">
        <v>3</v>
      </c>
      <c r="AE262">
        <v>49</v>
      </c>
      <c r="AF262">
        <v>9</v>
      </c>
      <c r="AH262" t="s">
        <v>148</v>
      </c>
      <c r="AI262" t="s">
        <v>1506</v>
      </c>
      <c r="AK262" t="s">
        <v>1505</v>
      </c>
      <c r="AL262">
        <v>0</v>
      </c>
      <c r="AM262" s="5">
        <f t="shared" si="35"/>
        <v>0</v>
      </c>
      <c r="AN262" s="4">
        <f t="shared" si="36"/>
        <v>0</v>
      </c>
      <c r="AO262" s="3"/>
      <c r="AP262">
        <v>0</v>
      </c>
      <c r="AR262" t="s">
        <v>1</v>
      </c>
      <c r="AT262" s="2" t="s">
        <v>7</v>
      </c>
      <c r="AU262" s="1">
        <f t="shared" si="37"/>
        <v>0.26347401297349238</v>
      </c>
      <c r="AV262" s="1">
        <f t="shared" si="38"/>
        <v>0.18819572355249459</v>
      </c>
      <c r="AW262" s="1">
        <f t="shared" si="39"/>
        <v>0.11291743413149673</v>
      </c>
    </row>
    <row r="263" spans="1:49" x14ac:dyDescent="0.2">
      <c r="A263">
        <v>261</v>
      </c>
      <c r="B263" t="s">
        <v>1504</v>
      </c>
      <c r="F263" t="s">
        <v>1503</v>
      </c>
      <c r="G263" t="s">
        <v>6</v>
      </c>
      <c r="H263" t="s">
        <v>5</v>
      </c>
      <c r="I263" t="s">
        <v>1502</v>
      </c>
      <c r="N263">
        <v>4</v>
      </c>
      <c r="O263" t="s">
        <v>1501</v>
      </c>
      <c r="P263" t="s">
        <v>1500</v>
      </c>
      <c r="Q263" t="s">
        <v>98</v>
      </c>
      <c r="R263" s="8">
        <v>34943</v>
      </c>
      <c r="S263" s="9">
        <f t="shared" si="32"/>
        <v>1995</v>
      </c>
      <c r="T263" s="9">
        <v>1995</v>
      </c>
      <c r="U263" s="9">
        <f t="shared" si="33"/>
        <v>27</v>
      </c>
      <c r="V263" s="8">
        <v>34943</v>
      </c>
      <c r="W263" t="s">
        <v>127</v>
      </c>
      <c r="X263" s="2">
        <v>0.14099999999999999</v>
      </c>
      <c r="Y263" s="7">
        <f t="shared" si="34"/>
        <v>3.7639144710498915E-3</v>
      </c>
      <c r="AA263">
        <v>402508</v>
      </c>
      <c r="AB263">
        <v>20868</v>
      </c>
      <c r="AD263" t="s">
        <v>3</v>
      </c>
      <c r="AE263">
        <v>49</v>
      </c>
      <c r="AF263">
        <v>9</v>
      </c>
      <c r="AH263" t="s">
        <v>1499</v>
      </c>
      <c r="AI263" t="s">
        <v>1498</v>
      </c>
      <c r="AK263" t="s">
        <v>1497</v>
      </c>
      <c r="AL263">
        <v>0</v>
      </c>
      <c r="AM263" s="5">
        <f t="shared" si="35"/>
        <v>0</v>
      </c>
      <c r="AN263" s="4">
        <f t="shared" si="36"/>
        <v>0</v>
      </c>
      <c r="AO263" s="3"/>
      <c r="AP263">
        <v>0</v>
      </c>
      <c r="AR263" t="s">
        <v>1</v>
      </c>
      <c r="AT263" s="2" t="s">
        <v>7</v>
      </c>
      <c r="AU263" s="1">
        <f t="shared" si="37"/>
        <v>0.26347401297349238</v>
      </c>
      <c r="AV263" s="1">
        <f t="shared" si="38"/>
        <v>0.18819572355249459</v>
      </c>
      <c r="AW263" s="1">
        <f t="shared" si="39"/>
        <v>0.11291743413149673</v>
      </c>
    </row>
    <row r="264" spans="1:49" x14ac:dyDescent="0.2">
      <c r="A264">
        <v>262</v>
      </c>
      <c r="B264" t="s">
        <v>1496</v>
      </c>
      <c r="F264" t="s">
        <v>1495</v>
      </c>
      <c r="G264" t="s">
        <v>6</v>
      </c>
      <c r="H264" t="s">
        <v>5</v>
      </c>
      <c r="I264" t="s">
        <v>1494</v>
      </c>
      <c r="N264">
        <v>5</v>
      </c>
      <c r="O264" t="s">
        <v>1493</v>
      </c>
      <c r="P264" t="s">
        <v>1492</v>
      </c>
      <c r="Q264" t="s">
        <v>110</v>
      </c>
      <c r="R264" s="8">
        <v>34943</v>
      </c>
      <c r="S264" s="9">
        <f t="shared" si="32"/>
        <v>1995</v>
      </c>
      <c r="T264" s="9">
        <v>1995</v>
      </c>
      <c r="U264" s="9">
        <f t="shared" si="33"/>
        <v>27</v>
      </c>
      <c r="V264" s="8">
        <v>34943</v>
      </c>
      <c r="W264" t="s">
        <v>127</v>
      </c>
      <c r="X264" s="2">
        <v>0.14099999999999999</v>
      </c>
      <c r="Y264" s="7">
        <f t="shared" si="34"/>
        <v>3.7639144710498915E-3</v>
      </c>
      <c r="AA264">
        <v>402508</v>
      </c>
      <c r="AB264">
        <v>20868</v>
      </c>
      <c r="AD264" t="s">
        <v>3</v>
      </c>
      <c r="AE264">
        <v>49</v>
      </c>
      <c r="AF264">
        <v>9</v>
      </c>
      <c r="AH264" t="s">
        <v>1491</v>
      </c>
      <c r="AI264" t="s">
        <v>1490</v>
      </c>
      <c r="AK264" t="s">
        <v>1489</v>
      </c>
      <c r="AL264">
        <v>0</v>
      </c>
      <c r="AM264" s="5">
        <f t="shared" si="35"/>
        <v>0</v>
      </c>
      <c r="AN264" s="4">
        <f t="shared" si="36"/>
        <v>0</v>
      </c>
      <c r="AO264" s="3"/>
      <c r="AP264">
        <v>0</v>
      </c>
      <c r="AR264" t="s">
        <v>1</v>
      </c>
      <c r="AT264" s="2" t="s">
        <v>7</v>
      </c>
      <c r="AU264" s="1">
        <f t="shared" si="37"/>
        <v>0.26347401297349238</v>
      </c>
      <c r="AV264" s="1">
        <f t="shared" si="38"/>
        <v>0.18819572355249459</v>
      </c>
      <c r="AW264" s="1">
        <f t="shared" si="39"/>
        <v>0.11291743413149673</v>
      </c>
    </row>
    <row r="265" spans="1:49" x14ac:dyDescent="0.2">
      <c r="A265">
        <v>263</v>
      </c>
      <c r="B265" t="s">
        <v>1488</v>
      </c>
      <c r="F265" t="s">
        <v>1487</v>
      </c>
      <c r="G265" t="s">
        <v>6</v>
      </c>
      <c r="H265" t="s">
        <v>5</v>
      </c>
      <c r="I265" t="s">
        <v>1486</v>
      </c>
      <c r="J265">
        <v>60022429</v>
      </c>
      <c r="K265" t="s">
        <v>1485</v>
      </c>
      <c r="L265" t="s">
        <v>69</v>
      </c>
      <c r="M265" t="s">
        <v>68</v>
      </c>
      <c r="N265">
        <v>2</v>
      </c>
      <c r="O265" t="s">
        <v>1484</v>
      </c>
      <c r="P265" t="s">
        <v>1483</v>
      </c>
      <c r="Q265" t="s">
        <v>1482</v>
      </c>
      <c r="R265" s="8">
        <v>34943</v>
      </c>
      <c r="S265" s="9">
        <f t="shared" si="32"/>
        <v>1995</v>
      </c>
      <c r="T265" s="9">
        <v>1995</v>
      </c>
      <c r="U265" s="9">
        <f t="shared" si="33"/>
        <v>27</v>
      </c>
      <c r="V265" s="8">
        <v>34943</v>
      </c>
      <c r="W265" t="s">
        <v>1481</v>
      </c>
      <c r="X265" s="2" t="s">
        <v>7</v>
      </c>
      <c r="Y265" s="7" t="e">
        <f t="shared" si="34"/>
        <v>#VALUE!</v>
      </c>
      <c r="AA265">
        <v>2511096</v>
      </c>
      <c r="AB265">
        <v>26110</v>
      </c>
      <c r="AD265" t="s">
        <v>3</v>
      </c>
      <c r="AE265">
        <v>76</v>
      </c>
      <c r="AH265" t="s">
        <v>1480</v>
      </c>
      <c r="AI265" t="s">
        <v>1479</v>
      </c>
      <c r="AK265" t="s">
        <v>1478</v>
      </c>
      <c r="AL265">
        <v>3</v>
      </c>
      <c r="AM265" s="5">
        <f t="shared" si="35"/>
        <v>0.1111111111111111</v>
      </c>
      <c r="AN265" s="4">
        <f t="shared" si="36"/>
        <v>1.682864234927847E-4</v>
      </c>
      <c r="AO265" s="3"/>
      <c r="AP265">
        <v>0</v>
      </c>
      <c r="AR265" t="s">
        <v>1</v>
      </c>
      <c r="AT265" s="2" t="s">
        <v>7</v>
      </c>
      <c r="AU265" s="1" t="e">
        <f t="shared" si="37"/>
        <v>#VALUE!</v>
      </c>
      <c r="AV265" s="1" t="e">
        <f t="shared" si="38"/>
        <v>#VALUE!</v>
      </c>
      <c r="AW265" s="1" t="e">
        <f t="shared" si="39"/>
        <v>#VALUE!</v>
      </c>
    </row>
    <row r="266" spans="1:49" x14ac:dyDescent="0.2">
      <c r="A266">
        <v>264</v>
      </c>
      <c r="B266" t="s">
        <v>1477</v>
      </c>
      <c r="F266" t="s">
        <v>1476</v>
      </c>
      <c r="G266" t="s">
        <v>6</v>
      </c>
      <c r="H266" t="s">
        <v>5</v>
      </c>
      <c r="I266" t="s">
        <v>1475</v>
      </c>
      <c r="N266">
        <v>1</v>
      </c>
      <c r="O266" t="s">
        <v>1474</v>
      </c>
      <c r="P266">
        <v>7004923051</v>
      </c>
      <c r="R266" s="8">
        <v>34943</v>
      </c>
      <c r="S266" s="9">
        <f t="shared" si="32"/>
        <v>1995</v>
      </c>
      <c r="T266" s="9">
        <v>1995</v>
      </c>
      <c r="U266" s="9">
        <f t="shared" si="33"/>
        <v>27</v>
      </c>
      <c r="V266" s="8">
        <v>34943</v>
      </c>
      <c r="W266" t="s">
        <v>127</v>
      </c>
      <c r="X266" s="2">
        <v>0.14099999999999999</v>
      </c>
      <c r="Y266" s="7">
        <f t="shared" si="34"/>
        <v>3.7639144710498915E-3</v>
      </c>
      <c r="AA266">
        <v>402508</v>
      </c>
      <c r="AB266">
        <v>20868</v>
      </c>
      <c r="AD266" t="s">
        <v>3</v>
      </c>
      <c r="AE266">
        <v>49</v>
      </c>
      <c r="AF266">
        <v>9</v>
      </c>
      <c r="AH266" t="s">
        <v>851</v>
      </c>
      <c r="AI266" t="s">
        <v>1473</v>
      </c>
      <c r="AK266" t="s">
        <v>1472</v>
      </c>
      <c r="AL266">
        <v>0</v>
      </c>
      <c r="AM266" s="5">
        <f t="shared" si="35"/>
        <v>0</v>
      </c>
      <c r="AN266" s="4">
        <f t="shared" si="36"/>
        <v>0</v>
      </c>
      <c r="AO266" s="3"/>
      <c r="AP266">
        <v>0</v>
      </c>
      <c r="AR266" t="s">
        <v>1</v>
      </c>
      <c r="AT266" s="2" t="s">
        <v>7</v>
      </c>
      <c r="AU266" s="1">
        <f t="shared" si="37"/>
        <v>0.26347401297349238</v>
      </c>
      <c r="AV266" s="1">
        <f t="shared" si="38"/>
        <v>0.18819572355249459</v>
      </c>
      <c r="AW266" s="1">
        <f t="shared" si="39"/>
        <v>0.11291743413149673</v>
      </c>
    </row>
    <row r="267" spans="1:49" x14ac:dyDescent="0.2">
      <c r="A267">
        <v>265</v>
      </c>
      <c r="B267" t="s">
        <v>1471</v>
      </c>
      <c r="F267" t="s">
        <v>1470</v>
      </c>
      <c r="G267" t="s">
        <v>6</v>
      </c>
      <c r="H267" t="s">
        <v>5</v>
      </c>
      <c r="I267" t="s">
        <v>1469</v>
      </c>
      <c r="N267">
        <v>2</v>
      </c>
      <c r="O267" t="s">
        <v>1468</v>
      </c>
      <c r="P267" t="s">
        <v>1467</v>
      </c>
      <c r="Q267" t="s">
        <v>73</v>
      </c>
      <c r="R267" s="8">
        <v>34943</v>
      </c>
      <c r="S267" s="9">
        <f t="shared" si="32"/>
        <v>1995</v>
      </c>
      <c r="T267" s="9">
        <v>1995</v>
      </c>
      <c r="U267" s="9">
        <f t="shared" si="33"/>
        <v>27</v>
      </c>
      <c r="V267" s="8">
        <v>34943</v>
      </c>
      <c r="W267" t="s">
        <v>127</v>
      </c>
      <c r="X267" s="2">
        <v>0.14099999999999999</v>
      </c>
      <c r="Y267" s="7">
        <f t="shared" si="34"/>
        <v>3.7639144710498915E-3</v>
      </c>
      <c r="AA267">
        <v>402508</v>
      </c>
      <c r="AB267">
        <v>20868</v>
      </c>
      <c r="AD267" t="s">
        <v>3</v>
      </c>
      <c r="AE267">
        <v>49</v>
      </c>
      <c r="AF267">
        <v>9</v>
      </c>
      <c r="AH267">
        <v>35</v>
      </c>
      <c r="AI267" t="s">
        <v>1466</v>
      </c>
      <c r="AK267" t="s">
        <v>1465</v>
      </c>
      <c r="AL267">
        <v>0</v>
      </c>
      <c r="AM267" s="5">
        <f t="shared" si="35"/>
        <v>0</v>
      </c>
      <c r="AN267" s="4">
        <f t="shared" si="36"/>
        <v>0</v>
      </c>
      <c r="AO267" s="3"/>
      <c r="AP267">
        <v>0</v>
      </c>
      <c r="AR267" t="s">
        <v>1</v>
      </c>
      <c r="AT267" s="2" t="s">
        <v>7</v>
      </c>
      <c r="AU267" s="1">
        <f t="shared" si="37"/>
        <v>0.26347401297349238</v>
      </c>
      <c r="AV267" s="1">
        <f t="shared" si="38"/>
        <v>0.18819572355249459</v>
      </c>
      <c r="AW267" s="1">
        <f t="shared" si="39"/>
        <v>0.11291743413149673</v>
      </c>
    </row>
    <row r="268" spans="1:49" x14ac:dyDescent="0.2">
      <c r="A268">
        <v>266</v>
      </c>
      <c r="B268" t="s">
        <v>1464</v>
      </c>
      <c r="F268" t="s">
        <v>1463</v>
      </c>
      <c r="G268" t="s">
        <v>6</v>
      </c>
      <c r="H268" t="s">
        <v>5</v>
      </c>
      <c r="I268" t="s">
        <v>1462</v>
      </c>
      <c r="N268">
        <v>2</v>
      </c>
      <c r="O268" t="s">
        <v>1461</v>
      </c>
      <c r="P268" t="s">
        <v>1460</v>
      </c>
      <c r="Q268" t="s">
        <v>73</v>
      </c>
      <c r="R268" s="8">
        <v>34943</v>
      </c>
      <c r="S268" s="9">
        <f t="shared" si="32"/>
        <v>1995</v>
      </c>
      <c r="T268" s="9">
        <v>1995</v>
      </c>
      <c r="U268" s="9">
        <f t="shared" si="33"/>
        <v>27</v>
      </c>
      <c r="V268" s="8">
        <v>34943</v>
      </c>
      <c r="W268" t="s">
        <v>127</v>
      </c>
      <c r="X268" s="2">
        <v>0.14099999999999999</v>
      </c>
      <c r="Y268" s="7">
        <f t="shared" si="34"/>
        <v>3.7639144710498915E-3</v>
      </c>
      <c r="AA268">
        <v>402508</v>
      </c>
      <c r="AB268">
        <v>20868</v>
      </c>
      <c r="AD268" t="s">
        <v>3</v>
      </c>
      <c r="AE268">
        <v>49</v>
      </c>
      <c r="AF268">
        <v>9</v>
      </c>
      <c r="AH268" t="s">
        <v>204</v>
      </c>
      <c r="AI268" t="s">
        <v>1459</v>
      </c>
      <c r="AK268" t="s">
        <v>1458</v>
      </c>
      <c r="AL268">
        <v>0</v>
      </c>
      <c r="AM268" s="5">
        <f t="shared" si="35"/>
        <v>0</v>
      </c>
      <c r="AN268" s="4">
        <f t="shared" si="36"/>
        <v>0</v>
      </c>
      <c r="AO268" s="3"/>
      <c r="AP268">
        <v>0</v>
      </c>
      <c r="AR268" t="s">
        <v>1</v>
      </c>
      <c r="AT268" s="2" t="s">
        <v>7</v>
      </c>
      <c r="AU268" s="1">
        <f t="shared" si="37"/>
        <v>0.26347401297349238</v>
      </c>
      <c r="AV268" s="1">
        <f t="shared" si="38"/>
        <v>0.18819572355249459</v>
      </c>
      <c r="AW268" s="1">
        <f t="shared" si="39"/>
        <v>0.11291743413149673</v>
      </c>
    </row>
    <row r="269" spans="1:49" x14ac:dyDescent="0.2">
      <c r="A269">
        <v>267</v>
      </c>
      <c r="B269" t="s">
        <v>1457</v>
      </c>
      <c r="C269" t="s">
        <v>1456</v>
      </c>
      <c r="F269" t="s">
        <v>1455</v>
      </c>
      <c r="G269" t="s">
        <v>6</v>
      </c>
      <c r="H269" t="s">
        <v>5</v>
      </c>
      <c r="I269" t="s">
        <v>1454</v>
      </c>
      <c r="J269" t="s">
        <v>1453</v>
      </c>
      <c r="K269" t="s">
        <v>1452</v>
      </c>
      <c r="L269" t="s">
        <v>1451</v>
      </c>
      <c r="M269" t="s">
        <v>92</v>
      </c>
      <c r="N269">
        <v>3</v>
      </c>
      <c r="O269" t="s">
        <v>1450</v>
      </c>
      <c r="P269" t="s">
        <v>1449</v>
      </c>
      <c r="Q269" t="s">
        <v>1448</v>
      </c>
      <c r="R269" s="8">
        <v>34943</v>
      </c>
      <c r="S269" s="9">
        <f t="shared" si="32"/>
        <v>1995</v>
      </c>
      <c r="T269" s="9">
        <v>1995</v>
      </c>
      <c r="U269" s="9">
        <f t="shared" si="33"/>
        <v>27</v>
      </c>
      <c r="V269" s="8">
        <v>34943</v>
      </c>
      <c r="W269" t="s">
        <v>1447</v>
      </c>
      <c r="X269" s="2">
        <v>0.49399999999999999</v>
      </c>
      <c r="Y269" s="7">
        <f t="shared" si="34"/>
        <v>1.3187047863110968E-2</v>
      </c>
      <c r="AA269">
        <v>9583157</v>
      </c>
      <c r="AB269">
        <v>36197</v>
      </c>
      <c r="AC269">
        <v>13600478</v>
      </c>
      <c r="AD269" t="s">
        <v>3</v>
      </c>
      <c r="AE269">
        <v>5</v>
      </c>
      <c r="AF269">
        <v>3</v>
      </c>
      <c r="AH269" t="s">
        <v>1446</v>
      </c>
      <c r="AI269" t="s">
        <v>1445</v>
      </c>
      <c r="AJ269" t="s">
        <v>1444</v>
      </c>
      <c r="AK269" t="s">
        <v>1443</v>
      </c>
      <c r="AL269">
        <v>5</v>
      </c>
      <c r="AM269" s="5">
        <f t="shared" si="35"/>
        <v>0.18518518518518517</v>
      </c>
      <c r="AN269" s="4">
        <f t="shared" si="36"/>
        <v>2.804773724879745E-4</v>
      </c>
      <c r="AO269" s="3"/>
      <c r="AP269">
        <v>0</v>
      </c>
      <c r="AR269" t="s">
        <v>1</v>
      </c>
      <c r="AT269" s="2">
        <v>1.665</v>
      </c>
      <c r="AU269" s="1">
        <f t="shared" si="37"/>
        <v>0.93150767159240699</v>
      </c>
      <c r="AV269" s="1">
        <f t="shared" si="38"/>
        <v>0.67337626177994714</v>
      </c>
      <c r="AW269" s="1">
        <f t="shared" si="39"/>
        <v>0.41524485196748723</v>
      </c>
    </row>
    <row r="270" spans="1:49" x14ac:dyDescent="0.2">
      <c r="A270">
        <v>268</v>
      </c>
      <c r="B270" t="s">
        <v>1442</v>
      </c>
      <c r="C270" t="s">
        <v>1441</v>
      </c>
      <c r="F270" t="s">
        <v>1440</v>
      </c>
      <c r="G270" t="s">
        <v>6</v>
      </c>
      <c r="H270" t="s">
        <v>5</v>
      </c>
      <c r="I270" t="s">
        <v>1439</v>
      </c>
      <c r="J270">
        <v>60024631</v>
      </c>
      <c r="K270" t="s">
        <v>1438</v>
      </c>
      <c r="L270" t="s">
        <v>1437</v>
      </c>
      <c r="M270" t="s">
        <v>67</v>
      </c>
      <c r="N270">
        <v>3</v>
      </c>
      <c r="O270" t="s">
        <v>1436</v>
      </c>
      <c r="P270" t="s">
        <v>1435</v>
      </c>
      <c r="Q270" t="s">
        <v>1434</v>
      </c>
      <c r="R270" s="8">
        <v>34943</v>
      </c>
      <c r="S270" s="9">
        <f t="shared" si="32"/>
        <v>1995</v>
      </c>
      <c r="T270" s="9">
        <v>1995</v>
      </c>
      <c r="U270" s="9">
        <f t="shared" si="33"/>
        <v>27</v>
      </c>
      <c r="V270" s="8">
        <v>34943</v>
      </c>
      <c r="W270" t="s">
        <v>1433</v>
      </c>
      <c r="X270" s="2" t="s">
        <v>7</v>
      </c>
      <c r="Y270" s="7" t="e">
        <f t="shared" si="34"/>
        <v>#VALUE!</v>
      </c>
      <c r="AA270" t="s">
        <v>1432</v>
      </c>
      <c r="AB270">
        <v>53590</v>
      </c>
      <c r="AC270" t="s">
        <v>1431</v>
      </c>
      <c r="AD270" t="s">
        <v>3</v>
      </c>
      <c r="AE270">
        <v>205</v>
      </c>
      <c r="AF270" s="6">
        <v>44228</v>
      </c>
      <c r="AH270" t="s">
        <v>1430</v>
      </c>
      <c r="AI270" t="s">
        <v>1429</v>
      </c>
      <c r="AJ270" t="s">
        <v>1428</v>
      </c>
      <c r="AK270" t="s">
        <v>1427</v>
      </c>
      <c r="AL270">
        <v>30</v>
      </c>
      <c r="AM270" s="5">
        <f t="shared" si="35"/>
        <v>1.1111111111111112</v>
      </c>
      <c r="AN270" s="4">
        <f t="shared" si="36"/>
        <v>1.6828642349278472E-3</v>
      </c>
      <c r="AO270" s="3"/>
      <c r="AP270">
        <v>0</v>
      </c>
      <c r="AR270" t="s">
        <v>1</v>
      </c>
      <c r="AT270" s="2" t="s">
        <v>7</v>
      </c>
      <c r="AU270" s="1" t="e">
        <f t="shared" si="37"/>
        <v>#VALUE!</v>
      </c>
      <c r="AV270" s="1" t="e">
        <f t="shared" si="38"/>
        <v>#VALUE!</v>
      </c>
      <c r="AW270" s="1" t="e">
        <f t="shared" si="39"/>
        <v>#VALUE!</v>
      </c>
    </row>
    <row r="271" spans="1:49" x14ac:dyDescent="0.2">
      <c r="A271">
        <v>269</v>
      </c>
      <c r="B271" t="s">
        <v>1426</v>
      </c>
      <c r="C271" t="s">
        <v>1425</v>
      </c>
      <c r="F271" t="s">
        <v>1424</v>
      </c>
      <c r="G271" t="s">
        <v>6</v>
      </c>
      <c r="H271" t="s">
        <v>5</v>
      </c>
      <c r="I271" t="s">
        <v>451</v>
      </c>
      <c r="J271">
        <v>60001359</v>
      </c>
      <c r="K271" t="s">
        <v>392</v>
      </c>
      <c r="L271" t="s">
        <v>391</v>
      </c>
      <c r="M271" t="s">
        <v>37</v>
      </c>
      <c r="N271">
        <v>3</v>
      </c>
      <c r="O271" t="s">
        <v>450</v>
      </c>
      <c r="P271" t="s">
        <v>449</v>
      </c>
      <c r="Q271" t="s">
        <v>448</v>
      </c>
      <c r="R271" s="8">
        <v>34943</v>
      </c>
      <c r="S271" s="9">
        <f t="shared" si="32"/>
        <v>1995</v>
      </c>
      <c r="T271" s="9">
        <v>1995</v>
      </c>
      <c r="U271" s="9">
        <f t="shared" si="33"/>
        <v>27</v>
      </c>
      <c r="V271" s="8">
        <v>34943</v>
      </c>
      <c r="W271" t="s">
        <v>1423</v>
      </c>
      <c r="X271" s="2">
        <v>2.6160000000000001</v>
      </c>
      <c r="Y271" s="7">
        <f t="shared" si="34"/>
        <v>6.9832625930968215E-2</v>
      </c>
      <c r="AA271">
        <v>220957</v>
      </c>
      <c r="AB271">
        <v>19210</v>
      </c>
      <c r="AD271" t="s">
        <v>3</v>
      </c>
      <c r="AE271">
        <v>46</v>
      </c>
      <c r="AF271">
        <v>9</v>
      </c>
      <c r="AH271" t="s">
        <v>1422</v>
      </c>
      <c r="AI271" t="s">
        <v>1421</v>
      </c>
      <c r="AJ271" t="s">
        <v>1420</v>
      </c>
      <c r="AK271" t="s">
        <v>1419</v>
      </c>
      <c r="AL271">
        <v>67</v>
      </c>
      <c r="AM271" s="5">
        <f t="shared" si="35"/>
        <v>2.4814814814814814</v>
      </c>
      <c r="AN271" s="4">
        <f t="shared" si="36"/>
        <v>3.7583967913388588E-3</v>
      </c>
      <c r="AO271" s="3"/>
      <c r="AP271">
        <v>0</v>
      </c>
      <c r="AR271" t="s">
        <v>1</v>
      </c>
      <c r="AT271" s="2">
        <v>6.992</v>
      </c>
      <c r="AU271" s="1">
        <f t="shared" si="37"/>
        <v>5.0010357189079402</v>
      </c>
      <c r="AV271" s="1">
        <f t="shared" si="38"/>
        <v>3.6795511361153532</v>
      </c>
      <c r="AW271" s="1">
        <f t="shared" si="39"/>
        <v>2.3580665533227663</v>
      </c>
    </row>
    <row r="272" spans="1:49" x14ac:dyDescent="0.2">
      <c r="A272">
        <v>270</v>
      </c>
      <c r="B272" t="s">
        <v>1418</v>
      </c>
      <c r="C272" t="s">
        <v>1417</v>
      </c>
      <c r="F272" t="s">
        <v>1416</v>
      </c>
      <c r="G272" t="s">
        <v>6</v>
      </c>
      <c r="H272" t="s">
        <v>5</v>
      </c>
      <c r="I272" t="s">
        <v>452</v>
      </c>
      <c r="J272">
        <v>60025063</v>
      </c>
      <c r="K272" t="s">
        <v>176</v>
      </c>
      <c r="L272" t="s">
        <v>175</v>
      </c>
      <c r="M272" t="s">
        <v>174</v>
      </c>
      <c r="N272">
        <v>1</v>
      </c>
      <c r="O272" t="s">
        <v>1415</v>
      </c>
      <c r="P272">
        <v>7005545716</v>
      </c>
      <c r="Q272">
        <v>60025063</v>
      </c>
      <c r="R272" s="8">
        <v>34942</v>
      </c>
      <c r="S272" s="9">
        <f t="shared" si="32"/>
        <v>1995</v>
      </c>
      <c r="T272" s="9">
        <v>1995</v>
      </c>
      <c r="U272" s="9">
        <f t="shared" si="33"/>
        <v>27</v>
      </c>
      <c r="V272" s="8">
        <v>34942</v>
      </c>
      <c r="W272" t="s">
        <v>390</v>
      </c>
      <c r="X272" s="2">
        <v>0.375</v>
      </c>
      <c r="Y272" s="7">
        <f t="shared" si="34"/>
        <v>1.0010410827260351E-2</v>
      </c>
      <c r="AA272">
        <v>135194</v>
      </c>
      <c r="AB272">
        <v>24918</v>
      </c>
      <c r="AD272" t="s">
        <v>3</v>
      </c>
      <c r="AE272">
        <v>31</v>
      </c>
      <c r="AF272">
        <v>18</v>
      </c>
      <c r="AH272" t="s">
        <v>1414</v>
      </c>
      <c r="AI272" t="s">
        <v>1413</v>
      </c>
      <c r="AJ272" t="s">
        <v>1412</v>
      </c>
      <c r="AK272" t="s">
        <v>1411</v>
      </c>
      <c r="AL272">
        <v>14</v>
      </c>
      <c r="AM272" s="5">
        <f t="shared" si="35"/>
        <v>0.51851851851851849</v>
      </c>
      <c r="AN272" s="4">
        <f t="shared" si="36"/>
        <v>7.853366429663287E-4</v>
      </c>
      <c r="AO272" s="3"/>
      <c r="AP272">
        <v>0</v>
      </c>
      <c r="AR272" t="s">
        <v>1</v>
      </c>
      <c r="AT272" s="2">
        <v>1.3140000000000001</v>
      </c>
      <c r="AU272" s="1">
        <f t="shared" si="37"/>
        <v>0.72428885719721448</v>
      </c>
      <c r="AV272" s="1">
        <f t="shared" si="38"/>
        <v>0.53978737351133399</v>
      </c>
      <c r="AW272" s="1">
        <f t="shared" si="39"/>
        <v>0.3552858898254535</v>
      </c>
    </row>
    <row r="273" spans="1:49" x14ac:dyDescent="0.2">
      <c r="A273">
        <v>271</v>
      </c>
      <c r="B273" t="s">
        <v>1410</v>
      </c>
      <c r="C273" t="s">
        <v>1409</v>
      </c>
      <c r="F273" t="s">
        <v>1408</v>
      </c>
      <c r="G273" t="s">
        <v>6</v>
      </c>
      <c r="H273" t="s">
        <v>5</v>
      </c>
      <c r="I273" t="s">
        <v>87</v>
      </c>
      <c r="J273">
        <v>60005304</v>
      </c>
      <c r="K273" t="s">
        <v>284</v>
      </c>
      <c r="L273" t="s">
        <v>283</v>
      </c>
      <c r="M273" t="s">
        <v>4</v>
      </c>
      <c r="N273">
        <v>3</v>
      </c>
      <c r="O273" t="s">
        <v>1407</v>
      </c>
      <c r="P273" t="s">
        <v>1406</v>
      </c>
      <c r="Q273" t="s">
        <v>1405</v>
      </c>
      <c r="R273" s="8">
        <v>34942</v>
      </c>
      <c r="S273" s="9">
        <f t="shared" si="32"/>
        <v>1995</v>
      </c>
      <c r="T273" s="9">
        <v>1995</v>
      </c>
      <c r="U273" s="9">
        <f t="shared" si="33"/>
        <v>27</v>
      </c>
      <c r="V273" s="8">
        <v>34942</v>
      </c>
      <c r="W273" t="s">
        <v>390</v>
      </c>
      <c r="X273" s="2">
        <v>0.375</v>
      </c>
      <c r="Y273" s="7">
        <f t="shared" si="34"/>
        <v>1.0010410827260351E-2</v>
      </c>
      <c r="AA273">
        <v>135194</v>
      </c>
      <c r="AB273">
        <v>24918</v>
      </c>
      <c r="AD273" t="s">
        <v>3</v>
      </c>
      <c r="AE273">
        <v>31</v>
      </c>
      <c r="AF273">
        <v>18</v>
      </c>
      <c r="AH273" t="s">
        <v>1404</v>
      </c>
      <c r="AI273" t="s">
        <v>1403</v>
      </c>
      <c r="AJ273" t="s">
        <v>1402</v>
      </c>
      <c r="AK273" t="s">
        <v>1401</v>
      </c>
      <c r="AL273">
        <v>2</v>
      </c>
      <c r="AM273" s="5">
        <f t="shared" si="35"/>
        <v>7.407407407407407E-2</v>
      </c>
      <c r="AN273" s="4">
        <f t="shared" si="36"/>
        <v>1.1219094899518981E-4</v>
      </c>
      <c r="AO273" s="3"/>
      <c r="AP273">
        <v>0</v>
      </c>
      <c r="AR273" t="s">
        <v>1</v>
      </c>
      <c r="AT273" s="2">
        <v>1.3140000000000001</v>
      </c>
      <c r="AU273" s="1">
        <f t="shared" si="37"/>
        <v>0.70409448637808025</v>
      </c>
      <c r="AV273" s="1">
        <f t="shared" si="38"/>
        <v>0.5061300888127771</v>
      </c>
      <c r="AW273" s="1">
        <f t="shared" si="39"/>
        <v>0.30816569124747378</v>
      </c>
    </row>
    <row r="274" spans="1:49" x14ac:dyDescent="0.2">
      <c r="A274">
        <v>272</v>
      </c>
      <c r="B274" t="s">
        <v>1400</v>
      </c>
      <c r="C274" t="s">
        <v>1399</v>
      </c>
      <c r="F274" t="s">
        <v>1398</v>
      </c>
      <c r="G274" t="s">
        <v>6</v>
      </c>
      <c r="H274" t="s">
        <v>5</v>
      </c>
      <c r="I274" t="s">
        <v>1397</v>
      </c>
      <c r="J274">
        <v>60028984</v>
      </c>
      <c r="K274" t="s">
        <v>1396</v>
      </c>
      <c r="L274" t="s">
        <v>1395</v>
      </c>
      <c r="M274" t="s">
        <v>115</v>
      </c>
      <c r="N274">
        <v>5</v>
      </c>
      <c r="O274" t="s">
        <v>1394</v>
      </c>
      <c r="P274" t="s">
        <v>1393</v>
      </c>
      <c r="Q274" t="s">
        <v>1392</v>
      </c>
      <c r="R274" s="8">
        <v>34942</v>
      </c>
      <c r="S274" s="9">
        <f t="shared" si="32"/>
        <v>1995</v>
      </c>
      <c r="T274" s="9">
        <v>1995</v>
      </c>
      <c r="U274" s="9">
        <f t="shared" si="33"/>
        <v>27</v>
      </c>
      <c r="V274" s="8">
        <v>34942</v>
      </c>
      <c r="W274" t="s">
        <v>390</v>
      </c>
      <c r="X274" s="2">
        <v>0.375</v>
      </c>
      <c r="Y274" s="7">
        <f t="shared" si="34"/>
        <v>1.0010410827260351E-2</v>
      </c>
      <c r="AA274">
        <v>135194</v>
      </c>
      <c r="AB274">
        <v>24918</v>
      </c>
      <c r="AD274" t="s">
        <v>3</v>
      </c>
      <c r="AE274">
        <v>31</v>
      </c>
      <c r="AF274">
        <v>18</v>
      </c>
      <c r="AH274" t="s">
        <v>1391</v>
      </c>
      <c r="AI274" t="s">
        <v>1390</v>
      </c>
      <c r="AJ274" t="s">
        <v>1389</v>
      </c>
      <c r="AK274" t="s">
        <v>1388</v>
      </c>
      <c r="AL274">
        <v>17</v>
      </c>
      <c r="AM274" s="5">
        <f t="shared" si="35"/>
        <v>0.62962962962962965</v>
      </c>
      <c r="AN274" s="4">
        <f t="shared" si="36"/>
        <v>9.536230664591134E-4</v>
      </c>
      <c r="AO274" s="3"/>
      <c r="AP274">
        <v>0</v>
      </c>
      <c r="AR274" t="s">
        <v>1</v>
      </c>
      <c r="AT274" s="2">
        <v>1.3140000000000001</v>
      </c>
      <c r="AU274" s="1">
        <f t="shared" si="37"/>
        <v>0.729337449901998</v>
      </c>
      <c r="AV274" s="1">
        <f t="shared" si="38"/>
        <v>0.54820169468597324</v>
      </c>
      <c r="AW274" s="1">
        <f t="shared" si="39"/>
        <v>0.36706593946994848</v>
      </c>
    </row>
    <row r="275" spans="1:49" x14ac:dyDescent="0.2">
      <c r="A275">
        <v>273</v>
      </c>
      <c r="B275" t="s">
        <v>1387</v>
      </c>
      <c r="C275" t="s">
        <v>1386</v>
      </c>
      <c r="F275" t="s">
        <v>1385</v>
      </c>
      <c r="G275" t="s">
        <v>6</v>
      </c>
      <c r="H275" t="s">
        <v>5</v>
      </c>
      <c r="I275" t="s">
        <v>1384</v>
      </c>
      <c r="J275" t="s">
        <v>1383</v>
      </c>
      <c r="K275" t="s">
        <v>1382</v>
      </c>
      <c r="L275" t="s">
        <v>579</v>
      </c>
      <c r="M275" t="s">
        <v>263</v>
      </c>
      <c r="N275">
        <v>3</v>
      </c>
      <c r="O275" t="s">
        <v>1381</v>
      </c>
      <c r="P275" t="s">
        <v>1380</v>
      </c>
      <c r="Q275" t="s">
        <v>1379</v>
      </c>
      <c r="R275" s="8">
        <v>34942</v>
      </c>
      <c r="S275" s="9">
        <f t="shared" si="32"/>
        <v>1995</v>
      </c>
      <c r="T275" s="9">
        <v>1995</v>
      </c>
      <c r="U275" s="9">
        <f t="shared" si="33"/>
        <v>27</v>
      </c>
      <c r="V275" s="8">
        <v>34942</v>
      </c>
      <c r="W275" t="s">
        <v>390</v>
      </c>
      <c r="X275" s="2">
        <v>0.375</v>
      </c>
      <c r="Y275" s="7">
        <f t="shared" si="34"/>
        <v>1.0010410827260351E-2</v>
      </c>
      <c r="AA275">
        <v>135194</v>
      </c>
      <c r="AB275">
        <v>24918</v>
      </c>
      <c r="AD275" t="s">
        <v>3</v>
      </c>
      <c r="AE275">
        <v>31</v>
      </c>
      <c r="AF275">
        <v>18</v>
      </c>
      <c r="AH275" t="s">
        <v>1378</v>
      </c>
      <c r="AI275" t="s">
        <v>1377</v>
      </c>
      <c r="AJ275" t="s">
        <v>1376</v>
      </c>
      <c r="AK275" t="s">
        <v>1375</v>
      </c>
      <c r="AL275">
        <v>13</v>
      </c>
      <c r="AM275" s="5">
        <f t="shared" si="35"/>
        <v>0.48148148148148145</v>
      </c>
      <c r="AN275" s="4">
        <f t="shared" si="36"/>
        <v>7.2924116846873369E-4</v>
      </c>
      <c r="AO275" s="3"/>
      <c r="AP275">
        <v>0</v>
      </c>
      <c r="AR275" t="s">
        <v>1</v>
      </c>
      <c r="AT275" s="2">
        <v>1.3140000000000001</v>
      </c>
      <c r="AU275" s="1">
        <f t="shared" si="37"/>
        <v>0.72260599296228656</v>
      </c>
      <c r="AV275" s="1">
        <f t="shared" si="38"/>
        <v>0.53698259978645424</v>
      </c>
      <c r="AW275" s="1">
        <f t="shared" si="39"/>
        <v>0.35135920661062187</v>
      </c>
    </row>
    <row r="276" spans="1:49" x14ac:dyDescent="0.2">
      <c r="A276">
        <v>274</v>
      </c>
      <c r="B276" t="s">
        <v>1374</v>
      </c>
      <c r="C276" t="s">
        <v>1373</v>
      </c>
      <c r="F276" t="s">
        <v>1372</v>
      </c>
      <c r="G276" t="s">
        <v>6</v>
      </c>
      <c r="H276" t="s">
        <v>5</v>
      </c>
      <c r="I276" t="s">
        <v>1371</v>
      </c>
      <c r="J276">
        <v>60021939</v>
      </c>
      <c r="K276" t="s">
        <v>222</v>
      </c>
      <c r="L276" t="s">
        <v>221</v>
      </c>
      <c r="M276" t="s">
        <v>4</v>
      </c>
      <c r="N276">
        <v>6</v>
      </c>
      <c r="O276" t="s">
        <v>1370</v>
      </c>
      <c r="P276" t="s">
        <v>1369</v>
      </c>
      <c r="Q276" t="s">
        <v>1368</v>
      </c>
      <c r="R276" s="8">
        <v>34942</v>
      </c>
      <c r="S276" s="9">
        <f t="shared" si="32"/>
        <v>1995</v>
      </c>
      <c r="T276" s="9">
        <v>1995</v>
      </c>
      <c r="U276" s="9">
        <f t="shared" si="33"/>
        <v>27</v>
      </c>
      <c r="V276" s="8">
        <v>34942</v>
      </c>
      <c r="W276" t="s">
        <v>390</v>
      </c>
      <c r="X276" s="2">
        <v>0.375</v>
      </c>
      <c r="Y276" s="7">
        <f t="shared" si="34"/>
        <v>1.0010410827260351E-2</v>
      </c>
      <c r="AA276">
        <v>135194</v>
      </c>
      <c r="AB276">
        <v>24918</v>
      </c>
      <c r="AD276" t="s">
        <v>3</v>
      </c>
      <c r="AE276">
        <v>31</v>
      </c>
      <c r="AF276">
        <v>18</v>
      </c>
      <c r="AH276" t="s">
        <v>1367</v>
      </c>
      <c r="AI276" t="s">
        <v>1366</v>
      </c>
      <c r="AJ276" t="s">
        <v>1365</v>
      </c>
      <c r="AK276" t="s">
        <v>1364</v>
      </c>
      <c r="AL276">
        <v>6</v>
      </c>
      <c r="AM276" s="5">
        <f t="shared" si="35"/>
        <v>0.22222222222222221</v>
      </c>
      <c r="AN276" s="4">
        <f t="shared" si="36"/>
        <v>3.365728469855694E-4</v>
      </c>
      <c r="AO276" s="3"/>
      <c r="AP276">
        <v>0</v>
      </c>
      <c r="AR276" t="s">
        <v>1</v>
      </c>
      <c r="AT276" s="2">
        <v>1.3140000000000001</v>
      </c>
      <c r="AU276" s="1">
        <f t="shared" si="37"/>
        <v>0.7108259433177917</v>
      </c>
      <c r="AV276" s="1">
        <f t="shared" si="38"/>
        <v>0.51734918371229599</v>
      </c>
      <c r="AW276" s="1">
        <f t="shared" si="39"/>
        <v>0.32387242410680039</v>
      </c>
    </row>
    <row r="277" spans="1:49" x14ac:dyDescent="0.2">
      <c r="A277">
        <v>275</v>
      </c>
      <c r="B277" t="s">
        <v>1363</v>
      </c>
      <c r="C277" t="s">
        <v>1362</v>
      </c>
      <c r="F277" t="s">
        <v>1361</v>
      </c>
      <c r="G277" t="s">
        <v>6</v>
      </c>
      <c r="H277" t="s">
        <v>5</v>
      </c>
      <c r="I277" t="s">
        <v>303</v>
      </c>
      <c r="J277">
        <v>60010818</v>
      </c>
      <c r="K277" t="s">
        <v>302</v>
      </c>
      <c r="L277" t="s">
        <v>301</v>
      </c>
      <c r="M277" t="s">
        <v>37</v>
      </c>
      <c r="N277">
        <v>3</v>
      </c>
      <c r="O277" t="s">
        <v>300</v>
      </c>
      <c r="P277" t="s">
        <v>299</v>
      </c>
      <c r="Q277" t="s">
        <v>298</v>
      </c>
      <c r="R277" s="8">
        <v>34942</v>
      </c>
      <c r="S277" s="9">
        <f t="shared" si="32"/>
        <v>1995</v>
      </c>
      <c r="T277" s="9">
        <v>1995</v>
      </c>
      <c r="U277" s="9">
        <f t="shared" si="33"/>
        <v>27</v>
      </c>
      <c r="V277" s="8">
        <v>34942</v>
      </c>
      <c r="W277" t="s">
        <v>390</v>
      </c>
      <c r="X277" s="2">
        <v>0.375</v>
      </c>
      <c r="Y277" s="7">
        <f t="shared" si="34"/>
        <v>1.0010410827260351E-2</v>
      </c>
      <c r="AA277">
        <v>135194</v>
      </c>
      <c r="AB277">
        <v>24918</v>
      </c>
      <c r="AD277" t="s">
        <v>3</v>
      </c>
      <c r="AE277">
        <v>31</v>
      </c>
      <c r="AF277">
        <v>18</v>
      </c>
      <c r="AH277" t="s">
        <v>1360</v>
      </c>
      <c r="AI277" t="s">
        <v>1359</v>
      </c>
      <c r="AJ277" t="s">
        <v>1358</v>
      </c>
      <c r="AK277" t="s">
        <v>1357</v>
      </c>
      <c r="AL277">
        <v>6</v>
      </c>
      <c r="AM277" s="5">
        <f t="shared" si="35"/>
        <v>0.22222222222222221</v>
      </c>
      <c r="AN277" s="4">
        <f t="shared" si="36"/>
        <v>3.365728469855694E-4</v>
      </c>
      <c r="AO277" s="3"/>
      <c r="AP277">
        <v>0</v>
      </c>
      <c r="AR277" t="s">
        <v>1</v>
      </c>
      <c r="AT277" s="2">
        <v>1.3140000000000001</v>
      </c>
      <c r="AU277" s="1">
        <f t="shared" si="37"/>
        <v>0.7108259433177917</v>
      </c>
      <c r="AV277" s="1">
        <f t="shared" si="38"/>
        <v>0.51734918371229599</v>
      </c>
      <c r="AW277" s="1">
        <f t="shared" si="39"/>
        <v>0.32387242410680039</v>
      </c>
    </row>
    <row r="278" spans="1:49" x14ac:dyDescent="0.2">
      <c r="A278">
        <v>276</v>
      </c>
      <c r="B278" t="s">
        <v>1356</v>
      </c>
      <c r="C278" t="s">
        <v>1355</v>
      </c>
      <c r="F278" t="s">
        <v>1354</v>
      </c>
      <c r="G278" t="s">
        <v>6</v>
      </c>
      <c r="H278" t="s">
        <v>5</v>
      </c>
      <c r="I278" t="s">
        <v>1353</v>
      </c>
      <c r="J278">
        <v>60013983</v>
      </c>
      <c r="K278" t="s">
        <v>136</v>
      </c>
      <c r="L278" t="s">
        <v>135</v>
      </c>
      <c r="M278" t="s">
        <v>134</v>
      </c>
      <c r="N278">
        <v>4</v>
      </c>
      <c r="O278" t="s">
        <v>1352</v>
      </c>
      <c r="P278" t="s">
        <v>1351</v>
      </c>
      <c r="Q278" t="s">
        <v>1350</v>
      </c>
      <c r="R278" s="8">
        <v>34942</v>
      </c>
      <c r="S278" s="9">
        <f t="shared" si="32"/>
        <v>1995</v>
      </c>
      <c r="T278" s="9">
        <v>1995</v>
      </c>
      <c r="U278" s="9">
        <f t="shared" si="33"/>
        <v>27</v>
      </c>
      <c r="V278" s="8">
        <v>34942</v>
      </c>
      <c r="W278" t="s">
        <v>390</v>
      </c>
      <c r="X278" s="2">
        <v>0.375</v>
      </c>
      <c r="Y278" s="7">
        <f t="shared" si="34"/>
        <v>1.0010410827260351E-2</v>
      </c>
      <c r="AA278">
        <v>135194</v>
      </c>
      <c r="AB278">
        <v>24918</v>
      </c>
      <c r="AD278" t="s">
        <v>3</v>
      </c>
      <c r="AE278">
        <v>31</v>
      </c>
      <c r="AF278">
        <v>18</v>
      </c>
      <c r="AH278" t="s">
        <v>1349</v>
      </c>
      <c r="AI278" t="s">
        <v>1348</v>
      </c>
      <c r="AJ278" t="s">
        <v>1347</v>
      </c>
      <c r="AK278" t="s">
        <v>1346</v>
      </c>
      <c r="AL278">
        <v>20</v>
      </c>
      <c r="AM278" s="5">
        <f t="shared" si="35"/>
        <v>0.7407407407407407</v>
      </c>
      <c r="AN278" s="4">
        <f t="shared" si="36"/>
        <v>1.121909489951898E-3</v>
      </c>
      <c r="AO278" s="3"/>
      <c r="AP278">
        <v>0</v>
      </c>
      <c r="AR278" t="s">
        <v>1</v>
      </c>
      <c r="AT278" s="2">
        <v>1.3140000000000001</v>
      </c>
      <c r="AU278" s="1">
        <f t="shared" si="37"/>
        <v>0.73438604260678153</v>
      </c>
      <c r="AV278" s="1">
        <f t="shared" si="38"/>
        <v>0.55661601586061249</v>
      </c>
      <c r="AW278" s="1">
        <f t="shared" si="39"/>
        <v>0.37884598911444334</v>
      </c>
    </row>
    <row r="279" spans="1:49" x14ac:dyDescent="0.2">
      <c r="A279">
        <v>277</v>
      </c>
      <c r="B279" t="s">
        <v>1345</v>
      </c>
      <c r="C279" t="s">
        <v>1344</v>
      </c>
      <c r="D279" t="s">
        <v>1343</v>
      </c>
      <c r="F279" t="s">
        <v>1342</v>
      </c>
      <c r="G279" t="s">
        <v>6</v>
      </c>
      <c r="H279" t="s">
        <v>5</v>
      </c>
      <c r="I279" t="s">
        <v>1341</v>
      </c>
      <c r="J279">
        <v>60022784</v>
      </c>
      <c r="K279" t="s">
        <v>1340</v>
      </c>
      <c r="L279" t="s">
        <v>255</v>
      </c>
      <c r="M279" t="s">
        <v>68</v>
      </c>
      <c r="N279">
        <v>1</v>
      </c>
      <c r="O279" t="s">
        <v>1339</v>
      </c>
      <c r="P279">
        <v>35562272000</v>
      </c>
      <c r="Q279">
        <v>60022784</v>
      </c>
      <c r="R279" s="8">
        <v>34932</v>
      </c>
      <c r="S279" s="9">
        <f t="shared" si="32"/>
        <v>1995</v>
      </c>
      <c r="T279" s="9">
        <v>1995</v>
      </c>
      <c r="U279" s="9">
        <f t="shared" si="33"/>
        <v>27</v>
      </c>
      <c r="V279" s="8">
        <v>34932</v>
      </c>
      <c r="W279" t="s">
        <v>437</v>
      </c>
      <c r="X279" s="2">
        <v>0.499</v>
      </c>
      <c r="Y279" s="7">
        <f t="shared" si="34"/>
        <v>1.332052000747444E-2</v>
      </c>
      <c r="AA279">
        <v>3759601</v>
      </c>
      <c r="AB279">
        <v>29464</v>
      </c>
      <c r="AD279" t="s">
        <v>3</v>
      </c>
      <c r="AE279">
        <v>204</v>
      </c>
      <c r="AF279" s="6">
        <v>44289</v>
      </c>
      <c r="AH279" t="s">
        <v>1338</v>
      </c>
      <c r="AI279" t="s">
        <v>1337</v>
      </c>
      <c r="AK279" t="s">
        <v>1336</v>
      </c>
      <c r="AL279">
        <v>15</v>
      </c>
      <c r="AM279" s="5">
        <f t="shared" si="35"/>
        <v>0.55555555555555558</v>
      </c>
      <c r="AN279" s="4">
        <f t="shared" si="36"/>
        <v>8.414321174639236E-4</v>
      </c>
      <c r="AO279" s="3"/>
      <c r="AP279">
        <v>0</v>
      </c>
      <c r="AR279" t="s">
        <v>1</v>
      </c>
      <c r="AT279" s="2">
        <v>2.6539999999999999</v>
      </c>
      <c r="AU279" s="1">
        <f t="shared" si="37"/>
        <v>0.9576793640471285</v>
      </c>
      <c r="AV279" s="1">
        <f t="shared" si="38"/>
        <v>0.7080976062469182</v>
      </c>
      <c r="AW279" s="1">
        <f t="shared" si="39"/>
        <v>0.45851584844670784</v>
      </c>
    </row>
    <row r="280" spans="1:49" x14ac:dyDescent="0.2">
      <c r="A280">
        <v>278</v>
      </c>
      <c r="B280" t="s">
        <v>1335</v>
      </c>
      <c r="C280" t="s">
        <v>1334</v>
      </c>
      <c r="F280" t="s">
        <v>1333</v>
      </c>
      <c r="G280" t="s">
        <v>6</v>
      </c>
      <c r="H280" t="s">
        <v>5</v>
      </c>
      <c r="I280" t="s">
        <v>1332</v>
      </c>
      <c r="J280" t="s">
        <v>1331</v>
      </c>
      <c r="K280" t="s">
        <v>1330</v>
      </c>
      <c r="L280" t="s">
        <v>1329</v>
      </c>
      <c r="M280" t="s">
        <v>1328</v>
      </c>
      <c r="N280">
        <v>19</v>
      </c>
      <c r="O280" t="s">
        <v>1327</v>
      </c>
      <c r="P280" t="s">
        <v>1326</v>
      </c>
      <c r="Q280" t="s">
        <v>1325</v>
      </c>
      <c r="R280" s="8">
        <v>34931</v>
      </c>
      <c r="S280" s="9">
        <f t="shared" si="32"/>
        <v>1995</v>
      </c>
      <c r="T280" s="9">
        <v>1995</v>
      </c>
      <c r="U280" s="9">
        <f t="shared" si="33"/>
        <v>27</v>
      </c>
      <c r="V280" s="8">
        <v>34931</v>
      </c>
      <c r="W280" t="s">
        <v>409</v>
      </c>
      <c r="X280" s="2">
        <v>2.3759999999999999</v>
      </c>
      <c r="Y280" s="7">
        <f t="shared" si="34"/>
        <v>6.3425963001521576E-2</v>
      </c>
      <c r="AA280" t="s">
        <v>408</v>
      </c>
      <c r="AB280">
        <v>26765</v>
      </c>
      <c r="AC280">
        <v>15384357</v>
      </c>
      <c r="AD280" t="s">
        <v>3</v>
      </c>
      <c r="AE280">
        <v>449</v>
      </c>
      <c r="AF280">
        <v>2</v>
      </c>
      <c r="AH280" t="s">
        <v>1324</v>
      </c>
      <c r="AI280" t="s">
        <v>1323</v>
      </c>
      <c r="AJ280" t="s">
        <v>1322</v>
      </c>
      <c r="AK280" t="s">
        <v>1321</v>
      </c>
      <c r="AL280">
        <v>15</v>
      </c>
      <c r="AM280" s="5">
        <f t="shared" si="35"/>
        <v>0.55555555555555558</v>
      </c>
      <c r="AN280" s="4">
        <f t="shared" si="36"/>
        <v>8.414321174639236E-4</v>
      </c>
      <c r="AO280" s="3"/>
      <c r="AP280">
        <v>0</v>
      </c>
      <c r="AR280" t="s">
        <v>1</v>
      </c>
      <c r="AT280" s="2">
        <v>5.8739999999999997</v>
      </c>
      <c r="AU280" s="1">
        <f t="shared" si="37"/>
        <v>4.4650603736304282</v>
      </c>
      <c r="AV280" s="1">
        <f t="shared" si="38"/>
        <v>3.2133697559492749</v>
      </c>
      <c r="AW280" s="1">
        <f t="shared" si="39"/>
        <v>1.9616791382681222</v>
      </c>
    </row>
    <row r="281" spans="1:49" x14ac:dyDescent="0.2">
      <c r="A281">
        <v>279</v>
      </c>
      <c r="B281" t="s">
        <v>1320</v>
      </c>
      <c r="C281" t="s">
        <v>1319</v>
      </c>
      <c r="F281" t="s">
        <v>1318</v>
      </c>
      <c r="G281" t="s">
        <v>6</v>
      </c>
      <c r="H281" t="s">
        <v>5</v>
      </c>
      <c r="I281" t="s">
        <v>295</v>
      </c>
      <c r="J281">
        <v>60007776</v>
      </c>
      <c r="K281" t="s">
        <v>294</v>
      </c>
      <c r="L281" t="s">
        <v>293</v>
      </c>
      <c r="M281" t="s">
        <v>4</v>
      </c>
      <c r="N281">
        <v>2</v>
      </c>
      <c r="O281" t="s">
        <v>1317</v>
      </c>
      <c r="P281" t="s">
        <v>292</v>
      </c>
      <c r="Q281" t="s">
        <v>1316</v>
      </c>
      <c r="R281" s="8">
        <v>34928</v>
      </c>
      <c r="S281" s="9">
        <f t="shared" si="32"/>
        <v>1995</v>
      </c>
      <c r="T281" s="9">
        <v>1995</v>
      </c>
      <c r="U281" s="9">
        <f t="shared" si="33"/>
        <v>27</v>
      </c>
      <c r="V281" s="8">
        <v>34928</v>
      </c>
      <c r="W281" t="s">
        <v>390</v>
      </c>
      <c r="X281" s="2">
        <v>0.375</v>
      </c>
      <c r="Y281" s="7">
        <f t="shared" si="34"/>
        <v>1.0010410827260351E-2</v>
      </c>
      <c r="AA281">
        <v>135194</v>
      </c>
      <c r="AB281">
        <v>24918</v>
      </c>
      <c r="AD281" t="s">
        <v>3</v>
      </c>
      <c r="AE281">
        <v>31</v>
      </c>
      <c r="AF281">
        <v>17</v>
      </c>
      <c r="AH281" t="s">
        <v>1315</v>
      </c>
      <c r="AI281" t="s">
        <v>1314</v>
      </c>
      <c r="AJ281" t="s">
        <v>1313</v>
      </c>
      <c r="AK281" t="s">
        <v>1312</v>
      </c>
      <c r="AL281">
        <v>2</v>
      </c>
      <c r="AM281" s="5">
        <f t="shared" si="35"/>
        <v>7.407407407407407E-2</v>
      </c>
      <c r="AN281" s="4">
        <f t="shared" si="36"/>
        <v>1.1219094899518981E-4</v>
      </c>
      <c r="AO281" s="3"/>
      <c r="AP281">
        <v>0</v>
      </c>
      <c r="AR281" t="s">
        <v>1</v>
      </c>
      <c r="AT281" s="2">
        <v>1.3140000000000001</v>
      </c>
      <c r="AU281" s="1">
        <f t="shared" si="37"/>
        <v>0.70409448637808025</v>
      </c>
      <c r="AV281" s="1">
        <f t="shared" si="38"/>
        <v>0.5061300888127771</v>
      </c>
      <c r="AW281" s="1">
        <f t="shared" si="39"/>
        <v>0.30816569124747378</v>
      </c>
    </row>
    <row r="282" spans="1:49" x14ac:dyDescent="0.2">
      <c r="A282">
        <v>280</v>
      </c>
      <c r="B282" t="s">
        <v>1311</v>
      </c>
      <c r="C282" t="s">
        <v>1310</v>
      </c>
      <c r="F282" t="s">
        <v>1309</v>
      </c>
      <c r="G282" t="s">
        <v>6</v>
      </c>
      <c r="H282" t="s">
        <v>5</v>
      </c>
      <c r="I282" t="s">
        <v>1308</v>
      </c>
      <c r="J282">
        <v>60017826</v>
      </c>
      <c r="K282" t="s">
        <v>1307</v>
      </c>
      <c r="L282" t="s">
        <v>1306</v>
      </c>
      <c r="M282" t="s">
        <v>37</v>
      </c>
      <c r="N282">
        <v>2</v>
      </c>
      <c r="O282" t="s">
        <v>1305</v>
      </c>
      <c r="P282" t="s">
        <v>1304</v>
      </c>
      <c r="Q282" t="s">
        <v>1303</v>
      </c>
      <c r="R282" s="8">
        <v>34928</v>
      </c>
      <c r="S282" s="9">
        <f t="shared" si="32"/>
        <v>1995</v>
      </c>
      <c r="T282" s="9">
        <v>1995</v>
      </c>
      <c r="U282" s="9">
        <f t="shared" si="33"/>
        <v>27</v>
      </c>
      <c r="V282" s="8">
        <v>34928</v>
      </c>
      <c r="W282" t="s">
        <v>390</v>
      </c>
      <c r="X282" s="2">
        <v>0.375</v>
      </c>
      <c r="Y282" s="7">
        <f t="shared" si="34"/>
        <v>1.0010410827260351E-2</v>
      </c>
      <c r="AA282">
        <v>135194</v>
      </c>
      <c r="AB282">
        <v>24918</v>
      </c>
      <c r="AD282" t="s">
        <v>3</v>
      </c>
      <c r="AE282">
        <v>31</v>
      </c>
      <c r="AF282">
        <v>17</v>
      </c>
      <c r="AH282" t="s">
        <v>1302</v>
      </c>
      <c r="AI282" t="s">
        <v>1301</v>
      </c>
      <c r="AJ282" t="s">
        <v>1300</v>
      </c>
      <c r="AK282" t="s">
        <v>1299</v>
      </c>
      <c r="AL282">
        <v>6</v>
      </c>
      <c r="AM282" s="5">
        <f t="shared" si="35"/>
        <v>0.22222222222222221</v>
      </c>
      <c r="AN282" s="4">
        <f t="shared" si="36"/>
        <v>3.365728469855694E-4</v>
      </c>
      <c r="AO282" s="3"/>
      <c r="AP282">
        <v>0</v>
      </c>
      <c r="AR282" t="s">
        <v>1</v>
      </c>
      <c r="AT282" s="2">
        <v>1.3140000000000001</v>
      </c>
      <c r="AU282" s="1">
        <f t="shared" si="37"/>
        <v>0.7108259433177917</v>
      </c>
      <c r="AV282" s="1">
        <f t="shared" si="38"/>
        <v>0.51734918371229599</v>
      </c>
      <c r="AW282" s="1">
        <f t="shared" si="39"/>
        <v>0.32387242410680039</v>
      </c>
    </row>
    <row r="283" spans="1:49" x14ac:dyDescent="0.2">
      <c r="A283">
        <v>281</v>
      </c>
      <c r="B283" t="s">
        <v>1298</v>
      </c>
      <c r="C283" t="s">
        <v>1297</v>
      </c>
      <c r="F283" t="s">
        <v>1296</v>
      </c>
      <c r="G283" t="s">
        <v>6</v>
      </c>
      <c r="H283" t="s">
        <v>5</v>
      </c>
      <c r="I283" t="s">
        <v>264</v>
      </c>
      <c r="J283">
        <v>60023254</v>
      </c>
      <c r="K283" t="s">
        <v>305</v>
      </c>
      <c r="L283" t="s">
        <v>304</v>
      </c>
      <c r="M283" t="s">
        <v>37</v>
      </c>
      <c r="N283">
        <v>2</v>
      </c>
      <c r="O283" t="s">
        <v>1295</v>
      </c>
      <c r="P283" t="s">
        <v>1294</v>
      </c>
      <c r="Q283" t="s">
        <v>1293</v>
      </c>
      <c r="R283" s="8">
        <v>34928</v>
      </c>
      <c r="S283" s="9">
        <f t="shared" si="32"/>
        <v>1995</v>
      </c>
      <c r="T283" s="9">
        <v>1995</v>
      </c>
      <c r="U283" s="9">
        <f t="shared" si="33"/>
        <v>27</v>
      </c>
      <c r="V283" s="8">
        <v>34928</v>
      </c>
      <c r="W283" t="s">
        <v>390</v>
      </c>
      <c r="X283" s="2">
        <v>0.375</v>
      </c>
      <c r="Y283" s="7">
        <f t="shared" si="34"/>
        <v>1.0010410827260351E-2</v>
      </c>
      <c r="AA283">
        <v>135194</v>
      </c>
      <c r="AB283">
        <v>24918</v>
      </c>
      <c r="AD283" t="s">
        <v>3</v>
      </c>
      <c r="AE283">
        <v>31</v>
      </c>
      <c r="AF283">
        <v>17</v>
      </c>
      <c r="AH283" t="s">
        <v>1292</v>
      </c>
      <c r="AI283" t="s">
        <v>1291</v>
      </c>
      <c r="AJ283" t="s">
        <v>1290</v>
      </c>
      <c r="AK283" t="s">
        <v>1289</v>
      </c>
      <c r="AL283">
        <v>43</v>
      </c>
      <c r="AM283" s="5">
        <f t="shared" si="35"/>
        <v>1.5925925925925926</v>
      </c>
      <c r="AN283" s="4">
        <f t="shared" si="36"/>
        <v>2.4121054033965808E-3</v>
      </c>
      <c r="AO283" s="3"/>
      <c r="AP283">
        <v>0</v>
      </c>
      <c r="AR283" t="s">
        <v>1</v>
      </c>
      <c r="AT283" s="2">
        <v>1.3140000000000001</v>
      </c>
      <c r="AU283" s="1">
        <f t="shared" si="37"/>
        <v>0.77309192001012195</v>
      </c>
      <c r="AV283" s="1">
        <f t="shared" si="38"/>
        <v>0.62112581153284663</v>
      </c>
      <c r="AW283" s="1">
        <f t="shared" si="39"/>
        <v>0.46915970305557114</v>
      </c>
    </row>
    <row r="284" spans="1:49" x14ac:dyDescent="0.2">
      <c r="A284">
        <v>282</v>
      </c>
      <c r="B284" t="s">
        <v>1288</v>
      </c>
      <c r="C284" t="s">
        <v>1287</v>
      </c>
      <c r="F284" t="s">
        <v>1286</v>
      </c>
      <c r="G284" t="s">
        <v>6</v>
      </c>
      <c r="H284" t="s">
        <v>5</v>
      </c>
      <c r="I284" t="s">
        <v>1285</v>
      </c>
      <c r="J284" t="s">
        <v>1284</v>
      </c>
      <c r="K284" t="s">
        <v>1283</v>
      </c>
      <c r="L284" t="s">
        <v>1282</v>
      </c>
      <c r="M284" t="s">
        <v>12</v>
      </c>
      <c r="N284">
        <v>3</v>
      </c>
      <c r="O284" t="s">
        <v>1281</v>
      </c>
      <c r="P284" t="s">
        <v>1280</v>
      </c>
      <c r="Q284" t="s">
        <v>1279</v>
      </c>
      <c r="R284" s="8">
        <v>34928</v>
      </c>
      <c r="S284" s="9">
        <f t="shared" si="32"/>
        <v>1995</v>
      </c>
      <c r="T284" s="9">
        <v>1995</v>
      </c>
      <c r="U284" s="9">
        <f t="shared" si="33"/>
        <v>27</v>
      </c>
      <c r="V284" s="8">
        <v>34928</v>
      </c>
      <c r="W284" t="s">
        <v>390</v>
      </c>
      <c r="X284" s="2">
        <v>0.375</v>
      </c>
      <c r="Y284" s="7">
        <f t="shared" si="34"/>
        <v>1.0010410827260351E-2</v>
      </c>
      <c r="AA284">
        <v>135194</v>
      </c>
      <c r="AB284">
        <v>24918</v>
      </c>
      <c r="AD284" t="s">
        <v>3</v>
      </c>
      <c r="AE284">
        <v>31</v>
      </c>
      <c r="AF284">
        <v>17</v>
      </c>
      <c r="AH284" t="s">
        <v>1278</v>
      </c>
      <c r="AI284" t="s">
        <v>1277</v>
      </c>
      <c r="AJ284" t="s">
        <v>1276</v>
      </c>
      <c r="AK284" t="s">
        <v>1275</v>
      </c>
      <c r="AL284">
        <v>85</v>
      </c>
      <c r="AM284" s="5">
        <f t="shared" si="35"/>
        <v>3.1481481481481484</v>
      </c>
      <c r="AN284" s="4">
        <f t="shared" si="36"/>
        <v>4.7681153322955677E-3</v>
      </c>
      <c r="AO284" s="3"/>
      <c r="AP284">
        <v>0</v>
      </c>
      <c r="AR284" t="s">
        <v>1</v>
      </c>
      <c r="AT284" s="2">
        <v>1.3140000000000001</v>
      </c>
      <c r="AU284" s="1">
        <f t="shared" si="37"/>
        <v>0.84377221787709167</v>
      </c>
      <c r="AV284" s="1">
        <f t="shared" si="38"/>
        <v>0.7389263079777959</v>
      </c>
      <c r="AW284" s="1">
        <f t="shared" si="39"/>
        <v>0.63408039807850025</v>
      </c>
    </row>
    <row r="285" spans="1:49" x14ac:dyDescent="0.2">
      <c r="A285">
        <v>283</v>
      </c>
      <c r="B285" t="s">
        <v>1274</v>
      </c>
      <c r="C285" t="s">
        <v>1273</v>
      </c>
      <c r="D285">
        <v>40609095058222</v>
      </c>
      <c r="F285" t="s">
        <v>1272</v>
      </c>
      <c r="G285" t="s">
        <v>6</v>
      </c>
      <c r="H285" t="s">
        <v>5</v>
      </c>
      <c r="I285" t="s">
        <v>1271</v>
      </c>
      <c r="J285">
        <v>60029158</v>
      </c>
      <c r="K285" t="s">
        <v>1270</v>
      </c>
      <c r="L285" t="s">
        <v>1269</v>
      </c>
      <c r="M285" t="s">
        <v>67</v>
      </c>
      <c r="N285">
        <v>1</v>
      </c>
      <c r="O285" t="s">
        <v>1268</v>
      </c>
      <c r="P285">
        <v>7005373424</v>
      </c>
      <c r="Q285">
        <v>60029158</v>
      </c>
      <c r="R285" s="8">
        <v>34926</v>
      </c>
      <c r="S285" s="9">
        <f t="shared" si="32"/>
        <v>1995</v>
      </c>
      <c r="T285" s="9">
        <v>1995</v>
      </c>
      <c r="U285" s="9">
        <f t="shared" si="33"/>
        <v>27</v>
      </c>
      <c r="V285" s="8">
        <v>34926</v>
      </c>
      <c r="W285" t="s">
        <v>1267</v>
      </c>
      <c r="X285" s="2">
        <v>0.54400000000000004</v>
      </c>
      <c r="Y285" s="7">
        <f t="shared" si="34"/>
        <v>1.4521769306745683E-2</v>
      </c>
      <c r="AA285">
        <v>406090</v>
      </c>
      <c r="AB285">
        <v>12347</v>
      </c>
      <c r="AD285" t="s">
        <v>3</v>
      </c>
      <c r="AE285">
        <v>264</v>
      </c>
      <c r="AF285">
        <v>2</v>
      </c>
      <c r="AH285" t="s">
        <v>1266</v>
      </c>
      <c r="AI285" t="s">
        <v>1265</v>
      </c>
      <c r="AJ285" t="s">
        <v>1264</v>
      </c>
      <c r="AK285" t="s">
        <v>1263</v>
      </c>
      <c r="AL285">
        <v>35</v>
      </c>
      <c r="AM285" s="5">
        <f t="shared" si="35"/>
        <v>1.2962962962962963</v>
      </c>
      <c r="AN285" s="4">
        <f t="shared" si="36"/>
        <v>1.9633416074158216E-3</v>
      </c>
      <c r="AO285" s="3"/>
      <c r="AP285">
        <v>0</v>
      </c>
      <c r="AR285" t="s">
        <v>1</v>
      </c>
      <c r="AT285" s="2">
        <v>2.1829999999999998</v>
      </c>
      <c r="AU285" s="1">
        <f t="shared" si="37"/>
        <v>1.0754240996946722</v>
      </c>
      <c r="AV285" s="1">
        <f t="shared" si="38"/>
        <v>0.82425554570807524</v>
      </c>
      <c r="AW285" s="1">
        <f t="shared" si="39"/>
        <v>0.57308699172147792</v>
      </c>
    </row>
    <row r="286" spans="1:49" x14ac:dyDescent="0.2">
      <c r="A286">
        <v>284</v>
      </c>
      <c r="B286" t="s">
        <v>1262</v>
      </c>
      <c r="C286" t="s">
        <v>1261</v>
      </c>
      <c r="D286" t="s">
        <v>1260</v>
      </c>
      <c r="F286" t="s">
        <v>1259</v>
      </c>
      <c r="G286" t="s">
        <v>6</v>
      </c>
      <c r="H286" t="s">
        <v>5</v>
      </c>
      <c r="I286" t="s">
        <v>1243</v>
      </c>
      <c r="J286" t="s">
        <v>1258</v>
      </c>
      <c r="K286" t="s">
        <v>1257</v>
      </c>
      <c r="L286" t="s">
        <v>1256</v>
      </c>
      <c r="M286" t="s">
        <v>17</v>
      </c>
      <c r="N286">
        <v>7</v>
      </c>
      <c r="O286" t="s">
        <v>1255</v>
      </c>
      <c r="P286" t="s">
        <v>1254</v>
      </c>
      <c r="Q286" t="s">
        <v>1253</v>
      </c>
      <c r="R286" s="8">
        <v>34926</v>
      </c>
      <c r="S286" s="9">
        <f t="shared" si="32"/>
        <v>1995</v>
      </c>
      <c r="T286" s="9">
        <v>1995</v>
      </c>
      <c r="U286" s="9">
        <f t="shared" si="33"/>
        <v>27</v>
      </c>
      <c r="V286" s="8">
        <v>34926</v>
      </c>
      <c r="W286" t="s">
        <v>419</v>
      </c>
      <c r="X286" s="2">
        <v>1.59</v>
      </c>
      <c r="Y286" s="7">
        <f t="shared" si="34"/>
        <v>4.2444141907583888E-2</v>
      </c>
      <c r="AA286">
        <v>52728</v>
      </c>
      <c r="AB286">
        <v>16791</v>
      </c>
      <c r="AD286" t="s">
        <v>3</v>
      </c>
      <c r="AE286">
        <v>1231</v>
      </c>
      <c r="AF286">
        <v>1</v>
      </c>
      <c r="AH286" t="s">
        <v>280</v>
      </c>
      <c r="AI286" t="s">
        <v>1252</v>
      </c>
      <c r="AJ286" t="s">
        <v>1251</v>
      </c>
      <c r="AK286" t="s">
        <v>1250</v>
      </c>
      <c r="AL286">
        <v>14</v>
      </c>
      <c r="AM286" s="5">
        <f t="shared" si="35"/>
        <v>0.51851851851851849</v>
      </c>
      <c r="AN286" s="4">
        <f t="shared" si="36"/>
        <v>7.853366429663287E-4</v>
      </c>
      <c r="AO286" s="3"/>
      <c r="AP286">
        <v>1</v>
      </c>
      <c r="AQ286" t="s">
        <v>1249</v>
      </c>
      <c r="AR286" t="s">
        <v>1</v>
      </c>
      <c r="AS286" t="s">
        <v>1248</v>
      </c>
      <c r="AT286" s="2" t="s">
        <v>7</v>
      </c>
      <c r="AU286" s="1">
        <f t="shared" si="37"/>
        <v>2.994650032819862</v>
      </c>
      <c r="AV286" s="1">
        <f t="shared" si="38"/>
        <v>2.1614739275275108</v>
      </c>
      <c r="AW286" s="1">
        <f t="shared" si="39"/>
        <v>1.3282978222351594</v>
      </c>
    </row>
    <row r="287" spans="1:49" x14ac:dyDescent="0.2">
      <c r="A287">
        <v>285</v>
      </c>
      <c r="B287" t="s">
        <v>1247</v>
      </c>
      <c r="C287" t="s">
        <v>1246</v>
      </c>
      <c r="D287" t="s">
        <v>1245</v>
      </c>
      <c r="F287" t="s">
        <v>1244</v>
      </c>
      <c r="G287" t="s">
        <v>6</v>
      </c>
      <c r="H287" t="s">
        <v>5</v>
      </c>
      <c r="I287" t="s">
        <v>1243</v>
      </c>
      <c r="J287" t="s">
        <v>1242</v>
      </c>
      <c r="K287" t="s">
        <v>1241</v>
      </c>
      <c r="L287" t="s">
        <v>1240</v>
      </c>
      <c r="M287" t="s">
        <v>17</v>
      </c>
      <c r="N287">
        <v>7</v>
      </c>
      <c r="O287" t="s">
        <v>1239</v>
      </c>
      <c r="P287" t="s">
        <v>1238</v>
      </c>
      <c r="Q287" t="s">
        <v>1237</v>
      </c>
      <c r="R287" s="8">
        <v>34926</v>
      </c>
      <c r="S287" s="9">
        <f t="shared" si="32"/>
        <v>1995</v>
      </c>
      <c r="T287" s="9">
        <v>1995</v>
      </c>
      <c r="U287" s="9">
        <f t="shared" si="33"/>
        <v>27</v>
      </c>
      <c r="V287" s="8">
        <v>34926</v>
      </c>
      <c r="W287" t="s">
        <v>419</v>
      </c>
      <c r="X287" s="2">
        <v>1.59</v>
      </c>
      <c r="Y287" s="7">
        <f t="shared" si="34"/>
        <v>4.2444141907583888E-2</v>
      </c>
      <c r="AA287">
        <v>52728</v>
      </c>
      <c r="AB287">
        <v>16791</v>
      </c>
      <c r="AD287" t="s">
        <v>3</v>
      </c>
      <c r="AE287">
        <v>1231</v>
      </c>
      <c r="AF287">
        <v>1</v>
      </c>
      <c r="AH287" t="s">
        <v>1236</v>
      </c>
      <c r="AI287" t="s">
        <v>1235</v>
      </c>
      <c r="AJ287" t="s">
        <v>1234</v>
      </c>
      <c r="AK287" t="s">
        <v>1233</v>
      </c>
      <c r="AL287">
        <v>8</v>
      </c>
      <c r="AM287" s="5">
        <f t="shared" si="35"/>
        <v>0.29629629629629628</v>
      </c>
      <c r="AN287" s="4">
        <f t="shared" si="36"/>
        <v>4.4876379598075925E-4</v>
      </c>
      <c r="AO287" s="3"/>
      <c r="AP287">
        <v>1</v>
      </c>
      <c r="AQ287" t="s">
        <v>1232</v>
      </c>
      <c r="AR287" t="s">
        <v>1231</v>
      </c>
      <c r="AS287" t="s">
        <v>1230</v>
      </c>
      <c r="AT287" s="2" t="s">
        <v>7</v>
      </c>
      <c r="AU287" s="1">
        <f t="shared" si="37"/>
        <v>2.9845528474102947</v>
      </c>
      <c r="AV287" s="1">
        <f t="shared" si="38"/>
        <v>2.1446452851782323</v>
      </c>
      <c r="AW287" s="1">
        <f t="shared" si="39"/>
        <v>1.3047377229461696</v>
      </c>
    </row>
    <row r="288" spans="1:49" x14ac:dyDescent="0.2">
      <c r="A288">
        <v>286</v>
      </c>
      <c r="B288" t="s">
        <v>1229</v>
      </c>
      <c r="C288" t="s">
        <v>1228</v>
      </c>
      <c r="F288" t="s">
        <v>1227</v>
      </c>
      <c r="G288" t="s">
        <v>6</v>
      </c>
      <c r="H288" t="s">
        <v>5</v>
      </c>
      <c r="I288" t="s">
        <v>1226</v>
      </c>
      <c r="J288">
        <v>60031806</v>
      </c>
      <c r="K288" t="s">
        <v>357</v>
      </c>
      <c r="L288" t="s">
        <v>356</v>
      </c>
      <c r="M288" t="s">
        <v>34</v>
      </c>
      <c r="N288">
        <v>1</v>
      </c>
      <c r="O288" t="s">
        <v>1225</v>
      </c>
      <c r="P288">
        <v>7201647955</v>
      </c>
      <c r="Q288">
        <v>60031806</v>
      </c>
      <c r="R288" s="8">
        <v>34925</v>
      </c>
      <c r="S288" s="9">
        <f t="shared" si="32"/>
        <v>1995</v>
      </c>
      <c r="T288" s="9">
        <v>1995</v>
      </c>
      <c r="U288" s="9">
        <f t="shared" si="33"/>
        <v>27</v>
      </c>
      <c r="V288" s="8">
        <v>34925</v>
      </c>
      <c r="W288" t="s">
        <v>697</v>
      </c>
      <c r="X288" s="2">
        <v>0.85699999999999998</v>
      </c>
      <c r="Y288" s="7">
        <f t="shared" si="34"/>
        <v>2.287712554389899E-2</v>
      </c>
      <c r="AA288">
        <v>223727</v>
      </c>
      <c r="AB288">
        <v>28570</v>
      </c>
      <c r="AC288">
        <v>13616463</v>
      </c>
      <c r="AD288" t="s">
        <v>3</v>
      </c>
      <c r="AE288">
        <v>28</v>
      </c>
      <c r="AF288">
        <v>8</v>
      </c>
      <c r="AH288" t="s">
        <v>1224</v>
      </c>
      <c r="AI288" t="s">
        <v>1223</v>
      </c>
      <c r="AK288" t="s">
        <v>1222</v>
      </c>
      <c r="AL288">
        <v>1</v>
      </c>
      <c r="AM288" s="5">
        <f t="shared" si="35"/>
        <v>3.7037037037037035E-2</v>
      </c>
      <c r="AN288" s="4">
        <f t="shared" si="36"/>
        <v>5.6095474497594906E-5</v>
      </c>
      <c r="AO288" s="3"/>
      <c r="AP288">
        <v>0</v>
      </c>
      <c r="AR288" t="s">
        <v>1</v>
      </c>
      <c r="AT288" s="2" t="s">
        <v>7</v>
      </c>
      <c r="AU288" s="1">
        <f t="shared" si="37"/>
        <v>1.603081652307857</v>
      </c>
      <c r="AV288" s="1">
        <f t="shared" si="38"/>
        <v>1.1466610509198294</v>
      </c>
      <c r="AW288" s="1">
        <f t="shared" si="39"/>
        <v>0.6902404495318013</v>
      </c>
    </row>
    <row r="289" spans="1:49" x14ac:dyDescent="0.2">
      <c r="A289">
        <v>287</v>
      </c>
      <c r="B289" t="s">
        <v>1221</v>
      </c>
      <c r="C289" t="s">
        <v>1220</v>
      </c>
      <c r="F289" t="s">
        <v>1219</v>
      </c>
      <c r="G289" t="s">
        <v>6</v>
      </c>
      <c r="H289" t="s">
        <v>5</v>
      </c>
      <c r="I289" t="s">
        <v>418</v>
      </c>
      <c r="J289" t="s">
        <v>417</v>
      </c>
      <c r="K289" t="s">
        <v>416</v>
      </c>
      <c r="L289" t="s">
        <v>415</v>
      </c>
      <c r="M289" t="s">
        <v>263</v>
      </c>
      <c r="N289">
        <v>4</v>
      </c>
      <c r="O289" t="s">
        <v>414</v>
      </c>
      <c r="P289" t="s">
        <v>413</v>
      </c>
      <c r="Q289" t="s">
        <v>412</v>
      </c>
      <c r="R289" s="8">
        <v>34914</v>
      </c>
      <c r="S289" s="9">
        <f t="shared" si="32"/>
        <v>1995</v>
      </c>
      <c r="T289" s="9">
        <v>1995</v>
      </c>
      <c r="U289" s="9">
        <f t="shared" si="33"/>
        <v>27</v>
      </c>
      <c r="V289" s="8">
        <v>34914</v>
      </c>
      <c r="W289" t="s">
        <v>390</v>
      </c>
      <c r="X289" s="2">
        <v>0.375</v>
      </c>
      <c r="Y289" s="7">
        <f t="shared" si="34"/>
        <v>1.0010410827260351E-2</v>
      </c>
      <c r="AA289">
        <v>135194</v>
      </c>
      <c r="AB289">
        <v>24918</v>
      </c>
      <c r="AD289" t="s">
        <v>3</v>
      </c>
      <c r="AE289">
        <v>31</v>
      </c>
      <c r="AF289">
        <v>16</v>
      </c>
      <c r="AH289" t="s">
        <v>1218</v>
      </c>
      <c r="AI289" t="s">
        <v>1217</v>
      </c>
      <c r="AJ289" t="s">
        <v>1216</v>
      </c>
      <c r="AK289" t="s">
        <v>1215</v>
      </c>
      <c r="AL289">
        <v>49</v>
      </c>
      <c r="AM289" s="5">
        <f t="shared" si="35"/>
        <v>1.8148148148148149</v>
      </c>
      <c r="AN289" s="4">
        <f t="shared" si="36"/>
        <v>2.7486782503821504E-3</v>
      </c>
      <c r="AO289" s="3"/>
      <c r="AP289">
        <v>0</v>
      </c>
      <c r="AR289" t="s">
        <v>1</v>
      </c>
      <c r="AT289" s="2">
        <v>1.3140000000000001</v>
      </c>
      <c r="AU289" s="1">
        <f t="shared" si="37"/>
        <v>0.78318910541968911</v>
      </c>
      <c r="AV289" s="1">
        <f t="shared" si="38"/>
        <v>0.63795445388212502</v>
      </c>
      <c r="AW289" s="1">
        <f t="shared" si="39"/>
        <v>0.49271980234456109</v>
      </c>
    </row>
    <row r="290" spans="1:49" x14ac:dyDescent="0.2">
      <c r="A290">
        <v>288</v>
      </c>
      <c r="B290" t="s">
        <v>1214</v>
      </c>
      <c r="C290" t="s">
        <v>1213</v>
      </c>
      <c r="F290" t="s">
        <v>1212</v>
      </c>
      <c r="G290" t="s">
        <v>6</v>
      </c>
      <c r="H290" t="s">
        <v>5</v>
      </c>
      <c r="I290" t="s">
        <v>1211</v>
      </c>
      <c r="J290">
        <v>60012370</v>
      </c>
      <c r="K290" t="s">
        <v>246</v>
      </c>
      <c r="L290" t="s">
        <v>160</v>
      </c>
      <c r="M290" t="s">
        <v>141</v>
      </c>
      <c r="N290">
        <v>2</v>
      </c>
      <c r="O290" t="s">
        <v>1210</v>
      </c>
      <c r="P290" t="s">
        <v>1209</v>
      </c>
      <c r="Q290" t="s">
        <v>245</v>
      </c>
      <c r="R290" s="8">
        <v>34914</v>
      </c>
      <c r="S290" s="9">
        <f t="shared" si="32"/>
        <v>1995</v>
      </c>
      <c r="T290" s="9">
        <v>1995</v>
      </c>
      <c r="U290" s="9">
        <f t="shared" si="33"/>
        <v>27</v>
      </c>
      <c r="V290" s="8">
        <v>34914</v>
      </c>
      <c r="W290" t="s">
        <v>390</v>
      </c>
      <c r="X290" s="2">
        <v>0.375</v>
      </c>
      <c r="Y290" s="7">
        <f t="shared" si="34"/>
        <v>1.0010410827260351E-2</v>
      </c>
      <c r="AA290">
        <v>135194</v>
      </c>
      <c r="AB290">
        <v>24918</v>
      </c>
      <c r="AD290" t="s">
        <v>3</v>
      </c>
      <c r="AE290">
        <v>31</v>
      </c>
      <c r="AF290">
        <v>16</v>
      </c>
      <c r="AH290" t="s">
        <v>1208</v>
      </c>
      <c r="AI290" t="s">
        <v>1207</v>
      </c>
      <c r="AJ290" t="s">
        <v>1206</v>
      </c>
      <c r="AK290" t="s">
        <v>1205</v>
      </c>
      <c r="AL290">
        <v>1</v>
      </c>
      <c r="AM290" s="5">
        <f t="shared" si="35"/>
        <v>3.7037037037037035E-2</v>
      </c>
      <c r="AN290" s="4">
        <f t="shared" si="36"/>
        <v>5.6095474497594906E-5</v>
      </c>
      <c r="AO290" s="3"/>
      <c r="AP290">
        <v>0</v>
      </c>
      <c r="AR290" t="s">
        <v>1</v>
      </c>
      <c r="AT290" s="2">
        <v>1.3140000000000001</v>
      </c>
      <c r="AU290" s="1">
        <f t="shared" si="37"/>
        <v>0.70241162214315245</v>
      </c>
      <c r="AV290" s="1">
        <f t="shared" si="38"/>
        <v>0.50332531508789735</v>
      </c>
      <c r="AW290" s="1">
        <f t="shared" si="39"/>
        <v>0.30423900803264214</v>
      </c>
    </row>
    <row r="291" spans="1:49" x14ac:dyDescent="0.2">
      <c r="A291">
        <v>289</v>
      </c>
      <c r="B291" t="s">
        <v>1204</v>
      </c>
      <c r="C291" t="s">
        <v>1203</v>
      </c>
      <c r="F291" t="s">
        <v>1202</v>
      </c>
      <c r="G291" t="s">
        <v>6</v>
      </c>
      <c r="H291" t="s">
        <v>5</v>
      </c>
      <c r="I291" t="s">
        <v>1201</v>
      </c>
      <c r="J291" t="s">
        <v>1200</v>
      </c>
      <c r="K291" t="s">
        <v>1199</v>
      </c>
      <c r="L291" t="s">
        <v>1198</v>
      </c>
      <c r="M291" t="s">
        <v>13</v>
      </c>
      <c r="N291">
        <v>2</v>
      </c>
      <c r="O291" t="s">
        <v>1197</v>
      </c>
      <c r="P291" t="s">
        <v>1196</v>
      </c>
      <c r="Q291" t="s">
        <v>1195</v>
      </c>
      <c r="R291" s="8">
        <v>34914</v>
      </c>
      <c r="S291" s="9">
        <f t="shared" si="32"/>
        <v>1995</v>
      </c>
      <c r="T291" s="9">
        <v>1995</v>
      </c>
      <c r="U291" s="9">
        <f t="shared" si="33"/>
        <v>27</v>
      </c>
      <c r="V291" s="8">
        <v>34914</v>
      </c>
      <c r="W291" t="s">
        <v>390</v>
      </c>
      <c r="X291" s="2">
        <v>0.375</v>
      </c>
      <c r="Y291" s="7">
        <f t="shared" si="34"/>
        <v>1.0010410827260351E-2</v>
      </c>
      <c r="AA291">
        <v>135194</v>
      </c>
      <c r="AB291">
        <v>24918</v>
      </c>
      <c r="AD291" t="s">
        <v>3</v>
      </c>
      <c r="AE291">
        <v>31</v>
      </c>
      <c r="AF291">
        <v>16</v>
      </c>
      <c r="AH291" t="s">
        <v>1194</v>
      </c>
      <c r="AI291" t="s">
        <v>1193</v>
      </c>
      <c r="AJ291" t="s">
        <v>439</v>
      </c>
      <c r="AK291" t="s">
        <v>1192</v>
      </c>
      <c r="AL291">
        <v>586</v>
      </c>
      <c r="AM291" s="5">
        <f t="shared" si="35"/>
        <v>21.703703703703702</v>
      </c>
      <c r="AN291" s="4">
        <f t="shared" si="36"/>
        <v>3.2871948055590614E-2</v>
      </c>
      <c r="AO291" s="3"/>
      <c r="AP291">
        <v>0</v>
      </c>
      <c r="AR291" t="s">
        <v>1</v>
      </c>
      <c r="AT291" s="2">
        <v>1.3140000000000001</v>
      </c>
      <c r="AU291" s="1">
        <f t="shared" si="37"/>
        <v>1.6868871995759431</v>
      </c>
      <c r="AV291" s="1">
        <f t="shared" si="38"/>
        <v>2.1441179441425486</v>
      </c>
      <c r="AW291" s="1">
        <f t="shared" si="39"/>
        <v>2.6013486887091535</v>
      </c>
    </row>
    <row r="292" spans="1:49" x14ac:dyDescent="0.2">
      <c r="A292">
        <v>290</v>
      </c>
      <c r="B292" t="s">
        <v>1191</v>
      </c>
      <c r="C292" t="s">
        <v>1190</v>
      </c>
      <c r="F292" t="s">
        <v>1189</v>
      </c>
      <c r="G292" t="s">
        <v>6</v>
      </c>
      <c r="H292" t="s">
        <v>5</v>
      </c>
      <c r="I292" t="s">
        <v>1188</v>
      </c>
      <c r="J292">
        <v>60014313</v>
      </c>
      <c r="K292" t="s">
        <v>101</v>
      </c>
      <c r="L292" t="s">
        <v>100</v>
      </c>
      <c r="M292" t="s">
        <v>4</v>
      </c>
      <c r="N292">
        <v>2</v>
      </c>
      <c r="O292" t="s">
        <v>1187</v>
      </c>
      <c r="P292" t="s">
        <v>1186</v>
      </c>
      <c r="Q292" t="s">
        <v>1185</v>
      </c>
      <c r="R292" s="8">
        <v>34914</v>
      </c>
      <c r="S292" s="9">
        <f t="shared" si="32"/>
        <v>1995</v>
      </c>
      <c r="T292" s="9">
        <v>1995</v>
      </c>
      <c r="U292" s="9">
        <f t="shared" si="33"/>
        <v>27</v>
      </c>
      <c r="V292" s="8">
        <v>34914</v>
      </c>
      <c r="W292" t="s">
        <v>390</v>
      </c>
      <c r="X292" s="2">
        <v>0.375</v>
      </c>
      <c r="Y292" s="7">
        <f t="shared" si="34"/>
        <v>1.0010410827260351E-2</v>
      </c>
      <c r="AA292">
        <v>135194</v>
      </c>
      <c r="AB292">
        <v>24918</v>
      </c>
      <c r="AD292" t="s">
        <v>3</v>
      </c>
      <c r="AE292">
        <v>31</v>
      </c>
      <c r="AF292">
        <v>16</v>
      </c>
      <c r="AH292" t="s">
        <v>1184</v>
      </c>
      <c r="AI292" t="s">
        <v>1183</v>
      </c>
      <c r="AJ292" t="s">
        <v>420</v>
      </c>
      <c r="AK292" t="s">
        <v>1182</v>
      </c>
      <c r="AL292">
        <v>1</v>
      </c>
      <c r="AM292" s="5">
        <f t="shared" si="35"/>
        <v>3.7037037037037035E-2</v>
      </c>
      <c r="AN292" s="4">
        <f t="shared" si="36"/>
        <v>5.6095474497594906E-5</v>
      </c>
      <c r="AO292" s="3"/>
      <c r="AP292">
        <v>0</v>
      </c>
      <c r="AR292" t="s">
        <v>1</v>
      </c>
      <c r="AT292" s="2">
        <v>1.3140000000000001</v>
      </c>
      <c r="AU292" s="1">
        <f t="shared" si="37"/>
        <v>0.70241162214315245</v>
      </c>
      <c r="AV292" s="1">
        <f t="shared" si="38"/>
        <v>0.50332531508789735</v>
      </c>
      <c r="AW292" s="1">
        <f t="shared" si="39"/>
        <v>0.30423900803264214</v>
      </c>
    </row>
    <row r="293" spans="1:49" x14ac:dyDescent="0.2">
      <c r="A293">
        <v>291</v>
      </c>
      <c r="B293" t="s">
        <v>1181</v>
      </c>
      <c r="C293" t="s">
        <v>1180</v>
      </c>
      <c r="F293" t="s">
        <v>1179</v>
      </c>
      <c r="G293" t="s">
        <v>6</v>
      </c>
      <c r="H293" t="s">
        <v>5</v>
      </c>
      <c r="I293" t="s">
        <v>1178</v>
      </c>
      <c r="J293">
        <v>60025555</v>
      </c>
      <c r="K293" t="s">
        <v>195</v>
      </c>
      <c r="L293" t="s">
        <v>172</v>
      </c>
      <c r="M293" t="s">
        <v>14</v>
      </c>
      <c r="N293">
        <v>1</v>
      </c>
      <c r="O293" t="s">
        <v>1177</v>
      </c>
      <c r="P293">
        <v>7103400688</v>
      </c>
      <c r="Q293">
        <v>60025555</v>
      </c>
      <c r="R293" s="8">
        <v>34914</v>
      </c>
      <c r="S293" s="9">
        <f t="shared" si="32"/>
        <v>1995</v>
      </c>
      <c r="T293" s="9">
        <v>1995</v>
      </c>
      <c r="U293" s="9">
        <f t="shared" si="33"/>
        <v>27</v>
      </c>
      <c r="V293" s="8">
        <v>34914</v>
      </c>
      <c r="W293" t="s">
        <v>390</v>
      </c>
      <c r="X293" s="2">
        <v>0.375</v>
      </c>
      <c r="Y293" s="7">
        <f t="shared" si="34"/>
        <v>1.0010410827260351E-2</v>
      </c>
      <c r="AA293">
        <v>135194</v>
      </c>
      <c r="AB293">
        <v>24918</v>
      </c>
      <c r="AD293" t="s">
        <v>3</v>
      </c>
      <c r="AE293">
        <v>31</v>
      </c>
      <c r="AF293">
        <v>16</v>
      </c>
      <c r="AH293" t="s">
        <v>1176</v>
      </c>
      <c r="AI293" t="s">
        <v>1175</v>
      </c>
      <c r="AJ293" t="s">
        <v>1174</v>
      </c>
      <c r="AK293" t="s">
        <v>1173</v>
      </c>
      <c r="AL293">
        <v>1</v>
      </c>
      <c r="AM293" s="5">
        <f t="shared" si="35"/>
        <v>3.7037037037037035E-2</v>
      </c>
      <c r="AN293" s="4">
        <f t="shared" si="36"/>
        <v>5.6095474497594906E-5</v>
      </c>
      <c r="AO293" s="3"/>
      <c r="AP293">
        <v>0</v>
      </c>
      <c r="AR293" t="s">
        <v>1</v>
      </c>
      <c r="AT293" s="2">
        <v>1.3140000000000001</v>
      </c>
      <c r="AU293" s="1">
        <f t="shared" si="37"/>
        <v>0.70241162214315245</v>
      </c>
      <c r="AV293" s="1">
        <f t="shared" si="38"/>
        <v>0.50332531508789735</v>
      </c>
      <c r="AW293" s="1">
        <f t="shared" si="39"/>
        <v>0.30423900803264214</v>
      </c>
    </row>
    <row r="294" spans="1:49" x14ac:dyDescent="0.2">
      <c r="A294">
        <v>292</v>
      </c>
      <c r="B294" t="s">
        <v>1172</v>
      </c>
      <c r="C294" t="s">
        <v>1171</v>
      </c>
      <c r="F294" t="s">
        <v>1170</v>
      </c>
      <c r="G294" t="s">
        <v>6</v>
      </c>
      <c r="H294" t="s">
        <v>5</v>
      </c>
      <c r="I294" t="s">
        <v>1169</v>
      </c>
      <c r="J294">
        <v>60020650</v>
      </c>
      <c r="K294" t="s">
        <v>1168</v>
      </c>
      <c r="L294" t="s">
        <v>1167</v>
      </c>
      <c r="M294" t="s">
        <v>37</v>
      </c>
      <c r="N294">
        <v>3</v>
      </c>
      <c r="O294" t="s">
        <v>1166</v>
      </c>
      <c r="P294" t="s">
        <v>1165</v>
      </c>
      <c r="Q294" t="s">
        <v>1164</v>
      </c>
      <c r="R294" s="8">
        <v>34914</v>
      </c>
      <c r="S294" s="9">
        <f t="shared" si="32"/>
        <v>1995</v>
      </c>
      <c r="T294" s="9">
        <v>1995</v>
      </c>
      <c r="U294" s="9">
        <f t="shared" si="33"/>
        <v>27</v>
      </c>
      <c r="V294" s="8">
        <v>34914</v>
      </c>
      <c r="W294" t="s">
        <v>390</v>
      </c>
      <c r="X294" s="2">
        <v>0.375</v>
      </c>
      <c r="Y294" s="7">
        <f t="shared" si="34"/>
        <v>1.0010410827260351E-2</v>
      </c>
      <c r="AA294">
        <v>135194</v>
      </c>
      <c r="AB294">
        <v>24918</v>
      </c>
      <c r="AD294" t="s">
        <v>3</v>
      </c>
      <c r="AE294">
        <v>31</v>
      </c>
      <c r="AF294">
        <v>16</v>
      </c>
      <c r="AH294" t="s">
        <v>1163</v>
      </c>
      <c r="AI294" t="s">
        <v>1162</v>
      </c>
      <c r="AJ294" t="s">
        <v>1161</v>
      </c>
      <c r="AK294" t="s">
        <v>1160</v>
      </c>
      <c r="AL294">
        <v>9</v>
      </c>
      <c r="AM294" s="5">
        <f t="shared" si="35"/>
        <v>0.33333333333333331</v>
      </c>
      <c r="AN294" s="4">
        <f t="shared" si="36"/>
        <v>5.048592704783541E-4</v>
      </c>
      <c r="AO294" s="3"/>
      <c r="AP294">
        <v>0</v>
      </c>
      <c r="AR294" t="s">
        <v>1</v>
      </c>
      <c r="AT294" s="2">
        <v>1.3140000000000001</v>
      </c>
      <c r="AU294" s="1">
        <f t="shared" si="37"/>
        <v>0.71587453602257523</v>
      </c>
      <c r="AV294" s="1">
        <f t="shared" si="38"/>
        <v>0.52576350488693535</v>
      </c>
      <c r="AW294" s="1">
        <f t="shared" si="39"/>
        <v>0.33565247375129531</v>
      </c>
    </row>
    <row r="295" spans="1:49" x14ac:dyDescent="0.2">
      <c r="A295">
        <v>293</v>
      </c>
      <c r="B295" t="s">
        <v>1159</v>
      </c>
      <c r="C295" t="s">
        <v>1158</v>
      </c>
      <c r="F295" t="s">
        <v>1157</v>
      </c>
      <c r="G295" t="s">
        <v>6</v>
      </c>
      <c r="H295" t="s">
        <v>5</v>
      </c>
      <c r="I295" t="s">
        <v>582</v>
      </c>
      <c r="J295" t="s">
        <v>581</v>
      </c>
      <c r="K295" t="s">
        <v>580</v>
      </c>
      <c r="L295" t="s">
        <v>579</v>
      </c>
      <c r="M295" t="s">
        <v>263</v>
      </c>
      <c r="N295">
        <v>5</v>
      </c>
      <c r="O295" t="s">
        <v>1156</v>
      </c>
      <c r="P295" t="s">
        <v>1155</v>
      </c>
      <c r="Q295" t="s">
        <v>1154</v>
      </c>
      <c r="R295" s="8">
        <v>34914</v>
      </c>
      <c r="S295" s="9">
        <f t="shared" si="32"/>
        <v>1995</v>
      </c>
      <c r="T295" s="9">
        <v>1995</v>
      </c>
      <c r="U295" s="9">
        <f t="shared" si="33"/>
        <v>27</v>
      </c>
      <c r="V295" s="8">
        <v>34914</v>
      </c>
      <c r="W295" t="s">
        <v>390</v>
      </c>
      <c r="X295" s="2">
        <v>0.375</v>
      </c>
      <c r="Y295" s="7">
        <f t="shared" si="34"/>
        <v>1.0010410827260351E-2</v>
      </c>
      <c r="AA295">
        <v>135194</v>
      </c>
      <c r="AB295">
        <v>24918</v>
      </c>
      <c r="AD295" t="s">
        <v>3</v>
      </c>
      <c r="AE295">
        <v>31</v>
      </c>
      <c r="AF295">
        <v>16</v>
      </c>
      <c r="AH295" t="s">
        <v>1153</v>
      </c>
      <c r="AI295" t="s">
        <v>1152</v>
      </c>
      <c r="AJ295" t="s">
        <v>1151</v>
      </c>
      <c r="AK295" t="s">
        <v>1150</v>
      </c>
      <c r="AL295">
        <v>3</v>
      </c>
      <c r="AM295" s="5">
        <f t="shared" si="35"/>
        <v>0.1111111111111111</v>
      </c>
      <c r="AN295" s="4">
        <f t="shared" si="36"/>
        <v>1.682864234927847E-4</v>
      </c>
      <c r="AO295" s="3"/>
      <c r="AP295">
        <v>0</v>
      </c>
      <c r="AR295" t="s">
        <v>1</v>
      </c>
      <c r="AT295" s="2">
        <v>1.3140000000000001</v>
      </c>
      <c r="AU295" s="1">
        <f t="shared" si="37"/>
        <v>0.70577735061300817</v>
      </c>
      <c r="AV295" s="1">
        <f t="shared" si="38"/>
        <v>0.50893486253765674</v>
      </c>
      <c r="AW295" s="1">
        <f t="shared" si="39"/>
        <v>0.31209237446230542</v>
      </c>
    </row>
    <row r="296" spans="1:49" x14ac:dyDescent="0.2">
      <c r="A296">
        <v>294</v>
      </c>
      <c r="B296" t="s">
        <v>1149</v>
      </c>
      <c r="C296" t="s">
        <v>1148</v>
      </c>
      <c r="F296" t="s">
        <v>1147</v>
      </c>
      <c r="G296" t="s">
        <v>6</v>
      </c>
      <c r="H296" t="s">
        <v>5</v>
      </c>
      <c r="I296" t="s">
        <v>1146</v>
      </c>
      <c r="J296">
        <v>60009658</v>
      </c>
      <c r="K296" t="s">
        <v>1145</v>
      </c>
      <c r="L296" t="s">
        <v>1144</v>
      </c>
      <c r="M296" t="s">
        <v>37</v>
      </c>
      <c r="N296">
        <v>2</v>
      </c>
      <c r="O296" t="s">
        <v>1143</v>
      </c>
      <c r="P296" t="s">
        <v>1142</v>
      </c>
      <c r="Q296" t="s">
        <v>1141</v>
      </c>
      <c r="R296" s="8">
        <v>34914</v>
      </c>
      <c r="S296" s="9">
        <f t="shared" si="32"/>
        <v>1995</v>
      </c>
      <c r="T296" s="9">
        <v>1995</v>
      </c>
      <c r="U296" s="9">
        <f t="shared" si="33"/>
        <v>27</v>
      </c>
      <c r="V296" s="8">
        <v>34914</v>
      </c>
      <c r="W296" t="s">
        <v>390</v>
      </c>
      <c r="X296" s="2">
        <v>0.375</v>
      </c>
      <c r="Y296" s="7">
        <f t="shared" si="34"/>
        <v>1.0010410827260351E-2</v>
      </c>
      <c r="AA296">
        <v>135194</v>
      </c>
      <c r="AB296">
        <v>24918</v>
      </c>
      <c r="AD296" t="s">
        <v>3</v>
      </c>
      <c r="AE296">
        <v>31</v>
      </c>
      <c r="AF296">
        <v>16</v>
      </c>
      <c r="AH296" t="s">
        <v>1140</v>
      </c>
      <c r="AI296" t="s">
        <v>1139</v>
      </c>
      <c r="AJ296" t="s">
        <v>1138</v>
      </c>
      <c r="AK296" t="s">
        <v>1137</v>
      </c>
      <c r="AL296">
        <v>12</v>
      </c>
      <c r="AM296" s="5">
        <f t="shared" si="35"/>
        <v>0.44444444444444442</v>
      </c>
      <c r="AN296" s="4">
        <f t="shared" si="36"/>
        <v>6.7314569397113879E-4</v>
      </c>
      <c r="AO296" s="3"/>
      <c r="AP296">
        <v>0</v>
      </c>
      <c r="AR296" t="s">
        <v>1</v>
      </c>
      <c r="AT296" s="2">
        <v>1.3140000000000001</v>
      </c>
      <c r="AU296" s="1">
        <f t="shared" si="37"/>
        <v>0.72092312872735875</v>
      </c>
      <c r="AV296" s="1">
        <f t="shared" si="38"/>
        <v>0.53417782606157449</v>
      </c>
      <c r="AW296" s="1">
        <f t="shared" si="39"/>
        <v>0.34743252339579023</v>
      </c>
    </row>
    <row r="297" spans="1:49" x14ac:dyDescent="0.2">
      <c r="A297">
        <v>295</v>
      </c>
      <c r="B297" t="s">
        <v>1136</v>
      </c>
      <c r="C297" t="s">
        <v>1135</v>
      </c>
      <c r="F297" t="s">
        <v>1134</v>
      </c>
      <c r="G297" t="s">
        <v>6</v>
      </c>
      <c r="H297" t="s">
        <v>5</v>
      </c>
      <c r="I297" t="s">
        <v>1133</v>
      </c>
      <c r="N297">
        <v>1</v>
      </c>
      <c r="O297" t="s">
        <v>411</v>
      </c>
      <c r="P297">
        <v>16303585900</v>
      </c>
      <c r="R297" s="8">
        <v>34912</v>
      </c>
      <c r="S297" s="9">
        <f t="shared" si="32"/>
        <v>1995</v>
      </c>
      <c r="T297" s="9">
        <v>1995</v>
      </c>
      <c r="U297" s="9">
        <f t="shared" si="33"/>
        <v>27</v>
      </c>
      <c r="V297" s="8">
        <v>34912</v>
      </c>
      <c r="W297" t="s">
        <v>410</v>
      </c>
      <c r="X297" s="2">
        <v>0.14899999999999999</v>
      </c>
      <c r="Y297" s="7">
        <f t="shared" si="34"/>
        <v>3.977469902031446E-3</v>
      </c>
      <c r="AA297">
        <v>5431972</v>
      </c>
      <c r="AB297">
        <v>15425</v>
      </c>
      <c r="AC297">
        <v>15738906</v>
      </c>
      <c r="AD297" t="s">
        <v>3</v>
      </c>
      <c r="AE297">
        <v>38</v>
      </c>
      <c r="AF297">
        <v>8</v>
      </c>
      <c r="AH297" t="s">
        <v>1132</v>
      </c>
      <c r="AI297" t="s">
        <v>1131</v>
      </c>
      <c r="AK297" t="s">
        <v>1130</v>
      </c>
      <c r="AL297">
        <v>0</v>
      </c>
      <c r="AM297" s="5">
        <f t="shared" si="35"/>
        <v>0</v>
      </c>
      <c r="AN297" s="4">
        <f t="shared" si="36"/>
        <v>0</v>
      </c>
      <c r="AO297" s="3"/>
      <c r="AP297">
        <v>0</v>
      </c>
      <c r="AR297" t="s">
        <v>1</v>
      </c>
      <c r="AT297" s="2" t="s">
        <v>7</v>
      </c>
      <c r="AU297" s="1">
        <f t="shared" si="37"/>
        <v>0.2784228931422012</v>
      </c>
      <c r="AV297" s="1">
        <f t="shared" si="38"/>
        <v>0.19887349510157229</v>
      </c>
      <c r="AW297" s="1">
        <f t="shared" si="39"/>
        <v>0.11932409706094337</v>
      </c>
    </row>
    <row r="298" spans="1:49" x14ac:dyDescent="0.2">
      <c r="A298">
        <v>296</v>
      </c>
      <c r="B298" t="s">
        <v>1129</v>
      </c>
      <c r="C298" t="s">
        <v>1128</v>
      </c>
      <c r="F298" t="s">
        <v>1127</v>
      </c>
      <c r="G298" t="s">
        <v>6</v>
      </c>
      <c r="H298" t="s">
        <v>5</v>
      </c>
      <c r="I298" t="s">
        <v>1126</v>
      </c>
      <c r="J298">
        <v>60026053</v>
      </c>
      <c r="K298" t="s">
        <v>1125</v>
      </c>
      <c r="L298" t="s">
        <v>1124</v>
      </c>
      <c r="M298" t="s">
        <v>145</v>
      </c>
      <c r="N298">
        <v>1</v>
      </c>
      <c r="O298" t="s">
        <v>1123</v>
      </c>
      <c r="P298">
        <v>7103038032</v>
      </c>
      <c r="Q298">
        <v>60026053</v>
      </c>
      <c r="R298" s="8">
        <v>34912</v>
      </c>
      <c r="S298" s="9">
        <f t="shared" si="32"/>
        <v>1995</v>
      </c>
      <c r="T298" s="9">
        <v>1995</v>
      </c>
      <c r="U298" s="9">
        <f t="shared" si="33"/>
        <v>27</v>
      </c>
      <c r="V298" s="8">
        <v>34912</v>
      </c>
      <c r="W298" t="s">
        <v>455</v>
      </c>
      <c r="X298" s="2">
        <v>0.39800000000000002</v>
      </c>
      <c r="Y298" s="7">
        <f t="shared" si="34"/>
        <v>1.0624382691332319E-2</v>
      </c>
      <c r="AA298" t="s">
        <v>454</v>
      </c>
      <c r="AB298">
        <v>26771</v>
      </c>
      <c r="AC298" t="s">
        <v>453</v>
      </c>
      <c r="AD298" t="s">
        <v>3</v>
      </c>
      <c r="AE298">
        <v>230</v>
      </c>
      <c r="AF298" s="6">
        <v>44228</v>
      </c>
      <c r="AH298" t="s">
        <v>1122</v>
      </c>
      <c r="AI298" t="s">
        <v>1121</v>
      </c>
      <c r="AJ298" t="s">
        <v>1120</v>
      </c>
      <c r="AK298" t="s">
        <v>1119</v>
      </c>
      <c r="AL298">
        <v>0</v>
      </c>
      <c r="AM298" s="5">
        <f t="shared" si="35"/>
        <v>0</v>
      </c>
      <c r="AN298" s="4">
        <f t="shared" si="36"/>
        <v>0</v>
      </c>
      <c r="AO298" s="3"/>
      <c r="AP298">
        <v>0</v>
      </c>
      <c r="AR298" t="s">
        <v>1</v>
      </c>
      <c r="AT298" s="2">
        <v>1.83</v>
      </c>
      <c r="AU298" s="1">
        <f t="shared" si="37"/>
        <v>0.74370678839326232</v>
      </c>
      <c r="AV298" s="1">
        <f t="shared" si="38"/>
        <v>0.53121913456661596</v>
      </c>
      <c r="AW298" s="1">
        <f t="shared" si="39"/>
        <v>0.3187314807399696</v>
      </c>
    </row>
    <row r="299" spans="1:49" x14ac:dyDescent="0.2">
      <c r="A299">
        <v>297</v>
      </c>
      <c r="B299" t="s">
        <v>1118</v>
      </c>
      <c r="C299" t="s">
        <v>1117</v>
      </c>
      <c r="F299" t="s">
        <v>1116</v>
      </c>
      <c r="G299" t="s">
        <v>6</v>
      </c>
      <c r="H299" t="s">
        <v>5</v>
      </c>
      <c r="I299" t="s">
        <v>1115</v>
      </c>
      <c r="J299">
        <v>60029714</v>
      </c>
      <c r="K299" t="s">
        <v>1114</v>
      </c>
      <c r="L299" t="s">
        <v>1113</v>
      </c>
      <c r="M299" t="s">
        <v>145</v>
      </c>
      <c r="N299">
        <v>1</v>
      </c>
      <c r="O299" t="s">
        <v>1112</v>
      </c>
      <c r="P299">
        <v>6603984859</v>
      </c>
      <c r="Q299">
        <v>60029714</v>
      </c>
      <c r="R299" s="8">
        <v>34912</v>
      </c>
      <c r="S299" s="9">
        <f t="shared" si="32"/>
        <v>1995</v>
      </c>
      <c r="T299" s="9">
        <v>1995</v>
      </c>
      <c r="U299" s="9">
        <f t="shared" si="33"/>
        <v>27</v>
      </c>
      <c r="V299" s="8">
        <v>34912</v>
      </c>
      <c r="W299" t="s">
        <v>455</v>
      </c>
      <c r="X299" s="2">
        <v>0.39800000000000002</v>
      </c>
      <c r="Y299" s="7">
        <f t="shared" si="34"/>
        <v>1.0624382691332319E-2</v>
      </c>
      <c r="AA299" t="s">
        <v>454</v>
      </c>
      <c r="AB299">
        <v>26771</v>
      </c>
      <c r="AC299" t="s">
        <v>453</v>
      </c>
      <c r="AD299" t="s">
        <v>3</v>
      </c>
      <c r="AE299">
        <v>230</v>
      </c>
      <c r="AF299" s="6">
        <v>44228</v>
      </c>
      <c r="AH299" t="s">
        <v>1111</v>
      </c>
      <c r="AI299" t="s">
        <v>1110</v>
      </c>
      <c r="AJ299" t="s">
        <v>1109</v>
      </c>
      <c r="AK299" t="s">
        <v>1108</v>
      </c>
      <c r="AL299">
        <v>3</v>
      </c>
      <c r="AM299" s="5">
        <f t="shared" si="35"/>
        <v>0.1111111111111111</v>
      </c>
      <c r="AN299" s="4">
        <f t="shared" si="36"/>
        <v>1.682864234927847E-4</v>
      </c>
      <c r="AO299" s="3"/>
      <c r="AP299">
        <v>0</v>
      </c>
      <c r="AR299" t="s">
        <v>1</v>
      </c>
      <c r="AT299" s="2">
        <v>1.83</v>
      </c>
      <c r="AU299" s="1">
        <f t="shared" si="37"/>
        <v>0.74875538109804585</v>
      </c>
      <c r="AV299" s="1">
        <f t="shared" si="38"/>
        <v>0.53963345574125521</v>
      </c>
      <c r="AW299" s="1">
        <f t="shared" si="39"/>
        <v>0.33051153038446451</v>
      </c>
    </row>
    <row r="300" spans="1:49" x14ac:dyDescent="0.2">
      <c r="A300">
        <v>298</v>
      </c>
      <c r="B300" t="s">
        <v>1107</v>
      </c>
      <c r="F300" t="s">
        <v>1106</v>
      </c>
      <c r="G300" t="s">
        <v>6</v>
      </c>
      <c r="H300" t="s">
        <v>5</v>
      </c>
      <c r="I300" t="s">
        <v>1105</v>
      </c>
      <c r="N300">
        <v>1</v>
      </c>
      <c r="O300" t="s">
        <v>1104</v>
      </c>
      <c r="P300">
        <v>57196697408</v>
      </c>
      <c r="R300" s="8">
        <v>34912</v>
      </c>
      <c r="S300" s="9">
        <f t="shared" si="32"/>
        <v>1995</v>
      </c>
      <c r="T300" s="9">
        <v>1995</v>
      </c>
      <c r="U300" s="9">
        <f t="shared" si="33"/>
        <v>27</v>
      </c>
      <c r="V300" s="8">
        <v>34700</v>
      </c>
      <c r="W300" t="s">
        <v>1103</v>
      </c>
      <c r="X300" s="2" t="s">
        <v>7</v>
      </c>
      <c r="Y300" s="7" t="e">
        <f t="shared" si="34"/>
        <v>#VALUE!</v>
      </c>
      <c r="AA300">
        <v>119407</v>
      </c>
      <c r="AB300">
        <v>16022</v>
      </c>
      <c r="AD300" t="s">
        <v>3</v>
      </c>
      <c r="AE300">
        <v>50</v>
      </c>
      <c r="AF300">
        <v>16</v>
      </c>
      <c r="AH300" t="s">
        <v>1102</v>
      </c>
      <c r="AI300" t="s">
        <v>1101</v>
      </c>
      <c r="AK300" t="s">
        <v>1100</v>
      </c>
      <c r="AL300">
        <v>0</v>
      </c>
      <c r="AM300" s="5">
        <f t="shared" si="35"/>
        <v>0</v>
      </c>
      <c r="AN300" s="4">
        <f t="shared" si="36"/>
        <v>0</v>
      </c>
      <c r="AO300" s="3"/>
      <c r="AP300">
        <v>0</v>
      </c>
      <c r="AR300" t="s">
        <v>1</v>
      </c>
      <c r="AT300" s="2" t="s">
        <v>7</v>
      </c>
      <c r="AU300" s="1" t="e">
        <f t="shared" si="37"/>
        <v>#VALUE!</v>
      </c>
      <c r="AV300" s="1" t="e">
        <f t="shared" si="38"/>
        <v>#VALUE!</v>
      </c>
      <c r="AW300" s="1" t="e">
        <f t="shared" si="39"/>
        <v>#VALUE!</v>
      </c>
    </row>
    <row r="301" spans="1:49" x14ac:dyDescent="0.2">
      <c r="A301">
        <v>299</v>
      </c>
      <c r="B301" t="s">
        <v>1099</v>
      </c>
      <c r="C301" t="s">
        <v>1098</v>
      </c>
      <c r="F301" t="s">
        <v>1097</v>
      </c>
      <c r="G301" t="s">
        <v>6</v>
      </c>
      <c r="H301" t="s">
        <v>5</v>
      </c>
      <c r="I301" t="s">
        <v>1096</v>
      </c>
      <c r="J301">
        <v>60022148</v>
      </c>
      <c r="K301" t="s">
        <v>42</v>
      </c>
      <c r="L301" t="s">
        <v>41</v>
      </c>
      <c r="M301" t="s">
        <v>37</v>
      </c>
      <c r="N301">
        <v>3</v>
      </c>
      <c r="O301" t="s">
        <v>1095</v>
      </c>
      <c r="P301" t="s">
        <v>1094</v>
      </c>
      <c r="Q301" t="s">
        <v>461</v>
      </c>
      <c r="R301" s="8">
        <v>34912</v>
      </c>
      <c r="S301" s="9">
        <f t="shared" si="32"/>
        <v>1995</v>
      </c>
      <c r="T301" s="9">
        <v>1995</v>
      </c>
      <c r="U301" s="9">
        <f t="shared" si="33"/>
        <v>27</v>
      </c>
      <c r="V301" s="8">
        <v>34912</v>
      </c>
      <c r="W301" s="11" t="s">
        <v>400</v>
      </c>
      <c r="X301" s="2">
        <v>2.383</v>
      </c>
      <c r="Y301" s="7">
        <f t="shared" si="34"/>
        <v>6.3612824003630442E-2</v>
      </c>
      <c r="AA301">
        <v>13502395</v>
      </c>
      <c r="AB301">
        <v>17418</v>
      </c>
      <c r="AD301" t="s">
        <v>3</v>
      </c>
      <c r="AE301">
        <v>142</v>
      </c>
      <c r="AF301">
        <v>4</v>
      </c>
      <c r="AH301" t="s">
        <v>1093</v>
      </c>
      <c r="AI301" t="s">
        <v>1092</v>
      </c>
      <c r="AK301" t="s">
        <v>1091</v>
      </c>
      <c r="AL301">
        <v>1</v>
      </c>
      <c r="AM301" s="5">
        <f t="shared" si="35"/>
        <v>3.7037037037037035E-2</v>
      </c>
      <c r="AN301" s="4">
        <f t="shared" si="36"/>
        <v>5.6095474497594906E-5</v>
      </c>
      <c r="AO301" s="3"/>
      <c r="AP301">
        <v>0</v>
      </c>
      <c r="AR301" t="s">
        <v>1</v>
      </c>
      <c r="AT301" s="2" t="s">
        <v>7</v>
      </c>
      <c r="AU301" s="1">
        <f t="shared" si="37"/>
        <v>4.4545805444890592</v>
      </c>
      <c r="AV301" s="1">
        <f t="shared" si="38"/>
        <v>3.183445973906402</v>
      </c>
      <c r="AW301" s="1">
        <f t="shared" si="39"/>
        <v>1.9123114033237447</v>
      </c>
    </row>
    <row r="302" spans="1:49" x14ac:dyDescent="0.2">
      <c r="A302">
        <v>300</v>
      </c>
      <c r="B302" t="s">
        <v>1090</v>
      </c>
      <c r="F302" t="s">
        <v>1089</v>
      </c>
      <c r="G302" t="s">
        <v>6</v>
      </c>
      <c r="H302" t="s">
        <v>5</v>
      </c>
      <c r="I302" t="s">
        <v>1088</v>
      </c>
      <c r="J302">
        <v>60024590</v>
      </c>
      <c r="K302" t="s">
        <v>153</v>
      </c>
      <c r="L302" t="s">
        <v>152</v>
      </c>
      <c r="M302" t="s">
        <v>4</v>
      </c>
      <c r="N302">
        <v>1</v>
      </c>
      <c r="O302" t="s">
        <v>1087</v>
      </c>
      <c r="P302">
        <v>7801527248</v>
      </c>
      <c r="Q302">
        <v>60024590</v>
      </c>
      <c r="R302" s="8">
        <v>34912</v>
      </c>
      <c r="S302" s="9">
        <f t="shared" si="32"/>
        <v>1995</v>
      </c>
      <c r="T302" s="9">
        <v>1995</v>
      </c>
      <c r="U302" s="9">
        <f t="shared" si="33"/>
        <v>27</v>
      </c>
      <c r="V302" s="8">
        <v>34912</v>
      </c>
      <c r="W302" t="s">
        <v>1086</v>
      </c>
      <c r="X302" s="2" t="s">
        <v>7</v>
      </c>
      <c r="Y302" s="7" t="e">
        <f t="shared" si="34"/>
        <v>#VALUE!</v>
      </c>
      <c r="AA302">
        <v>10746269</v>
      </c>
      <c r="AB302">
        <v>66357</v>
      </c>
      <c r="AD302" t="s">
        <v>3</v>
      </c>
      <c r="AE302">
        <v>5</v>
      </c>
      <c r="AF302">
        <v>6</v>
      </c>
      <c r="AI302" t="s">
        <v>1085</v>
      </c>
      <c r="AK302" t="s">
        <v>1084</v>
      </c>
      <c r="AL302">
        <v>0</v>
      </c>
      <c r="AM302" s="5">
        <f t="shared" si="35"/>
        <v>0</v>
      </c>
      <c r="AN302" s="4">
        <f t="shared" si="36"/>
        <v>0</v>
      </c>
      <c r="AO302" s="3"/>
      <c r="AP302">
        <v>0</v>
      </c>
      <c r="AR302" t="s">
        <v>1</v>
      </c>
      <c r="AT302" s="2" t="s">
        <v>7</v>
      </c>
      <c r="AU302" s="1" t="e">
        <f t="shared" si="37"/>
        <v>#VALUE!</v>
      </c>
      <c r="AV302" s="1" t="e">
        <f t="shared" si="38"/>
        <v>#VALUE!</v>
      </c>
      <c r="AW302" s="1" t="e">
        <f t="shared" si="39"/>
        <v>#VALUE!</v>
      </c>
    </row>
    <row r="303" spans="1:49" x14ac:dyDescent="0.2">
      <c r="A303">
        <v>301</v>
      </c>
      <c r="B303" t="s">
        <v>1083</v>
      </c>
      <c r="F303" t="s">
        <v>1082</v>
      </c>
      <c r="G303" t="s">
        <v>6</v>
      </c>
      <c r="H303" t="s">
        <v>5</v>
      </c>
      <c r="I303" t="s">
        <v>1081</v>
      </c>
      <c r="N303">
        <v>1</v>
      </c>
      <c r="O303" t="s">
        <v>1080</v>
      </c>
      <c r="P303">
        <v>14421039200</v>
      </c>
      <c r="R303" s="8">
        <v>34912</v>
      </c>
      <c r="S303" s="9">
        <f t="shared" si="32"/>
        <v>1995</v>
      </c>
      <c r="T303" s="9">
        <v>1995</v>
      </c>
      <c r="U303" s="9">
        <f t="shared" si="33"/>
        <v>27</v>
      </c>
      <c r="V303" s="8">
        <v>34912</v>
      </c>
      <c r="W303" t="s">
        <v>1079</v>
      </c>
      <c r="X303" s="2" t="s">
        <v>7</v>
      </c>
      <c r="Y303" s="7" t="e">
        <f t="shared" si="34"/>
        <v>#VALUE!</v>
      </c>
      <c r="AA303">
        <v>2783479</v>
      </c>
      <c r="AB303">
        <v>9500153966</v>
      </c>
      <c r="AD303" t="s">
        <v>3</v>
      </c>
      <c r="AE303">
        <v>27</v>
      </c>
      <c r="AF303">
        <v>8</v>
      </c>
      <c r="AI303" t="s">
        <v>1078</v>
      </c>
      <c r="AK303" t="s">
        <v>1077</v>
      </c>
      <c r="AL303">
        <v>0</v>
      </c>
      <c r="AM303" s="5">
        <f t="shared" si="35"/>
        <v>0</v>
      </c>
      <c r="AN303" s="4">
        <f t="shared" si="36"/>
        <v>0</v>
      </c>
      <c r="AO303" s="3"/>
      <c r="AP303">
        <v>0</v>
      </c>
      <c r="AR303" t="s">
        <v>1</v>
      </c>
      <c r="AT303" s="2" t="s">
        <v>7</v>
      </c>
      <c r="AU303" s="1" t="e">
        <f t="shared" si="37"/>
        <v>#VALUE!</v>
      </c>
      <c r="AV303" s="1" t="e">
        <f t="shared" si="38"/>
        <v>#VALUE!</v>
      </c>
      <c r="AW303" s="1" t="e">
        <f t="shared" si="39"/>
        <v>#VALUE!</v>
      </c>
    </row>
    <row r="304" spans="1:49" x14ac:dyDescent="0.2">
      <c r="A304">
        <v>302</v>
      </c>
      <c r="B304" t="s">
        <v>1076</v>
      </c>
      <c r="F304" t="s">
        <v>1075</v>
      </c>
      <c r="G304" t="s">
        <v>6</v>
      </c>
      <c r="H304" t="s">
        <v>5</v>
      </c>
      <c r="I304" t="s">
        <v>1074</v>
      </c>
      <c r="J304">
        <v>60026638</v>
      </c>
      <c r="K304" t="s">
        <v>459</v>
      </c>
      <c r="L304" t="s">
        <v>130</v>
      </c>
      <c r="M304" t="s">
        <v>129</v>
      </c>
      <c r="N304">
        <v>1</v>
      </c>
      <c r="O304" t="s">
        <v>1073</v>
      </c>
      <c r="P304">
        <v>57197144804</v>
      </c>
      <c r="Q304">
        <v>60026638</v>
      </c>
      <c r="R304" s="8">
        <v>34912</v>
      </c>
      <c r="S304" s="9">
        <f t="shared" si="32"/>
        <v>1995</v>
      </c>
      <c r="T304" s="9">
        <v>1995</v>
      </c>
      <c r="U304" s="9">
        <f t="shared" si="33"/>
        <v>27</v>
      </c>
      <c r="V304" s="8">
        <v>34912</v>
      </c>
      <c r="W304" t="s">
        <v>122</v>
      </c>
      <c r="X304" s="2">
        <v>0.13800000000000001</v>
      </c>
      <c r="Y304" s="7">
        <f t="shared" si="34"/>
        <v>3.6838311844318095E-3</v>
      </c>
      <c r="AA304">
        <v>1926225</v>
      </c>
      <c r="AB304">
        <v>18580</v>
      </c>
      <c r="AD304" t="s">
        <v>3</v>
      </c>
      <c r="AE304">
        <v>38</v>
      </c>
      <c r="AF304">
        <v>8</v>
      </c>
      <c r="AI304" t="s">
        <v>1072</v>
      </c>
      <c r="AK304" t="s">
        <v>1071</v>
      </c>
      <c r="AL304">
        <v>3</v>
      </c>
      <c r="AM304" s="5">
        <f t="shared" si="35"/>
        <v>0.1111111111111111</v>
      </c>
      <c r="AN304" s="4">
        <f t="shared" si="36"/>
        <v>1.682864234927847E-4</v>
      </c>
      <c r="AO304" s="3"/>
      <c r="AP304">
        <v>0</v>
      </c>
      <c r="AR304" t="s">
        <v>1</v>
      </c>
      <c r="AT304" s="2">
        <v>0.30599999999999999</v>
      </c>
      <c r="AU304" s="1">
        <f t="shared" si="37"/>
        <v>0.2629167756150102</v>
      </c>
      <c r="AV304" s="1">
        <f t="shared" si="38"/>
        <v>0.19260588039622972</v>
      </c>
      <c r="AW304" s="1">
        <f t="shared" si="39"/>
        <v>0.12229498517744922</v>
      </c>
    </row>
    <row r="305" spans="1:49" x14ac:dyDescent="0.2">
      <c r="A305">
        <v>303</v>
      </c>
      <c r="B305" t="s">
        <v>1070</v>
      </c>
      <c r="F305" t="s">
        <v>1069</v>
      </c>
      <c r="G305" t="s">
        <v>6</v>
      </c>
      <c r="H305" t="s">
        <v>5</v>
      </c>
      <c r="I305" t="s">
        <v>1068</v>
      </c>
      <c r="J305">
        <v>60027090</v>
      </c>
      <c r="K305" t="s">
        <v>138</v>
      </c>
      <c r="L305" t="s">
        <v>137</v>
      </c>
      <c r="M305" t="s">
        <v>4</v>
      </c>
      <c r="N305">
        <v>2</v>
      </c>
      <c r="O305" t="s">
        <v>1067</v>
      </c>
      <c r="P305" t="s">
        <v>1066</v>
      </c>
      <c r="Q305" t="s">
        <v>182</v>
      </c>
      <c r="R305" s="8">
        <v>34912</v>
      </c>
      <c r="S305" s="9">
        <f t="shared" si="32"/>
        <v>1995</v>
      </c>
      <c r="T305" s="9">
        <v>1995</v>
      </c>
      <c r="U305" s="9">
        <f t="shared" si="33"/>
        <v>27</v>
      </c>
      <c r="V305" s="8">
        <v>34912</v>
      </c>
      <c r="W305" t="s">
        <v>122</v>
      </c>
      <c r="X305" s="2">
        <v>0.13800000000000001</v>
      </c>
      <c r="Y305" s="7">
        <f t="shared" si="34"/>
        <v>3.6838311844318095E-3</v>
      </c>
      <c r="AA305">
        <v>1926225</v>
      </c>
      <c r="AB305">
        <v>18580</v>
      </c>
      <c r="AD305" t="s">
        <v>3</v>
      </c>
      <c r="AE305">
        <v>38</v>
      </c>
      <c r="AF305">
        <v>8</v>
      </c>
      <c r="AI305" t="s">
        <v>1065</v>
      </c>
      <c r="AK305" t="s">
        <v>1064</v>
      </c>
      <c r="AL305">
        <v>7</v>
      </c>
      <c r="AM305" s="5">
        <f t="shared" si="35"/>
        <v>0.25925925925925924</v>
      </c>
      <c r="AN305" s="4">
        <f t="shared" si="36"/>
        <v>3.9266832148316435E-4</v>
      </c>
      <c r="AO305" s="3"/>
      <c r="AP305">
        <v>0</v>
      </c>
      <c r="AR305" t="s">
        <v>1</v>
      </c>
      <c r="AT305" s="2">
        <v>0.30599999999999999</v>
      </c>
      <c r="AU305" s="1">
        <f t="shared" si="37"/>
        <v>0.26964823255472159</v>
      </c>
      <c r="AV305" s="1">
        <f t="shared" si="38"/>
        <v>0.20382497529574869</v>
      </c>
      <c r="AW305" s="1">
        <f t="shared" si="39"/>
        <v>0.1380017180367758</v>
      </c>
    </row>
    <row r="306" spans="1:49" x14ac:dyDescent="0.2">
      <c r="A306">
        <v>304</v>
      </c>
      <c r="B306" t="s">
        <v>1063</v>
      </c>
      <c r="F306" t="s">
        <v>1062</v>
      </c>
      <c r="G306" t="s">
        <v>6</v>
      </c>
      <c r="H306" t="s">
        <v>5</v>
      </c>
      <c r="I306" t="s">
        <v>1061</v>
      </c>
      <c r="J306">
        <v>60092258</v>
      </c>
      <c r="K306" t="s">
        <v>355</v>
      </c>
      <c r="L306" t="s">
        <v>200</v>
      </c>
      <c r="M306" t="s">
        <v>14</v>
      </c>
      <c r="N306">
        <v>5</v>
      </c>
      <c r="O306" t="s">
        <v>1060</v>
      </c>
      <c r="P306" t="s">
        <v>1059</v>
      </c>
      <c r="Q306" t="s">
        <v>1058</v>
      </c>
      <c r="R306" s="8">
        <v>34912</v>
      </c>
      <c r="S306" s="9">
        <f t="shared" si="32"/>
        <v>1995</v>
      </c>
      <c r="T306" s="9">
        <v>1995</v>
      </c>
      <c r="U306" s="9">
        <f t="shared" si="33"/>
        <v>27</v>
      </c>
      <c r="V306" s="8">
        <v>34912</v>
      </c>
      <c r="W306" t="s">
        <v>425</v>
      </c>
      <c r="X306" s="2">
        <v>0.182</v>
      </c>
      <c r="Y306" s="7">
        <f t="shared" si="34"/>
        <v>4.8583860548303574E-3</v>
      </c>
      <c r="AA306">
        <v>9168524</v>
      </c>
      <c r="AB306">
        <v>26075</v>
      </c>
      <c r="AD306" t="s">
        <v>3</v>
      </c>
      <c r="AE306" t="s">
        <v>424</v>
      </c>
      <c r="AF306">
        <v>8</v>
      </c>
      <c r="AH306" t="s">
        <v>1057</v>
      </c>
      <c r="AI306" t="s">
        <v>1056</v>
      </c>
      <c r="AK306" t="s">
        <v>1055</v>
      </c>
      <c r="AL306">
        <v>1</v>
      </c>
      <c r="AM306" s="5">
        <f t="shared" si="35"/>
        <v>3.7037037037037035E-2</v>
      </c>
      <c r="AN306" s="4">
        <f t="shared" si="36"/>
        <v>5.6095474497594906E-5</v>
      </c>
      <c r="AO306" s="3"/>
      <c r="AP306">
        <v>0</v>
      </c>
      <c r="AR306" t="s">
        <v>1</v>
      </c>
      <c r="AT306" s="2">
        <v>0.35199999999999998</v>
      </c>
      <c r="AU306" s="1">
        <f t="shared" si="37"/>
        <v>0.34176988807305281</v>
      </c>
      <c r="AV306" s="1">
        <f t="shared" si="38"/>
        <v>0.2457240764663976</v>
      </c>
      <c r="AW306" s="1">
        <f t="shared" si="39"/>
        <v>0.14967826485974237</v>
      </c>
    </row>
    <row r="307" spans="1:49" x14ac:dyDescent="0.2">
      <c r="A307">
        <v>305</v>
      </c>
      <c r="B307" t="s">
        <v>1054</v>
      </c>
      <c r="F307" t="s">
        <v>1053</v>
      </c>
      <c r="G307" t="s">
        <v>6</v>
      </c>
      <c r="H307" t="s">
        <v>5</v>
      </c>
      <c r="I307" t="s">
        <v>1052</v>
      </c>
      <c r="J307">
        <v>60021208</v>
      </c>
      <c r="K307" t="s">
        <v>1051</v>
      </c>
      <c r="L307" t="s">
        <v>172</v>
      </c>
      <c r="M307" t="s">
        <v>14</v>
      </c>
      <c r="N307">
        <v>4</v>
      </c>
      <c r="O307" t="s">
        <v>1050</v>
      </c>
      <c r="P307" t="s">
        <v>1049</v>
      </c>
      <c r="Q307" t="s">
        <v>1048</v>
      </c>
      <c r="R307" s="8">
        <v>34912</v>
      </c>
      <c r="S307" s="9">
        <f t="shared" si="32"/>
        <v>1995</v>
      </c>
      <c r="T307" s="9">
        <v>1995</v>
      </c>
      <c r="U307" s="9">
        <f t="shared" si="33"/>
        <v>27</v>
      </c>
      <c r="V307" s="8">
        <v>34912</v>
      </c>
      <c r="W307" t="s">
        <v>425</v>
      </c>
      <c r="X307" s="2">
        <v>0.182</v>
      </c>
      <c r="Y307" s="7">
        <f t="shared" si="34"/>
        <v>4.8583860548303574E-3</v>
      </c>
      <c r="AA307">
        <v>9168524</v>
      </c>
      <c r="AB307">
        <v>26075</v>
      </c>
      <c r="AD307" t="s">
        <v>3</v>
      </c>
      <c r="AE307" t="s">
        <v>424</v>
      </c>
      <c r="AF307">
        <v>8</v>
      </c>
      <c r="AH307" t="s">
        <v>1047</v>
      </c>
      <c r="AI307" t="s">
        <v>1046</v>
      </c>
      <c r="AK307" t="s">
        <v>1045</v>
      </c>
      <c r="AL307">
        <v>4</v>
      </c>
      <c r="AM307" s="5">
        <f t="shared" si="35"/>
        <v>0.14814814814814814</v>
      </c>
      <c r="AN307" s="4">
        <f t="shared" si="36"/>
        <v>2.2438189799037963E-4</v>
      </c>
      <c r="AO307" s="3"/>
      <c r="AP307">
        <v>0</v>
      </c>
      <c r="AR307" t="s">
        <v>1</v>
      </c>
      <c r="AT307" s="2">
        <v>0.35199999999999998</v>
      </c>
      <c r="AU307" s="1">
        <f t="shared" si="37"/>
        <v>0.34681848077783639</v>
      </c>
      <c r="AV307" s="1">
        <f t="shared" si="38"/>
        <v>0.25413839764103685</v>
      </c>
      <c r="AW307" s="1">
        <f t="shared" si="39"/>
        <v>0.16145831450423731</v>
      </c>
    </row>
    <row r="308" spans="1:49" x14ac:dyDescent="0.2">
      <c r="A308">
        <v>306</v>
      </c>
      <c r="B308" t="s">
        <v>1044</v>
      </c>
      <c r="F308" t="s">
        <v>1043</v>
      </c>
      <c r="G308" t="s">
        <v>6</v>
      </c>
      <c r="H308" t="s">
        <v>5</v>
      </c>
      <c r="I308" t="s">
        <v>1042</v>
      </c>
      <c r="J308">
        <v>60032325</v>
      </c>
      <c r="K308" t="s">
        <v>201</v>
      </c>
      <c r="L308" t="s">
        <v>200</v>
      </c>
      <c r="M308" t="s">
        <v>14</v>
      </c>
      <c r="N308">
        <v>1</v>
      </c>
      <c r="O308" t="s">
        <v>1041</v>
      </c>
      <c r="P308">
        <v>7006711251</v>
      </c>
      <c r="Q308">
        <v>60032325</v>
      </c>
      <c r="R308" s="8">
        <v>34912</v>
      </c>
      <c r="S308" s="9">
        <f t="shared" si="32"/>
        <v>1995</v>
      </c>
      <c r="T308" s="9">
        <v>1995</v>
      </c>
      <c r="U308" s="9">
        <f t="shared" si="33"/>
        <v>27</v>
      </c>
      <c r="V308" s="8">
        <v>34912</v>
      </c>
      <c r="W308" t="s">
        <v>403</v>
      </c>
      <c r="X308" s="2">
        <v>0.21099999999999999</v>
      </c>
      <c r="Y308" s="7">
        <f t="shared" si="34"/>
        <v>5.6325244921384904E-3</v>
      </c>
      <c r="AA308">
        <v>9168516</v>
      </c>
      <c r="AB308">
        <v>18936</v>
      </c>
      <c r="AD308" t="s">
        <v>3</v>
      </c>
      <c r="AE308" t="s">
        <v>402</v>
      </c>
      <c r="AF308">
        <v>8</v>
      </c>
      <c r="AH308" t="s">
        <v>1040</v>
      </c>
      <c r="AI308" t="s">
        <v>1039</v>
      </c>
      <c r="AK308" t="s">
        <v>1038</v>
      </c>
      <c r="AL308">
        <v>22</v>
      </c>
      <c r="AM308" s="5">
        <f t="shared" si="35"/>
        <v>0.81481481481481477</v>
      </c>
      <c r="AN308" s="4">
        <f t="shared" si="36"/>
        <v>1.2341004389470878E-3</v>
      </c>
      <c r="AO308" s="3"/>
      <c r="AP308">
        <v>0</v>
      </c>
      <c r="AR308" t="s">
        <v>1</v>
      </c>
      <c r="AT308" s="2">
        <v>0.52500000000000002</v>
      </c>
      <c r="AU308" s="1">
        <f t="shared" si="37"/>
        <v>0.43129972761810692</v>
      </c>
      <c r="AV308" s="1">
        <f t="shared" si="38"/>
        <v>0.34333124655427893</v>
      </c>
      <c r="AW308" s="1">
        <f t="shared" si="39"/>
        <v>0.25536276549045084</v>
      </c>
    </row>
    <row r="309" spans="1:49" x14ac:dyDescent="0.2">
      <c r="A309">
        <v>307</v>
      </c>
      <c r="B309" t="s">
        <v>1037</v>
      </c>
      <c r="F309" t="s">
        <v>1036</v>
      </c>
      <c r="G309" t="s">
        <v>6</v>
      </c>
      <c r="H309" t="s">
        <v>5</v>
      </c>
      <c r="I309" t="s">
        <v>151</v>
      </c>
      <c r="J309">
        <v>60004176</v>
      </c>
      <c r="K309" t="s">
        <v>1035</v>
      </c>
      <c r="L309" t="s">
        <v>1034</v>
      </c>
      <c r="M309" t="s">
        <v>14</v>
      </c>
      <c r="N309">
        <v>3</v>
      </c>
      <c r="O309" t="s">
        <v>1033</v>
      </c>
      <c r="P309" t="s">
        <v>1032</v>
      </c>
      <c r="Q309" t="s">
        <v>1031</v>
      </c>
      <c r="R309" s="8">
        <v>34912</v>
      </c>
      <c r="S309" s="9">
        <f t="shared" si="32"/>
        <v>1995</v>
      </c>
      <c r="T309" s="9">
        <v>1995</v>
      </c>
      <c r="U309" s="9">
        <f t="shared" si="33"/>
        <v>27</v>
      </c>
      <c r="V309" s="8">
        <v>34912</v>
      </c>
      <c r="W309" t="s">
        <v>425</v>
      </c>
      <c r="X309" s="2">
        <v>0.182</v>
      </c>
      <c r="Y309" s="7">
        <f t="shared" si="34"/>
        <v>4.8583860548303574E-3</v>
      </c>
      <c r="AA309">
        <v>9168524</v>
      </c>
      <c r="AB309">
        <v>26075</v>
      </c>
      <c r="AD309" t="s">
        <v>3</v>
      </c>
      <c r="AE309" t="s">
        <v>424</v>
      </c>
      <c r="AF309">
        <v>8</v>
      </c>
      <c r="AH309" t="s">
        <v>1030</v>
      </c>
      <c r="AI309" t="s">
        <v>1029</v>
      </c>
      <c r="AK309" t="s">
        <v>1028</v>
      </c>
      <c r="AL309">
        <v>26</v>
      </c>
      <c r="AM309" s="5">
        <f t="shared" si="35"/>
        <v>0.96296296296296291</v>
      </c>
      <c r="AN309" s="4">
        <f t="shared" si="36"/>
        <v>1.4584823369374674E-3</v>
      </c>
      <c r="AO309" s="3"/>
      <c r="AP309">
        <v>0</v>
      </c>
      <c r="AR309" t="s">
        <v>1</v>
      </c>
      <c r="AT309" s="2">
        <v>0.35199999999999998</v>
      </c>
      <c r="AU309" s="1">
        <f t="shared" si="37"/>
        <v>0.383841493946249</v>
      </c>
      <c r="AV309" s="1">
        <f t="shared" si="38"/>
        <v>0.31584341958839124</v>
      </c>
      <c r="AW309" s="1">
        <f t="shared" si="39"/>
        <v>0.24784534523053342</v>
      </c>
    </row>
    <row r="310" spans="1:49" x14ac:dyDescent="0.2">
      <c r="A310">
        <v>308</v>
      </c>
      <c r="B310" t="s">
        <v>1027</v>
      </c>
      <c r="F310" t="s">
        <v>1026</v>
      </c>
      <c r="G310" t="s">
        <v>6</v>
      </c>
      <c r="H310" t="s">
        <v>5</v>
      </c>
      <c r="I310" t="s">
        <v>192</v>
      </c>
      <c r="J310">
        <v>60001271</v>
      </c>
      <c r="K310" t="s">
        <v>191</v>
      </c>
      <c r="L310" t="s">
        <v>190</v>
      </c>
      <c r="M310" t="s">
        <v>14</v>
      </c>
      <c r="N310">
        <v>3</v>
      </c>
      <c r="O310" t="s">
        <v>1025</v>
      </c>
      <c r="P310" t="s">
        <v>1024</v>
      </c>
      <c r="Q310" t="s">
        <v>189</v>
      </c>
      <c r="R310" s="8">
        <v>34912</v>
      </c>
      <c r="S310" s="9">
        <f t="shared" si="32"/>
        <v>1995</v>
      </c>
      <c r="T310" s="9">
        <v>1995</v>
      </c>
      <c r="U310" s="9">
        <f t="shared" si="33"/>
        <v>27</v>
      </c>
      <c r="V310" s="8">
        <v>34912</v>
      </c>
      <c r="W310" t="s">
        <v>425</v>
      </c>
      <c r="X310" s="2">
        <v>0.182</v>
      </c>
      <c r="Y310" s="7">
        <f t="shared" si="34"/>
        <v>4.8583860548303574E-3</v>
      </c>
      <c r="AA310">
        <v>9168524</v>
      </c>
      <c r="AB310">
        <v>26075</v>
      </c>
      <c r="AD310" t="s">
        <v>3</v>
      </c>
      <c r="AE310" t="s">
        <v>424</v>
      </c>
      <c r="AF310">
        <v>8</v>
      </c>
      <c r="AH310" t="s">
        <v>1023</v>
      </c>
      <c r="AI310" t="s">
        <v>1022</v>
      </c>
      <c r="AK310" t="s">
        <v>1021</v>
      </c>
      <c r="AL310">
        <v>1</v>
      </c>
      <c r="AM310" s="5">
        <f t="shared" si="35"/>
        <v>3.7037037037037035E-2</v>
      </c>
      <c r="AN310" s="4">
        <f t="shared" si="36"/>
        <v>5.6095474497594906E-5</v>
      </c>
      <c r="AO310" s="3"/>
      <c r="AP310">
        <v>0</v>
      </c>
      <c r="AR310" t="s">
        <v>1</v>
      </c>
      <c r="AT310" s="2">
        <v>0.35199999999999998</v>
      </c>
      <c r="AU310" s="1">
        <f t="shared" si="37"/>
        <v>0.34176988807305281</v>
      </c>
      <c r="AV310" s="1">
        <f t="shared" si="38"/>
        <v>0.2457240764663976</v>
      </c>
      <c r="AW310" s="1">
        <f t="shared" si="39"/>
        <v>0.14967826485974237</v>
      </c>
    </row>
    <row r="311" spans="1:49" x14ac:dyDescent="0.2">
      <c r="A311">
        <v>309</v>
      </c>
      <c r="B311" t="s">
        <v>1020</v>
      </c>
      <c r="F311" t="s">
        <v>1019</v>
      </c>
      <c r="G311" t="s">
        <v>6</v>
      </c>
      <c r="H311" t="s">
        <v>5</v>
      </c>
      <c r="I311" t="s">
        <v>405</v>
      </c>
      <c r="J311">
        <v>100341285</v>
      </c>
      <c r="K311" t="s">
        <v>1018</v>
      </c>
      <c r="L311" t="s">
        <v>1017</v>
      </c>
      <c r="M311" t="s">
        <v>14</v>
      </c>
      <c r="N311">
        <v>4</v>
      </c>
      <c r="O311" t="s">
        <v>1016</v>
      </c>
      <c r="P311" t="s">
        <v>1015</v>
      </c>
      <c r="Q311" t="s">
        <v>1014</v>
      </c>
      <c r="R311" s="8">
        <v>34912</v>
      </c>
      <c r="S311" s="9">
        <f t="shared" si="32"/>
        <v>1995</v>
      </c>
      <c r="T311" s="9">
        <v>1995</v>
      </c>
      <c r="U311" s="9">
        <f t="shared" si="33"/>
        <v>27</v>
      </c>
      <c r="V311" s="8">
        <v>34912</v>
      </c>
      <c r="W311" t="s">
        <v>403</v>
      </c>
      <c r="X311" s="2">
        <v>0.21099999999999999</v>
      </c>
      <c r="Y311" s="7">
        <f t="shared" si="34"/>
        <v>5.6325244921384904E-3</v>
      </c>
      <c r="AA311">
        <v>9168516</v>
      </c>
      <c r="AB311">
        <v>18936</v>
      </c>
      <c r="AD311" t="s">
        <v>3</v>
      </c>
      <c r="AE311" t="s">
        <v>402</v>
      </c>
      <c r="AF311">
        <v>8</v>
      </c>
      <c r="AH311" t="s">
        <v>1013</v>
      </c>
      <c r="AI311" t="s">
        <v>1012</v>
      </c>
      <c r="AK311" t="s">
        <v>1011</v>
      </c>
      <c r="AL311">
        <v>10</v>
      </c>
      <c r="AM311" s="5">
        <f t="shared" si="35"/>
        <v>0.37037037037037035</v>
      </c>
      <c r="AN311" s="4">
        <f t="shared" si="36"/>
        <v>5.60954744975949E-4</v>
      </c>
      <c r="AO311" s="3"/>
      <c r="AP311">
        <v>0</v>
      </c>
      <c r="AR311" t="s">
        <v>1</v>
      </c>
      <c r="AT311" s="2">
        <v>0.52500000000000002</v>
      </c>
      <c r="AU311" s="1">
        <f t="shared" si="37"/>
        <v>0.4111053567989727</v>
      </c>
      <c r="AV311" s="1">
        <f t="shared" si="38"/>
        <v>0.30967396185572194</v>
      </c>
      <c r="AW311" s="1">
        <f t="shared" si="39"/>
        <v>0.20824256691247114</v>
      </c>
    </row>
    <row r="312" spans="1:49" x14ac:dyDescent="0.2">
      <c r="A312">
        <v>310</v>
      </c>
      <c r="B312" t="s">
        <v>1010</v>
      </c>
      <c r="C312" t="s">
        <v>1009</v>
      </c>
      <c r="F312" t="s">
        <v>1008</v>
      </c>
      <c r="G312" t="s">
        <v>6</v>
      </c>
      <c r="H312" t="s">
        <v>5</v>
      </c>
      <c r="I312" t="s">
        <v>1007</v>
      </c>
      <c r="J312">
        <v>60021902</v>
      </c>
      <c r="K312" t="s">
        <v>147</v>
      </c>
      <c r="L312" t="s">
        <v>146</v>
      </c>
      <c r="M312" t="s">
        <v>145</v>
      </c>
      <c r="N312">
        <v>2</v>
      </c>
      <c r="O312" t="s">
        <v>1006</v>
      </c>
      <c r="P312" t="s">
        <v>1005</v>
      </c>
      <c r="Q312" t="s">
        <v>387</v>
      </c>
      <c r="R312" s="8">
        <v>34912</v>
      </c>
      <c r="S312" s="9">
        <f t="shared" si="32"/>
        <v>1995</v>
      </c>
      <c r="T312" s="9">
        <v>1995</v>
      </c>
      <c r="U312" s="9">
        <f t="shared" si="33"/>
        <v>27</v>
      </c>
      <c r="V312" s="8">
        <v>34912</v>
      </c>
      <c r="W312" s="11" t="s">
        <v>238</v>
      </c>
      <c r="X312" s="2">
        <v>2.383</v>
      </c>
      <c r="Y312" s="7">
        <f t="shared" si="34"/>
        <v>6.3612824003630442E-2</v>
      </c>
      <c r="AA312">
        <v>13502417</v>
      </c>
      <c r="AB312">
        <v>17416</v>
      </c>
      <c r="AD312" t="s">
        <v>3</v>
      </c>
      <c r="AE312">
        <v>142</v>
      </c>
      <c r="AF312">
        <v>4</v>
      </c>
      <c r="AH312" t="s">
        <v>1004</v>
      </c>
      <c r="AI312" t="s">
        <v>1003</v>
      </c>
      <c r="AK312" t="s">
        <v>203</v>
      </c>
      <c r="AL312">
        <v>2</v>
      </c>
      <c r="AM312" s="5">
        <f t="shared" si="35"/>
        <v>7.407407407407407E-2</v>
      </c>
      <c r="AN312" s="4">
        <f t="shared" si="36"/>
        <v>1.1219094899518981E-4</v>
      </c>
      <c r="AO312" s="3"/>
      <c r="AP312">
        <v>0</v>
      </c>
      <c r="AR312" t="s">
        <v>1</v>
      </c>
      <c r="AT312" s="2" t="s">
        <v>7</v>
      </c>
      <c r="AU312" s="1">
        <f t="shared" si="37"/>
        <v>4.4562634087239861</v>
      </c>
      <c r="AV312" s="1">
        <f t="shared" si="38"/>
        <v>3.1862507476312816</v>
      </c>
      <c r="AW312" s="1">
        <f t="shared" si="39"/>
        <v>1.9162380865385766</v>
      </c>
    </row>
    <row r="313" spans="1:49" x14ac:dyDescent="0.2">
      <c r="A313">
        <v>311</v>
      </c>
      <c r="B313" t="s">
        <v>1002</v>
      </c>
      <c r="C313" t="s">
        <v>1001</v>
      </c>
      <c r="F313" t="s">
        <v>1000</v>
      </c>
      <c r="G313" t="s">
        <v>6</v>
      </c>
      <c r="H313" t="s">
        <v>5</v>
      </c>
      <c r="I313" t="s">
        <v>278</v>
      </c>
      <c r="J313">
        <v>60008928</v>
      </c>
      <c r="K313" t="s">
        <v>467</v>
      </c>
      <c r="L313" t="s">
        <v>135</v>
      </c>
      <c r="M313" t="s">
        <v>134</v>
      </c>
      <c r="N313">
        <v>3</v>
      </c>
      <c r="O313" t="s">
        <v>277</v>
      </c>
      <c r="P313" t="s">
        <v>276</v>
      </c>
      <c r="Q313" t="s">
        <v>466</v>
      </c>
      <c r="R313" s="8">
        <v>34912</v>
      </c>
      <c r="S313" s="9">
        <f t="shared" si="32"/>
        <v>1995</v>
      </c>
      <c r="T313" s="9">
        <v>1995</v>
      </c>
      <c r="U313" s="9">
        <f t="shared" si="33"/>
        <v>27</v>
      </c>
      <c r="V313" s="8">
        <v>34912</v>
      </c>
      <c r="W313" s="11" t="s">
        <v>238</v>
      </c>
      <c r="X313" s="2">
        <v>2.383</v>
      </c>
      <c r="Y313" s="7">
        <f t="shared" si="34"/>
        <v>6.3612824003630442E-2</v>
      </c>
      <c r="AA313">
        <v>13502417</v>
      </c>
      <c r="AB313">
        <v>17416</v>
      </c>
      <c r="AD313" t="s">
        <v>3</v>
      </c>
      <c r="AE313">
        <v>142</v>
      </c>
      <c r="AF313">
        <v>4</v>
      </c>
      <c r="AH313" t="s">
        <v>999</v>
      </c>
      <c r="AI313" t="s">
        <v>998</v>
      </c>
      <c r="AK313" t="s">
        <v>997</v>
      </c>
      <c r="AL313">
        <v>31</v>
      </c>
      <c r="AM313" s="5">
        <f t="shared" si="35"/>
        <v>1.1481481481481481</v>
      </c>
      <c r="AN313" s="4">
        <f t="shared" si="36"/>
        <v>1.738959709425442E-3</v>
      </c>
      <c r="AO313" s="3"/>
      <c r="AP313">
        <v>0</v>
      </c>
      <c r="AR313" t="s">
        <v>1</v>
      </c>
      <c r="AT313" s="2" t="s">
        <v>7</v>
      </c>
      <c r="AU313" s="1">
        <f t="shared" si="37"/>
        <v>4.5050664715368942</v>
      </c>
      <c r="AV313" s="1">
        <f t="shared" si="38"/>
        <v>3.2675891856527945</v>
      </c>
      <c r="AW313" s="1">
        <f t="shared" si="39"/>
        <v>2.030111899768694</v>
      </c>
    </row>
    <row r="314" spans="1:49" x14ac:dyDescent="0.2">
      <c r="A314">
        <v>312</v>
      </c>
      <c r="B314" t="s">
        <v>996</v>
      </c>
      <c r="F314" t="s">
        <v>995</v>
      </c>
      <c r="G314" t="s">
        <v>6</v>
      </c>
      <c r="H314" t="s">
        <v>5</v>
      </c>
      <c r="I314" t="s">
        <v>994</v>
      </c>
      <c r="J314">
        <v>60030000</v>
      </c>
      <c r="K314" t="s">
        <v>106</v>
      </c>
      <c r="L314" t="s">
        <v>105</v>
      </c>
      <c r="M314" t="s">
        <v>34</v>
      </c>
      <c r="N314">
        <v>1</v>
      </c>
      <c r="O314" t="s">
        <v>993</v>
      </c>
      <c r="P314">
        <v>57213041030</v>
      </c>
      <c r="Q314">
        <v>60030000</v>
      </c>
      <c r="R314" s="8">
        <v>34912</v>
      </c>
      <c r="S314" s="9">
        <f t="shared" si="32"/>
        <v>1995</v>
      </c>
      <c r="T314" s="9">
        <v>1995</v>
      </c>
      <c r="U314" s="9">
        <f t="shared" si="33"/>
        <v>27</v>
      </c>
      <c r="V314" s="8">
        <v>34912</v>
      </c>
      <c r="W314" t="s">
        <v>425</v>
      </c>
      <c r="X314" s="2">
        <v>0.182</v>
      </c>
      <c r="Y314" s="7">
        <f t="shared" si="34"/>
        <v>4.8583860548303574E-3</v>
      </c>
      <c r="AA314">
        <v>9168524</v>
      </c>
      <c r="AB314">
        <v>26075</v>
      </c>
      <c r="AD314" t="s">
        <v>3</v>
      </c>
      <c r="AE314" t="s">
        <v>424</v>
      </c>
      <c r="AF314">
        <v>8</v>
      </c>
      <c r="AH314" t="s">
        <v>992</v>
      </c>
      <c r="AI314" t="s">
        <v>991</v>
      </c>
      <c r="AK314" t="s">
        <v>990</v>
      </c>
      <c r="AL314">
        <v>0</v>
      </c>
      <c r="AM314" s="5">
        <f t="shared" si="35"/>
        <v>0</v>
      </c>
      <c r="AN314" s="4">
        <f t="shared" si="36"/>
        <v>0</v>
      </c>
      <c r="AO314" s="3"/>
      <c r="AP314">
        <v>0</v>
      </c>
      <c r="AR314" t="s">
        <v>1</v>
      </c>
      <c r="AT314" s="2">
        <v>0.35199999999999998</v>
      </c>
      <c r="AU314" s="1">
        <f t="shared" si="37"/>
        <v>0.340087023838125</v>
      </c>
      <c r="AV314" s="1">
        <f t="shared" si="38"/>
        <v>0.24291930274151788</v>
      </c>
      <c r="AW314" s="1">
        <f t="shared" si="39"/>
        <v>0.14575158164491073</v>
      </c>
    </row>
    <row r="315" spans="1:49" x14ac:dyDescent="0.2">
      <c r="A315">
        <v>313</v>
      </c>
      <c r="B315" t="s">
        <v>989</v>
      </c>
      <c r="C315" t="s">
        <v>988</v>
      </c>
      <c r="F315" t="s">
        <v>987</v>
      </c>
      <c r="G315" t="s">
        <v>6</v>
      </c>
      <c r="H315" t="s">
        <v>5</v>
      </c>
      <c r="I315" t="s">
        <v>914</v>
      </c>
      <c r="J315">
        <v>60031126</v>
      </c>
      <c r="K315" t="s">
        <v>379</v>
      </c>
      <c r="L315" t="s">
        <v>172</v>
      </c>
      <c r="M315" t="s">
        <v>14</v>
      </c>
      <c r="N315">
        <v>3</v>
      </c>
      <c r="O315" t="s">
        <v>986</v>
      </c>
      <c r="P315" t="s">
        <v>985</v>
      </c>
      <c r="Q315" t="s">
        <v>378</v>
      </c>
      <c r="R315" s="8">
        <v>34912</v>
      </c>
      <c r="S315" s="9">
        <f t="shared" si="32"/>
        <v>1995</v>
      </c>
      <c r="T315" s="9">
        <v>1995</v>
      </c>
      <c r="U315" s="9">
        <f t="shared" si="33"/>
        <v>27</v>
      </c>
      <c r="V315" s="8">
        <v>34912</v>
      </c>
      <c r="W315" s="11" t="s">
        <v>238</v>
      </c>
      <c r="X315" s="2">
        <v>2.383</v>
      </c>
      <c r="Y315" s="7">
        <f t="shared" si="34"/>
        <v>6.3612824003630442E-2</v>
      </c>
      <c r="AA315">
        <v>13502417</v>
      </c>
      <c r="AB315">
        <v>17416</v>
      </c>
      <c r="AD315" t="s">
        <v>3</v>
      </c>
      <c r="AE315">
        <v>142</v>
      </c>
      <c r="AF315">
        <v>4</v>
      </c>
      <c r="AH315" t="s">
        <v>984</v>
      </c>
      <c r="AI315" t="s">
        <v>983</v>
      </c>
      <c r="AK315" t="s">
        <v>982</v>
      </c>
      <c r="AL315">
        <v>9</v>
      </c>
      <c r="AM315" s="5">
        <f t="shared" si="35"/>
        <v>0.33333333333333331</v>
      </c>
      <c r="AN315" s="4">
        <f t="shared" si="36"/>
        <v>5.048592704783541E-4</v>
      </c>
      <c r="AO315" s="3"/>
      <c r="AP315">
        <v>0</v>
      </c>
      <c r="AR315" t="s">
        <v>1</v>
      </c>
      <c r="AT315" s="2" t="s">
        <v>7</v>
      </c>
      <c r="AU315" s="1">
        <f t="shared" si="37"/>
        <v>4.4680434583684816</v>
      </c>
      <c r="AV315" s="1">
        <f t="shared" si="38"/>
        <v>3.20588416370544</v>
      </c>
      <c r="AW315" s="1">
        <f t="shared" si="39"/>
        <v>1.9437248690423978</v>
      </c>
    </row>
    <row r="316" spans="1:49" x14ac:dyDescent="0.2">
      <c r="A316">
        <v>314</v>
      </c>
      <c r="B316" t="s">
        <v>981</v>
      </c>
      <c r="F316" t="s">
        <v>980</v>
      </c>
      <c r="G316" t="s">
        <v>6</v>
      </c>
      <c r="H316" t="s">
        <v>5</v>
      </c>
      <c r="I316" t="s">
        <v>979</v>
      </c>
      <c r="J316">
        <v>100310750</v>
      </c>
      <c r="K316" t="s">
        <v>978</v>
      </c>
      <c r="L316" t="s">
        <v>977</v>
      </c>
      <c r="M316" t="s">
        <v>14</v>
      </c>
      <c r="N316">
        <v>4</v>
      </c>
      <c r="O316" t="s">
        <v>976</v>
      </c>
      <c r="P316" t="s">
        <v>975</v>
      </c>
      <c r="Q316" t="s">
        <v>974</v>
      </c>
      <c r="R316" s="8">
        <v>34912</v>
      </c>
      <c r="S316" s="9">
        <f t="shared" si="32"/>
        <v>1995</v>
      </c>
      <c r="T316" s="9">
        <v>1995</v>
      </c>
      <c r="U316" s="9">
        <f t="shared" si="33"/>
        <v>27</v>
      </c>
      <c r="V316" s="8">
        <v>34912</v>
      </c>
      <c r="W316" t="s">
        <v>425</v>
      </c>
      <c r="X316" s="2">
        <v>0.182</v>
      </c>
      <c r="Y316" s="7">
        <f t="shared" si="34"/>
        <v>4.8583860548303574E-3</v>
      </c>
      <c r="AA316">
        <v>9168524</v>
      </c>
      <c r="AB316">
        <v>26075</v>
      </c>
      <c r="AD316" t="s">
        <v>3</v>
      </c>
      <c r="AE316" t="s">
        <v>424</v>
      </c>
      <c r="AF316">
        <v>8</v>
      </c>
      <c r="AH316" t="s">
        <v>973</v>
      </c>
      <c r="AI316" t="s">
        <v>972</v>
      </c>
      <c r="AK316" t="s">
        <v>971</v>
      </c>
      <c r="AL316">
        <v>0</v>
      </c>
      <c r="AM316" s="5">
        <f t="shared" si="35"/>
        <v>0</v>
      </c>
      <c r="AN316" s="4">
        <f t="shared" si="36"/>
        <v>0</v>
      </c>
      <c r="AO316" s="3"/>
      <c r="AP316">
        <v>0</v>
      </c>
      <c r="AR316" t="s">
        <v>1</v>
      </c>
      <c r="AT316" s="2">
        <v>0.35199999999999998</v>
      </c>
      <c r="AU316" s="1">
        <f t="shared" si="37"/>
        <v>0.340087023838125</v>
      </c>
      <c r="AV316" s="1">
        <f t="shared" si="38"/>
        <v>0.24291930274151788</v>
      </c>
      <c r="AW316" s="1">
        <f t="shared" si="39"/>
        <v>0.14575158164491073</v>
      </c>
    </row>
    <row r="317" spans="1:49" x14ac:dyDescent="0.2">
      <c r="A317">
        <v>315</v>
      </c>
      <c r="B317" t="s">
        <v>970</v>
      </c>
      <c r="F317" t="s">
        <v>969</v>
      </c>
      <c r="G317" t="s">
        <v>6</v>
      </c>
      <c r="H317" t="s">
        <v>5</v>
      </c>
      <c r="I317" t="s">
        <v>968</v>
      </c>
      <c r="J317">
        <v>60025555</v>
      </c>
      <c r="K317" t="s">
        <v>195</v>
      </c>
      <c r="L317" t="s">
        <v>172</v>
      </c>
      <c r="M317" t="s">
        <v>14</v>
      </c>
      <c r="N317">
        <v>2</v>
      </c>
      <c r="O317" t="s">
        <v>967</v>
      </c>
      <c r="P317" t="s">
        <v>966</v>
      </c>
      <c r="Q317" t="s">
        <v>198</v>
      </c>
      <c r="R317" s="8">
        <v>34912</v>
      </c>
      <c r="S317" s="9">
        <f t="shared" si="32"/>
        <v>1995</v>
      </c>
      <c r="T317" s="9">
        <v>1995</v>
      </c>
      <c r="U317" s="9">
        <f t="shared" si="33"/>
        <v>27</v>
      </c>
      <c r="V317" s="8">
        <v>34912</v>
      </c>
      <c r="W317" t="s">
        <v>425</v>
      </c>
      <c r="X317" s="2">
        <v>0.182</v>
      </c>
      <c r="Y317" s="7">
        <f t="shared" si="34"/>
        <v>4.8583860548303574E-3</v>
      </c>
      <c r="AA317">
        <v>9168524</v>
      </c>
      <c r="AB317">
        <v>26075</v>
      </c>
      <c r="AD317" t="s">
        <v>3</v>
      </c>
      <c r="AE317" t="s">
        <v>424</v>
      </c>
      <c r="AF317">
        <v>8</v>
      </c>
      <c r="AH317" t="s">
        <v>965</v>
      </c>
      <c r="AI317" t="s">
        <v>964</v>
      </c>
      <c r="AK317" t="s">
        <v>963</v>
      </c>
      <c r="AL317">
        <v>5</v>
      </c>
      <c r="AM317" s="5">
        <f t="shared" si="35"/>
        <v>0.18518518518518517</v>
      </c>
      <c r="AN317" s="4">
        <f t="shared" si="36"/>
        <v>2.804773724879745E-4</v>
      </c>
      <c r="AO317" s="3"/>
      <c r="AP317">
        <v>0</v>
      </c>
      <c r="AR317" t="s">
        <v>1</v>
      </c>
      <c r="AT317" s="2">
        <v>0.35199999999999998</v>
      </c>
      <c r="AU317" s="1">
        <f t="shared" si="37"/>
        <v>0.3485013450127642</v>
      </c>
      <c r="AV317" s="1">
        <f t="shared" si="38"/>
        <v>0.2569431713659166</v>
      </c>
      <c r="AW317" s="1">
        <f t="shared" si="39"/>
        <v>0.16538499771906895</v>
      </c>
    </row>
    <row r="318" spans="1:49" x14ac:dyDescent="0.2">
      <c r="A318">
        <v>316</v>
      </c>
      <c r="B318" t="s">
        <v>962</v>
      </c>
      <c r="F318" t="s">
        <v>961</v>
      </c>
      <c r="G318" t="s">
        <v>6</v>
      </c>
      <c r="H318" t="s">
        <v>5</v>
      </c>
      <c r="I318" t="s">
        <v>960</v>
      </c>
      <c r="J318">
        <v>60019870</v>
      </c>
      <c r="K318" t="s">
        <v>959</v>
      </c>
      <c r="L318" t="s">
        <v>958</v>
      </c>
      <c r="M318" t="s">
        <v>34</v>
      </c>
      <c r="N318">
        <v>1</v>
      </c>
      <c r="O318" t="s">
        <v>957</v>
      </c>
      <c r="P318">
        <v>7003548488</v>
      </c>
      <c r="Q318">
        <v>60019870</v>
      </c>
      <c r="R318" s="8">
        <v>34912</v>
      </c>
      <c r="S318" s="9">
        <f t="shared" si="32"/>
        <v>1995</v>
      </c>
      <c r="T318" s="9">
        <v>1995</v>
      </c>
      <c r="U318" s="9">
        <f t="shared" si="33"/>
        <v>27</v>
      </c>
      <c r="V318" s="8">
        <v>34912</v>
      </c>
      <c r="W318" t="s">
        <v>425</v>
      </c>
      <c r="X318" s="2">
        <v>0.182</v>
      </c>
      <c r="Y318" s="7">
        <f t="shared" si="34"/>
        <v>4.8583860548303574E-3</v>
      </c>
      <c r="AA318">
        <v>9168524</v>
      </c>
      <c r="AB318">
        <v>26075</v>
      </c>
      <c r="AD318" t="s">
        <v>3</v>
      </c>
      <c r="AE318" t="s">
        <v>424</v>
      </c>
      <c r="AF318">
        <v>8</v>
      </c>
      <c r="AH318" t="s">
        <v>956</v>
      </c>
      <c r="AI318" t="s">
        <v>955</v>
      </c>
      <c r="AK318" t="s">
        <v>954</v>
      </c>
      <c r="AL318">
        <v>0</v>
      </c>
      <c r="AM318" s="5">
        <f t="shared" si="35"/>
        <v>0</v>
      </c>
      <c r="AN318" s="4">
        <f t="shared" si="36"/>
        <v>0</v>
      </c>
      <c r="AO318" s="3"/>
      <c r="AP318">
        <v>0</v>
      </c>
      <c r="AR318" t="s">
        <v>1</v>
      </c>
      <c r="AT318" s="2">
        <v>0.35199999999999998</v>
      </c>
      <c r="AU318" s="1">
        <f t="shared" si="37"/>
        <v>0.340087023838125</v>
      </c>
      <c r="AV318" s="1">
        <f t="shared" si="38"/>
        <v>0.24291930274151788</v>
      </c>
      <c r="AW318" s="1">
        <f t="shared" si="39"/>
        <v>0.14575158164491073</v>
      </c>
    </row>
    <row r="319" spans="1:49" x14ac:dyDescent="0.2">
      <c r="A319">
        <v>317</v>
      </c>
      <c r="B319" t="s">
        <v>953</v>
      </c>
      <c r="F319" t="s">
        <v>952</v>
      </c>
      <c r="G319" t="s">
        <v>6</v>
      </c>
      <c r="H319" t="s">
        <v>5</v>
      </c>
      <c r="I319" t="s">
        <v>951</v>
      </c>
      <c r="J319">
        <v>60028263</v>
      </c>
      <c r="K319" t="s">
        <v>950</v>
      </c>
      <c r="L319" t="s">
        <v>949</v>
      </c>
      <c r="M319" t="s">
        <v>14</v>
      </c>
      <c r="N319">
        <v>4</v>
      </c>
      <c r="O319" t="s">
        <v>948</v>
      </c>
      <c r="P319" t="s">
        <v>947</v>
      </c>
      <c r="Q319" t="s">
        <v>946</v>
      </c>
      <c r="R319" s="8">
        <v>34912</v>
      </c>
      <c r="S319" s="9">
        <f t="shared" si="32"/>
        <v>1995</v>
      </c>
      <c r="T319" s="9">
        <v>1995</v>
      </c>
      <c r="U319" s="9">
        <f t="shared" si="33"/>
        <v>27</v>
      </c>
      <c r="V319" s="8">
        <v>34912</v>
      </c>
      <c r="W319" t="s">
        <v>425</v>
      </c>
      <c r="X319" s="2">
        <v>0.182</v>
      </c>
      <c r="Y319" s="7">
        <f t="shared" si="34"/>
        <v>4.8583860548303574E-3</v>
      </c>
      <c r="AA319">
        <v>9168524</v>
      </c>
      <c r="AB319">
        <v>26075</v>
      </c>
      <c r="AD319" t="s">
        <v>3</v>
      </c>
      <c r="AE319" t="s">
        <v>424</v>
      </c>
      <c r="AF319">
        <v>8</v>
      </c>
      <c r="AH319" t="s">
        <v>945</v>
      </c>
      <c r="AI319" t="s">
        <v>944</v>
      </c>
      <c r="AK319" t="s">
        <v>943</v>
      </c>
      <c r="AL319">
        <v>0</v>
      </c>
      <c r="AM319" s="5">
        <f t="shared" si="35"/>
        <v>0</v>
      </c>
      <c r="AN319" s="4">
        <f t="shared" si="36"/>
        <v>0</v>
      </c>
      <c r="AO319" s="3"/>
      <c r="AP319">
        <v>0</v>
      </c>
      <c r="AR319" t="s">
        <v>1</v>
      </c>
      <c r="AT319" s="2">
        <v>0.35199999999999998</v>
      </c>
      <c r="AU319" s="1">
        <f t="shared" si="37"/>
        <v>0.340087023838125</v>
      </c>
      <c r="AV319" s="1">
        <f t="shared" si="38"/>
        <v>0.24291930274151788</v>
      </c>
      <c r="AW319" s="1">
        <f t="shared" si="39"/>
        <v>0.14575158164491073</v>
      </c>
    </row>
    <row r="320" spans="1:49" x14ac:dyDescent="0.2">
      <c r="A320">
        <v>318</v>
      </c>
      <c r="B320" t="s">
        <v>942</v>
      </c>
      <c r="C320" t="s">
        <v>941</v>
      </c>
      <c r="F320" t="s">
        <v>940</v>
      </c>
      <c r="G320" t="s">
        <v>6</v>
      </c>
      <c r="H320" t="s">
        <v>5</v>
      </c>
      <c r="I320" t="s">
        <v>939</v>
      </c>
      <c r="J320">
        <v>60008424</v>
      </c>
      <c r="K320" t="s">
        <v>938</v>
      </c>
      <c r="L320" t="s">
        <v>937</v>
      </c>
      <c r="M320" t="s">
        <v>68</v>
      </c>
      <c r="N320">
        <v>6</v>
      </c>
      <c r="O320" t="s">
        <v>936</v>
      </c>
      <c r="P320" t="s">
        <v>935</v>
      </c>
      <c r="Q320" t="s">
        <v>934</v>
      </c>
      <c r="R320" s="8">
        <v>34912</v>
      </c>
      <c r="S320" s="9">
        <f t="shared" si="32"/>
        <v>1995</v>
      </c>
      <c r="T320" s="9">
        <v>1995</v>
      </c>
      <c r="U320" s="9">
        <f t="shared" si="33"/>
        <v>27</v>
      </c>
      <c r="V320" s="8">
        <v>34912</v>
      </c>
      <c r="W320" s="11" t="s">
        <v>238</v>
      </c>
      <c r="X320" s="2">
        <v>2.383</v>
      </c>
      <c r="Y320" s="7">
        <f t="shared" si="34"/>
        <v>6.3612824003630442E-2</v>
      </c>
      <c r="AA320">
        <v>13502417</v>
      </c>
      <c r="AB320">
        <v>17416</v>
      </c>
      <c r="AD320" t="s">
        <v>3</v>
      </c>
      <c r="AE320">
        <v>142</v>
      </c>
      <c r="AF320">
        <v>4</v>
      </c>
      <c r="AH320" t="s">
        <v>933</v>
      </c>
      <c r="AI320" t="s">
        <v>932</v>
      </c>
      <c r="AK320" t="s">
        <v>931</v>
      </c>
      <c r="AL320">
        <v>0</v>
      </c>
      <c r="AM320" s="5">
        <f t="shared" si="35"/>
        <v>0</v>
      </c>
      <c r="AN320" s="4">
        <f t="shared" si="36"/>
        <v>0</v>
      </c>
      <c r="AO320" s="3"/>
      <c r="AP320">
        <v>0</v>
      </c>
      <c r="AR320" t="s">
        <v>1</v>
      </c>
      <c r="AT320" s="2" t="s">
        <v>7</v>
      </c>
      <c r="AU320" s="1">
        <f t="shared" si="37"/>
        <v>4.4528976802541305</v>
      </c>
      <c r="AV320" s="1">
        <f t="shared" si="38"/>
        <v>3.1806412001815221</v>
      </c>
      <c r="AW320" s="1">
        <f t="shared" si="39"/>
        <v>1.9083847201089132</v>
      </c>
    </row>
    <row r="321" spans="1:49" x14ac:dyDescent="0.2">
      <c r="A321">
        <v>319</v>
      </c>
      <c r="B321" t="s">
        <v>930</v>
      </c>
      <c r="F321" t="s">
        <v>929</v>
      </c>
      <c r="G321" t="s">
        <v>6</v>
      </c>
      <c r="H321" t="s">
        <v>5</v>
      </c>
      <c r="I321" t="s">
        <v>928</v>
      </c>
      <c r="J321">
        <v>60021366</v>
      </c>
      <c r="K321" t="s">
        <v>927</v>
      </c>
      <c r="L321" t="s">
        <v>96</v>
      </c>
      <c r="M321" t="s">
        <v>4</v>
      </c>
      <c r="N321">
        <v>1</v>
      </c>
      <c r="O321" t="s">
        <v>926</v>
      </c>
      <c r="P321">
        <v>6506809090</v>
      </c>
      <c r="Q321">
        <v>60021366</v>
      </c>
      <c r="R321" s="8">
        <v>34912</v>
      </c>
      <c r="S321" s="9">
        <f t="shared" si="32"/>
        <v>1995</v>
      </c>
      <c r="T321" s="9">
        <v>1995</v>
      </c>
      <c r="U321" s="9">
        <f t="shared" si="33"/>
        <v>27</v>
      </c>
      <c r="V321" s="8">
        <v>34912</v>
      </c>
      <c r="W321" t="s">
        <v>871</v>
      </c>
      <c r="X321" s="2">
        <v>0.10100000000000001</v>
      </c>
      <c r="Y321" s="7">
        <f t="shared" si="34"/>
        <v>2.6961373161421215E-3</v>
      </c>
      <c r="AA321">
        <v>7452883</v>
      </c>
      <c r="AB321">
        <v>18563</v>
      </c>
      <c r="AD321" t="s">
        <v>3</v>
      </c>
      <c r="AE321">
        <v>34</v>
      </c>
      <c r="AF321">
        <v>11</v>
      </c>
      <c r="AI321" t="s">
        <v>925</v>
      </c>
      <c r="AK321" t="s">
        <v>924</v>
      </c>
      <c r="AL321">
        <v>0</v>
      </c>
      <c r="AM321" s="5">
        <f t="shared" si="35"/>
        <v>0</v>
      </c>
      <c r="AN321" s="4">
        <f t="shared" si="36"/>
        <v>0</v>
      </c>
      <c r="AO321" s="3"/>
      <c r="AP321">
        <v>0</v>
      </c>
      <c r="AR321" t="s">
        <v>1</v>
      </c>
      <c r="AT321" s="2" t="s">
        <v>7</v>
      </c>
      <c r="AU321" s="1">
        <f t="shared" si="37"/>
        <v>0.18872961212994849</v>
      </c>
      <c r="AV321" s="1">
        <f t="shared" si="38"/>
        <v>0.13480686580710607</v>
      </c>
      <c r="AW321" s="1">
        <f t="shared" si="39"/>
        <v>8.0884119484263647E-2</v>
      </c>
    </row>
    <row r="322" spans="1:49" x14ac:dyDescent="0.2">
      <c r="A322">
        <v>320</v>
      </c>
      <c r="B322" t="s">
        <v>923</v>
      </c>
      <c r="F322" t="s">
        <v>922</v>
      </c>
      <c r="G322" t="s">
        <v>6</v>
      </c>
      <c r="H322" t="s">
        <v>5</v>
      </c>
      <c r="I322" t="s">
        <v>315</v>
      </c>
      <c r="J322">
        <v>60018279</v>
      </c>
      <c r="K322" t="s">
        <v>251</v>
      </c>
      <c r="L322" t="s">
        <v>250</v>
      </c>
      <c r="M322" t="s">
        <v>14</v>
      </c>
      <c r="N322">
        <v>2</v>
      </c>
      <c r="O322" t="s">
        <v>921</v>
      </c>
      <c r="P322" t="s">
        <v>920</v>
      </c>
      <c r="Q322" t="s">
        <v>249</v>
      </c>
      <c r="R322" s="8">
        <v>34912</v>
      </c>
      <c r="S322" s="9">
        <f t="shared" ref="S322:S365" si="40">YEAR(R322)</f>
        <v>1995</v>
      </c>
      <c r="T322" s="9">
        <v>1995</v>
      </c>
      <c r="U322" s="9">
        <f t="shared" ref="U322:U365" si="41">2022-T322</f>
        <v>27</v>
      </c>
      <c r="V322" s="8">
        <v>34912</v>
      </c>
      <c r="W322" t="s">
        <v>403</v>
      </c>
      <c r="X322" s="2">
        <v>0.21099999999999999</v>
      </c>
      <c r="Y322" s="7">
        <f t="shared" ref="Y322:Y365" si="42">(X322-$Z$4)/($Z$3-$Z$4)</f>
        <v>5.6325244921384904E-3</v>
      </c>
      <c r="AA322">
        <v>9168516</v>
      </c>
      <c r="AB322">
        <v>18936</v>
      </c>
      <c r="AD322" t="s">
        <v>3</v>
      </c>
      <c r="AE322" t="s">
        <v>402</v>
      </c>
      <c r="AF322">
        <v>8</v>
      </c>
      <c r="AH322" t="s">
        <v>919</v>
      </c>
      <c r="AI322" t="s">
        <v>918</v>
      </c>
      <c r="AK322" t="s">
        <v>917</v>
      </c>
      <c r="AL322">
        <v>20</v>
      </c>
      <c r="AM322" s="5">
        <f t="shared" ref="AM322:AM365" si="43">AL322/U322</f>
        <v>0.7407407407407407</v>
      </c>
      <c r="AN322" s="4">
        <f t="shared" ref="AN322:AN365" si="44">(AM322-$AO$4)/($AO$3-$AO$4)</f>
        <v>1.121909489951898E-3</v>
      </c>
      <c r="AO322" s="3"/>
      <c r="AP322">
        <v>0</v>
      </c>
      <c r="AR322" t="s">
        <v>1</v>
      </c>
      <c r="AT322" s="2">
        <v>0.52500000000000002</v>
      </c>
      <c r="AU322" s="1">
        <f t="shared" ref="AU322:AU365" si="45">(Y322*0.7+AN322*0.3)*100</f>
        <v>0.42793399914825125</v>
      </c>
      <c r="AV322" s="1">
        <f t="shared" ref="AV322:AV365" si="46">(Y322*0.5+AN322*0.5)*100</f>
        <v>0.33772169910451943</v>
      </c>
      <c r="AW322" s="1">
        <f t="shared" ref="AW322:AW365" si="47">(Y322*0.3+AN322*0.7)*100</f>
        <v>0.24750939906078756</v>
      </c>
    </row>
    <row r="323" spans="1:49" x14ac:dyDescent="0.2">
      <c r="A323">
        <v>321</v>
      </c>
      <c r="B323" t="s">
        <v>916</v>
      </c>
      <c r="F323" t="s">
        <v>915</v>
      </c>
      <c r="G323" t="s">
        <v>6</v>
      </c>
      <c r="H323" t="s">
        <v>5</v>
      </c>
      <c r="I323" t="s">
        <v>914</v>
      </c>
      <c r="J323">
        <v>60005429</v>
      </c>
      <c r="K323" t="s">
        <v>143</v>
      </c>
      <c r="L323" t="s">
        <v>142</v>
      </c>
      <c r="M323" t="s">
        <v>141</v>
      </c>
      <c r="N323">
        <v>2</v>
      </c>
      <c r="O323" t="s">
        <v>913</v>
      </c>
      <c r="P323" t="s">
        <v>912</v>
      </c>
      <c r="Q323" t="s">
        <v>140</v>
      </c>
      <c r="R323" s="8">
        <v>34912</v>
      </c>
      <c r="S323" s="9">
        <f t="shared" si="40"/>
        <v>1995</v>
      </c>
      <c r="T323" s="9">
        <v>1995</v>
      </c>
      <c r="U323" s="9">
        <f t="shared" si="41"/>
        <v>27</v>
      </c>
      <c r="V323" s="8">
        <v>34912</v>
      </c>
      <c r="W323" t="s">
        <v>425</v>
      </c>
      <c r="X323" s="2">
        <v>0.182</v>
      </c>
      <c r="Y323" s="7">
        <f t="shared" si="42"/>
        <v>4.8583860548303574E-3</v>
      </c>
      <c r="AA323">
        <v>9168524</v>
      </c>
      <c r="AB323">
        <v>26075</v>
      </c>
      <c r="AD323" t="s">
        <v>3</v>
      </c>
      <c r="AE323" t="s">
        <v>424</v>
      </c>
      <c r="AF323">
        <v>8</v>
      </c>
      <c r="AH323" t="s">
        <v>911</v>
      </c>
      <c r="AI323" t="s">
        <v>910</v>
      </c>
      <c r="AK323" t="s">
        <v>909</v>
      </c>
      <c r="AL323">
        <v>45</v>
      </c>
      <c r="AM323" s="5">
        <f t="shared" si="43"/>
        <v>1.6666666666666667</v>
      </c>
      <c r="AN323" s="4">
        <f t="shared" si="44"/>
        <v>2.5242963523917708E-3</v>
      </c>
      <c r="AO323" s="3"/>
      <c r="AP323">
        <v>0</v>
      </c>
      <c r="AR323" t="s">
        <v>1</v>
      </c>
      <c r="AT323" s="2">
        <v>0.35199999999999998</v>
      </c>
      <c r="AU323" s="1">
        <f t="shared" si="45"/>
        <v>0.41581591440987814</v>
      </c>
      <c r="AV323" s="1">
        <f t="shared" si="46"/>
        <v>0.36913412036110643</v>
      </c>
      <c r="AW323" s="1">
        <f t="shared" si="47"/>
        <v>0.32245232631233467</v>
      </c>
    </row>
    <row r="324" spans="1:49" x14ac:dyDescent="0.2">
      <c r="A324">
        <v>322</v>
      </c>
      <c r="B324" t="s">
        <v>908</v>
      </c>
      <c r="F324" t="s">
        <v>907</v>
      </c>
      <c r="G324" t="s">
        <v>6</v>
      </c>
      <c r="H324" t="s">
        <v>5</v>
      </c>
      <c r="I324" t="s">
        <v>906</v>
      </c>
      <c r="J324">
        <v>60103680</v>
      </c>
      <c r="K324" t="s">
        <v>465</v>
      </c>
      <c r="L324" t="s">
        <v>464</v>
      </c>
      <c r="M324" t="s">
        <v>14</v>
      </c>
      <c r="N324">
        <v>5</v>
      </c>
      <c r="O324" t="s">
        <v>905</v>
      </c>
      <c r="P324" t="s">
        <v>904</v>
      </c>
      <c r="Q324" t="s">
        <v>903</v>
      </c>
      <c r="R324" s="8">
        <v>34912</v>
      </c>
      <c r="S324" s="9">
        <f t="shared" si="40"/>
        <v>1995</v>
      </c>
      <c r="T324" s="9">
        <v>1995</v>
      </c>
      <c r="U324" s="9">
        <f t="shared" si="41"/>
        <v>27</v>
      </c>
      <c r="V324" s="8">
        <v>34912</v>
      </c>
      <c r="W324" t="s">
        <v>425</v>
      </c>
      <c r="X324" s="2">
        <v>0.182</v>
      </c>
      <c r="Y324" s="7">
        <f t="shared" si="42"/>
        <v>4.8583860548303574E-3</v>
      </c>
      <c r="AA324">
        <v>9168524</v>
      </c>
      <c r="AB324">
        <v>26075</v>
      </c>
      <c r="AD324" t="s">
        <v>3</v>
      </c>
      <c r="AE324" t="s">
        <v>424</v>
      </c>
      <c r="AF324">
        <v>8</v>
      </c>
      <c r="AH324" t="s">
        <v>902</v>
      </c>
      <c r="AI324" t="s">
        <v>901</v>
      </c>
      <c r="AK324" t="s">
        <v>900</v>
      </c>
      <c r="AL324">
        <v>17</v>
      </c>
      <c r="AM324" s="5">
        <f t="shared" si="43"/>
        <v>0.62962962962962965</v>
      </c>
      <c r="AN324" s="4">
        <f t="shared" si="44"/>
        <v>9.536230664591134E-4</v>
      </c>
      <c r="AO324" s="3"/>
      <c r="AP324">
        <v>0</v>
      </c>
      <c r="AR324" t="s">
        <v>1</v>
      </c>
      <c r="AT324" s="2">
        <v>0.35199999999999998</v>
      </c>
      <c r="AU324" s="1">
        <f t="shared" si="45"/>
        <v>0.36869571583189842</v>
      </c>
      <c r="AV324" s="1">
        <f t="shared" si="46"/>
        <v>0.29060045606447354</v>
      </c>
      <c r="AW324" s="1">
        <f t="shared" si="47"/>
        <v>0.21250519629704864</v>
      </c>
    </row>
    <row r="325" spans="1:49" x14ac:dyDescent="0.2">
      <c r="A325">
        <v>323</v>
      </c>
      <c r="B325" t="s">
        <v>899</v>
      </c>
      <c r="F325" t="s">
        <v>898</v>
      </c>
      <c r="G325" t="s">
        <v>6</v>
      </c>
      <c r="H325" t="s">
        <v>5</v>
      </c>
      <c r="I325" t="s">
        <v>279</v>
      </c>
      <c r="J325">
        <v>60013682</v>
      </c>
      <c r="K325" t="s">
        <v>897</v>
      </c>
      <c r="L325" t="s">
        <v>896</v>
      </c>
      <c r="M325" t="s">
        <v>197</v>
      </c>
      <c r="N325">
        <v>2</v>
      </c>
      <c r="O325" t="s">
        <v>895</v>
      </c>
      <c r="P325" t="s">
        <v>894</v>
      </c>
      <c r="Q325" t="s">
        <v>893</v>
      </c>
      <c r="R325" s="8">
        <v>34912</v>
      </c>
      <c r="S325" s="9">
        <f t="shared" si="40"/>
        <v>1995</v>
      </c>
      <c r="T325" s="9">
        <v>1995</v>
      </c>
      <c r="U325" s="9">
        <f t="shared" si="41"/>
        <v>27</v>
      </c>
      <c r="V325" s="8">
        <v>34912</v>
      </c>
      <c r="W325" t="s">
        <v>425</v>
      </c>
      <c r="X325" s="2">
        <v>0.182</v>
      </c>
      <c r="Y325" s="7">
        <f t="shared" si="42"/>
        <v>4.8583860548303574E-3</v>
      </c>
      <c r="AA325">
        <v>9168524</v>
      </c>
      <c r="AB325">
        <v>26075</v>
      </c>
      <c r="AD325" t="s">
        <v>3</v>
      </c>
      <c r="AE325" t="s">
        <v>424</v>
      </c>
      <c r="AF325">
        <v>8</v>
      </c>
      <c r="AH325" t="s">
        <v>892</v>
      </c>
      <c r="AI325" t="s">
        <v>891</v>
      </c>
      <c r="AK325" t="s">
        <v>890</v>
      </c>
      <c r="AL325">
        <v>0</v>
      </c>
      <c r="AM325" s="5">
        <f t="shared" si="43"/>
        <v>0</v>
      </c>
      <c r="AN325" s="4">
        <f t="shared" si="44"/>
        <v>0</v>
      </c>
      <c r="AO325" s="3"/>
      <c r="AP325">
        <v>0</v>
      </c>
      <c r="AR325" t="s">
        <v>1</v>
      </c>
      <c r="AT325" s="2">
        <v>0.35199999999999998</v>
      </c>
      <c r="AU325" s="1">
        <f t="shared" si="45"/>
        <v>0.340087023838125</v>
      </c>
      <c r="AV325" s="1">
        <f t="shared" si="46"/>
        <v>0.24291930274151788</v>
      </c>
      <c r="AW325" s="1">
        <f t="shared" si="47"/>
        <v>0.14575158164491073</v>
      </c>
    </row>
    <row r="326" spans="1:49" x14ac:dyDescent="0.2">
      <c r="A326">
        <v>324</v>
      </c>
      <c r="B326" t="s">
        <v>889</v>
      </c>
      <c r="F326" t="s">
        <v>888</v>
      </c>
      <c r="G326" t="s">
        <v>6</v>
      </c>
      <c r="H326" t="s">
        <v>5</v>
      </c>
      <c r="I326" t="s">
        <v>887</v>
      </c>
      <c r="J326">
        <v>60032144</v>
      </c>
      <c r="K326" t="s">
        <v>886</v>
      </c>
      <c r="L326" t="s">
        <v>885</v>
      </c>
      <c r="M326" t="s">
        <v>197</v>
      </c>
      <c r="N326">
        <v>2</v>
      </c>
      <c r="O326" t="s">
        <v>884</v>
      </c>
      <c r="P326" t="s">
        <v>883</v>
      </c>
      <c r="Q326" t="s">
        <v>882</v>
      </c>
      <c r="R326" s="8">
        <v>34912</v>
      </c>
      <c r="S326" s="9">
        <f t="shared" si="40"/>
        <v>1995</v>
      </c>
      <c r="T326" s="9">
        <v>1995</v>
      </c>
      <c r="U326" s="9">
        <f t="shared" si="41"/>
        <v>27</v>
      </c>
      <c r="V326" s="8">
        <v>34912</v>
      </c>
      <c r="W326" t="s">
        <v>425</v>
      </c>
      <c r="X326" s="2">
        <v>0.182</v>
      </c>
      <c r="Y326" s="7">
        <f t="shared" si="42"/>
        <v>4.8583860548303574E-3</v>
      </c>
      <c r="AA326">
        <v>9168524</v>
      </c>
      <c r="AB326">
        <v>26075</v>
      </c>
      <c r="AD326" t="s">
        <v>3</v>
      </c>
      <c r="AE326" t="s">
        <v>424</v>
      </c>
      <c r="AF326">
        <v>8</v>
      </c>
      <c r="AH326" t="s">
        <v>881</v>
      </c>
      <c r="AI326" t="s">
        <v>880</v>
      </c>
      <c r="AK326" t="s">
        <v>879</v>
      </c>
      <c r="AL326">
        <v>1</v>
      </c>
      <c r="AM326" s="5">
        <f t="shared" si="43"/>
        <v>3.7037037037037035E-2</v>
      </c>
      <c r="AN326" s="4">
        <f t="shared" si="44"/>
        <v>5.6095474497594906E-5</v>
      </c>
      <c r="AO326" s="3"/>
      <c r="AP326">
        <v>0</v>
      </c>
      <c r="AR326" t="s">
        <v>1</v>
      </c>
      <c r="AT326" s="2">
        <v>0.35199999999999998</v>
      </c>
      <c r="AU326" s="1">
        <f t="shared" si="45"/>
        <v>0.34176988807305281</v>
      </c>
      <c r="AV326" s="1">
        <f t="shared" si="46"/>
        <v>0.2457240764663976</v>
      </c>
      <c r="AW326" s="1">
        <f t="shared" si="47"/>
        <v>0.14967826485974237</v>
      </c>
    </row>
    <row r="327" spans="1:49" x14ac:dyDescent="0.2">
      <c r="A327">
        <v>325</v>
      </c>
      <c r="B327" t="s">
        <v>878</v>
      </c>
      <c r="F327" t="s">
        <v>877</v>
      </c>
      <c r="G327" t="s">
        <v>6</v>
      </c>
      <c r="H327" t="s">
        <v>5</v>
      </c>
      <c r="I327" t="s">
        <v>876</v>
      </c>
      <c r="J327">
        <v>109344508</v>
      </c>
      <c r="K327" t="s">
        <v>875</v>
      </c>
      <c r="N327">
        <v>2</v>
      </c>
      <c r="O327" t="s">
        <v>874</v>
      </c>
      <c r="P327" t="s">
        <v>873</v>
      </c>
      <c r="Q327" t="s">
        <v>872</v>
      </c>
      <c r="R327" s="8">
        <v>34912</v>
      </c>
      <c r="S327" s="9">
        <f t="shared" si="40"/>
        <v>1995</v>
      </c>
      <c r="T327" s="9">
        <v>1995</v>
      </c>
      <c r="U327" s="9">
        <f t="shared" si="41"/>
        <v>27</v>
      </c>
      <c r="V327" s="8">
        <v>34912</v>
      </c>
      <c r="W327" t="s">
        <v>871</v>
      </c>
      <c r="X327" s="2">
        <v>0.10100000000000001</v>
      </c>
      <c r="Y327" s="7">
        <f t="shared" si="42"/>
        <v>2.6961373161421215E-3</v>
      </c>
      <c r="AA327">
        <v>7452883</v>
      </c>
      <c r="AB327">
        <v>18563</v>
      </c>
      <c r="AD327" t="s">
        <v>3</v>
      </c>
      <c r="AF327" t="s">
        <v>870</v>
      </c>
      <c r="AI327" t="s">
        <v>869</v>
      </c>
      <c r="AK327" t="s">
        <v>868</v>
      </c>
      <c r="AL327">
        <v>0</v>
      </c>
      <c r="AM327" s="5">
        <f t="shared" si="43"/>
        <v>0</v>
      </c>
      <c r="AN327" s="4">
        <f t="shared" si="44"/>
        <v>0</v>
      </c>
      <c r="AO327" s="3"/>
      <c r="AP327">
        <v>0</v>
      </c>
      <c r="AR327" t="s">
        <v>1</v>
      </c>
      <c r="AT327" s="2" t="s">
        <v>7</v>
      </c>
      <c r="AU327" s="1">
        <f t="shared" si="45"/>
        <v>0.18872961212994849</v>
      </c>
      <c r="AV327" s="1">
        <f t="shared" si="46"/>
        <v>0.13480686580710607</v>
      </c>
      <c r="AW327" s="1">
        <f t="shared" si="47"/>
        <v>8.0884119484263647E-2</v>
      </c>
    </row>
    <row r="328" spans="1:49" x14ac:dyDescent="0.2">
      <c r="A328">
        <v>326</v>
      </c>
      <c r="B328" t="s">
        <v>867</v>
      </c>
      <c r="F328" t="s">
        <v>866</v>
      </c>
      <c r="G328" t="s">
        <v>6</v>
      </c>
      <c r="H328" t="s">
        <v>5</v>
      </c>
      <c r="I328" t="s">
        <v>432</v>
      </c>
      <c r="N328">
        <v>5</v>
      </c>
      <c r="O328" t="s">
        <v>865</v>
      </c>
      <c r="P328" t="s">
        <v>864</v>
      </c>
      <c r="Q328" t="s">
        <v>110</v>
      </c>
      <c r="R328" s="8">
        <v>34912</v>
      </c>
      <c r="S328" s="9">
        <f t="shared" si="40"/>
        <v>1995</v>
      </c>
      <c r="T328" s="9">
        <v>1995</v>
      </c>
      <c r="U328" s="9">
        <f t="shared" si="41"/>
        <v>27</v>
      </c>
      <c r="V328" s="8">
        <v>34912</v>
      </c>
      <c r="W328" t="s">
        <v>127</v>
      </c>
      <c r="X328" s="2">
        <v>0.14099999999999999</v>
      </c>
      <c r="Y328" s="7">
        <f t="shared" si="42"/>
        <v>3.7639144710498915E-3</v>
      </c>
      <c r="AA328">
        <v>402508</v>
      </c>
      <c r="AB328">
        <v>20868</v>
      </c>
      <c r="AD328" t="s">
        <v>3</v>
      </c>
      <c r="AE328">
        <v>49</v>
      </c>
      <c r="AF328">
        <v>8</v>
      </c>
      <c r="AH328" t="s">
        <v>863</v>
      </c>
      <c r="AI328" t="s">
        <v>862</v>
      </c>
      <c r="AK328" t="s">
        <v>861</v>
      </c>
      <c r="AL328">
        <v>0</v>
      </c>
      <c r="AM328" s="5">
        <f t="shared" si="43"/>
        <v>0</v>
      </c>
      <c r="AN328" s="4">
        <f t="shared" si="44"/>
        <v>0</v>
      </c>
      <c r="AO328" s="3"/>
      <c r="AP328">
        <v>0</v>
      </c>
      <c r="AR328" t="s">
        <v>1</v>
      </c>
      <c r="AT328" s="2" t="s">
        <v>7</v>
      </c>
      <c r="AU328" s="1">
        <f t="shared" si="45"/>
        <v>0.26347401297349238</v>
      </c>
      <c r="AV328" s="1">
        <f t="shared" si="46"/>
        <v>0.18819572355249459</v>
      </c>
      <c r="AW328" s="1">
        <f t="shared" si="47"/>
        <v>0.11291743413149673</v>
      </c>
    </row>
    <row r="329" spans="1:49" x14ac:dyDescent="0.2">
      <c r="A329">
        <v>327</v>
      </c>
      <c r="B329" t="s">
        <v>860</v>
      </c>
      <c r="F329" t="s">
        <v>859</v>
      </c>
      <c r="G329" t="s">
        <v>6</v>
      </c>
      <c r="H329" t="s">
        <v>5</v>
      </c>
      <c r="I329" t="s">
        <v>858</v>
      </c>
      <c r="N329">
        <v>1</v>
      </c>
      <c r="O329" t="s">
        <v>857</v>
      </c>
      <c r="P329">
        <v>57197937445</v>
      </c>
      <c r="R329" s="8">
        <v>34912</v>
      </c>
      <c r="S329" s="9">
        <f t="shared" si="40"/>
        <v>1995</v>
      </c>
      <c r="T329" s="9">
        <v>1995</v>
      </c>
      <c r="U329" s="9">
        <f t="shared" si="41"/>
        <v>27</v>
      </c>
      <c r="V329" s="8">
        <v>34912</v>
      </c>
      <c r="W329" t="s">
        <v>127</v>
      </c>
      <c r="X329" s="2">
        <v>0.14099999999999999</v>
      </c>
      <c r="Y329" s="7">
        <f t="shared" si="42"/>
        <v>3.7639144710498915E-3</v>
      </c>
      <c r="AA329">
        <v>402508</v>
      </c>
      <c r="AB329">
        <v>20868</v>
      </c>
      <c r="AD329" t="s">
        <v>3</v>
      </c>
      <c r="AE329">
        <v>49</v>
      </c>
      <c r="AF329">
        <v>8</v>
      </c>
      <c r="AH329" t="s">
        <v>333</v>
      </c>
      <c r="AI329" t="s">
        <v>856</v>
      </c>
      <c r="AK329" t="s">
        <v>855</v>
      </c>
      <c r="AL329">
        <v>0</v>
      </c>
      <c r="AM329" s="5">
        <f t="shared" si="43"/>
        <v>0</v>
      </c>
      <c r="AN329" s="4">
        <f t="shared" si="44"/>
        <v>0</v>
      </c>
      <c r="AO329" s="3"/>
      <c r="AP329">
        <v>0</v>
      </c>
      <c r="AR329" t="s">
        <v>1</v>
      </c>
      <c r="AT329" s="2" t="s">
        <v>7</v>
      </c>
      <c r="AU329" s="1">
        <f t="shared" si="45"/>
        <v>0.26347401297349238</v>
      </c>
      <c r="AV329" s="1">
        <f t="shared" si="46"/>
        <v>0.18819572355249459</v>
      </c>
      <c r="AW329" s="1">
        <f t="shared" si="47"/>
        <v>0.11291743413149673</v>
      </c>
    </row>
    <row r="330" spans="1:49" x14ac:dyDescent="0.2">
      <c r="A330">
        <v>328</v>
      </c>
      <c r="B330" t="s">
        <v>854</v>
      </c>
      <c r="F330" t="s">
        <v>853</v>
      </c>
      <c r="G330" t="s">
        <v>6</v>
      </c>
      <c r="H330" t="s">
        <v>5</v>
      </c>
      <c r="I330" t="s">
        <v>443</v>
      </c>
      <c r="N330">
        <v>1</v>
      </c>
      <c r="O330" t="s">
        <v>852</v>
      </c>
      <c r="P330">
        <v>7003513371</v>
      </c>
      <c r="R330" s="8">
        <v>34912</v>
      </c>
      <c r="S330" s="9">
        <f t="shared" si="40"/>
        <v>1995</v>
      </c>
      <c r="T330" s="9">
        <v>1995</v>
      </c>
      <c r="U330" s="9">
        <f t="shared" si="41"/>
        <v>27</v>
      </c>
      <c r="V330" s="8">
        <v>34912</v>
      </c>
      <c r="W330" t="s">
        <v>127</v>
      </c>
      <c r="X330" s="2">
        <v>0.14099999999999999</v>
      </c>
      <c r="Y330" s="7">
        <f t="shared" si="42"/>
        <v>3.7639144710498915E-3</v>
      </c>
      <c r="AA330">
        <v>402508</v>
      </c>
      <c r="AB330">
        <v>20868</v>
      </c>
      <c r="AD330" t="s">
        <v>3</v>
      </c>
      <c r="AE330">
        <v>49</v>
      </c>
      <c r="AF330">
        <v>8</v>
      </c>
      <c r="AH330" t="s">
        <v>851</v>
      </c>
      <c r="AI330" t="s">
        <v>850</v>
      </c>
      <c r="AK330" t="s">
        <v>849</v>
      </c>
      <c r="AL330">
        <v>0</v>
      </c>
      <c r="AM330" s="5">
        <f t="shared" si="43"/>
        <v>0</v>
      </c>
      <c r="AN330" s="4">
        <f t="shared" si="44"/>
        <v>0</v>
      </c>
      <c r="AO330" s="3"/>
      <c r="AP330">
        <v>0</v>
      </c>
      <c r="AR330" t="s">
        <v>1</v>
      </c>
      <c r="AT330" s="2" t="s">
        <v>7</v>
      </c>
      <c r="AU330" s="1">
        <f t="shared" si="45"/>
        <v>0.26347401297349238</v>
      </c>
      <c r="AV330" s="1">
        <f t="shared" si="46"/>
        <v>0.18819572355249459</v>
      </c>
      <c r="AW330" s="1">
        <f t="shared" si="47"/>
        <v>0.11291743413149673</v>
      </c>
    </row>
    <row r="331" spans="1:49" x14ac:dyDescent="0.2">
      <c r="A331">
        <v>329</v>
      </c>
      <c r="B331" t="s">
        <v>848</v>
      </c>
      <c r="F331" t="s">
        <v>847</v>
      </c>
      <c r="G331" t="s">
        <v>6</v>
      </c>
      <c r="H331" t="s">
        <v>5</v>
      </c>
      <c r="I331" t="s">
        <v>846</v>
      </c>
      <c r="N331">
        <v>3</v>
      </c>
      <c r="O331" t="s">
        <v>845</v>
      </c>
      <c r="P331" t="s">
        <v>844</v>
      </c>
      <c r="Q331" t="s">
        <v>107</v>
      </c>
      <c r="R331" s="8">
        <v>34912</v>
      </c>
      <c r="S331" s="9">
        <f t="shared" si="40"/>
        <v>1995</v>
      </c>
      <c r="T331" s="9">
        <v>1995</v>
      </c>
      <c r="U331" s="9">
        <f t="shared" si="41"/>
        <v>27</v>
      </c>
      <c r="V331" s="8">
        <v>34912</v>
      </c>
      <c r="W331" t="s">
        <v>127</v>
      </c>
      <c r="X331" s="2">
        <v>0.14099999999999999</v>
      </c>
      <c r="Y331" s="7">
        <f t="shared" si="42"/>
        <v>3.7639144710498915E-3</v>
      </c>
      <c r="AA331">
        <v>402508</v>
      </c>
      <c r="AB331">
        <v>20868</v>
      </c>
      <c r="AD331" t="s">
        <v>3</v>
      </c>
      <c r="AE331">
        <v>49</v>
      </c>
      <c r="AF331">
        <v>8</v>
      </c>
      <c r="AH331" t="s">
        <v>843</v>
      </c>
      <c r="AI331" t="s">
        <v>842</v>
      </c>
      <c r="AK331" t="s">
        <v>841</v>
      </c>
      <c r="AL331">
        <v>0</v>
      </c>
      <c r="AM331" s="5">
        <f t="shared" si="43"/>
        <v>0</v>
      </c>
      <c r="AN331" s="4">
        <f t="shared" si="44"/>
        <v>0</v>
      </c>
      <c r="AO331" s="3"/>
      <c r="AP331">
        <v>0</v>
      </c>
      <c r="AR331" t="s">
        <v>1</v>
      </c>
      <c r="AT331" s="2" t="s">
        <v>7</v>
      </c>
      <c r="AU331" s="1">
        <f t="shared" si="45"/>
        <v>0.26347401297349238</v>
      </c>
      <c r="AV331" s="1">
        <f t="shared" si="46"/>
        <v>0.18819572355249459</v>
      </c>
      <c r="AW331" s="1">
        <f t="shared" si="47"/>
        <v>0.11291743413149673</v>
      </c>
    </row>
    <row r="332" spans="1:49" x14ac:dyDescent="0.2">
      <c r="A332">
        <v>330</v>
      </c>
      <c r="B332" t="s">
        <v>840</v>
      </c>
      <c r="F332" t="s">
        <v>839</v>
      </c>
      <c r="G332" t="s">
        <v>6</v>
      </c>
      <c r="H332" t="s">
        <v>5</v>
      </c>
      <c r="I332" t="s">
        <v>838</v>
      </c>
      <c r="N332">
        <v>1</v>
      </c>
      <c r="O332" t="s">
        <v>837</v>
      </c>
      <c r="P332">
        <v>6602209291</v>
      </c>
      <c r="R332" s="8">
        <v>34912</v>
      </c>
      <c r="S332" s="9">
        <f t="shared" si="40"/>
        <v>1995</v>
      </c>
      <c r="T332" s="9">
        <v>1995</v>
      </c>
      <c r="U332" s="9">
        <f t="shared" si="41"/>
        <v>27</v>
      </c>
      <c r="V332" s="8">
        <v>34912</v>
      </c>
      <c r="W332" t="s">
        <v>127</v>
      </c>
      <c r="X332" s="2">
        <v>0.14099999999999999</v>
      </c>
      <c r="Y332" s="7">
        <f t="shared" si="42"/>
        <v>3.7639144710498915E-3</v>
      </c>
      <c r="AA332">
        <v>402508</v>
      </c>
      <c r="AB332">
        <v>20868</v>
      </c>
      <c r="AD332" t="s">
        <v>3</v>
      </c>
      <c r="AE332">
        <v>49</v>
      </c>
      <c r="AF332">
        <v>8</v>
      </c>
      <c r="AH332" t="s">
        <v>836</v>
      </c>
      <c r="AI332" t="s">
        <v>835</v>
      </c>
      <c r="AK332" t="s">
        <v>834</v>
      </c>
      <c r="AL332">
        <v>0</v>
      </c>
      <c r="AM332" s="5">
        <f t="shared" si="43"/>
        <v>0</v>
      </c>
      <c r="AN332" s="4">
        <f t="shared" si="44"/>
        <v>0</v>
      </c>
      <c r="AO332" s="3"/>
      <c r="AP332">
        <v>0</v>
      </c>
      <c r="AR332" t="s">
        <v>1</v>
      </c>
      <c r="AT332" s="2" t="s">
        <v>7</v>
      </c>
      <c r="AU332" s="1">
        <f t="shared" si="45"/>
        <v>0.26347401297349238</v>
      </c>
      <c r="AV332" s="1">
        <f t="shared" si="46"/>
        <v>0.18819572355249459</v>
      </c>
      <c r="AW332" s="1">
        <f t="shared" si="47"/>
        <v>0.11291743413149673</v>
      </c>
    </row>
    <row r="333" spans="1:49" x14ac:dyDescent="0.2">
      <c r="A333">
        <v>331</v>
      </c>
      <c r="B333" t="s">
        <v>833</v>
      </c>
      <c r="F333" t="s">
        <v>832</v>
      </c>
      <c r="G333" t="s">
        <v>6</v>
      </c>
      <c r="H333" t="s">
        <v>5</v>
      </c>
      <c r="I333" t="s">
        <v>831</v>
      </c>
      <c r="N333">
        <v>2</v>
      </c>
      <c r="O333" t="s">
        <v>830</v>
      </c>
      <c r="P333" t="s">
        <v>829</v>
      </c>
      <c r="Q333" t="s">
        <v>73</v>
      </c>
      <c r="R333" s="8">
        <v>34912</v>
      </c>
      <c r="S333" s="9">
        <f t="shared" si="40"/>
        <v>1995</v>
      </c>
      <c r="T333" s="9">
        <v>1995</v>
      </c>
      <c r="U333" s="9">
        <f t="shared" si="41"/>
        <v>27</v>
      </c>
      <c r="V333" s="8">
        <v>34912</v>
      </c>
      <c r="W333" t="s">
        <v>127</v>
      </c>
      <c r="X333" s="2">
        <v>0.14099999999999999</v>
      </c>
      <c r="Y333" s="7">
        <f t="shared" si="42"/>
        <v>3.7639144710498915E-3</v>
      </c>
      <c r="AA333">
        <v>402508</v>
      </c>
      <c r="AB333">
        <v>20868</v>
      </c>
      <c r="AD333" t="s">
        <v>3</v>
      </c>
      <c r="AE333">
        <v>49</v>
      </c>
      <c r="AF333">
        <v>8</v>
      </c>
      <c r="AH333" t="s">
        <v>828</v>
      </c>
      <c r="AI333" t="s">
        <v>827</v>
      </c>
      <c r="AK333" t="s">
        <v>826</v>
      </c>
      <c r="AL333">
        <v>0</v>
      </c>
      <c r="AM333" s="5">
        <f t="shared" si="43"/>
        <v>0</v>
      </c>
      <c r="AN333" s="4">
        <f t="shared" si="44"/>
        <v>0</v>
      </c>
      <c r="AO333" s="3"/>
      <c r="AP333">
        <v>0</v>
      </c>
      <c r="AR333" t="s">
        <v>1</v>
      </c>
      <c r="AT333" s="2" t="s">
        <v>7</v>
      </c>
      <c r="AU333" s="1">
        <f t="shared" si="45"/>
        <v>0.26347401297349238</v>
      </c>
      <c r="AV333" s="1">
        <f t="shared" si="46"/>
        <v>0.18819572355249459</v>
      </c>
      <c r="AW333" s="1">
        <f t="shared" si="47"/>
        <v>0.11291743413149673</v>
      </c>
    </row>
    <row r="334" spans="1:49" x14ac:dyDescent="0.2">
      <c r="A334">
        <v>332</v>
      </c>
      <c r="B334" t="s">
        <v>825</v>
      </c>
      <c r="F334" t="s">
        <v>824</v>
      </c>
      <c r="G334" t="s">
        <v>6</v>
      </c>
      <c r="H334" t="s">
        <v>5</v>
      </c>
      <c r="I334" t="s">
        <v>823</v>
      </c>
      <c r="N334">
        <v>3</v>
      </c>
      <c r="O334" t="s">
        <v>822</v>
      </c>
      <c r="P334" t="s">
        <v>821</v>
      </c>
      <c r="Q334" t="s">
        <v>107</v>
      </c>
      <c r="R334" s="8">
        <v>34912</v>
      </c>
      <c r="S334" s="9">
        <f t="shared" si="40"/>
        <v>1995</v>
      </c>
      <c r="T334" s="9">
        <v>1995</v>
      </c>
      <c r="U334" s="9">
        <f t="shared" si="41"/>
        <v>27</v>
      </c>
      <c r="V334" s="8">
        <v>34912</v>
      </c>
      <c r="W334" t="s">
        <v>127</v>
      </c>
      <c r="X334" s="2">
        <v>0.14099999999999999</v>
      </c>
      <c r="Y334" s="7">
        <f t="shared" si="42"/>
        <v>3.7639144710498915E-3</v>
      </c>
      <c r="AA334">
        <v>402508</v>
      </c>
      <c r="AB334">
        <v>20868</v>
      </c>
      <c r="AD334" t="s">
        <v>3</v>
      </c>
      <c r="AE334">
        <v>49</v>
      </c>
      <c r="AF334">
        <v>8</v>
      </c>
      <c r="AH334" t="s">
        <v>820</v>
      </c>
      <c r="AI334" t="s">
        <v>819</v>
      </c>
      <c r="AK334" t="s">
        <v>818</v>
      </c>
      <c r="AL334">
        <v>0</v>
      </c>
      <c r="AM334" s="5">
        <f t="shared" si="43"/>
        <v>0</v>
      </c>
      <c r="AN334" s="4">
        <f t="shared" si="44"/>
        <v>0</v>
      </c>
      <c r="AO334" s="3"/>
      <c r="AP334">
        <v>0</v>
      </c>
      <c r="AR334" t="s">
        <v>1</v>
      </c>
      <c r="AT334" s="2" t="s">
        <v>7</v>
      </c>
      <c r="AU334" s="1">
        <f t="shared" si="45"/>
        <v>0.26347401297349238</v>
      </c>
      <c r="AV334" s="1">
        <f t="shared" si="46"/>
        <v>0.18819572355249459</v>
      </c>
      <c r="AW334" s="1">
        <f t="shared" si="47"/>
        <v>0.11291743413149673</v>
      </c>
    </row>
    <row r="335" spans="1:49" x14ac:dyDescent="0.2">
      <c r="A335">
        <v>333</v>
      </c>
      <c r="B335" t="s">
        <v>817</v>
      </c>
      <c r="C335" t="s">
        <v>816</v>
      </c>
      <c r="F335" t="s">
        <v>815</v>
      </c>
      <c r="G335" t="s">
        <v>6</v>
      </c>
      <c r="H335" t="s">
        <v>5</v>
      </c>
      <c r="I335" t="s">
        <v>814</v>
      </c>
      <c r="J335" t="s">
        <v>813</v>
      </c>
      <c r="K335" t="s">
        <v>812</v>
      </c>
      <c r="L335" t="s">
        <v>811</v>
      </c>
      <c r="M335" t="s">
        <v>13</v>
      </c>
      <c r="N335">
        <v>7</v>
      </c>
      <c r="O335" t="s">
        <v>810</v>
      </c>
      <c r="P335" t="s">
        <v>809</v>
      </c>
      <c r="Q335" t="s">
        <v>808</v>
      </c>
      <c r="R335" s="8">
        <v>34912</v>
      </c>
      <c r="S335" s="9">
        <f t="shared" si="40"/>
        <v>1995</v>
      </c>
      <c r="T335" s="9">
        <v>1995</v>
      </c>
      <c r="U335" s="9">
        <f t="shared" si="41"/>
        <v>27</v>
      </c>
      <c r="V335" s="8">
        <v>34912</v>
      </c>
      <c r="W335" t="s">
        <v>807</v>
      </c>
      <c r="X335" s="2" t="s">
        <v>7</v>
      </c>
      <c r="Y335" s="7" t="e">
        <f t="shared" si="42"/>
        <v>#VALUE!</v>
      </c>
      <c r="AA335">
        <v>144754</v>
      </c>
      <c r="AB335">
        <v>74305</v>
      </c>
      <c r="AC335">
        <v>14209071</v>
      </c>
      <c r="AD335" t="s">
        <v>3</v>
      </c>
      <c r="AE335">
        <v>51</v>
      </c>
      <c r="AF335">
        <v>8</v>
      </c>
      <c r="AH335" t="s">
        <v>806</v>
      </c>
      <c r="AI335" t="s">
        <v>805</v>
      </c>
      <c r="AJ335" t="s">
        <v>804</v>
      </c>
      <c r="AK335" t="s">
        <v>803</v>
      </c>
      <c r="AL335">
        <v>51</v>
      </c>
      <c r="AM335" s="5">
        <f t="shared" si="43"/>
        <v>1.8888888888888888</v>
      </c>
      <c r="AN335" s="4">
        <f t="shared" si="44"/>
        <v>2.86086919937734E-3</v>
      </c>
      <c r="AO335" s="3"/>
      <c r="AP335">
        <v>0</v>
      </c>
      <c r="AR335" t="s">
        <v>1</v>
      </c>
      <c r="AT335" s="2" t="s">
        <v>7</v>
      </c>
      <c r="AU335" s="1" t="e">
        <f t="shared" si="45"/>
        <v>#VALUE!</v>
      </c>
      <c r="AV335" s="1" t="e">
        <f t="shared" si="46"/>
        <v>#VALUE!</v>
      </c>
      <c r="AW335" s="1" t="e">
        <f t="shared" si="47"/>
        <v>#VALUE!</v>
      </c>
    </row>
    <row r="336" spans="1:49" x14ac:dyDescent="0.2">
      <c r="A336">
        <v>334</v>
      </c>
      <c r="B336" t="s">
        <v>802</v>
      </c>
      <c r="C336" t="s">
        <v>801</v>
      </c>
      <c r="F336" t="s">
        <v>800</v>
      </c>
      <c r="G336" t="s">
        <v>6</v>
      </c>
      <c r="H336" t="s">
        <v>5</v>
      </c>
      <c r="I336" t="s">
        <v>799</v>
      </c>
      <c r="J336">
        <v>60031040</v>
      </c>
      <c r="K336" t="s">
        <v>510</v>
      </c>
      <c r="L336" t="s">
        <v>509</v>
      </c>
      <c r="M336" t="s">
        <v>11</v>
      </c>
      <c r="N336">
        <v>3</v>
      </c>
      <c r="O336" t="s">
        <v>798</v>
      </c>
      <c r="P336" t="s">
        <v>797</v>
      </c>
      <c r="Q336" t="s">
        <v>506</v>
      </c>
      <c r="R336" s="8">
        <v>34912</v>
      </c>
      <c r="S336" s="9">
        <f t="shared" si="40"/>
        <v>1995</v>
      </c>
      <c r="T336" s="9">
        <v>1995</v>
      </c>
      <c r="U336" s="9">
        <f t="shared" si="41"/>
        <v>27</v>
      </c>
      <c r="V336" s="8">
        <v>34912</v>
      </c>
      <c r="W336" t="s">
        <v>796</v>
      </c>
      <c r="X336" s="2">
        <v>1.2529999999999999</v>
      </c>
      <c r="Y336" s="7">
        <f t="shared" si="42"/>
        <v>3.3448119377485916E-2</v>
      </c>
      <c r="AA336">
        <v>320935</v>
      </c>
      <c r="AB336">
        <v>16646</v>
      </c>
      <c r="AC336">
        <v>14322048</v>
      </c>
      <c r="AD336" t="s">
        <v>3</v>
      </c>
      <c r="AE336">
        <v>197</v>
      </c>
      <c r="AF336">
        <v>1</v>
      </c>
      <c r="AH336" t="s">
        <v>795</v>
      </c>
      <c r="AI336" t="s">
        <v>794</v>
      </c>
      <c r="AJ336" t="s">
        <v>793</v>
      </c>
      <c r="AK336" t="s">
        <v>792</v>
      </c>
      <c r="AL336">
        <v>275</v>
      </c>
      <c r="AM336" s="5">
        <f t="shared" si="43"/>
        <v>10.185185185185185</v>
      </c>
      <c r="AN336" s="4">
        <f t="shared" si="44"/>
        <v>1.5426255486838599E-2</v>
      </c>
      <c r="AO336" s="3"/>
      <c r="AP336">
        <v>0</v>
      </c>
      <c r="AR336" t="s">
        <v>1</v>
      </c>
      <c r="AT336" s="2">
        <v>4.1159999999999997</v>
      </c>
      <c r="AU336" s="1">
        <f t="shared" si="45"/>
        <v>2.8041560210291716</v>
      </c>
      <c r="AV336" s="1">
        <f t="shared" si="46"/>
        <v>2.4437187432162255</v>
      </c>
      <c r="AW336" s="1">
        <f t="shared" si="47"/>
        <v>2.083281465403279</v>
      </c>
    </row>
    <row r="337" spans="1:49" x14ac:dyDescent="0.2">
      <c r="A337">
        <v>335</v>
      </c>
      <c r="B337" t="s">
        <v>791</v>
      </c>
      <c r="C337" t="s">
        <v>790</v>
      </c>
      <c r="D337" t="s">
        <v>789</v>
      </c>
      <c r="F337" t="s">
        <v>788</v>
      </c>
      <c r="G337" t="s">
        <v>6</v>
      </c>
      <c r="H337" t="s">
        <v>5</v>
      </c>
      <c r="I337" t="s">
        <v>787</v>
      </c>
      <c r="J337" t="s">
        <v>786</v>
      </c>
      <c r="K337" t="s">
        <v>785</v>
      </c>
      <c r="L337" t="s">
        <v>784</v>
      </c>
      <c r="M337" t="s">
        <v>783</v>
      </c>
      <c r="N337">
        <v>7</v>
      </c>
      <c r="O337" t="s">
        <v>782</v>
      </c>
      <c r="P337" t="s">
        <v>781</v>
      </c>
      <c r="Q337" t="s">
        <v>780</v>
      </c>
      <c r="R337" s="8">
        <v>34912</v>
      </c>
      <c r="S337" s="9">
        <f t="shared" si="40"/>
        <v>1995</v>
      </c>
      <c r="T337" s="9">
        <v>1995</v>
      </c>
      <c r="U337" s="9">
        <f t="shared" si="41"/>
        <v>27</v>
      </c>
      <c r="V337" s="8">
        <v>34912</v>
      </c>
      <c r="W337" t="s">
        <v>430</v>
      </c>
      <c r="X337" s="2" t="s">
        <v>7</v>
      </c>
      <c r="Y337" s="7" t="e">
        <f t="shared" si="42"/>
        <v>#VALUE!</v>
      </c>
      <c r="AA337" t="s">
        <v>429</v>
      </c>
      <c r="AB337">
        <v>29068</v>
      </c>
      <c r="AD337" t="s">
        <v>3</v>
      </c>
      <c r="AE337">
        <v>101</v>
      </c>
      <c r="AF337">
        <v>4</v>
      </c>
      <c r="AH337" t="s">
        <v>779</v>
      </c>
      <c r="AI337" t="s">
        <v>778</v>
      </c>
      <c r="AK337" t="s">
        <v>777</v>
      </c>
      <c r="AL337">
        <v>9</v>
      </c>
      <c r="AM337" s="5">
        <f t="shared" si="43"/>
        <v>0.33333333333333331</v>
      </c>
      <c r="AN337" s="4">
        <f t="shared" si="44"/>
        <v>5.048592704783541E-4</v>
      </c>
      <c r="AO337" s="3"/>
      <c r="AP337">
        <v>0</v>
      </c>
      <c r="AR337" t="s">
        <v>1</v>
      </c>
      <c r="AT337" s="2" t="s">
        <v>7</v>
      </c>
      <c r="AU337" s="1" t="e">
        <f t="shared" si="45"/>
        <v>#VALUE!</v>
      </c>
      <c r="AV337" s="1" t="e">
        <f t="shared" si="46"/>
        <v>#VALUE!</v>
      </c>
      <c r="AW337" s="1" t="e">
        <f t="shared" si="47"/>
        <v>#VALUE!</v>
      </c>
    </row>
    <row r="338" spans="1:49" x14ac:dyDescent="0.2">
      <c r="A338">
        <v>336</v>
      </c>
      <c r="B338" t="s">
        <v>776</v>
      </c>
      <c r="C338" t="s">
        <v>775</v>
      </c>
      <c r="F338" t="s">
        <v>774</v>
      </c>
      <c r="G338" t="s">
        <v>6</v>
      </c>
      <c r="H338" t="s">
        <v>5</v>
      </c>
      <c r="I338" t="s">
        <v>272</v>
      </c>
      <c r="J338">
        <v>60013983</v>
      </c>
      <c r="K338" t="s">
        <v>136</v>
      </c>
      <c r="L338" t="s">
        <v>135</v>
      </c>
      <c r="M338" t="s">
        <v>134</v>
      </c>
      <c r="N338">
        <v>2</v>
      </c>
      <c r="O338" t="s">
        <v>271</v>
      </c>
      <c r="P338" t="s">
        <v>270</v>
      </c>
      <c r="Q338" t="s">
        <v>133</v>
      </c>
      <c r="R338" s="8">
        <v>34900</v>
      </c>
      <c r="S338" s="9">
        <f t="shared" si="40"/>
        <v>1995</v>
      </c>
      <c r="T338" s="9">
        <v>1995</v>
      </c>
      <c r="U338" s="9">
        <f t="shared" si="41"/>
        <v>27</v>
      </c>
      <c r="V338" s="8">
        <v>34900</v>
      </c>
      <c r="W338" t="s">
        <v>390</v>
      </c>
      <c r="X338" s="2">
        <v>0.375</v>
      </c>
      <c r="Y338" s="7">
        <f t="shared" si="42"/>
        <v>1.0010410827260351E-2</v>
      </c>
      <c r="AA338">
        <v>135194</v>
      </c>
      <c r="AB338">
        <v>24918</v>
      </c>
      <c r="AD338" t="s">
        <v>3</v>
      </c>
      <c r="AE338">
        <v>31</v>
      </c>
      <c r="AF338">
        <v>15</v>
      </c>
      <c r="AH338" t="s">
        <v>773</v>
      </c>
      <c r="AI338" t="s">
        <v>772</v>
      </c>
      <c r="AJ338" t="s">
        <v>771</v>
      </c>
      <c r="AK338" t="s">
        <v>770</v>
      </c>
      <c r="AL338">
        <v>7</v>
      </c>
      <c r="AM338" s="5">
        <f t="shared" si="43"/>
        <v>0.25925925925925924</v>
      </c>
      <c r="AN338" s="4">
        <f t="shared" si="44"/>
        <v>3.9266832148316435E-4</v>
      </c>
      <c r="AO338" s="3"/>
      <c r="AP338">
        <v>0</v>
      </c>
      <c r="AR338" t="s">
        <v>1</v>
      </c>
      <c r="AT338" s="2">
        <v>1.3140000000000001</v>
      </c>
      <c r="AU338" s="1">
        <f t="shared" si="45"/>
        <v>0.7125088075527195</v>
      </c>
      <c r="AV338" s="1">
        <f t="shared" si="46"/>
        <v>0.52015395743717574</v>
      </c>
      <c r="AW338" s="1">
        <f t="shared" si="47"/>
        <v>0.32779910732163203</v>
      </c>
    </row>
    <row r="339" spans="1:49" x14ac:dyDescent="0.2">
      <c r="A339">
        <v>337</v>
      </c>
      <c r="B339" t="s">
        <v>769</v>
      </c>
      <c r="C339" t="s">
        <v>768</v>
      </c>
      <c r="F339" t="s">
        <v>767</v>
      </c>
      <c r="G339" t="s">
        <v>6</v>
      </c>
      <c r="H339" t="s">
        <v>5</v>
      </c>
      <c r="I339" t="s">
        <v>766</v>
      </c>
      <c r="J339" t="s">
        <v>765</v>
      </c>
      <c r="K339" t="s">
        <v>764</v>
      </c>
      <c r="L339" t="s">
        <v>763</v>
      </c>
      <c r="M339" t="s">
        <v>13</v>
      </c>
      <c r="N339">
        <v>4</v>
      </c>
      <c r="O339" t="s">
        <v>762</v>
      </c>
      <c r="P339" t="s">
        <v>761</v>
      </c>
      <c r="Q339" t="s">
        <v>760</v>
      </c>
      <c r="R339" s="8">
        <v>34900</v>
      </c>
      <c r="S339" s="9">
        <f t="shared" si="40"/>
        <v>1995</v>
      </c>
      <c r="T339" s="9">
        <v>1995</v>
      </c>
      <c r="U339" s="9">
        <f t="shared" si="41"/>
        <v>27</v>
      </c>
      <c r="V339" s="8">
        <v>34900</v>
      </c>
      <c r="W339" t="s">
        <v>390</v>
      </c>
      <c r="X339" s="2">
        <v>0.375</v>
      </c>
      <c r="Y339" s="7">
        <f t="shared" si="42"/>
        <v>1.0010410827260351E-2</v>
      </c>
      <c r="AA339">
        <v>135194</v>
      </c>
      <c r="AB339">
        <v>24918</v>
      </c>
      <c r="AD339" t="s">
        <v>3</v>
      </c>
      <c r="AE339">
        <v>31</v>
      </c>
      <c r="AF339">
        <v>15</v>
      </c>
      <c r="AH339" t="s">
        <v>759</v>
      </c>
      <c r="AI339" t="s">
        <v>758</v>
      </c>
      <c r="AJ339" t="s">
        <v>757</v>
      </c>
      <c r="AK339" t="s">
        <v>756</v>
      </c>
      <c r="AL339">
        <v>1</v>
      </c>
      <c r="AM339" s="5">
        <f t="shared" si="43"/>
        <v>3.7037037037037035E-2</v>
      </c>
      <c r="AN339" s="4">
        <f t="shared" si="44"/>
        <v>5.6095474497594906E-5</v>
      </c>
      <c r="AO339" s="3"/>
      <c r="AP339">
        <v>0</v>
      </c>
      <c r="AR339" t="s">
        <v>1</v>
      </c>
      <c r="AT339" s="2">
        <v>1.3140000000000001</v>
      </c>
      <c r="AU339" s="1">
        <f t="shared" si="45"/>
        <v>0.70241162214315245</v>
      </c>
      <c r="AV339" s="1">
        <f t="shared" si="46"/>
        <v>0.50332531508789735</v>
      </c>
      <c r="AW339" s="1">
        <f t="shared" si="47"/>
        <v>0.30423900803264214</v>
      </c>
    </row>
    <row r="340" spans="1:49" x14ac:dyDescent="0.2">
      <c r="A340">
        <v>338</v>
      </c>
      <c r="B340" t="s">
        <v>755</v>
      </c>
      <c r="C340" t="s">
        <v>754</v>
      </c>
      <c r="F340" t="s">
        <v>753</v>
      </c>
      <c r="G340" t="s">
        <v>6</v>
      </c>
      <c r="H340" t="s">
        <v>5</v>
      </c>
      <c r="I340" t="s">
        <v>752</v>
      </c>
      <c r="J340">
        <v>60104081</v>
      </c>
      <c r="K340" t="s">
        <v>244</v>
      </c>
      <c r="L340" t="s">
        <v>243</v>
      </c>
      <c r="M340" t="s">
        <v>79</v>
      </c>
      <c r="N340">
        <v>7</v>
      </c>
      <c r="O340" t="s">
        <v>751</v>
      </c>
      <c r="P340" t="s">
        <v>750</v>
      </c>
      <c r="Q340" t="s">
        <v>749</v>
      </c>
      <c r="R340" s="8">
        <v>34900</v>
      </c>
      <c r="S340" s="9">
        <f t="shared" si="40"/>
        <v>1995</v>
      </c>
      <c r="T340" s="9">
        <v>1995</v>
      </c>
      <c r="U340" s="9">
        <f t="shared" si="41"/>
        <v>27</v>
      </c>
      <c r="V340" s="8">
        <v>34900</v>
      </c>
      <c r="W340" t="s">
        <v>390</v>
      </c>
      <c r="X340" s="2">
        <v>0.375</v>
      </c>
      <c r="Y340" s="7">
        <f t="shared" si="42"/>
        <v>1.0010410827260351E-2</v>
      </c>
      <c r="AA340">
        <v>135194</v>
      </c>
      <c r="AB340">
        <v>24918</v>
      </c>
      <c r="AD340" t="s">
        <v>3</v>
      </c>
      <c r="AE340">
        <v>31</v>
      </c>
      <c r="AF340">
        <v>15</v>
      </c>
      <c r="AH340" t="s">
        <v>748</v>
      </c>
      <c r="AI340" t="s">
        <v>747</v>
      </c>
      <c r="AJ340" t="s">
        <v>746</v>
      </c>
      <c r="AK340" t="s">
        <v>745</v>
      </c>
      <c r="AL340">
        <v>12</v>
      </c>
      <c r="AM340" s="5">
        <f t="shared" si="43"/>
        <v>0.44444444444444442</v>
      </c>
      <c r="AN340" s="4">
        <f t="shared" si="44"/>
        <v>6.7314569397113879E-4</v>
      </c>
      <c r="AO340" s="3"/>
      <c r="AP340">
        <v>0</v>
      </c>
      <c r="AR340" t="s">
        <v>1</v>
      </c>
      <c r="AT340" s="2">
        <v>1.3140000000000001</v>
      </c>
      <c r="AU340" s="1">
        <f t="shared" si="45"/>
        <v>0.72092312872735875</v>
      </c>
      <c r="AV340" s="1">
        <f t="shared" si="46"/>
        <v>0.53417782606157449</v>
      </c>
      <c r="AW340" s="1">
        <f t="shared" si="47"/>
        <v>0.34743252339579023</v>
      </c>
    </row>
    <row r="341" spans="1:49" x14ac:dyDescent="0.2">
      <c r="A341">
        <v>339</v>
      </c>
      <c r="B341" t="s">
        <v>744</v>
      </c>
      <c r="C341" t="s">
        <v>743</v>
      </c>
      <c r="F341" t="s">
        <v>742</v>
      </c>
      <c r="G341" t="s">
        <v>6</v>
      </c>
      <c r="H341" t="s">
        <v>5</v>
      </c>
      <c r="I341" t="s">
        <v>193</v>
      </c>
      <c r="J341">
        <v>60026338</v>
      </c>
      <c r="K341" t="s">
        <v>741</v>
      </c>
      <c r="L341" t="s">
        <v>740</v>
      </c>
      <c r="M341" t="s">
        <v>20</v>
      </c>
      <c r="N341">
        <v>2</v>
      </c>
      <c r="O341" t="s">
        <v>739</v>
      </c>
      <c r="P341" t="s">
        <v>738</v>
      </c>
      <c r="Q341" t="s">
        <v>737</v>
      </c>
      <c r="R341" s="8">
        <v>34900</v>
      </c>
      <c r="S341" s="9">
        <f t="shared" si="40"/>
        <v>1995</v>
      </c>
      <c r="T341" s="9">
        <v>1995</v>
      </c>
      <c r="U341" s="9">
        <f t="shared" si="41"/>
        <v>27</v>
      </c>
      <c r="V341" s="8">
        <v>34900</v>
      </c>
      <c r="W341" t="s">
        <v>390</v>
      </c>
      <c r="X341" s="2">
        <v>0.375</v>
      </c>
      <c r="Y341" s="7">
        <f t="shared" si="42"/>
        <v>1.0010410827260351E-2</v>
      </c>
      <c r="AA341">
        <v>135194</v>
      </c>
      <c r="AB341">
        <v>24918</v>
      </c>
      <c r="AD341" t="s">
        <v>3</v>
      </c>
      <c r="AE341">
        <v>31</v>
      </c>
      <c r="AF341">
        <v>15</v>
      </c>
      <c r="AH341" t="s">
        <v>736</v>
      </c>
      <c r="AI341" t="s">
        <v>735</v>
      </c>
      <c r="AJ341" t="s">
        <v>734</v>
      </c>
      <c r="AK341" t="s">
        <v>733</v>
      </c>
      <c r="AL341">
        <v>13</v>
      </c>
      <c r="AM341" s="5">
        <f t="shared" si="43"/>
        <v>0.48148148148148145</v>
      </c>
      <c r="AN341" s="4">
        <f t="shared" si="44"/>
        <v>7.2924116846873369E-4</v>
      </c>
      <c r="AO341" s="3"/>
      <c r="AP341">
        <v>0</v>
      </c>
      <c r="AR341" t="s">
        <v>1</v>
      </c>
      <c r="AT341" s="2">
        <v>1.3140000000000001</v>
      </c>
      <c r="AU341" s="1">
        <f t="shared" si="45"/>
        <v>0.72260599296228656</v>
      </c>
      <c r="AV341" s="1">
        <f t="shared" si="46"/>
        <v>0.53698259978645424</v>
      </c>
      <c r="AW341" s="1">
        <f t="shared" si="47"/>
        <v>0.35135920661062187</v>
      </c>
    </row>
    <row r="342" spans="1:49" x14ac:dyDescent="0.2">
      <c r="A342">
        <v>340</v>
      </c>
      <c r="B342" t="s">
        <v>732</v>
      </c>
      <c r="C342" t="s">
        <v>731</v>
      </c>
      <c r="F342" t="s">
        <v>730</v>
      </c>
      <c r="G342" t="s">
        <v>6</v>
      </c>
      <c r="H342" t="s">
        <v>5</v>
      </c>
      <c r="I342" t="s">
        <v>729</v>
      </c>
      <c r="J342">
        <v>60018735</v>
      </c>
      <c r="K342" t="s">
        <v>241</v>
      </c>
      <c r="L342" t="s">
        <v>172</v>
      </c>
      <c r="M342" t="s">
        <v>14</v>
      </c>
      <c r="N342">
        <v>1</v>
      </c>
      <c r="O342" t="s">
        <v>728</v>
      </c>
      <c r="P342">
        <v>57194936126</v>
      </c>
      <c r="Q342">
        <v>60018735</v>
      </c>
      <c r="R342" s="8">
        <v>34900</v>
      </c>
      <c r="S342" s="9">
        <f t="shared" si="40"/>
        <v>1995</v>
      </c>
      <c r="T342" s="9">
        <v>1995</v>
      </c>
      <c r="U342" s="9">
        <f t="shared" si="41"/>
        <v>27</v>
      </c>
      <c r="V342" s="8">
        <v>34900</v>
      </c>
      <c r="W342" t="s">
        <v>390</v>
      </c>
      <c r="X342" s="2">
        <v>0.375</v>
      </c>
      <c r="Y342" s="7">
        <f t="shared" si="42"/>
        <v>1.0010410827260351E-2</v>
      </c>
      <c r="AA342">
        <v>135194</v>
      </c>
      <c r="AB342">
        <v>24918</v>
      </c>
      <c r="AD342" t="s">
        <v>3</v>
      </c>
      <c r="AE342">
        <v>31</v>
      </c>
      <c r="AF342">
        <v>15</v>
      </c>
      <c r="AH342" t="s">
        <v>727</v>
      </c>
      <c r="AI342" t="s">
        <v>726</v>
      </c>
      <c r="AJ342" t="s">
        <v>439</v>
      </c>
      <c r="AK342" t="s">
        <v>725</v>
      </c>
      <c r="AL342">
        <v>11</v>
      </c>
      <c r="AM342" s="5">
        <f t="shared" si="43"/>
        <v>0.40740740740740738</v>
      </c>
      <c r="AN342" s="4">
        <f t="shared" si="44"/>
        <v>6.1705021947354389E-4</v>
      </c>
      <c r="AO342" s="3"/>
      <c r="AP342">
        <v>0</v>
      </c>
      <c r="AR342" t="s">
        <v>1</v>
      </c>
      <c r="AT342" s="2">
        <v>1.3140000000000001</v>
      </c>
      <c r="AU342" s="1">
        <f t="shared" si="45"/>
        <v>0.71924026449243095</v>
      </c>
      <c r="AV342" s="1">
        <f t="shared" si="46"/>
        <v>0.53137305233669474</v>
      </c>
      <c r="AW342" s="1">
        <f t="shared" si="47"/>
        <v>0.34350584018095859</v>
      </c>
    </row>
    <row r="343" spans="1:49" x14ac:dyDescent="0.2">
      <c r="A343">
        <v>341</v>
      </c>
      <c r="B343" t="s">
        <v>724</v>
      </c>
      <c r="C343" t="s">
        <v>723</v>
      </c>
      <c r="D343" t="s">
        <v>722</v>
      </c>
      <c r="E343">
        <v>7628640</v>
      </c>
      <c r="F343" t="s">
        <v>721</v>
      </c>
      <c r="G343" t="s">
        <v>6</v>
      </c>
      <c r="H343" t="s">
        <v>5</v>
      </c>
      <c r="I343" t="s">
        <v>66</v>
      </c>
      <c r="J343" t="s">
        <v>95</v>
      </c>
      <c r="K343" t="s">
        <v>94</v>
      </c>
      <c r="L343" t="s">
        <v>93</v>
      </c>
      <c r="M343" t="s">
        <v>92</v>
      </c>
      <c r="N343">
        <v>2</v>
      </c>
      <c r="O343" t="s">
        <v>91</v>
      </c>
      <c r="P343" t="s">
        <v>65</v>
      </c>
      <c r="Q343" t="s">
        <v>720</v>
      </c>
      <c r="R343" s="8">
        <v>34897</v>
      </c>
      <c r="S343" s="9">
        <f t="shared" si="40"/>
        <v>1995</v>
      </c>
      <c r="T343" s="9">
        <v>1995</v>
      </c>
      <c r="U343" s="9">
        <f t="shared" si="41"/>
        <v>27</v>
      </c>
      <c r="V343" s="8">
        <v>34897</v>
      </c>
      <c r="W343" t="s">
        <v>435</v>
      </c>
      <c r="X343" s="2">
        <v>1.593</v>
      </c>
      <c r="Y343" s="7">
        <f t="shared" si="42"/>
        <v>4.2524225194201973E-2</v>
      </c>
      <c r="AA343">
        <v>145793</v>
      </c>
      <c r="AB343">
        <v>17481</v>
      </c>
      <c r="AD343" t="s">
        <v>3</v>
      </c>
      <c r="AE343">
        <v>368</v>
      </c>
      <c r="AF343">
        <v>2</v>
      </c>
      <c r="AH343" t="s">
        <v>719</v>
      </c>
      <c r="AI343" t="s">
        <v>718</v>
      </c>
      <c r="AJ343" t="s">
        <v>717</v>
      </c>
      <c r="AK343" t="s">
        <v>716</v>
      </c>
      <c r="AL343">
        <v>29</v>
      </c>
      <c r="AM343" s="5">
        <f t="shared" si="43"/>
        <v>1.0740740740740742</v>
      </c>
      <c r="AN343" s="4">
        <f t="shared" si="44"/>
        <v>1.6267687604302524E-3</v>
      </c>
      <c r="AO343" s="3"/>
      <c r="AP343">
        <v>1</v>
      </c>
      <c r="AQ343" t="s">
        <v>64</v>
      </c>
      <c r="AR343" t="s">
        <v>63</v>
      </c>
      <c r="AS343" t="s">
        <v>62</v>
      </c>
      <c r="AT343" s="2">
        <v>4.1239999999999997</v>
      </c>
      <c r="AU343" s="1">
        <f t="shared" si="45"/>
        <v>3.0254988264070457</v>
      </c>
      <c r="AV343" s="1">
        <f t="shared" si="46"/>
        <v>2.2075496977316114</v>
      </c>
      <c r="AW343" s="1">
        <f t="shared" si="47"/>
        <v>1.3896005690561768</v>
      </c>
    </row>
    <row r="344" spans="1:49" x14ac:dyDescent="0.2">
      <c r="A344">
        <v>342</v>
      </c>
      <c r="B344" t="s">
        <v>715</v>
      </c>
      <c r="C344" t="s">
        <v>714</v>
      </c>
      <c r="F344" t="s">
        <v>713</v>
      </c>
      <c r="G344" t="s">
        <v>6</v>
      </c>
      <c r="H344" t="s">
        <v>5</v>
      </c>
      <c r="I344" t="s">
        <v>712</v>
      </c>
      <c r="J344">
        <v>60076904</v>
      </c>
      <c r="K344" t="s">
        <v>458</v>
      </c>
      <c r="L344" t="s">
        <v>457</v>
      </c>
      <c r="M344" t="s">
        <v>4</v>
      </c>
      <c r="N344">
        <v>3</v>
      </c>
      <c r="O344" t="s">
        <v>711</v>
      </c>
      <c r="P344" t="s">
        <v>710</v>
      </c>
      <c r="Q344" t="s">
        <v>709</v>
      </c>
      <c r="R344" s="8">
        <v>34895</v>
      </c>
      <c r="S344" s="9">
        <f t="shared" si="40"/>
        <v>1995</v>
      </c>
      <c r="T344" s="9">
        <v>1995</v>
      </c>
      <c r="U344" s="9">
        <f t="shared" si="41"/>
        <v>27</v>
      </c>
      <c r="V344" s="8">
        <v>34895</v>
      </c>
      <c r="W344" t="s">
        <v>444</v>
      </c>
      <c r="X344" s="2">
        <v>1.524</v>
      </c>
      <c r="Y344" s="7">
        <f t="shared" si="42"/>
        <v>4.0682309601986065E-2</v>
      </c>
      <c r="AA344">
        <v>1469592</v>
      </c>
      <c r="AB344">
        <v>12863</v>
      </c>
      <c r="AC344">
        <v>15394794</v>
      </c>
      <c r="AD344" t="s">
        <v>3</v>
      </c>
      <c r="AE344">
        <v>20</v>
      </c>
      <c r="AF344">
        <v>14</v>
      </c>
      <c r="AH344" t="s">
        <v>708</v>
      </c>
      <c r="AI344" t="s">
        <v>707</v>
      </c>
      <c r="AK344" t="s">
        <v>706</v>
      </c>
      <c r="AL344">
        <v>9</v>
      </c>
      <c r="AM344" s="5">
        <f t="shared" si="43"/>
        <v>0.33333333333333331</v>
      </c>
      <c r="AN344" s="4">
        <f t="shared" si="44"/>
        <v>5.048592704783541E-4</v>
      </c>
      <c r="AO344" s="3"/>
      <c r="AP344">
        <v>0</v>
      </c>
      <c r="AR344" t="s">
        <v>1</v>
      </c>
      <c r="AT344" s="2">
        <v>3.7759999999999998</v>
      </c>
      <c r="AU344" s="1">
        <f t="shared" si="45"/>
        <v>2.8629074502533749</v>
      </c>
      <c r="AV344" s="1">
        <f t="shared" si="46"/>
        <v>2.0593584436232208</v>
      </c>
      <c r="AW344" s="1">
        <f t="shared" si="47"/>
        <v>1.2558094369930668</v>
      </c>
    </row>
    <row r="345" spans="1:49" x14ac:dyDescent="0.2">
      <c r="A345">
        <v>343</v>
      </c>
      <c r="B345" t="s">
        <v>705</v>
      </c>
      <c r="C345" t="s">
        <v>704</v>
      </c>
      <c r="F345" t="s">
        <v>703</v>
      </c>
      <c r="G345" t="s">
        <v>6</v>
      </c>
      <c r="H345" t="s">
        <v>5</v>
      </c>
      <c r="I345" t="s">
        <v>702</v>
      </c>
      <c r="J345">
        <v>60106207</v>
      </c>
      <c r="K345" t="s">
        <v>701</v>
      </c>
      <c r="L345" t="s">
        <v>210</v>
      </c>
      <c r="M345" t="s">
        <v>79</v>
      </c>
      <c r="N345">
        <v>5</v>
      </c>
      <c r="O345" t="s">
        <v>700</v>
      </c>
      <c r="P345" t="s">
        <v>699</v>
      </c>
      <c r="Q345" t="s">
        <v>698</v>
      </c>
      <c r="R345" s="8">
        <v>34894</v>
      </c>
      <c r="S345" s="9">
        <f t="shared" si="40"/>
        <v>1995</v>
      </c>
      <c r="T345" s="9">
        <v>1995</v>
      </c>
      <c r="U345" s="9">
        <f t="shared" si="41"/>
        <v>27</v>
      </c>
      <c r="V345" s="8">
        <v>34894</v>
      </c>
      <c r="W345" t="s">
        <v>697</v>
      </c>
      <c r="X345" s="2">
        <v>0.85699999999999998</v>
      </c>
      <c r="Y345" s="7">
        <f t="shared" si="42"/>
        <v>2.287712554389899E-2</v>
      </c>
      <c r="AA345">
        <v>223727</v>
      </c>
      <c r="AB345">
        <v>28570</v>
      </c>
      <c r="AC345">
        <v>13616463</v>
      </c>
      <c r="AD345" t="s">
        <v>3</v>
      </c>
      <c r="AE345">
        <v>28</v>
      </c>
      <c r="AF345">
        <v>7</v>
      </c>
      <c r="AH345" t="s">
        <v>696</v>
      </c>
      <c r="AI345" t="s">
        <v>695</v>
      </c>
      <c r="AK345" t="s">
        <v>694</v>
      </c>
      <c r="AL345">
        <v>48</v>
      </c>
      <c r="AM345" s="5">
        <f t="shared" si="43"/>
        <v>1.7777777777777777</v>
      </c>
      <c r="AN345" s="4">
        <f t="shared" si="44"/>
        <v>2.6925827758845552E-3</v>
      </c>
      <c r="AO345" s="3"/>
      <c r="AP345">
        <v>0</v>
      </c>
      <c r="AR345" t="s">
        <v>1</v>
      </c>
      <c r="AT345" s="2" t="s">
        <v>7</v>
      </c>
      <c r="AU345" s="1">
        <f t="shared" si="45"/>
        <v>1.6821762713494659</v>
      </c>
      <c r="AV345" s="1">
        <f t="shared" si="46"/>
        <v>1.2784854159891772</v>
      </c>
      <c r="AW345" s="1">
        <f t="shared" si="47"/>
        <v>0.8747945606288885</v>
      </c>
    </row>
    <row r="346" spans="1:49" x14ac:dyDescent="0.2">
      <c r="A346">
        <v>344</v>
      </c>
      <c r="B346" t="s">
        <v>693</v>
      </c>
      <c r="C346" t="s">
        <v>692</v>
      </c>
      <c r="F346" t="s">
        <v>691</v>
      </c>
      <c r="G346" t="s">
        <v>6</v>
      </c>
      <c r="H346" t="s">
        <v>5</v>
      </c>
      <c r="I346" t="s">
        <v>202</v>
      </c>
      <c r="J346">
        <v>60022225</v>
      </c>
      <c r="K346" t="s">
        <v>211</v>
      </c>
      <c r="L346" t="s">
        <v>102</v>
      </c>
      <c r="M346" t="s">
        <v>4</v>
      </c>
      <c r="N346">
        <v>1</v>
      </c>
      <c r="O346" t="s">
        <v>690</v>
      </c>
      <c r="P346">
        <v>7102186231</v>
      </c>
      <c r="Q346">
        <v>60022225</v>
      </c>
      <c r="R346" s="8">
        <v>34886</v>
      </c>
      <c r="S346" s="9">
        <f t="shared" si="40"/>
        <v>1995</v>
      </c>
      <c r="T346" s="9">
        <v>1995</v>
      </c>
      <c r="U346" s="9">
        <f t="shared" si="41"/>
        <v>27</v>
      </c>
      <c r="V346" s="8">
        <v>34886</v>
      </c>
      <c r="W346" t="s">
        <v>390</v>
      </c>
      <c r="X346" s="2">
        <v>0.375</v>
      </c>
      <c r="Y346" s="7">
        <f t="shared" si="42"/>
        <v>1.0010410827260351E-2</v>
      </c>
      <c r="AA346">
        <v>135194</v>
      </c>
      <c r="AB346">
        <v>24918</v>
      </c>
      <c r="AD346" t="s">
        <v>3</v>
      </c>
      <c r="AE346">
        <v>31</v>
      </c>
      <c r="AF346">
        <v>14</v>
      </c>
      <c r="AH346" t="s">
        <v>689</v>
      </c>
      <c r="AI346" t="s">
        <v>688</v>
      </c>
      <c r="AJ346" t="s">
        <v>687</v>
      </c>
      <c r="AK346" t="s">
        <v>686</v>
      </c>
      <c r="AL346">
        <v>23</v>
      </c>
      <c r="AM346" s="5">
        <f t="shared" si="43"/>
        <v>0.85185185185185186</v>
      </c>
      <c r="AN346" s="4">
        <f t="shared" si="44"/>
        <v>1.2901959134446828E-3</v>
      </c>
      <c r="AO346" s="3"/>
      <c r="AP346">
        <v>0</v>
      </c>
      <c r="AR346" t="s">
        <v>1</v>
      </c>
      <c r="AT346" s="2">
        <v>1.3140000000000001</v>
      </c>
      <c r="AU346" s="1">
        <f t="shared" si="45"/>
        <v>0.73943463531156506</v>
      </c>
      <c r="AV346" s="1">
        <f t="shared" si="46"/>
        <v>0.56503033703525163</v>
      </c>
      <c r="AW346" s="1">
        <f t="shared" si="47"/>
        <v>0.39062603875893831</v>
      </c>
    </row>
    <row r="347" spans="1:49" x14ac:dyDescent="0.2">
      <c r="A347">
        <v>345</v>
      </c>
      <c r="B347" t="s">
        <v>685</v>
      </c>
      <c r="C347" t="s">
        <v>684</v>
      </c>
      <c r="F347" t="s">
        <v>683</v>
      </c>
      <c r="G347" t="s">
        <v>6</v>
      </c>
      <c r="H347" t="s">
        <v>5</v>
      </c>
      <c r="I347" t="s">
        <v>682</v>
      </c>
      <c r="J347">
        <v>60004130</v>
      </c>
      <c r="K347" t="s">
        <v>681</v>
      </c>
      <c r="L347" t="s">
        <v>680</v>
      </c>
      <c r="M347" t="s">
        <v>79</v>
      </c>
      <c r="N347">
        <v>3</v>
      </c>
      <c r="O347" t="s">
        <v>679</v>
      </c>
      <c r="P347" t="s">
        <v>678</v>
      </c>
      <c r="Q347" t="s">
        <v>677</v>
      </c>
      <c r="R347" s="8">
        <v>34886</v>
      </c>
      <c r="S347" s="9">
        <f t="shared" si="40"/>
        <v>1995</v>
      </c>
      <c r="T347" s="9">
        <v>1995</v>
      </c>
      <c r="U347" s="9">
        <f t="shared" si="41"/>
        <v>27</v>
      </c>
      <c r="V347" s="8">
        <v>34886</v>
      </c>
      <c r="W347" t="s">
        <v>390</v>
      </c>
      <c r="X347" s="2">
        <v>0.375</v>
      </c>
      <c r="Y347" s="7">
        <f t="shared" si="42"/>
        <v>1.0010410827260351E-2</v>
      </c>
      <c r="AA347">
        <v>135194</v>
      </c>
      <c r="AB347">
        <v>24918</v>
      </c>
      <c r="AD347" t="s">
        <v>3</v>
      </c>
      <c r="AE347">
        <v>31</v>
      </c>
      <c r="AF347">
        <v>14</v>
      </c>
      <c r="AH347" t="s">
        <v>676</v>
      </c>
      <c r="AI347" t="s">
        <v>675</v>
      </c>
      <c r="AJ347" t="s">
        <v>649</v>
      </c>
      <c r="AK347" t="s">
        <v>674</v>
      </c>
      <c r="AL347">
        <v>8</v>
      </c>
      <c r="AM347" s="5">
        <f t="shared" si="43"/>
        <v>0.29629629629629628</v>
      </c>
      <c r="AN347" s="4">
        <f t="shared" si="44"/>
        <v>4.4876379598075925E-4</v>
      </c>
      <c r="AO347" s="3"/>
      <c r="AP347">
        <v>0</v>
      </c>
      <c r="AR347" t="s">
        <v>1</v>
      </c>
      <c r="AT347" s="2">
        <v>1.3140000000000001</v>
      </c>
      <c r="AU347" s="1">
        <f t="shared" si="45"/>
        <v>0.71419167178764731</v>
      </c>
      <c r="AV347" s="1">
        <f t="shared" si="46"/>
        <v>0.5229587311620556</v>
      </c>
      <c r="AW347" s="1">
        <f t="shared" si="47"/>
        <v>0.33172579053646367</v>
      </c>
    </row>
    <row r="348" spans="1:49" x14ac:dyDescent="0.2">
      <c r="A348">
        <v>346</v>
      </c>
      <c r="B348" t="s">
        <v>673</v>
      </c>
      <c r="C348" t="s">
        <v>672</v>
      </c>
      <c r="F348" t="s">
        <v>671</v>
      </c>
      <c r="G348" t="s">
        <v>6</v>
      </c>
      <c r="H348" t="s">
        <v>5</v>
      </c>
      <c r="I348" t="s">
        <v>670</v>
      </c>
      <c r="J348" t="s">
        <v>669</v>
      </c>
      <c r="K348" t="s">
        <v>668</v>
      </c>
      <c r="L348" t="s">
        <v>667</v>
      </c>
      <c r="M348" t="s">
        <v>666</v>
      </c>
      <c r="N348">
        <v>3</v>
      </c>
      <c r="O348" t="s">
        <v>665</v>
      </c>
      <c r="P348" t="s">
        <v>664</v>
      </c>
      <c r="Q348" t="s">
        <v>663</v>
      </c>
      <c r="R348" s="8">
        <v>34886</v>
      </c>
      <c r="S348" s="9">
        <f t="shared" si="40"/>
        <v>1995</v>
      </c>
      <c r="T348" s="9">
        <v>1995</v>
      </c>
      <c r="U348" s="9">
        <f t="shared" si="41"/>
        <v>27</v>
      </c>
      <c r="V348" s="8">
        <v>34886</v>
      </c>
      <c r="W348" t="s">
        <v>390</v>
      </c>
      <c r="X348" s="2">
        <v>0.375</v>
      </c>
      <c r="Y348" s="7">
        <f t="shared" si="42"/>
        <v>1.0010410827260351E-2</v>
      </c>
      <c r="AA348">
        <v>135194</v>
      </c>
      <c r="AB348">
        <v>24918</v>
      </c>
      <c r="AD348" t="s">
        <v>3</v>
      </c>
      <c r="AE348">
        <v>31</v>
      </c>
      <c r="AF348">
        <v>14</v>
      </c>
      <c r="AH348" t="s">
        <v>662</v>
      </c>
      <c r="AI348" t="s">
        <v>661</v>
      </c>
      <c r="AJ348" t="s">
        <v>660</v>
      </c>
      <c r="AK348" t="s">
        <v>659</v>
      </c>
      <c r="AL348">
        <v>38</v>
      </c>
      <c r="AM348" s="5">
        <f t="shared" si="43"/>
        <v>1.4074074074074074</v>
      </c>
      <c r="AN348" s="4">
        <f t="shared" si="44"/>
        <v>2.1316280309086064E-3</v>
      </c>
      <c r="AO348" s="3"/>
      <c r="AP348">
        <v>0</v>
      </c>
      <c r="AR348" t="s">
        <v>1</v>
      </c>
      <c r="AT348" s="2">
        <v>1.3140000000000001</v>
      </c>
      <c r="AU348" s="1">
        <f t="shared" si="45"/>
        <v>0.7646775988354827</v>
      </c>
      <c r="AV348" s="1">
        <f t="shared" si="46"/>
        <v>0.60710194290844788</v>
      </c>
      <c r="AW348" s="1">
        <f t="shared" si="47"/>
        <v>0.44952628698141295</v>
      </c>
    </row>
    <row r="349" spans="1:49" x14ac:dyDescent="0.2">
      <c r="A349">
        <v>347</v>
      </c>
      <c r="B349" t="s">
        <v>658</v>
      </c>
      <c r="C349" t="s">
        <v>657</v>
      </c>
      <c r="F349" t="s">
        <v>656</v>
      </c>
      <c r="G349" t="s">
        <v>6</v>
      </c>
      <c r="H349" t="s">
        <v>5</v>
      </c>
      <c r="I349" t="s">
        <v>655</v>
      </c>
      <c r="J349">
        <v>60009254</v>
      </c>
      <c r="K349" t="s">
        <v>72</v>
      </c>
      <c r="L349" t="s">
        <v>71</v>
      </c>
      <c r="M349" t="s">
        <v>4</v>
      </c>
      <c r="N349">
        <v>3</v>
      </c>
      <c r="O349" t="s">
        <v>654</v>
      </c>
      <c r="P349" t="s">
        <v>653</v>
      </c>
      <c r="Q349" t="s">
        <v>652</v>
      </c>
      <c r="R349" s="8">
        <v>34886</v>
      </c>
      <c r="S349" s="9">
        <f t="shared" si="40"/>
        <v>1995</v>
      </c>
      <c r="T349" s="9">
        <v>1995</v>
      </c>
      <c r="U349" s="9">
        <f t="shared" si="41"/>
        <v>27</v>
      </c>
      <c r="V349" s="8">
        <v>34886</v>
      </c>
      <c r="W349" t="s">
        <v>390</v>
      </c>
      <c r="X349" s="2">
        <v>0.375</v>
      </c>
      <c r="Y349" s="7">
        <f t="shared" si="42"/>
        <v>1.0010410827260351E-2</v>
      </c>
      <c r="AA349">
        <v>135194</v>
      </c>
      <c r="AB349">
        <v>24918</v>
      </c>
      <c r="AD349" t="s">
        <v>3</v>
      </c>
      <c r="AE349">
        <v>31</v>
      </c>
      <c r="AF349">
        <v>14</v>
      </c>
      <c r="AH349" t="s">
        <v>651</v>
      </c>
      <c r="AI349" t="s">
        <v>650</v>
      </c>
      <c r="AJ349" t="s">
        <v>649</v>
      </c>
      <c r="AK349" t="s">
        <v>648</v>
      </c>
      <c r="AL349">
        <v>11</v>
      </c>
      <c r="AM349" s="5">
        <f t="shared" si="43"/>
        <v>0.40740740740740738</v>
      </c>
      <c r="AN349" s="4">
        <f t="shared" si="44"/>
        <v>6.1705021947354389E-4</v>
      </c>
      <c r="AO349" s="3"/>
      <c r="AP349">
        <v>0</v>
      </c>
      <c r="AR349" t="s">
        <v>1</v>
      </c>
      <c r="AT349" s="2">
        <v>1.3140000000000001</v>
      </c>
      <c r="AU349" s="1">
        <f t="shared" si="45"/>
        <v>0.71924026449243095</v>
      </c>
      <c r="AV349" s="1">
        <f t="shared" si="46"/>
        <v>0.53137305233669474</v>
      </c>
      <c r="AW349" s="1">
        <f t="shared" si="47"/>
        <v>0.34350584018095859</v>
      </c>
    </row>
    <row r="350" spans="1:49" x14ac:dyDescent="0.2">
      <c r="A350">
        <v>348</v>
      </c>
      <c r="B350" t="s">
        <v>647</v>
      </c>
      <c r="C350" t="s">
        <v>646</v>
      </c>
      <c r="F350" t="s">
        <v>645</v>
      </c>
      <c r="G350" t="s">
        <v>6</v>
      </c>
      <c r="H350" t="s">
        <v>5</v>
      </c>
      <c r="I350" t="s">
        <v>644</v>
      </c>
      <c r="J350" t="s">
        <v>638</v>
      </c>
      <c r="K350" t="s">
        <v>643</v>
      </c>
      <c r="L350" t="s">
        <v>642</v>
      </c>
      <c r="M350" t="s">
        <v>641</v>
      </c>
      <c r="N350">
        <v>2</v>
      </c>
      <c r="O350" t="s">
        <v>640</v>
      </c>
      <c r="P350" t="s">
        <v>639</v>
      </c>
      <c r="Q350" t="s">
        <v>638</v>
      </c>
      <c r="R350" s="8">
        <v>34886</v>
      </c>
      <c r="S350" s="9">
        <f t="shared" si="40"/>
        <v>1995</v>
      </c>
      <c r="T350" s="9">
        <v>1995</v>
      </c>
      <c r="U350" s="9">
        <f t="shared" si="41"/>
        <v>27</v>
      </c>
      <c r="V350" s="8">
        <v>34886</v>
      </c>
      <c r="W350" t="s">
        <v>390</v>
      </c>
      <c r="X350" s="2">
        <v>0.375</v>
      </c>
      <c r="Y350" s="7">
        <f t="shared" si="42"/>
        <v>1.0010410827260351E-2</v>
      </c>
      <c r="AA350">
        <v>135194</v>
      </c>
      <c r="AB350">
        <v>24918</v>
      </c>
      <c r="AD350" t="s">
        <v>3</v>
      </c>
      <c r="AE350">
        <v>31</v>
      </c>
      <c r="AF350">
        <v>14</v>
      </c>
      <c r="AH350" t="s">
        <v>637</v>
      </c>
      <c r="AI350" t="s">
        <v>636</v>
      </c>
      <c r="AJ350" t="s">
        <v>635</v>
      </c>
      <c r="AK350" t="s">
        <v>634</v>
      </c>
      <c r="AL350">
        <v>5</v>
      </c>
      <c r="AM350" s="5">
        <f t="shared" si="43"/>
        <v>0.18518518518518517</v>
      </c>
      <c r="AN350" s="4">
        <f t="shared" si="44"/>
        <v>2.804773724879745E-4</v>
      </c>
      <c r="AO350" s="3"/>
      <c r="AP350">
        <v>0</v>
      </c>
      <c r="AR350" t="s">
        <v>1</v>
      </c>
      <c r="AT350" s="2">
        <v>1.3140000000000001</v>
      </c>
      <c r="AU350" s="1">
        <f t="shared" si="45"/>
        <v>0.70914307908286378</v>
      </c>
      <c r="AV350" s="1">
        <f t="shared" si="46"/>
        <v>0.51454440998741624</v>
      </c>
      <c r="AW350" s="1">
        <f t="shared" si="47"/>
        <v>0.31994574089196876</v>
      </c>
    </row>
    <row r="351" spans="1:49" x14ac:dyDescent="0.2">
      <c r="A351">
        <v>349</v>
      </c>
      <c r="B351" t="s">
        <v>633</v>
      </c>
      <c r="C351" t="s">
        <v>632</v>
      </c>
      <c r="F351" t="s">
        <v>631</v>
      </c>
      <c r="G351" t="s">
        <v>6</v>
      </c>
      <c r="H351" t="s">
        <v>5</v>
      </c>
      <c r="I351" t="s">
        <v>291</v>
      </c>
      <c r="J351">
        <v>60015901</v>
      </c>
      <c r="K351" t="s">
        <v>275</v>
      </c>
      <c r="L351" t="s">
        <v>274</v>
      </c>
      <c r="M351" t="s">
        <v>273</v>
      </c>
      <c r="N351">
        <v>2</v>
      </c>
      <c r="O351" t="s">
        <v>630</v>
      </c>
      <c r="P351" t="s">
        <v>629</v>
      </c>
      <c r="Q351" t="s">
        <v>290</v>
      </c>
      <c r="R351" s="8">
        <v>34886</v>
      </c>
      <c r="S351" s="9">
        <f t="shared" si="40"/>
        <v>1995</v>
      </c>
      <c r="T351" s="9">
        <v>1995</v>
      </c>
      <c r="U351" s="9">
        <f t="shared" si="41"/>
        <v>27</v>
      </c>
      <c r="V351" s="8">
        <v>34886</v>
      </c>
      <c r="W351" t="s">
        <v>390</v>
      </c>
      <c r="X351" s="2">
        <v>0.375</v>
      </c>
      <c r="Y351" s="7">
        <f t="shared" si="42"/>
        <v>1.0010410827260351E-2</v>
      </c>
      <c r="AA351">
        <v>135194</v>
      </c>
      <c r="AB351">
        <v>24918</v>
      </c>
      <c r="AD351" t="s">
        <v>3</v>
      </c>
      <c r="AE351">
        <v>31</v>
      </c>
      <c r="AF351">
        <v>14</v>
      </c>
      <c r="AH351" t="s">
        <v>628</v>
      </c>
      <c r="AI351" t="s">
        <v>627</v>
      </c>
      <c r="AJ351" t="s">
        <v>626</v>
      </c>
      <c r="AK351" t="s">
        <v>625</v>
      </c>
      <c r="AL351">
        <v>1</v>
      </c>
      <c r="AM351" s="5">
        <f t="shared" si="43"/>
        <v>3.7037037037037035E-2</v>
      </c>
      <c r="AN351" s="4">
        <f t="shared" si="44"/>
        <v>5.6095474497594906E-5</v>
      </c>
      <c r="AO351" s="3"/>
      <c r="AP351">
        <v>0</v>
      </c>
      <c r="AR351" t="s">
        <v>1</v>
      </c>
      <c r="AT351" s="2">
        <v>1.3140000000000001</v>
      </c>
      <c r="AU351" s="1">
        <f t="shared" si="45"/>
        <v>0.70241162214315245</v>
      </c>
      <c r="AV351" s="1">
        <f t="shared" si="46"/>
        <v>0.50332531508789735</v>
      </c>
      <c r="AW351" s="1">
        <f t="shared" si="47"/>
        <v>0.30423900803264214</v>
      </c>
    </row>
    <row r="352" spans="1:49" x14ac:dyDescent="0.2">
      <c r="A352">
        <v>350</v>
      </c>
      <c r="B352" t="s">
        <v>624</v>
      </c>
      <c r="F352" t="s">
        <v>623</v>
      </c>
      <c r="G352" t="s">
        <v>6</v>
      </c>
      <c r="H352" t="s">
        <v>5</v>
      </c>
      <c r="I352" t="s">
        <v>348</v>
      </c>
      <c r="N352">
        <v>1</v>
      </c>
      <c r="O352" t="s">
        <v>347</v>
      </c>
      <c r="P352">
        <v>6603385317</v>
      </c>
      <c r="R352" s="8">
        <v>34881</v>
      </c>
      <c r="S352" s="9">
        <f t="shared" si="40"/>
        <v>1995</v>
      </c>
      <c r="T352" s="9">
        <v>1995</v>
      </c>
      <c r="U352" s="9">
        <f t="shared" si="41"/>
        <v>27</v>
      </c>
      <c r="V352" s="8">
        <v>34881</v>
      </c>
      <c r="W352" t="s">
        <v>122</v>
      </c>
      <c r="X352" s="2">
        <v>0.13800000000000001</v>
      </c>
      <c r="Y352" s="7">
        <f t="shared" si="42"/>
        <v>3.6838311844318095E-3</v>
      </c>
      <c r="AA352">
        <v>1926225</v>
      </c>
      <c r="AB352">
        <v>18580</v>
      </c>
      <c r="AD352" t="s">
        <v>3</v>
      </c>
      <c r="AE352">
        <v>38</v>
      </c>
      <c r="AF352">
        <v>7</v>
      </c>
      <c r="AI352" t="s">
        <v>622</v>
      </c>
      <c r="AK352" t="s">
        <v>621</v>
      </c>
      <c r="AL352">
        <v>0</v>
      </c>
      <c r="AM352" s="5">
        <f t="shared" si="43"/>
        <v>0</v>
      </c>
      <c r="AN352" s="4">
        <f t="shared" si="44"/>
        <v>0</v>
      </c>
      <c r="AO352" s="3"/>
      <c r="AP352">
        <v>0</v>
      </c>
      <c r="AR352" t="s">
        <v>1</v>
      </c>
      <c r="AT352" s="2">
        <v>0.30599999999999999</v>
      </c>
      <c r="AU352" s="1">
        <f t="shared" si="45"/>
        <v>0.25786818291022667</v>
      </c>
      <c r="AV352" s="1">
        <f t="shared" si="46"/>
        <v>0.18419155922159047</v>
      </c>
      <c r="AW352" s="1">
        <f t="shared" si="47"/>
        <v>0.11051493553295429</v>
      </c>
    </row>
    <row r="353" spans="1:49" x14ac:dyDescent="0.2">
      <c r="A353">
        <v>351</v>
      </c>
      <c r="B353" t="s">
        <v>620</v>
      </c>
      <c r="F353" t="s">
        <v>619</v>
      </c>
      <c r="G353" t="s">
        <v>6</v>
      </c>
      <c r="H353" t="s">
        <v>5</v>
      </c>
      <c r="I353" t="s">
        <v>116</v>
      </c>
      <c r="J353">
        <v>100507042</v>
      </c>
      <c r="K353" t="s">
        <v>618</v>
      </c>
      <c r="L353" t="s">
        <v>617</v>
      </c>
      <c r="M353" t="s">
        <v>4</v>
      </c>
      <c r="N353">
        <v>3</v>
      </c>
      <c r="O353" t="s">
        <v>616</v>
      </c>
      <c r="P353" t="s">
        <v>615</v>
      </c>
      <c r="Q353" t="s">
        <v>614</v>
      </c>
      <c r="R353" s="8">
        <v>34881</v>
      </c>
      <c r="S353" s="9">
        <f t="shared" si="40"/>
        <v>1995</v>
      </c>
      <c r="T353" s="9">
        <v>1995</v>
      </c>
      <c r="U353" s="9">
        <f t="shared" si="41"/>
        <v>27</v>
      </c>
      <c r="V353" s="8">
        <v>34881</v>
      </c>
      <c r="W353" t="s">
        <v>122</v>
      </c>
      <c r="X353" s="2">
        <v>0.13800000000000001</v>
      </c>
      <c r="Y353" s="7">
        <f t="shared" si="42"/>
        <v>3.6838311844318095E-3</v>
      </c>
      <c r="AA353">
        <v>1926225</v>
      </c>
      <c r="AB353">
        <v>18580</v>
      </c>
      <c r="AD353" t="s">
        <v>3</v>
      </c>
      <c r="AE353">
        <v>38</v>
      </c>
      <c r="AF353">
        <v>7</v>
      </c>
      <c r="AI353" t="s">
        <v>613</v>
      </c>
      <c r="AK353" t="s">
        <v>612</v>
      </c>
      <c r="AL353">
        <v>1</v>
      </c>
      <c r="AM353" s="5">
        <f t="shared" si="43"/>
        <v>3.7037037037037035E-2</v>
      </c>
      <c r="AN353" s="4">
        <f t="shared" si="44"/>
        <v>5.6095474497594906E-5</v>
      </c>
      <c r="AO353" s="3"/>
      <c r="AP353">
        <v>0</v>
      </c>
      <c r="AR353" t="s">
        <v>1</v>
      </c>
      <c r="AT353" s="2">
        <v>0.30599999999999999</v>
      </c>
      <c r="AU353" s="1">
        <f t="shared" si="45"/>
        <v>0.25955104714515448</v>
      </c>
      <c r="AV353" s="1">
        <f t="shared" si="46"/>
        <v>0.18699633294647022</v>
      </c>
      <c r="AW353" s="1">
        <f t="shared" si="47"/>
        <v>0.11444161874778593</v>
      </c>
    </row>
    <row r="354" spans="1:49" x14ac:dyDescent="0.2">
      <c r="A354">
        <v>352</v>
      </c>
      <c r="B354" t="s">
        <v>611</v>
      </c>
      <c r="F354" t="s">
        <v>610</v>
      </c>
      <c r="G354" t="s">
        <v>6</v>
      </c>
      <c r="H354" t="s">
        <v>5</v>
      </c>
      <c r="I354" t="s">
        <v>609</v>
      </c>
      <c r="N354">
        <v>6</v>
      </c>
      <c r="O354" t="s">
        <v>608</v>
      </c>
      <c r="P354" t="s">
        <v>607</v>
      </c>
      <c r="Q354" t="s">
        <v>52</v>
      </c>
      <c r="R354" s="8">
        <v>34881</v>
      </c>
      <c r="S354" s="9">
        <f t="shared" si="40"/>
        <v>1995</v>
      </c>
      <c r="T354" s="9">
        <v>1995</v>
      </c>
      <c r="U354" s="9">
        <f t="shared" si="41"/>
        <v>27</v>
      </c>
      <c r="V354" s="8">
        <v>34881</v>
      </c>
      <c r="W354" t="s">
        <v>606</v>
      </c>
      <c r="X354" s="2" t="s">
        <v>7</v>
      </c>
      <c r="Y354" s="7" t="e">
        <f t="shared" si="42"/>
        <v>#VALUE!</v>
      </c>
      <c r="AA354">
        <v>1633767</v>
      </c>
      <c r="AB354">
        <v>27178</v>
      </c>
      <c r="AD354" t="s">
        <v>3</v>
      </c>
      <c r="AE354">
        <v>18</v>
      </c>
      <c r="AF354">
        <v>8</v>
      </c>
      <c r="AI354" t="s">
        <v>605</v>
      </c>
      <c r="AK354" t="s">
        <v>604</v>
      </c>
      <c r="AL354">
        <v>5</v>
      </c>
      <c r="AM354" s="5">
        <f t="shared" si="43"/>
        <v>0.18518518518518517</v>
      </c>
      <c r="AN354" s="4">
        <f t="shared" si="44"/>
        <v>2.804773724879745E-4</v>
      </c>
      <c r="AO354" s="3"/>
      <c r="AP354">
        <v>0</v>
      </c>
      <c r="AR354" t="s">
        <v>1</v>
      </c>
      <c r="AT354" s="2" t="s">
        <v>7</v>
      </c>
      <c r="AU354" s="1" t="e">
        <f t="shared" si="45"/>
        <v>#VALUE!</v>
      </c>
      <c r="AV354" s="1" t="e">
        <f t="shared" si="46"/>
        <v>#VALUE!</v>
      </c>
      <c r="AW354" s="1" t="e">
        <f t="shared" si="47"/>
        <v>#VALUE!</v>
      </c>
    </row>
    <row r="355" spans="1:49" x14ac:dyDescent="0.2">
      <c r="A355">
        <v>353</v>
      </c>
      <c r="B355" t="s">
        <v>603</v>
      </c>
      <c r="F355" t="s">
        <v>602</v>
      </c>
      <c r="G355" t="s">
        <v>6</v>
      </c>
      <c r="H355" t="s">
        <v>5</v>
      </c>
      <c r="I355" t="s">
        <v>601</v>
      </c>
      <c r="N355">
        <v>1</v>
      </c>
      <c r="O355" t="s">
        <v>600</v>
      </c>
      <c r="P355">
        <v>7004623563</v>
      </c>
      <c r="R355" s="8">
        <v>34881</v>
      </c>
      <c r="S355" s="9">
        <f t="shared" si="40"/>
        <v>1995</v>
      </c>
      <c r="T355" s="9">
        <v>1995</v>
      </c>
      <c r="U355" s="9">
        <f t="shared" si="41"/>
        <v>27</v>
      </c>
      <c r="V355" s="8">
        <v>34881</v>
      </c>
      <c r="W355" t="s">
        <v>599</v>
      </c>
      <c r="X355" s="2">
        <v>0.10199999999999999</v>
      </c>
      <c r="Y355" s="7">
        <f t="shared" si="42"/>
        <v>2.7228317450148152E-3</v>
      </c>
      <c r="AA355">
        <v>7306784</v>
      </c>
      <c r="AB355">
        <v>16079</v>
      </c>
      <c r="AD355" t="s">
        <v>3</v>
      </c>
      <c r="AE355">
        <v>78</v>
      </c>
      <c r="AF355">
        <v>7</v>
      </c>
      <c r="AH355" t="s">
        <v>598</v>
      </c>
      <c r="AI355" t="s">
        <v>597</v>
      </c>
      <c r="AK355" t="s">
        <v>596</v>
      </c>
      <c r="AL355">
        <v>0</v>
      </c>
      <c r="AM355" s="5">
        <f t="shared" si="43"/>
        <v>0</v>
      </c>
      <c r="AN355" s="4">
        <f t="shared" si="44"/>
        <v>0</v>
      </c>
      <c r="AO355" s="3"/>
      <c r="AP355">
        <v>0</v>
      </c>
      <c r="AR355" t="s">
        <v>1</v>
      </c>
      <c r="AT355" s="2" t="s">
        <v>7</v>
      </c>
      <c r="AU355" s="1">
        <f t="shared" si="45"/>
        <v>0.19059822215103706</v>
      </c>
      <c r="AV355" s="1">
        <f t="shared" si="46"/>
        <v>0.13614158725074077</v>
      </c>
      <c r="AW355" s="1">
        <f t="shared" si="47"/>
        <v>8.1684952350444456E-2</v>
      </c>
    </row>
    <row r="356" spans="1:49" x14ac:dyDescent="0.2">
      <c r="A356">
        <v>354</v>
      </c>
      <c r="B356" t="s">
        <v>595</v>
      </c>
      <c r="F356" t="s">
        <v>594</v>
      </c>
      <c r="G356" t="s">
        <v>6</v>
      </c>
      <c r="H356" t="s">
        <v>5</v>
      </c>
      <c r="I356" t="s">
        <v>593</v>
      </c>
      <c r="J356">
        <v>100737138</v>
      </c>
      <c r="K356" t="s">
        <v>592</v>
      </c>
      <c r="L356" t="s">
        <v>591</v>
      </c>
      <c r="M356" t="s">
        <v>20</v>
      </c>
      <c r="N356">
        <v>1</v>
      </c>
      <c r="O356" t="s">
        <v>590</v>
      </c>
      <c r="P356">
        <v>7003804233</v>
      </c>
      <c r="Q356">
        <v>100737138</v>
      </c>
      <c r="R356" s="8">
        <v>34881</v>
      </c>
      <c r="S356" s="9">
        <f t="shared" si="40"/>
        <v>1995</v>
      </c>
      <c r="T356" s="9">
        <v>1995</v>
      </c>
      <c r="U356" s="9">
        <f t="shared" si="41"/>
        <v>27</v>
      </c>
      <c r="V356" s="8">
        <v>34881</v>
      </c>
      <c r="W356" t="s">
        <v>589</v>
      </c>
      <c r="X356" s="2" t="s">
        <v>7</v>
      </c>
      <c r="Y356" s="7" t="e">
        <f t="shared" si="42"/>
        <v>#VALUE!</v>
      </c>
      <c r="AA356">
        <v>265276</v>
      </c>
      <c r="AB356">
        <v>34569</v>
      </c>
      <c r="AD356" t="s">
        <v>3</v>
      </c>
      <c r="AE356">
        <v>77</v>
      </c>
      <c r="AF356">
        <v>887</v>
      </c>
      <c r="AH356" t="s">
        <v>588</v>
      </c>
      <c r="AI356" t="s">
        <v>587</v>
      </c>
      <c r="AK356" t="s">
        <v>586</v>
      </c>
      <c r="AL356">
        <v>3</v>
      </c>
      <c r="AM356" s="5">
        <f t="shared" si="43"/>
        <v>0.1111111111111111</v>
      </c>
      <c r="AN356" s="4">
        <f t="shared" si="44"/>
        <v>1.682864234927847E-4</v>
      </c>
      <c r="AO356" s="3"/>
      <c r="AP356">
        <v>0</v>
      </c>
      <c r="AR356" t="s">
        <v>1</v>
      </c>
      <c r="AT356" s="2" t="s">
        <v>7</v>
      </c>
      <c r="AU356" s="1" t="e">
        <f t="shared" si="45"/>
        <v>#VALUE!</v>
      </c>
      <c r="AV356" s="1" t="e">
        <f t="shared" si="46"/>
        <v>#VALUE!</v>
      </c>
      <c r="AW356" s="1" t="e">
        <f t="shared" si="47"/>
        <v>#VALUE!</v>
      </c>
    </row>
    <row r="357" spans="1:49" x14ac:dyDescent="0.2">
      <c r="A357">
        <v>355</v>
      </c>
      <c r="B357" t="s">
        <v>585</v>
      </c>
      <c r="C357" t="s">
        <v>584</v>
      </c>
      <c r="F357" t="s">
        <v>583</v>
      </c>
      <c r="G357" t="s">
        <v>6</v>
      </c>
      <c r="H357" t="s">
        <v>5</v>
      </c>
      <c r="I357" t="s">
        <v>582</v>
      </c>
      <c r="J357" t="s">
        <v>581</v>
      </c>
      <c r="K357" t="s">
        <v>580</v>
      </c>
      <c r="L357" t="s">
        <v>579</v>
      </c>
      <c r="M357" t="s">
        <v>263</v>
      </c>
      <c r="N357">
        <v>5</v>
      </c>
      <c r="O357" t="s">
        <v>578</v>
      </c>
      <c r="P357" t="s">
        <v>577</v>
      </c>
      <c r="Q357" t="s">
        <v>576</v>
      </c>
      <c r="R357" s="8">
        <v>34881</v>
      </c>
      <c r="S357" s="9">
        <f t="shared" si="40"/>
        <v>1995</v>
      </c>
      <c r="T357" s="9">
        <v>1995</v>
      </c>
      <c r="U357" s="9">
        <f t="shared" si="41"/>
        <v>27</v>
      </c>
      <c r="V357" s="8">
        <v>34881</v>
      </c>
      <c r="W357" t="s">
        <v>282</v>
      </c>
      <c r="X357" s="2">
        <v>0.61499999999999999</v>
      </c>
      <c r="Y357" s="7">
        <f t="shared" si="42"/>
        <v>1.6417073756706976E-2</v>
      </c>
      <c r="AA357">
        <v>1959271</v>
      </c>
      <c r="AB357">
        <v>12141</v>
      </c>
      <c r="AC357">
        <v>15729559</v>
      </c>
      <c r="AD357" t="s">
        <v>3</v>
      </c>
      <c r="AE357">
        <v>16</v>
      </c>
      <c r="AF357">
        <v>7</v>
      </c>
      <c r="AH357" t="s">
        <v>575</v>
      </c>
      <c r="AI357" t="s">
        <v>574</v>
      </c>
      <c r="AJ357" t="s">
        <v>573</v>
      </c>
      <c r="AK357" t="s">
        <v>572</v>
      </c>
      <c r="AL357">
        <v>2</v>
      </c>
      <c r="AM357" s="5">
        <f t="shared" si="43"/>
        <v>7.407407407407407E-2</v>
      </c>
      <c r="AN357" s="4">
        <f t="shared" si="44"/>
        <v>1.1219094899518981E-4</v>
      </c>
      <c r="AO357" s="3"/>
      <c r="AP357">
        <v>0</v>
      </c>
      <c r="AR357" t="s">
        <v>1</v>
      </c>
      <c r="AT357" s="2" t="s">
        <v>7</v>
      </c>
      <c r="AU357" s="1">
        <f t="shared" si="45"/>
        <v>1.1525608914393439</v>
      </c>
      <c r="AV357" s="1">
        <f t="shared" si="46"/>
        <v>0.82646323528510823</v>
      </c>
      <c r="AW357" s="1">
        <f t="shared" si="47"/>
        <v>0.50036557913087254</v>
      </c>
    </row>
    <row r="358" spans="1:49" x14ac:dyDescent="0.2">
      <c r="A358">
        <v>356</v>
      </c>
      <c r="B358" t="s">
        <v>571</v>
      </c>
      <c r="F358" t="s">
        <v>570</v>
      </c>
      <c r="G358" t="s">
        <v>6</v>
      </c>
      <c r="H358" t="s">
        <v>5</v>
      </c>
      <c r="I358" t="s">
        <v>569</v>
      </c>
      <c r="J358">
        <v>60084941</v>
      </c>
      <c r="K358" t="s">
        <v>568</v>
      </c>
      <c r="L358" t="s">
        <v>567</v>
      </c>
      <c r="M358" t="s">
        <v>20</v>
      </c>
      <c r="N358">
        <v>4</v>
      </c>
      <c r="O358" t="s">
        <v>566</v>
      </c>
      <c r="P358" t="s">
        <v>565</v>
      </c>
      <c r="Q358" t="s">
        <v>564</v>
      </c>
      <c r="R358" s="8">
        <v>34881</v>
      </c>
      <c r="S358" s="9">
        <f t="shared" si="40"/>
        <v>1995</v>
      </c>
      <c r="T358" s="9">
        <v>1995</v>
      </c>
      <c r="U358" s="9">
        <f t="shared" si="41"/>
        <v>27</v>
      </c>
      <c r="V358" s="8">
        <v>34881</v>
      </c>
      <c r="W358" t="s">
        <v>563</v>
      </c>
      <c r="X358" s="2">
        <v>0.624</v>
      </c>
      <c r="Y358" s="7">
        <f t="shared" si="42"/>
        <v>1.6657323616561224E-2</v>
      </c>
      <c r="AA358">
        <v>3611981</v>
      </c>
      <c r="AB358">
        <v>27418</v>
      </c>
      <c r="AD358" t="s">
        <v>3</v>
      </c>
      <c r="AF358">
        <v>1505</v>
      </c>
      <c r="AH358" t="s">
        <v>117</v>
      </c>
      <c r="AI358" t="s">
        <v>562</v>
      </c>
      <c r="AK358" t="s">
        <v>561</v>
      </c>
      <c r="AL358">
        <v>15</v>
      </c>
      <c r="AM358" s="5">
        <f t="shared" si="43"/>
        <v>0.55555555555555558</v>
      </c>
      <c r="AN358" s="4">
        <f t="shared" si="44"/>
        <v>8.414321174639236E-4</v>
      </c>
      <c r="AO358" s="3"/>
      <c r="AP358">
        <v>0</v>
      </c>
      <c r="AR358" t="s">
        <v>1</v>
      </c>
      <c r="AT358" s="2">
        <v>1.56</v>
      </c>
      <c r="AU358" s="1">
        <f t="shared" si="45"/>
        <v>1.1912556166832033</v>
      </c>
      <c r="AV358" s="1">
        <f t="shared" si="46"/>
        <v>0.87493778670125733</v>
      </c>
      <c r="AW358" s="1">
        <f t="shared" si="47"/>
        <v>0.55861995671931131</v>
      </c>
    </row>
    <row r="359" spans="1:49" x14ac:dyDescent="0.2">
      <c r="A359">
        <v>357</v>
      </c>
      <c r="B359" t="s">
        <v>560</v>
      </c>
      <c r="E359">
        <v>7550502</v>
      </c>
      <c r="F359" t="s">
        <v>559</v>
      </c>
      <c r="G359" t="s">
        <v>6</v>
      </c>
      <c r="H359" t="s">
        <v>5</v>
      </c>
      <c r="I359" t="s">
        <v>558</v>
      </c>
      <c r="J359">
        <v>60018916</v>
      </c>
      <c r="K359" t="s">
        <v>557</v>
      </c>
      <c r="L359" t="s">
        <v>131</v>
      </c>
      <c r="M359" t="s">
        <v>20</v>
      </c>
      <c r="N359">
        <v>3</v>
      </c>
      <c r="O359" t="s">
        <v>556</v>
      </c>
      <c r="P359" t="s">
        <v>555</v>
      </c>
      <c r="Q359" t="s">
        <v>554</v>
      </c>
      <c r="R359" s="8">
        <v>34881</v>
      </c>
      <c r="S359" s="9">
        <f t="shared" si="40"/>
        <v>1995</v>
      </c>
      <c r="T359" s="9">
        <v>1995</v>
      </c>
      <c r="U359" s="9">
        <f t="shared" si="41"/>
        <v>27</v>
      </c>
      <c r="V359" s="8">
        <v>34881</v>
      </c>
      <c r="W359" t="s">
        <v>553</v>
      </c>
      <c r="X359" s="2">
        <v>0.20599999999999999</v>
      </c>
      <c r="Y359" s="7">
        <f t="shared" si="42"/>
        <v>5.4990523477750197E-3</v>
      </c>
      <c r="AA359">
        <v>8998205</v>
      </c>
      <c r="AB359">
        <v>28587</v>
      </c>
      <c r="AD359" t="s">
        <v>3</v>
      </c>
      <c r="AE359">
        <v>29</v>
      </c>
      <c r="AF359">
        <v>4</v>
      </c>
      <c r="AH359" t="s">
        <v>552</v>
      </c>
      <c r="AI359" t="s">
        <v>551</v>
      </c>
      <c r="AK359" t="s">
        <v>550</v>
      </c>
      <c r="AL359">
        <v>12</v>
      </c>
      <c r="AM359" s="5">
        <f t="shared" si="43"/>
        <v>0.44444444444444442</v>
      </c>
      <c r="AN359" s="4">
        <f t="shared" si="44"/>
        <v>6.7314569397113879E-4</v>
      </c>
      <c r="AO359" s="3"/>
      <c r="AP359">
        <v>0</v>
      </c>
      <c r="AR359" t="s">
        <v>1</v>
      </c>
      <c r="AT359" s="2" t="s">
        <v>7</v>
      </c>
      <c r="AU359" s="1">
        <f t="shared" si="45"/>
        <v>0.40512803516338547</v>
      </c>
      <c r="AV359" s="1">
        <f t="shared" si="46"/>
        <v>0.30860990208730793</v>
      </c>
      <c r="AW359" s="1">
        <f t="shared" si="47"/>
        <v>0.21209176901123031</v>
      </c>
    </row>
    <row r="360" spans="1:49" x14ac:dyDescent="0.2">
      <c r="A360">
        <v>358</v>
      </c>
      <c r="B360" t="s">
        <v>549</v>
      </c>
      <c r="C360" t="s">
        <v>548</v>
      </c>
      <c r="E360">
        <v>7626833</v>
      </c>
      <c r="F360" t="s">
        <v>547</v>
      </c>
      <c r="G360" t="s">
        <v>6</v>
      </c>
      <c r="H360" t="s">
        <v>5</v>
      </c>
      <c r="I360" t="s">
        <v>546</v>
      </c>
      <c r="J360">
        <v>60014739</v>
      </c>
      <c r="K360" t="s">
        <v>545</v>
      </c>
      <c r="L360" t="s">
        <v>544</v>
      </c>
      <c r="M360" t="s">
        <v>4</v>
      </c>
      <c r="N360">
        <v>1</v>
      </c>
      <c r="O360" t="s">
        <v>543</v>
      </c>
      <c r="P360">
        <v>7005404349</v>
      </c>
      <c r="Q360">
        <v>60014739</v>
      </c>
      <c r="R360" s="8">
        <v>34881</v>
      </c>
      <c r="S360" s="9">
        <f t="shared" si="40"/>
        <v>1995</v>
      </c>
      <c r="T360" s="9">
        <v>1995</v>
      </c>
      <c r="U360" s="9">
        <f t="shared" si="41"/>
        <v>27</v>
      </c>
      <c r="V360" s="8">
        <v>34881</v>
      </c>
      <c r="W360" t="s">
        <v>542</v>
      </c>
      <c r="X360" s="2">
        <v>0.82199999999999995</v>
      </c>
      <c r="Y360" s="7">
        <f t="shared" si="42"/>
        <v>2.1942820533354689E-2</v>
      </c>
      <c r="AA360">
        <v>10512284</v>
      </c>
      <c r="AB360">
        <v>16747</v>
      </c>
      <c r="AC360">
        <v>15526569</v>
      </c>
      <c r="AD360" t="s">
        <v>3</v>
      </c>
      <c r="AE360">
        <v>5</v>
      </c>
      <c r="AH360" t="s">
        <v>541</v>
      </c>
      <c r="AI360" t="s">
        <v>540</v>
      </c>
      <c r="AK360" t="s">
        <v>539</v>
      </c>
      <c r="AL360">
        <v>25</v>
      </c>
      <c r="AM360" s="5">
        <f t="shared" si="43"/>
        <v>0.92592592592592593</v>
      </c>
      <c r="AN360" s="4">
        <f t="shared" si="44"/>
        <v>1.4023868624398726E-3</v>
      </c>
      <c r="AO360" s="3"/>
      <c r="AP360">
        <v>0</v>
      </c>
      <c r="AR360" t="s">
        <v>1</v>
      </c>
      <c r="AT360" s="2">
        <v>2.4860000000000002</v>
      </c>
      <c r="AU360" s="1">
        <f t="shared" si="45"/>
        <v>1.5780690432080242</v>
      </c>
      <c r="AV360" s="1">
        <f t="shared" si="46"/>
        <v>1.1672603697897279</v>
      </c>
      <c r="AW360" s="1">
        <f t="shared" si="47"/>
        <v>0.75645169637143173</v>
      </c>
    </row>
    <row r="361" spans="1:49" x14ac:dyDescent="0.2">
      <c r="A361">
        <v>359</v>
      </c>
      <c r="B361" t="s">
        <v>538</v>
      </c>
      <c r="C361" t="s">
        <v>537</v>
      </c>
      <c r="E361">
        <v>7647520</v>
      </c>
      <c r="F361" t="s">
        <v>536</v>
      </c>
      <c r="G361" t="s">
        <v>6</v>
      </c>
      <c r="H361" t="s">
        <v>5</v>
      </c>
      <c r="I361" t="s">
        <v>535</v>
      </c>
      <c r="J361">
        <v>60030622</v>
      </c>
      <c r="K361" t="s">
        <v>398</v>
      </c>
      <c r="L361" t="s">
        <v>150</v>
      </c>
      <c r="M361" t="s">
        <v>68</v>
      </c>
      <c r="N361">
        <v>3</v>
      </c>
      <c r="O361" t="s">
        <v>534</v>
      </c>
      <c r="P361" t="s">
        <v>533</v>
      </c>
      <c r="Q361" t="s">
        <v>532</v>
      </c>
      <c r="R361" s="8">
        <v>34881</v>
      </c>
      <c r="S361" s="9">
        <f t="shared" si="40"/>
        <v>1995</v>
      </c>
      <c r="T361" s="9">
        <v>1995</v>
      </c>
      <c r="U361" s="9">
        <f t="shared" si="41"/>
        <v>27</v>
      </c>
      <c r="V361" s="8">
        <v>34881</v>
      </c>
      <c r="W361" t="s">
        <v>531</v>
      </c>
      <c r="X361" s="2" t="s">
        <v>7</v>
      </c>
      <c r="Y361" s="7" t="e">
        <f t="shared" si="42"/>
        <v>#VALUE!</v>
      </c>
      <c r="AA361">
        <v>9660844</v>
      </c>
      <c r="AB361">
        <v>16919</v>
      </c>
      <c r="AC361">
        <v>15728773</v>
      </c>
      <c r="AD361" t="s">
        <v>3</v>
      </c>
      <c r="AE361">
        <v>8</v>
      </c>
      <c r="AF361">
        <v>3</v>
      </c>
      <c r="AH361" t="s">
        <v>421</v>
      </c>
      <c r="AI361" t="s">
        <v>530</v>
      </c>
      <c r="AJ361" t="s">
        <v>529</v>
      </c>
      <c r="AK361" t="s">
        <v>528</v>
      </c>
      <c r="AL361">
        <v>11</v>
      </c>
      <c r="AM361" s="5">
        <f t="shared" si="43"/>
        <v>0.40740740740740738</v>
      </c>
      <c r="AN361" s="4">
        <f t="shared" si="44"/>
        <v>6.1705021947354389E-4</v>
      </c>
      <c r="AO361" s="3"/>
      <c r="AP361">
        <v>0</v>
      </c>
      <c r="AR361" t="s">
        <v>1</v>
      </c>
      <c r="AT361" s="2">
        <v>2.9489999999999998</v>
      </c>
      <c r="AU361" s="1" t="e">
        <f t="shared" si="45"/>
        <v>#VALUE!</v>
      </c>
      <c r="AV361" s="1" t="e">
        <f t="shared" si="46"/>
        <v>#VALUE!</v>
      </c>
      <c r="AW361" s="1" t="e">
        <f t="shared" si="47"/>
        <v>#VALUE!</v>
      </c>
    </row>
    <row r="362" spans="1:49" x14ac:dyDescent="0.2">
      <c r="A362">
        <v>360</v>
      </c>
      <c r="B362" t="s">
        <v>527</v>
      </c>
      <c r="C362" t="s">
        <v>526</v>
      </c>
      <c r="F362" t="s">
        <v>525</v>
      </c>
      <c r="G362" t="s">
        <v>6</v>
      </c>
      <c r="H362" t="s">
        <v>5</v>
      </c>
      <c r="I362" t="s">
        <v>524</v>
      </c>
      <c r="J362" t="s">
        <v>523</v>
      </c>
      <c r="K362" t="s">
        <v>522</v>
      </c>
      <c r="L362" t="s">
        <v>521</v>
      </c>
      <c r="M362" t="s">
        <v>13</v>
      </c>
      <c r="N362">
        <v>4</v>
      </c>
      <c r="O362" t="s">
        <v>520</v>
      </c>
      <c r="P362" t="s">
        <v>519</v>
      </c>
      <c r="Q362" t="s">
        <v>518</v>
      </c>
      <c r="R362" s="8">
        <v>34881</v>
      </c>
      <c r="S362" s="9">
        <f t="shared" si="40"/>
        <v>1995</v>
      </c>
      <c r="T362" s="9">
        <v>1995</v>
      </c>
      <c r="U362" s="9">
        <f t="shared" si="41"/>
        <v>27</v>
      </c>
      <c r="V362" s="8">
        <v>34881</v>
      </c>
      <c r="W362" t="s">
        <v>24</v>
      </c>
      <c r="X362" s="2">
        <v>1.1579999999999999</v>
      </c>
      <c r="Y362" s="7">
        <f t="shared" si="42"/>
        <v>3.0912148634579962E-2</v>
      </c>
      <c r="AA362">
        <v>1668595</v>
      </c>
      <c r="AB362">
        <v>14223</v>
      </c>
      <c r="AC362">
        <v>15735079</v>
      </c>
      <c r="AD362" t="s">
        <v>3</v>
      </c>
      <c r="AE362">
        <v>45</v>
      </c>
      <c r="AF362">
        <v>1</v>
      </c>
      <c r="AH362" s="6">
        <v>44470</v>
      </c>
      <c r="AI362" t="s">
        <v>517</v>
      </c>
      <c r="AJ362" t="s">
        <v>516</v>
      </c>
      <c r="AK362" t="s">
        <v>515</v>
      </c>
      <c r="AL362">
        <v>20</v>
      </c>
      <c r="AM362" s="5">
        <f t="shared" si="43"/>
        <v>0.7407407407407407</v>
      </c>
      <c r="AN362" s="4">
        <f t="shared" si="44"/>
        <v>1.121909489951898E-3</v>
      </c>
      <c r="AO362" s="3"/>
      <c r="AP362">
        <v>0</v>
      </c>
      <c r="AR362" t="s">
        <v>1</v>
      </c>
      <c r="AT362" s="2">
        <v>3.573</v>
      </c>
      <c r="AU362" s="1">
        <f t="shared" si="45"/>
        <v>2.1975076891191541</v>
      </c>
      <c r="AV362" s="1">
        <f t="shared" si="46"/>
        <v>1.6017029062265931</v>
      </c>
      <c r="AW362" s="1">
        <f t="shared" si="47"/>
        <v>1.0058981233340318</v>
      </c>
    </row>
    <row r="363" spans="1:49" x14ac:dyDescent="0.2">
      <c r="A363">
        <v>361</v>
      </c>
      <c r="B363" t="s">
        <v>514</v>
      </c>
      <c r="C363" t="s">
        <v>513</v>
      </c>
      <c r="F363" t="s">
        <v>512</v>
      </c>
      <c r="G363" t="s">
        <v>6</v>
      </c>
      <c r="H363" t="s">
        <v>5</v>
      </c>
      <c r="I363" t="s">
        <v>511</v>
      </c>
      <c r="J363">
        <v>60031040</v>
      </c>
      <c r="K363" t="s">
        <v>510</v>
      </c>
      <c r="L363" t="s">
        <v>509</v>
      </c>
      <c r="M363" t="s">
        <v>11</v>
      </c>
      <c r="N363">
        <v>3</v>
      </c>
      <c r="O363" t="s">
        <v>508</v>
      </c>
      <c r="P363" t="s">
        <v>507</v>
      </c>
      <c r="Q363" t="s">
        <v>506</v>
      </c>
      <c r="R363" s="8">
        <v>34881</v>
      </c>
      <c r="S363" s="9">
        <f t="shared" si="40"/>
        <v>1995</v>
      </c>
      <c r="T363" s="9">
        <v>1995</v>
      </c>
      <c r="U363" s="9">
        <f t="shared" si="41"/>
        <v>27</v>
      </c>
      <c r="V363" s="8">
        <v>34881</v>
      </c>
      <c r="W363" t="s">
        <v>24</v>
      </c>
      <c r="X363" s="2">
        <v>1.1579999999999999</v>
      </c>
      <c r="Y363" s="7">
        <f t="shared" si="42"/>
        <v>3.0912148634579962E-2</v>
      </c>
      <c r="AA363">
        <v>1668595</v>
      </c>
      <c r="AB363">
        <v>14223</v>
      </c>
      <c r="AC363">
        <v>15735079</v>
      </c>
      <c r="AD363" t="s">
        <v>3</v>
      </c>
      <c r="AE363">
        <v>45</v>
      </c>
      <c r="AF363">
        <v>1</v>
      </c>
      <c r="AH363" t="s">
        <v>505</v>
      </c>
      <c r="AI363" t="s">
        <v>504</v>
      </c>
      <c r="AJ363" t="s">
        <v>503</v>
      </c>
      <c r="AK363" t="s">
        <v>502</v>
      </c>
      <c r="AL363">
        <v>6</v>
      </c>
      <c r="AM363" s="5">
        <f t="shared" si="43"/>
        <v>0.22222222222222221</v>
      </c>
      <c r="AN363" s="4">
        <f t="shared" si="44"/>
        <v>3.365728469855694E-4</v>
      </c>
      <c r="AO363" s="3"/>
      <c r="AP363">
        <v>0</v>
      </c>
      <c r="AR363" t="s">
        <v>1</v>
      </c>
      <c r="AT363" s="2">
        <v>3.573</v>
      </c>
      <c r="AU363" s="1">
        <f t="shared" si="45"/>
        <v>2.1739475898301643</v>
      </c>
      <c r="AV363" s="1">
        <f t="shared" si="46"/>
        <v>1.5624360740782766</v>
      </c>
      <c r="AW363" s="1">
        <f t="shared" si="47"/>
        <v>0.95092455832638867</v>
      </c>
    </row>
    <row r="364" spans="1:49" x14ac:dyDescent="0.2">
      <c r="A364">
        <v>362</v>
      </c>
      <c r="B364" t="s">
        <v>501</v>
      </c>
      <c r="C364" t="s">
        <v>500</v>
      </c>
      <c r="F364" t="s">
        <v>499</v>
      </c>
      <c r="G364" t="s">
        <v>6</v>
      </c>
      <c r="H364" t="s">
        <v>5</v>
      </c>
      <c r="I364" t="s">
        <v>498</v>
      </c>
      <c r="J364" t="s">
        <v>497</v>
      </c>
      <c r="K364" t="s">
        <v>496</v>
      </c>
      <c r="L364" t="s">
        <v>495</v>
      </c>
      <c r="M364" t="s">
        <v>111</v>
      </c>
      <c r="N364">
        <v>4</v>
      </c>
      <c r="O364" t="s">
        <v>494</v>
      </c>
      <c r="P364" t="s">
        <v>493</v>
      </c>
      <c r="Q364" t="s">
        <v>492</v>
      </c>
      <c r="R364" s="8">
        <v>34881</v>
      </c>
      <c r="S364" s="9">
        <f t="shared" si="40"/>
        <v>1995</v>
      </c>
      <c r="T364" s="9">
        <v>1995</v>
      </c>
      <c r="U364" s="9">
        <f t="shared" si="41"/>
        <v>27</v>
      </c>
      <c r="V364" s="8">
        <v>34881</v>
      </c>
      <c r="W364" t="s">
        <v>24</v>
      </c>
      <c r="X364" s="2">
        <v>1.1579999999999999</v>
      </c>
      <c r="Y364" s="7">
        <f t="shared" si="42"/>
        <v>3.0912148634579962E-2</v>
      </c>
      <c r="AA364">
        <v>1668595</v>
      </c>
      <c r="AB364">
        <v>14223</v>
      </c>
      <c r="AC364">
        <v>15735079</v>
      </c>
      <c r="AD364" t="s">
        <v>3</v>
      </c>
      <c r="AE364">
        <v>45</v>
      </c>
      <c r="AF364">
        <v>1</v>
      </c>
      <c r="AH364" t="s">
        <v>491</v>
      </c>
      <c r="AI364" t="s">
        <v>490</v>
      </c>
      <c r="AJ364" t="s">
        <v>489</v>
      </c>
      <c r="AK364" t="s">
        <v>488</v>
      </c>
      <c r="AL364">
        <v>35</v>
      </c>
      <c r="AM364" s="5">
        <f t="shared" si="43"/>
        <v>1.2962962962962963</v>
      </c>
      <c r="AN364" s="4">
        <f t="shared" si="44"/>
        <v>1.9633416074158216E-3</v>
      </c>
      <c r="AO364" s="3"/>
      <c r="AP364">
        <v>0</v>
      </c>
      <c r="AR364" t="s">
        <v>1</v>
      </c>
      <c r="AT364" s="2">
        <v>3.573</v>
      </c>
      <c r="AU364" s="1">
        <f t="shared" si="45"/>
        <v>2.222750652643072</v>
      </c>
      <c r="AV364" s="1">
        <f t="shared" si="46"/>
        <v>1.6437745120997893</v>
      </c>
      <c r="AW364" s="1">
        <f t="shared" si="47"/>
        <v>1.0647983715565064</v>
      </c>
    </row>
    <row r="365" spans="1:49" x14ac:dyDescent="0.2">
      <c r="A365">
        <v>363</v>
      </c>
      <c r="B365" t="s">
        <v>487</v>
      </c>
      <c r="C365" t="s">
        <v>486</v>
      </c>
      <c r="F365" t="s">
        <v>485</v>
      </c>
      <c r="G365" t="s">
        <v>6</v>
      </c>
      <c r="H365" t="s">
        <v>5</v>
      </c>
      <c r="I365" t="s">
        <v>484</v>
      </c>
      <c r="J365" t="s">
        <v>483</v>
      </c>
      <c r="K365" t="s">
        <v>482</v>
      </c>
      <c r="L365" t="s">
        <v>481</v>
      </c>
      <c r="M365" t="s">
        <v>263</v>
      </c>
      <c r="N365">
        <v>5</v>
      </c>
      <c r="O365" t="s">
        <v>480</v>
      </c>
      <c r="P365" t="s">
        <v>479</v>
      </c>
      <c r="Q365" t="s">
        <v>478</v>
      </c>
      <c r="R365" s="8">
        <v>34881</v>
      </c>
      <c r="S365" s="9">
        <f t="shared" si="40"/>
        <v>1995</v>
      </c>
      <c r="T365" s="9">
        <v>1995</v>
      </c>
      <c r="U365" s="9">
        <f t="shared" si="41"/>
        <v>27</v>
      </c>
      <c r="V365" s="8">
        <v>34881</v>
      </c>
      <c r="W365" t="s">
        <v>24</v>
      </c>
      <c r="X365" s="2">
        <v>1.1579999999999999</v>
      </c>
      <c r="Y365" s="7">
        <f t="shared" si="42"/>
        <v>3.0912148634579962E-2</v>
      </c>
      <c r="AA365">
        <v>1668595</v>
      </c>
      <c r="AB365">
        <v>14223</v>
      </c>
      <c r="AC365">
        <v>15735079</v>
      </c>
      <c r="AD365" t="s">
        <v>3</v>
      </c>
      <c r="AE365">
        <v>45</v>
      </c>
      <c r="AF365">
        <v>1</v>
      </c>
      <c r="AH365" t="s">
        <v>477</v>
      </c>
      <c r="AI365" t="s">
        <v>476</v>
      </c>
      <c r="AJ365" t="s">
        <v>475</v>
      </c>
      <c r="AK365" t="s">
        <v>474</v>
      </c>
      <c r="AL365">
        <v>62</v>
      </c>
      <c r="AM365" s="5">
        <f t="shared" si="43"/>
        <v>2.2962962962962963</v>
      </c>
      <c r="AN365" s="4">
        <f t="shared" si="44"/>
        <v>3.477919418850884E-3</v>
      </c>
      <c r="AO365" s="3"/>
      <c r="AP365">
        <v>0</v>
      </c>
      <c r="AR365" t="s">
        <v>1</v>
      </c>
      <c r="AT365" s="2">
        <v>3.573</v>
      </c>
      <c r="AU365" s="1">
        <f t="shared" si="45"/>
        <v>2.2681879869861237</v>
      </c>
      <c r="AV365" s="1">
        <f t="shared" si="46"/>
        <v>1.7195034026715423</v>
      </c>
      <c r="AW365" s="1">
        <f t="shared" si="47"/>
        <v>1.1708188183569608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1995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Young-Ok Cha</cp:lastModifiedBy>
  <dcterms:created xsi:type="dcterms:W3CDTF">2021-11-11T11:40:45Z</dcterms:created>
  <dcterms:modified xsi:type="dcterms:W3CDTF">2022-01-19T20:26:31Z</dcterms:modified>
</cp:coreProperties>
</file>