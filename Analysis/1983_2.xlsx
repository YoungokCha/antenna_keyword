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https://qmulprod-my.sharepoint.com/personal/eex760_qmul_ac_uk/Documents/1MyProject/0LSTM_keyword_predict/3.Antenna/antenna_new/"/>
    </mc:Choice>
  </mc:AlternateContent>
  <xr:revisionPtr revIDLastSave="3" documentId="8_{9911CC83-DA2E-5A43-BA1F-36F51206A4FF}" xr6:coauthVersionLast="47" xr6:coauthVersionMax="47" xr10:uidLastSave="{EF667CB5-E61A-6C4A-818C-22A1EB0CF59B}"/>
  <bookViews>
    <workbookView xWindow="11280" yWindow="5700" windowWidth="27640" windowHeight="16940" xr2:uid="{F8B441F0-FB7E-3E40-BFF1-00E85FB739BD}"/>
  </bookViews>
  <sheets>
    <sheet name="1983" sheetId="1" r:id="rId1"/>
  </sheets>
  <externalReferences>
    <externalReference r:id="rId2"/>
  </externalReferences>
  <definedNames>
    <definedName name="s0">[1]antenna_all!#REF!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2" i="1" l="1"/>
  <c r="U2" i="1"/>
  <c r="AM2" i="1" s="1"/>
  <c r="AN2" i="1" s="1"/>
  <c r="Y2" i="1"/>
  <c r="S3" i="1"/>
  <c r="U3" i="1"/>
  <c r="AM3" i="1" s="1"/>
  <c r="AN3" i="1" s="1"/>
  <c r="Y3" i="1"/>
  <c r="AU3" i="1" s="1"/>
  <c r="S4" i="1"/>
  <c r="U4" i="1"/>
  <c r="AM4" i="1" s="1"/>
  <c r="AN4" i="1" s="1"/>
  <c r="Y4" i="1"/>
  <c r="S5" i="1"/>
  <c r="U5" i="1"/>
  <c r="Y5" i="1"/>
  <c r="AM5" i="1"/>
  <c r="AN5" i="1"/>
  <c r="AU5" i="1" s="1"/>
  <c r="AV5" i="1"/>
  <c r="S6" i="1"/>
  <c r="U6" i="1"/>
  <c r="AM6" i="1" s="1"/>
  <c r="AN6" i="1" s="1"/>
  <c r="Y6" i="1"/>
  <c r="S7" i="1"/>
  <c r="U7" i="1"/>
  <c r="AM7" i="1" s="1"/>
  <c r="AN7" i="1" s="1"/>
  <c r="Y7" i="1"/>
  <c r="S8" i="1"/>
  <c r="U8" i="1"/>
  <c r="AM8" i="1" s="1"/>
  <c r="AN8" i="1" s="1"/>
  <c r="Y8" i="1"/>
  <c r="AU8" i="1" s="1"/>
  <c r="S9" i="1"/>
  <c r="U9" i="1"/>
  <c r="AM9" i="1" s="1"/>
  <c r="AN9" i="1" s="1"/>
  <c r="Y9" i="1"/>
  <c r="AU9" i="1" s="1"/>
  <c r="S10" i="1"/>
  <c r="U10" i="1"/>
  <c r="AM10" i="1" s="1"/>
  <c r="AN10" i="1" s="1"/>
  <c r="AV10" i="1" s="1"/>
  <c r="Y10" i="1"/>
  <c r="S11" i="1"/>
  <c r="U11" i="1"/>
  <c r="Y11" i="1"/>
  <c r="AM11" i="1"/>
  <c r="AN11" i="1"/>
  <c r="S12" i="1"/>
  <c r="U12" i="1"/>
  <c r="AM12" i="1" s="1"/>
  <c r="AN12" i="1" s="1"/>
  <c r="Y12" i="1"/>
  <c r="AU12" i="1" s="1"/>
  <c r="S13" i="1"/>
  <c r="U13" i="1"/>
  <c r="AM13" i="1" s="1"/>
  <c r="AN13" i="1" s="1"/>
  <c r="Y13" i="1"/>
  <c r="S14" i="1"/>
  <c r="U14" i="1"/>
  <c r="AM14" i="1" s="1"/>
  <c r="AN14" i="1" s="1"/>
  <c r="Y14" i="1"/>
  <c r="S15" i="1"/>
  <c r="U15" i="1"/>
  <c r="AM15" i="1" s="1"/>
  <c r="AN15" i="1" s="1"/>
  <c r="AV15" i="1" s="1"/>
  <c r="Y15" i="1"/>
  <c r="S16" i="1"/>
  <c r="U16" i="1"/>
  <c r="Y16" i="1"/>
  <c r="AM16" i="1"/>
  <c r="AN16" i="1" s="1"/>
  <c r="S17" i="1"/>
  <c r="U17" i="1"/>
  <c r="AM17" i="1" s="1"/>
  <c r="AN17" i="1" s="1"/>
  <c r="Y17" i="1"/>
  <c r="AU17" i="1" s="1"/>
  <c r="S18" i="1"/>
  <c r="U18" i="1"/>
  <c r="AM18" i="1" s="1"/>
  <c r="AN18" i="1" s="1"/>
  <c r="Y18" i="1"/>
  <c r="S19" i="1"/>
  <c r="U19" i="1"/>
  <c r="AM19" i="1" s="1"/>
  <c r="AN19" i="1" s="1"/>
  <c r="Y19" i="1"/>
  <c r="S20" i="1"/>
  <c r="U20" i="1"/>
  <c r="Y20" i="1"/>
  <c r="AM20" i="1"/>
  <c r="AN20" i="1" s="1"/>
  <c r="AV20" i="1" s="1"/>
  <c r="S21" i="1"/>
  <c r="U21" i="1"/>
  <c r="AM21" i="1" s="1"/>
  <c r="AN21" i="1" s="1"/>
  <c r="Y21" i="1"/>
  <c r="S22" i="1"/>
  <c r="U22" i="1"/>
  <c r="Y22" i="1"/>
  <c r="AM22" i="1"/>
  <c r="AN22" i="1" s="1"/>
  <c r="S23" i="1"/>
  <c r="U23" i="1"/>
  <c r="AM23" i="1" s="1"/>
  <c r="AN23" i="1" s="1"/>
  <c r="Y23" i="1"/>
  <c r="S24" i="1"/>
  <c r="U24" i="1"/>
  <c r="AM24" i="1" s="1"/>
  <c r="AN24" i="1" s="1"/>
  <c r="Y24" i="1"/>
  <c r="S25" i="1"/>
  <c r="U25" i="1"/>
  <c r="AM25" i="1" s="1"/>
  <c r="AN25" i="1" s="1"/>
  <c r="AV25" i="1" s="1"/>
  <c r="Y25" i="1"/>
  <c r="S26" i="1"/>
  <c r="U26" i="1"/>
  <c r="AM26" i="1" s="1"/>
  <c r="AN26" i="1" s="1"/>
  <c r="AV26" i="1" s="1"/>
  <c r="Y26" i="1"/>
  <c r="S27" i="1"/>
  <c r="U27" i="1"/>
  <c r="Y27" i="1"/>
  <c r="AM27" i="1"/>
  <c r="AN27" i="1" s="1"/>
  <c r="S28" i="1"/>
  <c r="U28" i="1"/>
  <c r="AM28" i="1" s="1"/>
  <c r="AN28" i="1" s="1"/>
  <c r="Y28" i="1"/>
  <c r="AU28" i="1" s="1"/>
  <c r="S29" i="1"/>
  <c r="U29" i="1"/>
  <c r="AM29" i="1" s="1"/>
  <c r="AN29" i="1" s="1"/>
  <c r="Y29" i="1"/>
  <c r="AU29" i="1" s="1"/>
  <c r="S30" i="1"/>
  <c r="U30" i="1"/>
  <c r="AM30" i="1" s="1"/>
  <c r="AN30" i="1" s="1"/>
  <c r="Y30" i="1"/>
  <c r="S31" i="1"/>
  <c r="U31" i="1"/>
  <c r="Y31" i="1"/>
  <c r="AM31" i="1"/>
  <c r="AN31" i="1" s="1"/>
  <c r="S32" i="1"/>
  <c r="U32" i="1"/>
  <c r="Y32" i="1"/>
  <c r="AM32" i="1"/>
  <c r="AN32" i="1"/>
  <c r="S33" i="1"/>
  <c r="U33" i="1"/>
  <c r="AM33" i="1" s="1"/>
  <c r="AN33" i="1" s="1"/>
  <c r="Y33" i="1"/>
  <c r="AU33" i="1" s="1"/>
  <c r="S34" i="1"/>
  <c r="U34" i="1"/>
  <c r="AM34" i="1" s="1"/>
  <c r="AN34" i="1" s="1"/>
  <c r="Y34" i="1"/>
  <c r="S35" i="1"/>
  <c r="U35" i="1"/>
  <c r="AM35" i="1" s="1"/>
  <c r="AN35" i="1" s="1"/>
  <c r="AV35" i="1" s="1"/>
  <c r="Y35" i="1"/>
  <c r="S36" i="1"/>
  <c r="U36" i="1"/>
  <c r="AM36" i="1" s="1"/>
  <c r="AN36" i="1" s="1"/>
  <c r="Y36" i="1"/>
  <c r="S37" i="1"/>
  <c r="U37" i="1"/>
  <c r="Y37" i="1"/>
  <c r="AM37" i="1"/>
  <c r="AN37" i="1"/>
  <c r="S38" i="1"/>
  <c r="U38" i="1"/>
  <c r="AM38" i="1" s="1"/>
  <c r="AN38" i="1" s="1"/>
  <c r="Y38" i="1"/>
  <c r="S39" i="1"/>
  <c r="U39" i="1"/>
  <c r="AM39" i="1" s="1"/>
  <c r="AN39" i="1" s="1"/>
  <c r="Y39" i="1"/>
  <c r="AU39" i="1" s="1"/>
  <c r="S40" i="1"/>
  <c r="U40" i="1"/>
  <c r="Y40" i="1"/>
  <c r="AM40" i="1"/>
  <c r="AN40" i="1" s="1"/>
  <c r="S41" i="1"/>
  <c r="U41" i="1"/>
  <c r="Y41" i="1"/>
  <c r="AM41" i="1"/>
  <c r="AN41" i="1" s="1"/>
  <c r="AV41" i="1" s="1"/>
  <c r="S42" i="1"/>
  <c r="U42" i="1"/>
  <c r="AM42" i="1" s="1"/>
  <c r="AN42" i="1" s="1"/>
  <c r="Y42" i="1"/>
  <c r="S43" i="1"/>
  <c r="U43" i="1"/>
  <c r="AM43" i="1" s="1"/>
  <c r="AN43" i="1" s="1"/>
  <c r="Y43" i="1"/>
  <c r="S44" i="1"/>
  <c r="U44" i="1"/>
  <c r="AM44" i="1" s="1"/>
  <c r="AN44" i="1" s="1"/>
  <c r="Y44" i="1"/>
  <c r="AU44" i="1" s="1"/>
  <c r="S45" i="1"/>
  <c r="U45" i="1"/>
  <c r="AM45" i="1" s="1"/>
  <c r="AN45" i="1" s="1"/>
  <c r="Y45" i="1"/>
  <c r="S46" i="1"/>
  <c r="U46" i="1"/>
  <c r="Y46" i="1"/>
  <c r="AM46" i="1"/>
  <c r="AN46" i="1"/>
  <c r="AV46" i="1" s="1"/>
  <c r="S47" i="1"/>
  <c r="U47" i="1"/>
  <c r="AM47" i="1" s="1"/>
  <c r="AN47" i="1" s="1"/>
  <c r="Y47" i="1"/>
  <c r="AU47" i="1" s="1"/>
  <c r="S48" i="1"/>
  <c r="U48" i="1"/>
  <c r="AM48" i="1" s="1"/>
  <c r="AN48" i="1" s="1"/>
  <c r="Y48" i="1"/>
  <c r="S49" i="1"/>
  <c r="U49" i="1"/>
  <c r="AM49" i="1" s="1"/>
  <c r="AN49" i="1" s="1"/>
  <c r="Y49" i="1"/>
  <c r="AU49" i="1" s="1"/>
  <c r="S50" i="1"/>
  <c r="U50" i="1"/>
  <c r="AM50" i="1" s="1"/>
  <c r="AN50" i="1" s="1"/>
  <c r="Y50" i="1"/>
  <c r="S51" i="1"/>
  <c r="U51" i="1"/>
  <c r="AM51" i="1" s="1"/>
  <c r="AN51" i="1" s="1"/>
  <c r="AV51" i="1" s="1"/>
  <c r="Y51" i="1"/>
  <c r="S52" i="1"/>
  <c r="U52" i="1"/>
  <c r="AM52" i="1" s="1"/>
  <c r="AN52" i="1" s="1"/>
  <c r="Y52" i="1"/>
  <c r="S53" i="1"/>
  <c r="U53" i="1"/>
  <c r="AM53" i="1" s="1"/>
  <c r="AN53" i="1" s="1"/>
  <c r="Y53" i="1"/>
  <c r="S54" i="1"/>
  <c r="U54" i="1"/>
  <c r="AM54" i="1" s="1"/>
  <c r="AN54" i="1" s="1"/>
  <c r="Y54" i="1"/>
  <c r="AU54" i="1" s="1"/>
  <c r="S55" i="1"/>
  <c r="U55" i="1"/>
  <c r="Y55" i="1"/>
  <c r="AM55" i="1"/>
  <c r="AN55" i="1" s="1"/>
  <c r="S56" i="1"/>
  <c r="U56" i="1"/>
  <c r="Y56" i="1"/>
  <c r="AM56" i="1"/>
  <c r="AN56" i="1"/>
  <c r="AV56" i="1" s="1"/>
  <c r="S57" i="1"/>
  <c r="U57" i="1"/>
  <c r="AM57" i="1" s="1"/>
  <c r="AN57" i="1" s="1"/>
  <c r="Y57" i="1"/>
  <c r="S58" i="1"/>
  <c r="U58" i="1"/>
  <c r="AM58" i="1" s="1"/>
  <c r="AN58" i="1" s="1"/>
  <c r="Y58" i="1"/>
  <c r="AU58" i="1" s="1"/>
  <c r="S59" i="1"/>
  <c r="U59" i="1"/>
  <c r="AM59" i="1" s="1"/>
  <c r="AN59" i="1" s="1"/>
  <c r="Y59" i="1"/>
  <c r="S60" i="1"/>
  <c r="U60" i="1"/>
  <c r="AM60" i="1" s="1"/>
  <c r="AN60" i="1" s="1"/>
  <c r="Y60" i="1"/>
  <c r="S61" i="1"/>
  <c r="U61" i="1"/>
  <c r="Y61" i="1"/>
  <c r="AM61" i="1"/>
  <c r="AN61" i="1" s="1"/>
  <c r="AV61" i="1" s="1"/>
  <c r="S62" i="1"/>
  <c r="U62" i="1"/>
  <c r="AM62" i="1" s="1"/>
  <c r="AN62" i="1" s="1"/>
  <c r="Y62" i="1"/>
  <c r="S63" i="1"/>
  <c r="U63" i="1"/>
  <c r="AM63" i="1" s="1"/>
  <c r="AN63" i="1" s="1"/>
  <c r="Y63" i="1"/>
  <c r="AU63" i="1" s="1"/>
  <c r="S64" i="1"/>
  <c r="U64" i="1"/>
  <c r="AM64" i="1" s="1"/>
  <c r="AN64" i="1" s="1"/>
  <c r="Y64" i="1"/>
  <c r="S65" i="1"/>
  <c r="U65" i="1"/>
  <c r="Y65" i="1"/>
  <c r="AM65" i="1"/>
  <c r="AN65" i="1"/>
  <c r="AV65" i="1"/>
  <c r="S66" i="1"/>
  <c r="U66" i="1"/>
  <c r="Y66" i="1"/>
  <c r="AM66" i="1"/>
  <c r="AN66" i="1"/>
  <c r="AV66" i="1"/>
  <c r="S67" i="1"/>
  <c r="U67" i="1"/>
  <c r="AM67" i="1" s="1"/>
  <c r="AN67" i="1" s="1"/>
  <c r="Y67" i="1"/>
  <c r="S68" i="1"/>
  <c r="U68" i="1"/>
  <c r="AM68" i="1" s="1"/>
  <c r="AN68" i="1" s="1"/>
  <c r="Y68" i="1"/>
  <c r="S69" i="1"/>
  <c r="U69" i="1"/>
  <c r="AM69" i="1" s="1"/>
  <c r="AN69" i="1" s="1"/>
  <c r="Y69" i="1"/>
  <c r="S70" i="1"/>
  <c r="U70" i="1"/>
  <c r="Y70" i="1"/>
  <c r="AM70" i="1"/>
  <c r="AN70" i="1"/>
  <c r="AV70" i="1"/>
  <c r="S71" i="1"/>
  <c r="U71" i="1"/>
  <c r="AM71" i="1" s="1"/>
  <c r="AN71" i="1" s="1"/>
  <c r="Y71" i="1"/>
  <c r="S72" i="1"/>
  <c r="U72" i="1"/>
  <c r="AM72" i="1" s="1"/>
  <c r="AN72" i="1" s="1"/>
  <c r="Y72" i="1"/>
  <c r="AU72" i="1" s="1"/>
  <c r="S73" i="1"/>
  <c r="U73" i="1"/>
  <c r="AM73" i="1" s="1"/>
  <c r="AN73" i="1" s="1"/>
  <c r="Y73" i="1"/>
  <c r="AU73" i="1" s="1"/>
  <c r="S74" i="1"/>
  <c r="U74" i="1"/>
  <c r="AM74" i="1" s="1"/>
  <c r="AN74" i="1" s="1"/>
  <c r="Y74" i="1"/>
  <c r="S75" i="1"/>
  <c r="U75" i="1"/>
  <c r="Y75" i="1"/>
  <c r="AM75" i="1"/>
  <c r="AN75" i="1"/>
  <c r="AV75" i="1" s="1"/>
  <c r="S76" i="1"/>
  <c r="U76" i="1"/>
  <c r="AM76" i="1" s="1"/>
  <c r="AN76" i="1" s="1"/>
  <c r="Y76" i="1"/>
  <c r="S77" i="1"/>
  <c r="U77" i="1"/>
  <c r="AM77" i="1" s="1"/>
  <c r="AN77" i="1" s="1"/>
  <c r="Y77" i="1"/>
  <c r="S78" i="1"/>
  <c r="U78" i="1"/>
  <c r="AM78" i="1" s="1"/>
  <c r="AN78" i="1" s="1"/>
  <c r="Y78" i="1"/>
  <c r="S79" i="1"/>
  <c r="U79" i="1"/>
  <c r="AM79" i="1" s="1"/>
  <c r="AN79" i="1" s="1"/>
  <c r="Y79" i="1"/>
  <c r="S80" i="1"/>
  <c r="U80" i="1"/>
  <c r="Y80" i="1"/>
  <c r="AM80" i="1"/>
  <c r="AN80" i="1" s="1"/>
  <c r="AV80" i="1" s="1"/>
  <c r="S81" i="1"/>
  <c r="U81" i="1"/>
  <c r="Y81" i="1"/>
  <c r="AM81" i="1"/>
  <c r="AN81" i="1"/>
  <c r="AV81" i="1"/>
  <c r="S82" i="1"/>
  <c r="U82" i="1"/>
  <c r="AM82" i="1" s="1"/>
  <c r="AN82" i="1" s="1"/>
  <c r="Y82" i="1"/>
  <c r="S83" i="1"/>
  <c r="U83" i="1"/>
  <c r="AM83" i="1" s="1"/>
  <c r="AN83" i="1" s="1"/>
  <c r="Y83" i="1"/>
  <c r="S84" i="1"/>
  <c r="U84" i="1"/>
  <c r="AM84" i="1" s="1"/>
  <c r="AN84" i="1" s="1"/>
  <c r="Y84" i="1"/>
  <c r="AU84" i="1" s="1"/>
  <c r="S85" i="1"/>
  <c r="U85" i="1"/>
  <c r="Y85" i="1"/>
  <c r="AM85" i="1"/>
  <c r="AN85" i="1"/>
  <c r="AV85" i="1" s="1"/>
  <c r="S86" i="1"/>
  <c r="U86" i="1"/>
  <c r="Y86" i="1"/>
  <c r="AM86" i="1"/>
  <c r="AN86" i="1"/>
  <c r="AV86" i="1"/>
  <c r="S87" i="1"/>
  <c r="U87" i="1"/>
  <c r="AM87" i="1" s="1"/>
  <c r="AN87" i="1" s="1"/>
  <c r="Y87" i="1"/>
  <c r="AU87" i="1" s="1"/>
  <c r="S88" i="1"/>
  <c r="U88" i="1"/>
  <c r="AM88" i="1" s="1"/>
  <c r="AN88" i="1" s="1"/>
  <c r="Y88" i="1"/>
  <c r="S89" i="1"/>
  <c r="U89" i="1"/>
  <c r="AM89" i="1" s="1"/>
  <c r="AN89" i="1" s="1"/>
  <c r="Y89" i="1"/>
  <c r="S90" i="1"/>
  <c r="U90" i="1"/>
  <c r="AM90" i="1" s="1"/>
  <c r="AN90" i="1" s="1"/>
  <c r="Y90" i="1"/>
  <c r="S91" i="1"/>
  <c r="U91" i="1"/>
  <c r="Y91" i="1"/>
  <c r="AM91" i="1"/>
  <c r="AN91" i="1" s="1"/>
  <c r="S92" i="1"/>
  <c r="U92" i="1"/>
  <c r="AM92" i="1" s="1"/>
  <c r="AN92" i="1" s="1"/>
  <c r="Y92" i="1"/>
  <c r="AU92" i="1" s="1"/>
  <c r="S93" i="1"/>
  <c r="U93" i="1"/>
  <c r="Y93" i="1"/>
  <c r="AM93" i="1"/>
  <c r="AN93" i="1"/>
  <c r="S94" i="1"/>
  <c r="U94" i="1"/>
  <c r="AM94" i="1" s="1"/>
  <c r="AN94" i="1" s="1"/>
  <c r="Y94" i="1"/>
  <c r="AU94" i="1" s="1"/>
  <c r="S95" i="1"/>
  <c r="U95" i="1"/>
  <c r="Y95" i="1"/>
  <c r="AM95" i="1"/>
  <c r="AN95" i="1" s="1"/>
  <c r="AV95" i="1" s="1"/>
  <c r="S96" i="1"/>
  <c r="U96" i="1"/>
  <c r="AM96" i="1" s="1"/>
  <c r="AN96" i="1" s="1"/>
  <c r="Y96" i="1"/>
  <c r="AV96" i="1" s="1"/>
  <c r="S97" i="1"/>
  <c r="U97" i="1"/>
  <c r="AM97" i="1" s="1"/>
  <c r="AN97" i="1" s="1"/>
  <c r="Y97" i="1"/>
  <c r="S98" i="1"/>
  <c r="U98" i="1"/>
  <c r="Y98" i="1"/>
  <c r="AM98" i="1"/>
  <c r="AN98" i="1"/>
  <c r="S99" i="1"/>
  <c r="U99" i="1"/>
  <c r="AM99" i="1" s="1"/>
  <c r="AN99" i="1" s="1"/>
  <c r="Y99" i="1"/>
  <c r="AU99" i="1" s="1"/>
  <c r="S100" i="1"/>
  <c r="U100" i="1"/>
  <c r="Y100" i="1"/>
  <c r="AM100" i="1"/>
  <c r="AN100" i="1" s="1"/>
  <c r="AU53" i="1" l="1"/>
  <c r="AU4" i="1"/>
  <c r="AU7" i="1"/>
  <c r="AV76" i="1"/>
  <c r="AV60" i="1"/>
  <c r="AV50" i="1"/>
  <c r="AV40" i="1"/>
  <c r="AV45" i="1"/>
  <c r="AV55" i="1"/>
  <c r="AV91" i="1"/>
  <c r="AV36" i="1"/>
  <c r="AV100" i="1"/>
  <c r="AV31" i="1"/>
  <c r="AU71" i="1"/>
  <c r="AU16" i="1"/>
  <c r="AU30" i="1"/>
  <c r="AU98" i="1"/>
  <c r="AU11" i="1"/>
  <c r="AU85" i="1"/>
  <c r="AU66" i="1"/>
  <c r="AU25" i="1"/>
  <c r="AU80" i="1"/>
  <c r="AU61" i="1"/>
  <c r="AU93" i="1"/>
  <c r="AU75" i="1"/>
  <c r="AU56" i="1"/>
  <c r="AU37" i="1"/>
  <c r="AU70" i="1"/>
  <c r="AU51" i="1"/>
  <c r="AU20" i="1"/>
  <c r="AU46" i="1"/>
  <c r="AU15" i="1"/>
  <c r="AU88" i="1"/>
  <c r="AU41" i="1"/>
  <c r="AU32" i="1"/>
  <c r="AU10" i="1"/>
  <c r="AW5" i="1"/>
  <c r="AU65" i="1"/>
  <c r="AU60" i="1"/>
  <c r="AU96" i="1"/>
  <c r="AU55" i="1"/>
  <c r="AU36" i="1"/>
  <c r="AU27" i="1"/>
  <c r="AU90" i="1"/>
  <c r="AU82" i="1"/>
  <c r="AU68" i="1"/>
  <c r="AU64" i="1"/>
  <c r="AU50" i="1"/>
  <c r="AU18" i="1"/>
  <c r="AU45" i="1"/>
  <c r="AU21" i="1"/>
  <c r="AU100" i="1"/>
  <c r="AU91" i="1"/>
  <c r="AU40" i="1"/>
  <c r="AU31" i="1"/>
  <c r="AU22" i="1"/>
  <c r="AU95" i="1"/>
  <c r="AV90" i="1"/>
  <c r="AU86" i="1"/>
  <c r="AV71" i="1"/>
  <c r="AU67" i="1"/>
  <c r="AU35" i="1"/>
  <c r="AV30" i="1"/>
  <c r="AU26" i="1"/>
  <c r="AV21" i="1"/>
  <c r="AV12" i="1"/>
  <c r="AU81" i="1"/>
  <c r="AV16" i="1"/>
  <c r="AU76" i="1"/>
  <c r="AV11" i="1"/>
  <c r="AU52" i="1"/>
  <c r="AU38" i="1"/>
  <c r="AU34" i="1"/>
  <c r="AU42" i="1"/>
  <c r="AU89" i="1"/>
  <c r="AU6" i="1"/>
  <c r="AV6" i="1"/>
  <c r="AW6" i="1"/>
  <c r="AU97" i="1"/>
  <c r="AU24" i="1"/>
  <c r="AU79" i="1"/>
  <c r="AU74" i="1"/>
  <c r="AU83" i="1"/>
  <c r="AU69" i="1"/>
  <c r="AU23" i="1"/>
  <c r="AU19" i="1"/>
  <c r="AU78" i="1"/>
  <c r="AU14" i="1"/>
  <c r="AU77" i="1"/>
  <c r="AU59" i="1"/>
  <c r="AU13" i="1"/>
  <c r="AU62" i="1"/>
  <c r="AU48" i="1"/>
  <c r="AU2" i="1"/>
  <c r="AV2" i="1"/>
  <c r="AW2" i="1"/>
  <c r="AU57" i="1"/>
  <c r="AU43" i="1"/>
  <c r="AW96" i="1"/>
  <c r="AW91" i="1"/>
  <c r="AW86" i="1"/>
  <c r="AW81" i="1"/>
  <c r="AW76" i="1"/>
  <c r="AW71" i="1"/>
  <c r="AW66" i="1"/>
  <c r="AW61" i="1"/>
  <c r="AW56" i="1"/>
  <c r="AW51" i="1"/>
  <c r="AW46" i="1"/>
  <c r="AW41" i="1"/>
  <c r="AW36" i="1"/>
  <c r="AW31" i="1"/>
  <c r="AW26" i="1"/>
  <c r="AW21" i="1"/>
  <c r="AW16" i="1"/>
  <c r="AW11" i="1"/>
  <c r="AW98" i="1"/>
  <c r="AW93" i="1"/>
  <c r="AW88" i="1"/>
  <c r="AW83" i="1"/>
  <c r="AW78" i="1"/>
  <c r="AW73" i="1"/>
  <c r="AW68" i="1"/>
  <c r="AW63" i="1"/>
  <c r="AW58" i="1"/>
  <c r="AW53" i="1"/>
  <c r="AW48" i="1"/>
  <c r="AW43" i="1"/>
  <c r="AW38" i="1"/>
  <c r="AW33" i="1"/>
  <c r="AW28" i="1"/>
  <c r="AW23" i="1"/>
  <c r="AW18" i="1"/>
  <c r="AW13" i="1"/>
  <c r="AW8" i="1"/>
  <c r="AW3" i="1"/>
  <c r="AV98" i="1"/>
  <c r="AV93" i="1"/>
  <c r="AV88" i="1"/>
  <c r="AV83" i="1"/>
  <c r="AV78" i="1"/>
  <c r="AV73" i="1"/>
  <c r="AV68" i="1"/>
  <c r="AV63" i="1"/>
  <c r="AV58" i="1"/>
  <c r="AV53" i="1"/>
  <c r="AV48" i="1"/>
  <c r="AV43" i="1"/>
  <c r="AV38" i="1"/>
  <c r="AV33" i="1"/>
  <c r="AV28" i="1"/>
  <c r="AV23" i="1"/>
  <c r="AV18" i="1"/>
  <c r="AV13" i="1"/>
  <c r="AV8" i="1"/>
  <c r="AV3" i="1"/>
  <c r="AW100" i="1"/>
  <c r="AW95" i="1"/>
  <c r="AW90" i="1"/>
  <c r="AW85" i="1"/>
  <c r="AW80" i="1"/>
  <c r="AW75" i="1"/>
  <c r="AW70" i="1"/>
  <c r="AW65" i="1"/>
  <c r="AW60" i="1"/>
  <c r="AW55" i="1"/>
  <c r="AW50" i="1"/>
  <c r="AW45" i="1"/>
  <c r="AW40" i="1"/>
  <c r="AW35" i="1"/>
  <c r="AW30" i="1"/>
  <c r="AW25" i="1"/>
  <c r="AW20" i="1"/>
  <c r="AW15" i="1"/>
  <c r="AW10" i="1"/>
  <c r="AW97" i="1"/>
  <c r="AW92" i="1"/>
  <c r="AW87" i="1"/>
  <c r="AW82" i="1"/>
  <c r="AW77" i="1"/>
  <c r="AW72" i="1"/>
  <c r="AW67" i="1"/>
  <c r="AW62" i="1"/>
  <c r="AW57" i="1"/>
  <c r="AW52" i="1"/>
  <c r="AW47" i="1"/>
  <c r="AW42" i="1"/>
  <c r="AW37" i="1"/>
  <c r="AW32" i="1"/>
  <c r="AW27" i="1"/>
  <c r="AW22" i="1"/>
  <c r="AW17" i="1"/>
  <c r="AW12" i="1"/>
  <c r="AW7" i="1"/>
  <c r="AV97" i="1"/>
  <c r="AV92" i="1"/>
  <c r="AV87" i="1"/>
  <c r="AV82" i="1"/>
  <c r="AV77" i="1"/>
  <c r="AV72" i="1"/>
  <c r="AV67" i="1"/>
  <c r="AV62" i="1"/>
  <c r="AV57" i="1"/>
  <c r="AV52" i="1"/>
  <c r="AV47" i="1"/>
  <c r="AV42" i="1"/>
  <c r="AV37" i="1"/>
  <c r="AV32" i="1"/>
  <c r="AV27" i="1"/>
  <c r="AV22" i="1"/>
  <c r="AV17" i="1"/>
  <c r="AV7" i="1"/>
  <c r="AW99" i="1"/>
  <c r="AW94" i="1"/>
  <c r="AW89" i="1"/>
  <c r="AW84" i="1"/>
  <c r="AW79" i="1"/>
  <c r="AW74" i="1"/>
  <c r="AW69" i="1"/>
  <c r="AW64" i="1"/>
  <c r="AW59" i="1"/>
  <c r="AW54" i="1"/>
  <c r="AW49" i="1"/>
  <c r="AW44" i="1"/>
  <c r="AW39" i="1"/>
  <c r="AW34" i="1"/>
  <c r="AW29" i="1"/>
  <c r="AW24" i="1"/>
  <c r="AW19" i="1"/>
  <c r="AW14" i="1"/>
  <c r="AW9" i="1"/>
  <c r="AW4" i="1"/>
  <c r="AV99" i="1"/>
  <c r="AV94" i="1"/>
  <c r="AV89" i="1"/>
  <c r="AV84" i="1"/>
  <c r="AV79" i="1"/>
  <c r="AV74" i="1"/>
  <c r="AV69" i="1"/>
  <c r="AV64" i="1"/>
  <c r="AV59" i="1"/>
  <c r="AV54" i="1"/>
  <c r="AV49" i="1"/>
  <c r="AV44" i="1"/>
  <c r="AV39" i="1"/>
  <c r="AV34" i="1"/>
  <c r="AV29" i="1"/>
  <c r="AV24" i="1"/>
  <c r="AV19" i="1"/>
  <c r="AV14" i="1"/>
  <c r="AV9" i="1"/>
  <c r="AV4" i="1"/>
</calcChain>
</file>

<file path=xl/sharedStrings.xml><?xml version="1.0" encoding="utf-8"?>
<sst xmlns="http://schemas.openxmlformats.org/spreadsheetml/2006/main" count="1855" uniqueCount="1167">
  <si>
    <t>n</t>
  </si>
  <si>
    <t>undefined</t>
  </si>
  <si>
    <t>Journal</t>
  </si>
  <si>
    <t>United States</t>
  </si>
  <si>
    <t>Article</t>
  </si>
  <si>
    <t>ar</t>
  </si>
  <si>
    <t>Japan</t>
  </si>
  <si>
    <t>Tokyo</t>
  </si>
  <si>
    <t>60025641;60025641;60025641</t>
  </si>
  <si>
    <t>Germany</t>
  </si>
  <si>
    <t>Freiburg im Breisgau</t>
  </si>
  <si>
    <t>Universit√§t Freiburg im Breisgau</t>
  </si>
  <si>
    <t>Peters J.</t>
  </si>
  <si>
    <t>United States;United States</t>
  </si>
  <si>
    <t>Hydrobiologia</t>
  </si>
  <si>
    <t>Belgium</t>
  </si>
  <si>
    <t>Netherlands</t>
  </si>
  <si>
    <t>['unique set', 'spinach chloroplasts', 'spectral forms', 'spectra represent', 'result suggests', 'proportions found', 'peak positions', 'native absorption', 'lhcp ).', 'junk publishers', 'green plants', 'gel bands', 'fitting program', 'dr w', 'cpi );', 'cpa );', 'computer assisted', 'antenna complex', 'absorption spectra', '77 k', '730 nm', '3 fractions']</t>
  </si>
  <si>
    <t>absorption spectra | chlorophyll-proteins | curve resolution | photosynthesis</t>
  </si>
  <si>
    <t>The three major chlorophyll-proteins of spinach chloroplasts were solubilized with digitonin and isolated by electrophoresis with deoxycholate. The gel bands were identified from their absorption and fluorescence spectra measured at 77 K. The slowest moving band was a Photosystem I complex (CPI); the second, a Photosystem II complex (Cpa); and the third, a chlorophyll a-b, antenna complex (LHCP). When absorption spectra (630-730 nm) of the bands were added in the proportions found in the gel, the sum closely matched the absorption of the chloroplasts both before and after solubilization. Thus these spectra represent the native absorption of the major antenna chlorophyll-proteins of green plants. Each of these spectra was resolved with a computer assisted, curve-fitting program into 8 mixed Gaussian-Lorentzian shaped components. The major, Chl a components in the 3 fractions were different both in peak positions and bandwidths. This result suggests that each chlorophyll-protein has its own unique set of chlorophyll a spectral forms or components. ¬© 1983 Martinus Nijhoff/Dr W. Junk Publishers.</t>
  </si>
  <si>
    <t>375-383</t>
  </si>
  <si>
    <t>Photosynthesis Research</t>
  </si>
  <si>
    <t>Brown, Jeanette S.</t>
  </si>
  <si>
    <t>Brown J.</t>
  </si>
  <si>
    <t>A new evaluation of chlorophyll absorption in photosynthetic membranes</t>
  </si>
  <si>
    <t>Italy;Italy;Italy</t>
  </si>
  <si>
    <t>Nagoya</t>
  </si>
  <si>
    <t>Nagoya University</t>
  </si>
  <si>
    <t>United Kingdom</t>
  </si>
  <si>
    <t>;;;;;</t>
  </si>
  <si>
    <t>;</t>
  </si>
  <si>
    <t>Italy;Italy</t>
  </si>
  <si>
    <t>France</t>
  </si>
  <si>
    <t>Cambridge</t>
  </si>
  <si>
    <t>Lawrence</t>
  </si>
  <si>
    <t>;;</t>
  </si>
  <si>
    <t>57-60</t>
  </si>
  <si>
    <t>;;;</t>
  </si>
  <si>
    <t>Norway</t>
  </si>
  <si>
    <t>Australia</t>
  </si>
  <si>
    <t>Washington, D.C.</t>
  </si>
  <si>
    <t>Atlanta</t>
  </si>
  <si>
    <t>60022148;60022148</t>
  </si>
  <si>
    <t>London</t>
  </si>
  <si>
    <t>University College London</t>
  </si>
  <si>
    <t>Baltimore</t>
  </si>
  <si>
    <t>60092258;60092258</t>
  </si>
  <si>
    <t>35560533200;7402112984</t>
  </si>
  <si>
    <t>Ohmori, Shingo;Miura, Shuichi</t>
  </si>
  <si>
    <t>Koganei</t>
  </si>
  <si>
    <t>Ministry of Posts and Telecommunications, Japan</t>
  </si>
  <si>
    <t>Ohmori S.</t>
  </si>
  <si>
    <t>Boulder</t>
  </si>
  <si>
    <t>University of Colorado Boulder</t>
  </si>
  <si>
    <t>60000745;60000745</t>
  </si>
  <si>
    <t>Urbana</t>
  </si>
  <si>
    <t>University of Illinois Urbana-Champaign</t>
  </si>
  <si>
    <t>25-31</t>
  </si>
  <si>
    <t>Canada</t>
  </si>
  <si>
    <t>Berkeley</t>
  </si>
  <si>
    <t>University of California, Berkeley</t>
  </si>
  <si>
    <t>Switzerland</t>
  </si>
  <si>
    <t>Radiophysics and Quantum Electronics</t>
  </si>
  <si>
    <t>0302766X</t>
  </si>
  <si>
    <t>Cell and Tissue Research</t>
  </si>
  <si>
    <t>Regensburg</t>
  </si>
  <si>
    <t>Universit√§t Regensburg</t>
  </si>
  <si>
    <t>Journal of Biological Chemistry</t>
  </si>
  <si>
    <t>60025038;60025038</t>
  </si>
  <si>
    <t>7003870096;7101844846</t>
  </si>
  <si>
    <t>Lundell, D. J.;Glazer, A. N.</t>
  </si>
  <si>
    <t>Lundell D.J.</t>
  </si>
  <si>
    <t>Journal of Physics D: Applied Physics</t>
  </si>
  <si>
    <t>Nakano H.</t>
  </si>
  <si>
    <t>Massachusetts Institute of Technology</t>
  </si>
  <si>
    <t>Antennas</t>
  </si>
  <si>
    <t>Murray</t>
  </si>
  <si>
    <t>Nokia Bell Labs</t>
  </si>
  <si>
    <t>Dubost G.</t>
  </si>
  <si>
    <t>Wright S.</t>
  </si>
  <si>
    <t>Yokosuka</t>
  </si>
  <si>
    <t>Gif-sur-Yvette</t>
  </si>
  <si>
    <t>CEA Saclay</t>
  </si>
  <si>
    <t>India;United States</t>
  </si>
  <si>
    <t>Japan;Japan</t>
  </si>
  <si>
    <t>New Zealand</t>
  </si>
  <si>
    <t>Microwave journal</t>
  </si>
  <si>
    <t>Ottawa</t>
  </si>
  <si>
    <t>151-158</t>
  </si>
  <si>
    <t>58-60</t>
  </si>
  <si>
    <t>Italy</t>
  </si>
  <si>
    <t>Rome</t>
  </si>
  <si>
    <t>Dragone C.</t>
  </si>
  <si>
    <t>Beeckman P.</t>
  </si>
  <si>
    <t>Auckland</t>
  </si>
  <si>
    <t>The University of Auckland</t>
  </si>
  <si>
    <t>Hosei University</t>
  </si>
  <si>
    <t>Chofu</t>
  </si>
  <si>
    <t>Smith M.</t>
  </si>
  <si>
    <t>Shafai L.</t>
  </si>
  <si>
    <t>Poland</t>
  </si>
  <si>
    <t>60030526;60030526;60030526</t>
  </si>
  <si>
    <t>Thansandote A.</t>
  </si>
  <si>
    <t>Noordwijk aan Zee</t>
  </si>
  <si>
    <t>ESTEC - European Space Research and Technology Centre</t>
  </si>
  <si>
    <t>['terr .)', 'protein complexes', 'polypeptides originating', 'polypeptide patterns', 'phospholipase a2', 'peripheral antennae', 'obtained results', 'junk publishers', 'dr w', 'crotalus terr', 'conspicuous role', 'chloroplast lipids', 'bean thylakoids', 'bean galactolipase']</t>
  </si>
  <si>
    <t>Thylakoid membranes obtained from bean chloroplasts treated with bean galactolipase or phospholipase A2 (from Crotalus terr. terr.) showed marked changes in their polypeptide patterns when separated on SDS-PAGE. The obtained results have been discussed with regard to the relationship between chloroplast lipids and polypeptides originating from chlorophyll-protein complexes of bean thylakoids. A coexistence between galactolipids and the peripheral antennae in PS I complex and LHCP3 as well as a conspicuous role of phospholipids in PSI and PSII centre chlorophyll-protein complexes has to be underlined. ¬© 1983 Martinus Nijhoff/Dr W. Junk Publishers.</t>
  </si>
  <si>
    <t>229-239</t>
  </si>
  <si>
    <t>Krupa, Z.</t>
  </si>
  <si>
    <t>Lublin</t>
  </si>
  <si>
    <t>Maria Curie-Sklodowska University in Lublin</t>
  </si>
  <si>
    <t>Krupa Z.</t>
  </si>
  <si>
    <t>The action of lipase on chloroplast membranes: II. Polypeptide patterns of bean galactolipase- and phospholipase A&lt;inf&gt;2&lt;/inf&gt;-treated thylakoid membranes</t>
  </si>
  <si>
    <t>Journal of Comparative Physiology ‚ñ° A</t>
  </si>
  <si>
    <t>National Science Foundation</t>
  </si>
  <si>
    <t>NSF</t>
  </si>
  <si>
    <t>Germany;Germany</t>
  </si>
  <si>
    <t>University of Ottawa</t>
  </si>
  <si>
    <t>Habashy T.</t>
  </si>
  <si>
    <t>Sweden</t>
  </si>
  <si>
    <t>Electronics Letters</t>
  </si>
  <si>
    <t>BBA - Bioenergetics</t>
  </si>
  <si>
    <t>Antennas | Reflector antennas</t>
  </si>
  <si>
    <t>Eindhoven</t>
  </si>
  <si>
    <t>Technische Universiteit Eindhoven</t>
  </si>
  <si>
    <t>1827613X</t>
  </si>
  <si>
    <t>0375930X</t>
  </si>
  <si>
    <t>Lettere al Nuovo Cimento</t>
  </si>
  <si>
    <t>Stockholm</t>
  </si>
  <si>
    <t>The Royal Institute of Technology (KTH)</t>
  </si>
  <si>
    <t>Journal of Chemical Ecology</t>
  </si>
  <si>
    <t>Antennas | Microstrip antennas</t>
  </si>
  <si>
    <t>Deutsche Forschungsgemeinschaft</t>
  </si>
  <si>
    <t>DFG</t>
  </si>
  <si>
    <t>60009697;60009697;60009697</t>
  </si>
  <si>
    <t>Winnipeg</t>
  </si>
  <si>
    <t>University of Manitoba</t>
  </si>
  <si>
    <t>International Journal of Infrared and Millimeter Waves</t>
  </si>
  <si>
    <t>Darmstadt</t>
  </si>
  <si>
    <t>Jecko F.</t>
  </si>
  <si>
    <t>FEBS Letters</t>
  </si>
  <si>
    <t>Measurement Techniques</t>
  </si>
  <si>
    <t>U.S. Department of Energy</t>
  </si>
  <si>
    <t>USDOE</t>
  </si>
  <si>
    <t>['tested individually', 'terpenes linalool', 'second detector', 'products matching', 'plant orientation', 'oviposition site', 'outlet splitter', 'olfactory thresholds', 'mass spectrom', 'linearly related', 'lesser extent', 'leaf aldehydes', 'gas chromatography', 'gas chro', 'foliar volatiles', 'fly captures', 'elution temperatures', 'ead ).', 'compounds emanating', 'close range', 'carrot foliage', 'air passing', 'adaptively equipped', '500 attogram']</t>
  </si>
  <si>
    <t>alcohols | aldehydes | aromatics | attractants | Carrot fly | Diptera | field traps | gas chromatography linked electroantennographic detection | host odor | leaf aldehydes | propenylbenzenes | Psila rosae | Psilidae | terpenes | trans-asarone | trans-methylisoeugenol</t>
  </si>
  <si>
    <t>Cold-trapped carrot leaf volatiles were analyzed by gas chro-matography with an outlet splitter to a flame ionization detector and to a carrot fly antennogram preparation as the second detector (GC-EAD). Strongest EAD responses were elicited by products whose elution temperatures corresponded to the propenylbenzenes, trans-methylisoeugenol (3,4-dimethoxy-1-propenylbenzene) and trans-asarone (2,4,5-trimethoxy-1-propenylbenzene) and, to a lesser extent, by-products matching the elution temperatures of the leaf aldehydes hexanal, (E)-2-hexenal, and heptanal, and of the terpenes linalool and caryophyllene. The identity of the propenylbenzenes was confirmed by gas chromatography-mass spectrom-etry. GC-EAD permitted accurate estimation of the olfactory thresholds; it was lowest for trans-asarone at 500 attogram (5 √ó 10-16g)/ml of air passing over the antenna. Both the leaf aldehydes and propenylbenzenes were attractive when tested individually in the field with yellow sticky traps; fly captures were linearly related to the quantity of propenylbenzenes applied per trap. A combination of trans-asarone and hexanal was more attractive than either compound singly, suggesting that the fly is adaptively equipped to respond to a mixture of compounds emanating from carrot foliage. In laboratory choice tests, flies were more attracted by vapors from intact carrot foliage than by that from a nonhost; leaf odor alone also mediated oviposition. We conclude that through the selectivity and sensitivity of its response to foliar volatiles, the carrot fly may achieve host-plant orientation and also at close range, in union with its response to less volatile leaf surface components, selection of an oviposition site. ¬© 1983 Plenum Publishing Corporation.</t>
  </si>
  <si>
    <t>843-861</t>
  </si>
  <si>
    <t>60004811;60004811;60004811</t>
  </si>
  <si>
    <t>24782873200;35565892200;35432490500</t>
  </si>
  <si>
    <t>Guerin, P. M.;St√§dler, E.;Buser, H. R.</t>
  </si>
  <si>
    <t>Wadenswil</t>
  </si>
  <si>
    <t>Swiss Federal Research Station for Fruit-Growing, Viticulture, and Horticulture</t>
  </si>
  <si>
    <t>Guerin P.</t>
  </si>
  <si>
    <t>Identification of host plant attractants for the carrot fly, Psila rosae</t>
  </si>
  <si>
    <t>10.1007/BF00987809</t>
  </si>
  <si>
    <t>2-s2.0-0001621938</t>
  </si>
  <si>
    <t>['three types', 'third segment', 'specific pattern', 'small group', 'single type', 'similar projections', 'sensillum rather', 'sensilla consist', 'melanogaster show', 'least ten', 'large majority', 'different points', 'defined regions', 'cobalt fills', 'characteristic combination', 'bilateral component', 'aristal sensilla', 'antennal lobe']</t>
  </si>
  <si>
    <t>Antennal glomeruli | Antennal sensilla | Central projections | Drosophila melanogaster | Orthograde cobalt diffusion</t>
  </si>
  <si>
    <t>Cobalt fills from small, defined regions of the antenna in D. melanogaster show that the three types of sensilla on the third segment, the flagellum, and a fourth sensillum located in the arista, project into the glomeruli of the antennal lobe. We have identified 19 glomeruli in each lobe, according to their location, shape, and size. At least ten of these represent major projection areas of flagellar or aristal sensilla. The large majority of glomeruli is innervated from both antennae, but a small group of five receive exclusively ipsilateral input. A particular sensory fiber appears to terminate only in one specific glomerulus, either in the ipsilateral or in both lobes. Fills from flagellar regions bearing a single type of sensillum, yield a specific pattern of glomeruli containing stained terminals. Aristal projections remain strictly ipsilateral, whereas those from the other sensilla consist of an ipsilateral and a bilateral component. When filling from different points in an area bearing one type of sensillum, similar projections are produced, suggesting that projection patterns observed reflect predominantly the type of sensillum rather than its location on the flagellum. Accordingly, individual glomeruli might represent functional units, each receiving antennal input in a characteristic combination. ¬© 1983 Springer-Verlag.</t>
  </si>
  <si>
    <t>237-248</t>
  </si>
  <si>
    <t>60031855-60024631;60031855;60024631;60031855</t>
  </si>
  <si>
    <t>7103138484;35407928700;7006533485;56052895000</t>
  </si>
  <si>
    <t>Stocker, R. F.;Singh, R. N.;Schorderet, M.;Siddiqi, O.</t>
  </si>
  <si>
    <t>India;Switzerland</t>
  </si>
  <si>
    <t>Mumbai;Fribourg</t>
  </si>
  <si>
    <t>Tata Institute of Fundamental Research, Mumbai;University of Fribourg</t>
  </si>
  <si>
    <t>60031855;60024631</t>
  </si>
  <si>
    <t>Stocker R.</t>
  </si>
  <si>
    <t>Projection patterns of different types of antennal sensilla in the antennal glomeruli of Drosophila melanogaster</t>
  </si>
  <si>
    <t>10.1007/BF00213783</t>
  </si>
  <si>
    <t>2-s2.0-0020626184</t>
  </si>
  <si>
    <t>653-658</t>
  </si>
  <si>
    <t>7102384283;7005730753;6602783965</t>
  </si>
  <si>
    <t>Ermolaev, V. T.;Krasnov, B. A.;Flaksman, A. G.</t>
  </si>
  <si>
    <t>Ermolaev V.</t>
  </si>
  <si>
    <t>Synthesis of the optimal weight distribution in adaptive antenna arrays</t>
  </si>
  <si>
    <t>10.1007/BF01034879</t>
  </si>
  <si>
    <t>2-s2.0-0020779950</t>
  </si>
  <si>
    <t>['¬© 1983', 'wavelength resonance', 'various parameters', 'rights reserved', 'pattern coverage', 'electrical engineers', 'dielectric constant', 'conducting cylinder']</t>
  </si>
  <si>
    <t>Antennas | Microstrip</t>
  </si>
  <si>
    <t>In the case of an open-circuited microstrip antenna wrapped around a conducting cylinder and acting at a half-wavelength resonance, we studied the influence on the pattern coverage of various parameters, such as the dielectric constant of the substrate and cylinder diameter related to the wavelength. Some contradictions with another recent paper appear and are explained. ¬© 1983, The Institution of Electrical Engineers. All rights reserved.</t>
  </si>
  <si>
    <t>505-506</t>
  </si>
  <si>
    <t>Dubost, G.</t>
  </si>
  <si>
    <t>Rennes</t>
  </si>
  <si>
    <t>Universite de Rennes 1</t>
  </si>
  <si>
    <t>Contribution to the understanding of pattern coverage of an open-circuited microstrip wraparound antenna acting at half-wavelength resonance</t>
  </si>
  <si>
    <t>10.1049/el:19830343</t>
  </si>
  <si>
    <t>2-s2.0-0021096914</t>
  </si>
  <si>
    <t>['¬© 1983', 'rights reserved', 'modified structure', 'low losses', 'electrical engineers', 'antenna feeder']</t>
  </si>
  <si>
    <t>Rotation of the plane of polarisation of the TE11-mode is predicted and observed in a helically corrugated circular waveguide. Rotation is suppressed by a longitudinal deformation produced on the corrugation. This modified structure can be used as an antenna feeder with low losses. ¬© 1983, The Institution of Electrical Engineers. All rights reserved.</t>
  </si>
  <si>
    <t>555-557</t>
  </si>
  <si>
    <t>60008447;60008447</t>
  </si>
  <si>
    <t>6602515237;7003385210</t>
  </si>
  <si>
    <t>Jecko, F.;Papiernik, A.</t>
  </si>
  <si>
    <t>Limoges</t>
  </si>
  <si>
    <t>Universite de Limoges</t>
  </si>
  <si>
    <t>Helically corrugated circular waveguides as antenna feeders</t>
  </si>
  <si>
    <t>10.1049/el:19830377</t>
  </si>
  <si>
    <t>2-s2.0-0021096915</t>
  </si>
  <si>
    <t>['¬© 1983', 'urban environments', 'standard deviations', 'standard deviation', 'rights reserved', 'path length', 'mobile terminal', 'light urban', 'field trials', 'essentially independent', 'electrical engineers', '465 mhz', '2 db']</t>
  </si>
  <si>
    <t>Mobile radio | Radiowave propagation</t>
  </si>
  <si>
    <t>A series of field trials in Auckland at 465 MHz have confirmed that the variability of mobile radio path loss is approximately normally distributed and can, therefore, be represented by a standard deviation. This standard deviation has been found to be dependent on the mobile terminal's environment and on frequency, but is essentially independent of base-station antenna height and path length. Standard deviations have been measured as 5.2, 4.4, 5.4 and 5.2 dB for rural, suburban, light urban and urban environments, respectively. ¬© 1983, The Institution of Electrical Engineers. All rights reserved.</t>
  </si>
  <si>
    <t>588-589</t>
  </si>
  <si>
    <t>60005686;60005686;60005686</t>
  </si>
  <si>
    <t>7103090339;7202701174;7103079955</t>
  </si>
  <si>
    <t>Rowe, G. B.;Williamson, A. G.;Egan, B.</t>
  </si>
  <si>
    <t>Rowe G.</t>
  </si>
  <si>
    <t>Variability of mobile radio path loss in Auckland at 465 MHz</t>
  </si>
  <si>
    <t>10.1049/el:19830401</t>
  </si>
  <si>
    <t>2-s2.0-0020782223</t>
  </si>
  <si>
    <t>['terminal position', 'synechococcus 6301', 'subassemblies ab', 'spectroscopic studies', 'spectroscopic properties', 'result indicates', 'phycobilisome core', 'must occupy', 'j .,', 'individual subcomplexes', 'individual complexes', 'exciton pairs', 'dependent changes', 'containing complexes', 'beta ap', 'anacystis nidulans', 'an112 phycobilisomes', 'alpha apb', 'alpha ap', 'allophycocyanin b', '908 ).', '75k act', '500 da']</t>
  </si>
  <si>
    <t>The core of the phycobilisomes of Synechococcus 6301 (Anacystis nidulans) strain AN112 consists of two cylindrical elements each made up of the same four distinct subcomplexes: A (alpha AP beta AP)3; B (alpha AP beta AP)2 . 18.3K . 75K; C (alpha 1APB alpha 2AP beta 3AP) . 10.5K; and D (alpha AP beta AP)3 . 10.5K, where alpha AP and beta AP are the subunits of allophycocyanin, alpha APB is the subunit of allophycocyanin B, and 18.3K, 75K, and 10.5K are polypeptides of 18,300, 75,000, and 10,500 Da, respectively. An 18 S subassembly containing subcomplexes A and B has previously been characterized (Yamanaka, G., Lundell, D. J., and Glazer, A. N. (1982) J. Biol. Chem. 257, 4077-4086; Lundell, D. J., and Glazer, A. N. (1983) J. Biol. Chem. 258, 894-901, 902-908). A ternary core subassembly, containing complexes A, B, and C, was isolated from a limited tryptic digest of AN112 phycobilisomes and characterized with respect to composition and spectroscopic properties. Isolation of this ternary subassembly also establishes that subcomplex D must occupy a terminal position in each of the two core cylinders. Spectroscopic studies of the individual complexes, A-D, of the subassemblies AB and ABC, and of intact AN112 phycobilisomes showed core assembly-dependent changes in the circular dichroism spectra indicative of changes in the environment and/or conformation of the bilin chromophores within the individual subcomplexes. Two terminal energy acceptors are present in the phycobilisome core, alpha APB and 75K. No indication of interaction between the chromophores on these polypeptides was detected by circular dichroism spectroscopy. This result indicates that the bilins on alpha APB and 75K act as independent energy acceptors rather than as exciton pairs.</t>
  </si>
  <si>
    <t>8708-8713</t>
  </si>
  <si>
    <t>Molecular architecture of a light-harvesting antenna. Quaternary interactions in the Synechococcus 6301 phycobilisome core as revealed by partial tryptic digestion and circular dichroism studies.</t>
  </si>
  <si>
    <t>2-s2.0-0021112385</t>
  </si>
  <si>
    <t>AC02-76ER0-1338</t>
  </si>
  <si>
    <t>['¬© 1983', 'wavelength fluorescence', 'vivo function', 'specific ps', 'parallel loss', 'native ps', 'isolated lhc', 'isolated complex', 'intact state', 'e .,', 'core complex', 'chlorophyll associated', 'chl b', 'antenna complex', '735 nm', '730 nm', '7 ).', '19 kda', '110 chlorophylls']</t>
  </si>
  <si>
    <t>(Pea chloroplast) | Chlorophyll b | Light - harvesting complex | Photosynthesis | Photosystem I</t>
  </si>
  <si>
    <t>10% of the chlorophyll associated with a 'native' Photosystem (PS) I complex (110 chlorophylls/P-700) is chlorophyll (Chl) b. The Chl b is associated with a specific PS I antenna complex which we designate as LHC-I (i.e., a light-harvesting complex serving PS I). When the native PS I complex is degraded to the core complex by LHC-I extraction, there is a parallel loss of Chl b, fluorescence at 735 nm, together with 647 and 686 nm circular dichroism spectral properties, as well as a group of polypeptides of 24-19 kDa. In this paper we present a method by which the LHC-I complex can be dissociated from the native PS I. The isolated LHC-I contains significant amounts of Chl b (Chl a b {reversed tilde equals} 3.7). The long-wavelength fluorescence at 730 nm and circular dichroism signal at 686 nm observed in native PS I are maintained in this isolated complex. This isolated fraction also contains the low molecular weight polypeptides lost in the preparation of PS I core complex. We conclude that we have isolated the PS I antenna in an intact state and discuss its in vivo function. ¬© 1983.</t>
  </si>
  <si>
    <t>60031707;60031707;60031707</t>
  </si>
  <si>
    <t>24500037600;16470990300;7004449268</t>
  </si>
  <si>
    <t>Haworth, Philip;Watson, Janet L.;Arntzen, Charles J.</t>
  </si>
  <si>
    <t>East Lansing</t>
  </si>
  <si>
    <t>Michigan State University</t>
  </si>
  <si>
    <t>Haworth P.</t>
  </si>
  <si>
    <t>The detection, isolation and characterization of a light-harvesting complex which is specifically associated with Photosystem I</t>
  </si>
  <si>
    <t>10.1016/0005-2728(83)90036-1</t>
  </si>
  <si>
    <t>2-s2.0-0000541912</t>
  </si>
  <si>
    <t>695-697</t>
  </si>
  <si>
    <t>6602956702;6601953844;7801611689;7801548610</t>
  </si>
  <si>
    <t>Buzinov, V. S.;Belyakova, G. M.;Leibovich, R. L.;Melekhov, M. E.</t>
  </si>
  <si>
    <t>Buzinov V.</t>
  </si>
  <si>
    <t>Comparison of field-strength meters having dipole and horn antennas at a frequency of 1000 MHz</t>
  </si>
  <si>
    <t>10.1007/BF00833238</t>
  </si>
  <si>
    <t>2-s2.0-0020801943</t>
  </si>
  <si>
    <t>['¬© 1983', 'smith degradation', 'serologically inactive', 'serological activity', 'rhamnosyl residues', 'remaining residues', 'randomly connected', 'quantitatively removed', 'purified independently', 'probably situated', 'polysaccharide composed', 'polymeric structure', 'perceptible change', 'nonreducing antennae', 'mannac backbone', 'hydroxyl group', 'hydrogen coupling', 'homogeneous state', 'hobbs 9', 'hobbs 5', 'glcnac residues', 'glcnac ).', 'equimolar amounts', 'double immunodiffusion', 'data obtained', 'common antigen', 'anomeric centers', 'already involved', '162 hz']</t>
  </si>
  <si>
    <t>The major, common antigen of Clostridium perfringens type A, isolated and purified independently from three selected strains (Hobbs 5, Hobbs 9, and Hobbs 10), is composed of equimolar amounts of 2-acetamido-2-deoxy-d-mannose (ManNAc) and 2-acetamido-2-deoxy-d-glucose (GlcNAc). The purified antigen gave a strong immunoprecipitin line by double immunodiffusion in gel. Smith degradation of the major, common antigen caused decomposition of all of the GlcNAc, without concomitant loss in ManNAc, or a perceptible change in serological activity. Therefore, the serological activity of the major, common antigen depended solely on the presence of ManNAc. Data obtained by the 13C-n.m.r.-spectral analysis of the Smith-degradation product revealed that it was a linear-backbone polysaccharide analogous to a Rhodotorula glutinis mannan, but composed of pairs of 2-acetamido-2-deoxymannopyranosyl residues alternately linked Œ≤-(1‚Üí3) and Œ≤-(1‚Üí4). The one-bond, carbon-hydrogen coupling-constant of 162 Hz for both anomeric centers was consistent with the proposed Œ≤-linkages. A similar, 13C-n.m.r.-spectral analysis of the native, common antigen indicated that the GlcNAc residues were randomly connected to three of the four hydroxyl groups not already involved in linking the ManNAc backbone, the 4-hydroxyl group being the exception. A second, serologically inactive, polysaccharide composed of rhamnose, GalNAc, and galactose was identified, but not obtained in homogeneous state. The rhamnosyl residues were probably situated as nonreducing antennae, as they were quantitatively removed by Smith degradation without concomitant decomposition of the polymeric structure of the remaining residues. ¬© 1983.</t>
  </si>
  <si>
    <t>171-190</t>
  </si>
  <si>
    <t>C</t>
  </si>
  <si>
    <t>Carbohydrate Research</t>
  </si>
  <si>
    <t>60012387;60012387;60012387</t>
  </si>
  <si>
    <t>7004553443;7801497590;15619265500</t>
  </si>
  <si>
    <t>Cherniak, Robert;Dayalu, Krishnaswamy I.;Jones, Ronald G.</t>
  </si>
  <si>
    <t>Georgia State University</t>
  </si>
  <si>
    <t>Cherniak R.</t>
  </si>
  <si>
    <t>Analysis of the common polysaccharide antigens from the cell envelope of Clostridium perfringens type A</t>
  </si>
  <si>
    <t>10.1016/0008-6215(83)84055-5</t>
  </si>
  <si>
    <t>2-s2.0-0020808186</t>
  </si>
  <si>
    <t>['wide variety', 'switching power', 'satellite applications', 'reliability needed', 'military systems', 'maximum capability', 'insertion loss', 'future commercial', 'electronic control', 'bfn ).', 'antenna pattern']</t>
  </si>
  <si>
    <t>EHF communications satellites in future commercial and military systems will employ sophisticated electronically controllable antennas for maximum capability and flexibility. In one important type of antenna, the multiple beam antenna, electronic control of the antenna pattern is provided by a key element known as a beam forming network (BFN). Critical components employing ferrite device technology are now available for a wide variety of beam forming networks in the millimeter wave region, with the insertion loss, switching power, size/weight and reliability needed for satellite applications.</t>
  </si>
  <si>
    <t>Sharon, Thomas E.</t>
  </si>
  <si>
    <t>Norcross</t>
  </si>
  <si>
    <t>Electromagnetic Sciences Inc</t>
  </si>
  <si>
    <t>Sharon T.</t>
  </si>
  <si>
    <t>BEAM FORMING NETWORKS FOR mm-WAVE SATELLITE COMMUNICATIONS.</t>
  </si>
  <si>
    <t>2-s2.0-18544412997</t>
  </si>
  <si>
    <t>['¬© 1983', 'rights reserved', 'radiation patterns', 'proper selection', 'improved considerably', 'electrical engineers', 'copolar patterns', 'computed numerically', 'coaxial waveguides', 'coaxial radiators']</t>
  </si>
  <si>
    <t>Waveguides</t>
  </si>
  <si>
    <t>The radiation patterns of coaxial waveguides with a TE11 exciting mode are computed numerically. It is shown that by a proper selection of the coaxial aperture dimensions the symmetry of the copolar patterns can be improved considerably. Coaxial radiators can therefore be designed as a useful small primary feed for paraboloid reflector antennas. ¬© 1983, The Institution of Electrical Engineers. All rights reserved.</t>
  </si>
  <si>
    <t>623-625</t>
  </si>
  <si>
    <t>8092251400;7004922524;57027512900</t>
  </si>
  <si>
    <t>Shafai, L.;Kishk, A. A.;Ittipiboon, A.</t>
  </si>
  <si>
    <t>Radiation characteristics of coaxial waveguides as a small primary feed</t>
  </si>
  <si>
    <t>10.1049/el:19830425</t>
  </si>
  <si>
    <t>2-s2.0-0021094834</t>
  </si>
  <si>
    <t>['¬© 1983', 'using pairs', 'stopband phenomenon', 'rights reserved', 'radiator elements', 'electrical engineers', 'efficient operation']</t>
  </si>
  <si>
    <t>Antennas | Waveguides</t>
  </si>
  <si>
    <t>A dielectric image line leaky wave antenna is presented, capable of efficient operation at broadside. The stopband phenomenon at broadside is avoided by using pairs of radiator elements at 90¬∞ phase quadrature (quarter-wave spacing). ¬© 1983, The Institution of Electrical Engineers. All rights reserved.</t>
  </si>
  <si>
    <t>640-641</t>
  </si>
  <si>
    <t>60075697;60075697</t>
  </si>
  <si>
    <t>7003495221;35579156200</t>
  </si>
  <si>
    <t>Solbach, K.;Adelseck, B.</t>
  </si>
  <si>
    <t>Nurnberg</t>
  </si>
  <si>
    <t>AEG</t>
  </si>
  <si>
    <t>Solbach K.</t>
  </si>
  <si>
    <t>Dielectric image line leaky wave antenna for broadside radiation</t>
  </si>
  <si>
    <t>10.1049/el:19830436</t>
  </si>
  <si>
    <t>2-s2.0-0021094846</t>
  </si>
  <si>
    <t>['¬© 1983', 'rights reserved', 'multiple layers', 'layer arrays', 'layer array', 'electrical engineers', 'copolar losses', 'concentric rings', 'complex elements', 'capacitive grids', 'arise experimentally']</t>
  </si>
  <si>
    <t>Antennas | Frequency-selective surfaces</t>
  </si>
  <si>
    <t>Transmission/reflection-band centre ratios of about 1.3 can be attained with multiple layers of inductive or capacitive grids, or with single-layer arrays of more complex elements. The copolar losses and the linear crosspolar performance of a 4-layer inductive grid and a 2-layer array of concentric rings are compared to illustrate some of the problems that can arise experimentally. ¬© 1983, The Institution of Electrical Engineers. All rights reserved.</t>
  </si>
  <si>
    <t>602-603</t>
  </si>
  <si>
    <t>60010818;60010818;60010818</t>
  </si>
  <si>
    <t>6603103266;7201840709;56020461500</t>
  </si>
  <si>
    <t>El-Morsy, M. A.A.;Parker, E. A.;Langley, R. J.</t>
  </si>
  <si>
    <t>Canterbury</t>
  </si>
  <si>
    <t>University of Kent</t>
  </si>
  <si>
    <t>El-Morsy M.A.A.</t>
  </si>
  <si>
    <t>4-layer inductive grid FSS at 45¬∞ incidence</t>
  </si>
  <si>
    <t>10.1049/el:19830410</t>
  </si>
  <si>
    <t>2-s2.0-0021094867</t>
  </si>
  <si>
    <t>['¬© 1983', 'variable yield', 'small pool', 'singlet exciton', 'short lifetime', 'reaction centers', 'reaction center', 'quinone acceptor', 'probably determined', 'p680 directly', 'negative charge', 'molecular origin', 'limiting step', 'harvesting complex', 'fluorescent light', 'febs lett', 'f695 emission', 'excitons reaching', 'emitting f695', 'chlorophylls constituting', 'analogous process', 'almost non', 'active photosynthesis', '20 ]:']</t>
  </si>
  <si>
    <t>Charge recombination luminescence | Energy transfer | Low temperature fluorescence | Photosynthesis | Photosystem 2 | Primary reaction</t>
  </si>
  <si>
    <t>Low temperature photosystem 2 emission (F685, F695) of chloroplasts may originate from a small pool of pigments. However, the excitons reaching the reaction center have been generated in a much larger pool of chlorophylls constituting the almost non-fluorescent light-harvesting complex. Based upon structural information an interpretation for the molecular origin of the F695 emission of variable yield was proposed [FEBS Lett. (1982) 147, 17-20]: in reaction centers having the quinone acceptor reduced, a charge recombination occurring between the primary donor P680+ and Phe- (the pheophytin primary acceptor) can generate a singlet excited state of Phe which deactivates by emitting F695. Here, an analogous process is discussed for F685 with the emission occurring either from P680 directly or from the small pool of core antenna chlorophylls surrounding the reaction center. Furthermore, the presence of F695 in the low temperature emission spectra of dark-adapted chloroplasts leads us to propose that charge recombination also takes place in open reaction centers when the quinone acceptor is oxidized. In this case the short lifetime (130 ¬± 20 ps) observed for the singlet exciton in the intact membrane suggests that the rate-limiting step in conditions of active photosynthesis is more probably determined by the stabilization of the negative charge on the quinone than by either the rate of energy transfer among antenna or the rate of trapping by the reaction center. ¬© 1983.</t>
  </si>
  <si>
    <t>Breton, Jacques</t>
  </si>
  <si>
    <t>Breton J.</t>
  </si>
  <si>
    <t>The emission of chlorophyll in vivo. Antenna fluorescence or ultrafast luminescence from the reaction center pigments</t>
  </si>
  <si>
    <t>10.1016/0014-5793(83)80405-0</t>
  </si>
  <si>
    <t>2-s2.0-0012207820</t>
  </si>
  <si>
    <t>['¬© 1983', 'wave transmission', 'rights reserved', 'general form', 'frequency curves', 'equivalent circuit', 'electrical engineers', 'double squares', 'design work']</t>
  </si>
  <si>
    <t>Antennas | Dichroic mirrors | Frequency-selective surfaces</t>
  </si>
  <si>
    <t>The general form of the plane-wave transmission/frequency curves for frequency-selective surfaces consisting of arrays of double squares has been deduced from the performance of 13 different arrays. Band spacing ratios between 1.5 and about 2.2 are available. An equivalent circuit is presented for design work. ¬© 1983, The Institution of Electrical Engineers. All rights reserved.</t>
  </si>
  <si>
    <t>675-677</t>
  </si>
  <si>
    <t>60010818;60010818</t>
  </si>
  <si>
    <t>56020461500;7201840709</t>
  </si>
  <si>
    <t>Langley, R. J.;Parker, E. A.</t>
  </si>
  <si>
    <t>Langley R.J.</t>
  </si>
  <si>
    <t>Double-square frequency-selective surfaces and their equivalent circuit</t>
  </si>
  <si>
    <t>10.1049/el:19830460</t>
  </si>
  <si>
    <t>2-s2.0-0020805135</t>
  </si>
  <si>
    <t>['¬© 1983', 'phosphorylated thylakoids', 'phosphorylated chlorophyll', 'light absorption', 'harvesting complex', 'functionally connected', 'direct measurements', 'chloroplast thylakoids', 'b light', 'antenna pigment']</t>
  </si>
  <si>
    <t>Fluorescence induction | P700 kinetics | Phosphorylation | Spinach thylakoid | State transition</t>
  </si>
  <si>
    <t>Direct measurements on the effective absorption cross-section of photosystem (PS) 1 were obtained with control (light - ATP) and phosphorylated (light + ATP) chloroplast thylakoids from spinach. The rate of light absorption by PS1 was invariant in control and phosphorylated thylakoids, suggesting a constant functional antenna size for this photosystem. We conclude that phosphorylated chlorophyll a-b light-harvesting complex from PS2 is not functionally connected with the antenna pigment of PS1. ¬© 1983.</t>
  </si>
  <si>
    <t>277-280</t>
  </si>
  <si>
    <t>60007174;60025038</t>
  </si>
  <si>
    <t>24500037600;57203081985</t>
  </si>
  <si>
    <t>Haworth, Philip;Melis, Anastasios</t>
  </si>
  <si>
    <t>Berkeley;Berkeley</t>
  </si>
  <si>
    <t>University of California, Berkeley;Lawrence Berkeley National Laboratory</t>
  </si>
  <si>
    <t>60025038;60007174</t>
  </si>
  <si>
    <t>Phosphorylation of chloroplast thylakoid membrane proteins does not increase the absorption cross-section of photosystem 1</t>
  </si>
  <si>
    <t>001457938380982X</t>
  </si>
  <si>
    <t>10.1016/0014-5793(83)80982-X</t>
  </si>
  <si>
    <t>2-s2.0-0343696903</t>
  </si>
  <si>
    <t>['various species', 'typographus could', 'two species', 'tree volatiles', 'threshold concentrations', 'thanasimus formicarius', 'tested substances', 'tested compounds', 'test substances', 'suggested components', 'sensillum type', 'sensilla basiconica', 'sem ).', 'receptor cells', 'putative components', 'preferred mixture', 'perceived mixture', 'olfactory function', 'l .),', 'kairomonal response', 'identical conditions', 'formicarius demonstrated', 'clerid beetle', 'bark beetles', 'bark beetle', 'aggregation pheromone', '7 ).', '6 ).', '4 ).', '3 ).', ')-(-)- ipsenol', ')-(+)- ipsdienol', ')- cis']</t>
  </si>
  <si>
    <t>The antennal olfactory receptors of the predatory clerid beetle, Thanasimus formicarius (L.), are as sensitive as the receptors of its prey, the scolytid beetle Ips typographus (L.), to ipsdienol, (S)-cis-verbenol and 2,3,2-methylbutenol, suggested components of the aggregation pheromone of this bark beetle. The two species were stimulated under identical conditions and comparisons were made between electroantennogram (EAG) responses to synthetic pheromonal compounds of various species of bark beetles. At threshold concentrations for eliciting EAG responses, T. formicarius has almost equal sensitivity to most of the tested substances, while I. typographus is more sensitive to ipsdienol and (S)-cis-verbenol, putative components of its conspecific aggregation pheromone used in long distance communication, than to its suggested antiaggregation pheromone, ipsenol (Fig. 6). In both species (S)-(+)-ipsdienol is the most effective of the tested compounds. The dose response curves of verbenol isomers reside close to the curve of (S)-(+)-ipsdienol in the clerid beetle, while in the bark beetle these isomers are much less effective than (S)-(+)-ipsdienol at high stimulus doses (Fig. 7). Recordings from single olfactory cells of sensilla basiconica in T. formicarius demonstrated an olfactory function of this sensillum type (Figs. 1, 3). The individual receptor cells had broad reaction spectra to the test substances; however, enantiomeric discrimination could be obtained through the response of these receptor cells (Fig. 4). The morphology and distribution of sensilla on the antenna of T. formicarius were investigated by scanning electron microscopy (SEM). It is suggested that the apparent strategy used by T. formicarius for finding its prey is to perceive various bark beetle and tree volatiles, then after determining the 'quality' of the perceived mixture of odours, to approach the emitter of a preferred mixture. The kairomonal response of T. formicarius to I. typographus could be due to a mixture of (S)-(+)-ipsdienol, (S)-(-)-ipsenol and (S)-cis-verbenol. ¬© 1983 Springer-Verlag.</t>
  </si>
  <si>
    <t>371-378</t>
  </si>
  <si>
    <t>Hansen, Kurt</t>
  </si>
  <si>
    <t>Denmark</t>
  </si>
  <si>
    <t>Odense</t>
  </si>
  <si>
    <t>Syddansk Universitet</t>
  </si>
  <si>
    <t>Hansen K.</t>
  </si>
  <si>
    <t>Reception of bark beetle pheromone in the predaceous clerid beetle, Thanasimus formicarius (Coleoptera: Cleridae)</t>
  </si>
  <si>
    <t>10.1007/BF00605026</t>
  </si>
  <si>
    <t>2-s2.0-0000220379</t>
  </si>
  <si>
    <t>['zoeal telson', 'zoeal maxillipeds', 'zoeal instars', 'zoea ii', 'time schedule', 'time (%', 'technical reasons', 'stages d2', 'short period', 'rigid exoskeleton', 'relative portions', 'preliminary account', 'occurring first', 'new setae', 'new cuticle', 'moult cycle', 'megalopa instars', 'main period', 'late premoult', 'late postmoult', 'larval instars', 'larva takes', 'l .)', 'intermediate premoult', 'increasing trend', 'epidermal tubules', 'epidermal tissues', 'epidermal apolysis', 'early premoult', 'early postmoult', 'documented photographically', 'decreasing trend', 'daily intervals', 'ca 48', 'ca 22', '69 %.', '4 ).', '37 %,']</t>
  </si>
  <si>
    <t>Moult cycle and morphogenesis in larval instars (zoea I, zoea II, megalopa) of the spider crab Hyas araneus (L.) were studied in the laboratory. Changes in the epidermis and cuticle were documented photographically at daily intervals to characterize the stages of the moult cycle. Stage A (early postmoult) is a very short period during which the larva takes up water. During late postmoult (B) and intermoult (C) the endocuticle is secreted, and there is conspicuous epidermal tissue condensation and growth. The onset of early premoult (D0) is characterized by epidermal apolysis, occurring first at the bases of the setae in the telson of zoeal instars or in the rostrum of the megalopa, respectively. Intermediate premoult (D1) is the main period of morphogenesis, in particular of setogenesis: in the setae of the zoeal telson and carapace there is invagination or (in the zoea II) degeneration of epidermal tissues. Formation of new setae in the interior of epidermal tubules was observed in zoeal maxillipeds and in the antennae of the zoea II and megalopa instars. During late premoult (Stages D2-4) part of the new cuticle is secreted, and the results of morphogenesis become clearly visible. For technical reasons (rigid exoskeleton) only a preliminary account of the moult cycle in the megalopa can be given. A time schedule is suggested for the stages of the moult cycle. It is estimated that postmoult (A-B) takes ca 9 to 15 % of total instar duration, intermoult (C) ca 22 to 37 %, and premoult (D) ca 48 to 69 %. There is an increasing trend of relative portions of time (% of total instar duration) from instar to instar in Stages A-C (mainly in the latter) and a decreasing trend in Stage D (mainly in D0 and D2-4). ¬© 1983 Biologische Anstalt Helgoland.</t>
  </si>
  <si>
    <t>285-302</t>
  </si>
  <si>
    <t>Helgol√§nder Meeresuntersuchungen</t>
  </si>
  <si>
    <t>Anger, K.</t>
  </si>
  <si>
    <t>Bremerhaven</t>
  </si>
  <si>
    <t>Alfred-Wegener-Institut Helmholtz-Zentrum f√ºr Polar- und Meeresforschung</t>
  </si>
  <si>
    <t>Anger K.</t>
  </si>
  <si>
    <t>Moult cycle and morphogenesis in Hyas araneus larvae (decapoda, majidae), reared in the laboratory</t>
  </si>
  <si>
    <t>10.1007/BF01983632</t>
  </si>
  <si>
    <t>2-s2.0-0001577654</t>
  </si>
  <si>
    <t>['zoological museum', 'various museums', 'typical number', 'two species', 'tenuicaudis need', 'taxon prefers', 'sufficient detail', 'studied closely', 'specimens mounted', 'southward throughout', 'southern canada', 'significant reduction', 'seta arising', 'region east', 'presumed conspecificity', 'possibly panama', 'one seta', 'one another', 'occasional connections', 'northwest territories', 'north america', 'new species', 'male postabdomens', 'male antenna', 'junk publishers', 'involving principally', 'internal foam', 'headpore configuration', 'greater frequency', 'gjennestadvannet placed', 'female except', 'external sculpturing', 'external modification', 'entire shell', 'designated herein', 'commonality emerging', 'close study', 'chydorid males', 'brevicaudis occurs', 'besides specimens', 'also conform', '10 compared']</t>
  </si>
  <si>
    <t>Up to now the taxon Oxyurella tenuicaudis, described from Norway, has been claimed to occur in North America as well. However, our close study and comparison of populations from the two continents show them to be different in many major morphological details, involving principally the female and male postabdomens, labrum, headpore configuration, and the external sculpturing of the shell. The new species O. brevicaudis occurs from the Maritimes to Manitoba in southern Canada, southward throughout the region east of the Plains to Guatemala and possibly Panama. Two enigmatic outlier populations are known from the Northwest Territories and the State of Washington. A greater frequency of occurrence in the southeastern states compared with southern Canada, together with its extension of range into the Tropics, suggests that this taxon prefers the lower north temperate latitudes. Although widely distributed, its frequency of occurrence is very low. Just as interesting as the characters that separate these two species are those that unite them into the cohesive genus Oxyurella. Although the few other species in the genus have not been studied in sufficient detail, fragmentary information suggests that they also conform to the pattern of commonality emerging from this study. These potential generic characters include: 1) only one seta on the outer distal lobe of trunklimb I and two on the inner distal lobe; 2) 4 median headpores not connected to one another by any channel or raised chitinous ridge, although the light microscope shows irregular dark thickenings around each pore and occasional connections between the three anterior pores; 3) antennules of the male being very similar to those of the female except for the 2-segmented male seta and the addition of one more aesthetascs at the tip, for a total of 10 compared with the typical number of 12 in chydorid males; 4) a significant reduction in size of the seta arising from the middle endopodite segment of the male antenna as compared with the female; 5) use of the entire shell as an ephippium, without any external modification but with an internal foam-like mass secreted (?) into the brood pouch around the egg. Other populations outside western Europe claimed to be O. tenuicaudis need to be studied closely to evaluate their presumed conspecificity. Very likely at least some will be found to be different. As aids in this process of evaluation, besides specimens from Gjennestadvannet placed in various museums, including the Zoological Museum in Oslo, a lectotype has been selected and designated herein from among the few specimens mounted and studied by G. O. Sars. ¬© 1983 Dr W. Junk Publishers.</t>
  </si>
  <si>
    <t>60022264;60021121</t>
  </si>
  <si>
    <t>7102954646;8869252400</t>
  </si>
  <si>
    <t>Michael, R. George;Frey, David G.</t>
  </si>
  <si>
    <t>Shillong;Bloomington</t>
  </si>
  <si>
    <t>North-Eastern Hill University;Indiana University Bloomington</t>
  </si>
  <si>
    <t>Michael R.</t>
  </si>
  <si>
    <t>Assumed Amphi-Atlantic distribution of Oxyurella tenuicaudis (Cladocera, Chydoridae) denied by a new species from North America</t>
  </si>
  <si>
    <t>10.1007/BF00016413</t>
  </si>
  <si>
    <t>2-s2.0-0002676098</t>
  </si>
  <si>
    <t>['type swb', 'total number', 'results suggest', 'response evoked', 'male electroantennogram', 'liquid chromatography', 'imaginal life', 'imaginai life', 'first day', 'female cockroach', 'extracts obtained', 'extracts made', 'equally effective', 'electrophysiological methods', 'eag ).', 'components rises', 'components released', 'attractant production', 'american cockroach', 'always sensilla', '25th day']</t>
  </si>
  <si>
    <t>The attractant substances periplanone-A and B were isolated from extracts obtained from virgin female cockroaches by liquid chromatography. The effectiveness of these two pheromone components was tested by means of the male electroantennogram (EAG). The gut of the female cockroach, which is considered to be the site of attractant production, contains both of these components. They are equally effective in eliciting the EAG; the effectiveness of extracts made on the first day after the imaginal molt corresponds to that of 0.1 ng (¬±)-periplanone-B in each case. During the first 20 days of imaginai life the effectiveness of both components rises by a factor of 100. The components released into the air were adsorbed on Tenax for testing. The amount of each pheromone component collected per female per day, between the 10th and the 25th day of imaginal life, is as effective as ca. 0.6 ng (¬±)-periplanone-B. Electrophysiological methods were used to study the response evoked in single receptor cells of the males by the attractant. Two specialized receptor types, one of which responds to periplanone-A and the other to periplanone-B are found in the same sensillum. Examination of these sensilla in the scanning electron microscope after electrophysiological recording showed that they were always sensilla of the type swB. The total number of attractant receptors calculated on the basis of this finding is between 30,000 and 40,000 of each cell type per antenna. These results suggest the presence of a two-component attractant system in the American cockroach. ¬© 1983 Springer-Verlag.</t>
  </si>
  <si>
    <t>309-317</t>
  </si>
  <si>
    <t>Sass, Hinrich</t>
  </si>
  <si>
    <t>Sass H.</t>
  </si>
  <si>
    <t>Production, release and effectiveness of two female sex pheromone components of Periplaneta americana</t>
  </si>
  <si>
    <t>10.1007/BF00606237</t>
  </si>
  <si>
    <t>2-s2.0-0009597856</t>
  </si>
  <si>
    <t>National Cancer Institute</t>
  </si>
  <si>
    <t>P01CA014489</t>
  </si>
  <si>
    <t>NCI</t>
  </si>
  <si>
    <t>['¬© 1983', 'yield fucosyl', 'van halbeek', 'sequential degradation', 'rights reserved', 'radioactive fucose', 'physiological effects', 'neurectodermal origin', 'membrane glycopeptides', 'large amounts', 'immobilized lectins', 'human tumors', 'human fibroblasts', 'glycopeptides containing', 'fucosyl residues', 'fucosidase specific', 'fucosidase prior', 'enzyme degradation', 'columns calibrated', 'charge classes', 'cancer research', 'antennary position', 'american association', '1983 ).']</t>
  </si>
  <si>
    <t>Fucosyl residues linked Œ±1‚Üí3 or 4 to N-acetylglucosamine were found in large amounts on glycopeptides from the membranes of human tumor cells of neurectodermal origin but not on membrane glycopeptides from human fibroblasts. The fucosyl residues were detected by release of radioactive fucose from the glycopeptides with an almond Œ±-L-fucosidase specific for fucosylŒ± 1‚Üí3(4)-N-acetylglucosamine. In other studies, the linkage was shown to be Œ±1‚Üí3 by nuclear magnetic resonance analysis (U. V. Santer, M. C. Glick, H. van Halbeek, and J. F. G. Vliegenthart. Carbohydr. Res., 118: in press, 1983). Glycopeptides containing these fucosyl residues from four human neuroblastoma cell lines were defined by binding to immobilized lectins. In addition, the glycopeptides from one human neuroblastoma cell line, CHP-134, were further characterized by enzyme degradation and columns calibrated for size and charge. The antennary position of fucosylŒ±1‚Üí3-N-acetylglucosamine on the glycopeptides was demonstrated by the use of exoglycosidases and endoglycosidase D, since complete degradation to yield fucosyl-N-acetylglucosaminylasparagine was obtained only after treatment with almond Œ±-L-fucosidase prior to the sequential degradation. FucosylŒ±1‚Üí3-N-acetylglucosamine was present on most size and charge classes of membrane glycopeptides and therefore was not limited to a few glycoproteins. Since the almond Œ±-L-fucosidase cleaves fucosyl residues from glycoproteins, the physiological effects of the increased specific fucosylation on human tumors of neurectodermal origin can be examined. ¬© 1983, American Association for Cancer Research. All rights reserved.</t>
  </si>
  <si>
    <t>4159-4166</t>
  </si>
  <si>
    <t>Cancer Research</t>
  </si>
  <si>
    <t>60006297;60006297-60003711</t>
  </si>
  <si>
    <t>6603640232;7102493230</t>
  </si>
  <si>
    <t>Santer, Ursula V.;Glick, Mary Catherine</t>
  </si>
  <si>
    <t>Philadelphia;Philadelphia</t>
  </si>
  <si>
    <t>University of Pennsylvania;University of Pennsylvania Perelman School of Medicine</t>
  </si>
  <si>
    <t>60006297;60003711</t>
  </si>
  <si>
    <t>Santer U.</t>
  </si>
  <si>
    <t>Presence of Fucosyl Residues on the Oligosaccharide Antennae of Membrane Glycopeptides of Human Neuroblastoma Cells</t>
  </si>
  <si>
    <t>2-s2.0-0020603508</t>
  </si>
  <si>
    <t>812-819</t>
  </si>
  <si>
    <t>7801670783;6603894580</t>
  </si>
  <si>
    <t>Martsafei, V. V.;Shvaiko, I. G.</t>
  </si>
  <si>
    <t>Martsafei V.</t>
  </si>
  <si>
    <t>Synthesis of antenna arrays by the constrained maximum-gain criterion</t>
  </si>
  <si>
    <t>10.1007/BF01039279</t>
  </si>
  <si>
    <t>2-s2.0-0020810261</t>
  </si>
  <si>
    <t>769-777</t>
  </si>
  <si>
    <t>6603682001;7201785937;7005051797;6603621141</t>
  </si>
  <si>
    <t>Belyaev, P. P.;Tarasov, A. F.;Tokarev, Yu V.;Yurishchev, M. A.</t>
  </si>
  <si>
    <t>Belyaev P.</t>
  </si>
  <si>
    <t>Spectrum of nonthermal radio emission from the galaxy. Observations at frequencies of 200 and 375 MHz</t>
  </si>
  <si>
    <t>10.1007/BF01039271</t>
  </si>
  <si>
    <t>2-s2.0-0020811056</t>
  </si>
  <si>
    <t>808-811</t>
  </si>
  <si>
    <t>Ermolaev, V. T.</t>
  </si>
  <si>
    <t>Optimal weights in an adaptive antenna array based on known eigenvalues and diagonalization of the noise correlation matrix</t>
  </si>
  <si>
    <t>10.1007/BF01039278</t>
  </si>
  <si>
    <t>2-s2.0-0020813394</t>
  </si>
  <si>
    <t>819-823</t>
  </si>
  <si>
    <t>Korotkov, V. S.</t>
  </si>
  <si>
    <t>Korotkov V.</t>
  </si>
  <si>
    <t>A method of reconstructing the volume amplitude-phase distribution of a radiating current</t>
  </si>
  <si>
    <t>10.1007/BF01039280</t>
  </si>
  <si>
    <t>2-s2.0-0020814901</t>
  </si>
  <si>
    <t>['highly modularized', 'forth language', 'common approach']</t>
  </si>
  <si>
    <t>Two robotic systems for the filming of motion picture special effects and the measurement of spacecraft antenna performance are described. Both systems are programmed in the FORTH language and use a common approach of state space methods to produce a highly modularized and reliable control program.</t>
  </si>
  <si>
    <t>17-22</t>
  </si>
  <si>
    <t>Journal of Forth Application and Research</t>
  </si>
  <si>
    <t>Slater, Daniel</t>
  </si>
  <si>
    <t>Berea</t>
  </si>
  <si>
    <t>Elicon Inc</t>
  </si>
  <si>
    <t>Slater D.</t>
  </si>
  <si>
    <t>STATE SPACE APPROACH TO ROBOTICS.</t>
  </si>
  <si>
    <t>2-s2.0-0020816217</t>
  </si>
  <si>
    <t>['¬© 1983', 'rights reserved', 'offset reflector', 'electrical engineers', 'current ecs', 'contoured beam', '28 dbi', '25 dbi', '1 cept']</t>
  </si>
  <si>
    <t>The design of a linearly polarised contoured beam reflector antenna for a European coverage requirement is described. The antenna is a 11 m offset reflector, fed by an array of only five rectangular feed horns, operating in a 10.7-11.7 GHz band. The minimum gain requirement of 28 dBi for the contoured beam, in contrast to the current ECS-1 CEPT (Conference Europeenne de Poste et Telecommunication) elliptical Eurobeam gain requirement of 25 dBi, is achieved. ¬© 1983, The Institution of Electrical Engineers. All rights reserved.</t>
  </si>
  <si>
    <t>720-722</t>
  </si>
  <si>
    <t>60031159;60031159</t>
  </si>
  <si>
    <t>7004467474;7003941584</t>
  </si>
  <si>
    <t>Crone, G. A.E.;Roederer, A. G.</t>
  </si>
  <si>
    <t>Crone G.</t>
  </si>
  <si>
    <t>Simplified linearly polarised contoured beam reflector antenna for a European coverage requirement</t>
  </si>
  <si>
    <t>10.1049/el:19830490</t>
  </si>
  <si>
    <t>2-s2.0-0020822121</t>
  </si>
  <si>
    <t>['two items', 'temperature distribution', 'radio telescope', 'general specifications', 'brief description', 'antenna back']</t>
  </si>
  <si>
    <t>Major millimeter wave precision antennas are listed with respect to general specifications as an antenna of radio telescope. A brief description will be given with the Nobeyama 45 meter dish, which is one of the large precision antennas. A reflecting surface accuracy of about 200 Œºm RMS has been achieved with the 45 meter dish. Commentary brief descriptions will be presented on the two items; 1) an examination of the deformed reflecting surface due to the gravitation, and 2) a temperature distribution of the antenna back up structure. ¬© 1983 Plenum Publishing Corporation.</t>
  </si>
  <si>
    <t>793-808</t>
  </si>
  <si>
    <t>Akabane, Kenji</t>
  </si>
  <si>
    <t>Mitaka</t>
  </si>
  <si>
    <t>National Institutes of Natural Sciences - National Astronomical Observatory of Japan</t>
  </si>
  <si>
    <t>Akabane K.</t>
  </si>
  <si>
    <t>A large millimeter wave antenna</t>
  </si>
  <si>
    <t>10.1007/BF01009698</t>
  </si>
  <si>
    <t>2-s2.0-0020822127</t>
  </si>
  <si>
    <t>['¬© 1983', 'wavelength resonance', 'using electric', 'rights reserved', 'model analysis', 'experimental verification', 'electrical engineers', 'conducting cylinder']</t>
  </si>
  <si>
    <t>Using electric and polarisation current distributions, known from transmission-line-model analysis, we have determined the far field radiated by a short-circuited rectangular microstrip antenna acting at a quarter-wavelength resonance. An experimental verification for such a radiating strip wrapped around a conducting cylinder is given. ¬© 1983, The Institution of Electrical Engineers. All rights reserved.</t>
  </si>
  <si>
    <t>737-739</t>
  </si>
  <si>
    <t>Far field radiated by short-circuited microstrip antenna acting at a quarter-wavelength resonance</t>
  </si>
  <si>
    <t>10.1049/el:19830502</t>
  </si>
  <si>
    <t>2-s2.0-0020822383</t>
  </si>
  <si>
    <t>['¬© 1983', 'rights reserved', 'reduce long', 'range signals', 'range interference', 'electrical engineers', 'cordless communication', 'aerial carried']</t>
  </si>
  <si>
    <t>Feeders | Radio links</t>
  </si>
  <si>
    <t>The reception of long-range signals, at various radio frequencies, by a leaky feeder laid around a building is compared with that from an aerial carried over the same route. This highlights an advantage in using leaky feeders to reduce long-range interference to cordless communication in buildings. ¬© 1983, The Institution of Electrical Engineers. All rights reserved.</t>
  </si>
  <si>
    <t>714-715</t>
  </si>
  <si>
    <t>60014174;60014174</t>
  </si>
  <si>
    <t>7003443289;7402253988</t>
  </si>
  <si>
    <t>Motley, A. J.;Palmer, D. A.</t>
  </si>
  <si>
    <t>Ipswich</t>
  </si>
  <si>
    <t>British Telecom Research Lab</t>
  </si>
  <si>
    <t>Motley A.</t>
  </si>
  <si>
    <t>Reduced long-range signal reception with leaky feeders</t>
  </si>
  <si>
    <t>10.1049/el:19830486</t>
  </si>
  <si>
    <t>2-s2.0-0020826208</t>
  </si>
  <si>
    <t>['¬© 1983', 'tripoles arranged', 'rights reserved', 'electrical engineers', 'crosspolar performance']</t>
  </si>
  <si>
    <t>The current distribution along the arms of tripoles arranged on two equilateral triangular lattices has been computed and shown to have a simple cosinnsoidal form. Calculated and measured transmission curves agree closely and give band spacings ‚â≥2:1. The crosspolar performance in a 45¬∞- incidence diplexer is lattice-dependent. ¬© 1983, The Institution of Electrical Engineers. All rights reserved.</t>
  </si>
  <si>
    <t>709-710</t>
  </si>
  <si>
    <t>35562114200;7201840709</t>
  </si>
  <si>
    <t>Vardaxoglou, J. C.;Parker, E. A.</t>
  </si>
  <si>
    <t>Vardaxoglou J.C.</t>
  </si>
  <si>
    <t>Performance of two tripole arrays as frequency-selective surfaces</t>
  </si>
  <si>
    <t>10.1049/el:19830482</t>
  </si>
  <si>
    <t>2-s2.0-0020826377</t>
  </si>
  <si>
    <t>['visual feedback', 'transcutaneously connected', 'thermal field', 'technical feasibility', 'six patients', 'significant changes', 'safe within', 'received surgery', 'perturbing probes', 'perpendicularly driven', 'open craniotomy', 'nitrosourea chemotherapy', 'manually controlled', 'malignant astrocytoma', 'intracranial cavity', 'human gliomas', 'effective diameter', 'decay time', 'cooling curves', 'contralateral hemisphere', 'clinical safety', 'central antenna', 'based system', 'automatically controlled', 'also implanted', '60 min', '5 mm', '4 cm', '2 mm']</t>
  </si>
  <si>
    <t>astrocytoma | glioblastoma multiforme | hyperthermia | microwaves | radiation therapy</t>
  </si>
  <si>
    <t>The technical feasibility and clinical safety of interstitial microwave hyperthermia was evaluated in six patients with glioblastoma and malignant astrocytoma. Prior to entry into the study, each patient had received surgery, radiation and nitrosourea chemotherapy. All patients were implanted at open craniotomy with a flexible microwave radiator/sensor (o.d. 1.5 mm) and transcutaneously connected to a 2450 MHz microwave generator. Intraoperative thermal field plots and cooling curves were obtained with the aid of non-perturbing probes (o.d. 1.2 mm) perpendicularly driven into the tumor at fixed radial distances from the central antenna. In comparison to similar measurements carried out in normal feline brains, human gliomas were unable to efficiently dissipate heat as demonstrated by doubling of the effective diameter of the thermal field to 4 cm and by prolongation of the decay time in all cooling curves. Patients were also implanted with subarachnoid ICP monitors over the contralateral hemisphere. Two postoperative treatments were given at 45¬∞C for 60 min on the night of surgery and 48 hr later. No patient was aware of power on/ power off, there were no permanent neurologic sequelae and there were no significant changes in the ICP. Power was manually controlled with visual feedback in the first three patients and automatically controlled by a computer-based system in the final three patients. Four of the six patients have lived 18 months after implantation and two of these have negative CT scans at 18 and 27 months since recurrence. It appears that interstitial microwave hyperthermia is both feasible and safe within the intracranial cavity and that combined interstitial irradiation and hyperthermia deserves clinical study. ¬© 1983 Martinus Nijhoff Publishers.</t>
  </si>
  <si>
    <t>225-236</t>
  </si>
  <si>
    <t>0167594X</t>
  </si>
  <si>
    <t>Journal of Neuro-Oncology</t>
  </si>
  <si>
    <t>60012957;60012957</t>
  </si>
  <si>
    <t>7007030572;36797242400</t>
  </si>
  <si>
    <t>Salcman, Michael;Samaras, George M.</t>
  </si>
  <si>
    <t>University of Maryland School of Medicine</t>
  </si>
  <si>
    <t>Salcman M.</t>
  </si>
  <si>
    <t>Interstitial microwave hyperthermia for brain tumors</t>
  </si>
  <si>
    <t>10.1007/BF00165607</t>
  </si>
  <si>
    <t>2-s2.0-0021049622</t>
  </si>
  <si>
    <t>chloroplast lipids | gel electrophoresis | polypeptides | thylakoid membranes | treatment with bean galactolipase | treatment with phospholipase A 2</t>
  </si>
  <si>
    <t>10.1007/BF00052126</t>
  </si>
  <si>
    <t>2-s2.0-34250152732</t>
  </si>
  <si>
    <t>['¬© 1983', 'wave illumination', 'test antenna', 'rights reserved', 'outdoor range', 'electrical engineers', 'antenna measurements']</t>
  </si>
  <si>
    <t>Antennas | Compact ran | Measurements</t>
  </si>
  <si>
    <t>In the letter recent results of antenna measurements on a compact antenna test range (CATR) are compared with those on an outdoor range. Both results are corrected for the influences of the non-plane-wave illumination of the test antenna. ¬© 1983, The Institution of Electrical Engineers. All rights reserved.</t>
  </si>
  <si>
    <t>769-770</t>
  </si>
  <si>
    <t>Beeckman, P. A.</t>
  </si>
  <si>
    <t>High-precision measurements on a compact antenna test range</t>
  </si>
  <si>
    <t>10.1049/el:19830524</t>
  </si>
  <si>
    <t>2-s2.0-0020814218</t>
  </si>
  <si>
    <t>['¬© 1983', 'technique allows', 'storage requirements', 'rights reserved', 'mechanical scanning', 'measured data', 'letter describes', 'field far', 'electrical engineers', 'computer time']</t>
  </si>
  <si>
    <t>Antennas | Inverse scattering | Near field measurements</t>
  </si>
  <si>
    <t>This letter describes an application of the pseudo sampling technique to the near-field far-field measurements taking into account the influence of the probe. This technique allows the reduction of the measured data and, consequently, the storage requirements and the computer time. The method can be applied to the computation of the probe position error bypassing the difficulty of mechanical scanning. ¬© 1983, The Institution of Electrical Engineers. All rights reserved.</t>
  </si>
  <si>
    <t>856-858</t>
  </si>
  <si>
    <t>60021199;60017293;60017293</t>
  </si>
  <si>
    <t>56361551200;56963446400;57193642949</t>
  </si>
  <si>
    <t>Delia, G.;Leone, G.;Pierri, R.</t>
  </si>
  <si>
    <t>Rome;Naples</t>
  </si>
  <si>
    <t>Consiglio Nazionale delle Ricerche;Universit√† degli Studi di Napoli Federico II</t>
  </si>
  <si>
    <t>60021199;60017293</t>
  </si>
  <si>
    <t>Delia G.</t>
  </si>
  <si>
    <t>Probe correction in near field measurements by pseudo sampling technique</t>
  </si>
  <si>
    <t>10.1049/el:19830582</t>
  </si>
  <si>
    <t>2-s2.0-0020811459</t>
  </si>
  <si>
    <t>['¬© 1983', 'rights reserved', 'recent theoretical', 'nonisotropic sources', 'mode technique', 'mode stability', 'experimental investigations', 'examination analysing', 'element pattern', 'electrical engineers', 'circular arrays']</t>
  </si>
  <si>
    <t>Antenna arrays | Antennas</t>
  </si>
  <si>
    <t>Recent theoretical and experimental investigations have established the phase-mode technique for directional pattern synthesis in circular arrays of nonisotropic sources. For nonisotropic sources the possibility of phase-mode stability has emerged, indicating wideband directional patterns. In the letter a further examination analysing the shape of the element pattern for phase-mode stability is presented. ¬© 1983, The Institution of Electrical Engineers. All rights reserved.</t>
  </si>
  <si>
    <t>838-840</t>
  </si>
  <si>
    <t>Rahim, T.</t>
  </si>
  <si>
    <t>Rahim T.</t>
  </si>
  <si>
    <t>Analysis of the element pattern shape for circular arrays</t>
  </si>
  <si>
    <t>10.1049/el:19830571</t>
  </si>
  <si>
    <t>2-s2.0-0020811460</t>
  </si>
  <si>
    <t>['¬© 1983', 'theoretical results', 'shows explicitly', 'rights reserved', 'resonant frequency', 'electrical engineers', 'characteristic parameters', 'approximate expression']</t>
  </si>
  <si>
    <t>Antennas | Resonant frequency</t>
  </si>
  <si>
    <t>An approximate expression is derived for the resonant frequency of a rectangular patch antenna. It shows explicitly the dependence of the resonant frequency on the characteristic parameters of the antenna. Accuracy of the expression is established by comparing the theoretical results with available measured results. ¬© 1983, The Institution of Electrical Engineers. All rights reserved.</t>
  </si>
  <si>
    <t>834-835</t>
  </si>
  <si>
    <t>Sengupta, D. L.</t>
  </si>
  <si>
    <t>Ann Arbor</t>
  </si>
  <si>
    <t>University of Michigan, Ann Arbor</t>
  </si>
  <si>
    <t>Sengupta D.</t>
  </si>
  <si>
    <t>Approximate expression for the resonant frequency of a rectangular patch antenna</t>
  </si>
  <si>
    <t>10.1049/el:19830568</t>
  </si>
  <si>
    <t>2-s2.0-0020812155</t>
  </si>
  <si>
    <t>U.S. Department of Agriculture</t>
  </si>
  <si>
    <t>USDA</t>
  </si>
  <si>
    <t>['¬© 1983', 'ultraviolet ({', 'transport capacity', 'transfer reaction', 'three photosystems', 'significantly greater', 'results indicate', 'relative electron', 'relative concentration', 'red ({', 'receive excitation', 'reaction centers', 'ps ii', 'overall electron', 'nœ ≤', 'molecules associated', 'limiting factor', 'lhc composition', 'lhc component', 'kinetic analysis', 'iiœ ≤', 'iiœ ±', 'functional organization', 'excited equally', 'dissimilar chl', 'core chl', 'chl composition']</t>
  </si>
  <si>
    <t>(Spinach chloroplast) | Antenna size | Chlorophyll composition | Electron transport | Photosystem I | Photosystem II</t>
  </si>
  <si>
    <t>The structural and functional organization of the spinach chloroplast photosystems (PS) I, IIŒ± and IIŒ≤ was investigated. Sensitive absorbance difference spectrophotometry in the ultraviolet ({up triangle, open}A320) and red ({up triangle, open}A700) regions of the spectrum provided information on the relative concentration of PS II and PS I reaction centers. The kinetic analysis of PS II and PS I photochemistry under continuous weak excitation provided information on the number (N) of chlorophyll (Chl) molecules transferring excitation energy to PS IIŒ±, PS IIŒ≤ and PS I. Spinach chloroplasts contained almost twice as many PS II reaction centers compared to PS I reaction centers. The number NŒ± of chlorophyll (Chl) molecules associated with PS IIŒ± was 234, while NŒ≤ = 100 and NPS I = 210. Thus, the functional photosynthetic unit size of PS II reaction centers was different from that of PS I reaction centers. The relative electron-transport capacity of PS II was significantly greater than that of PS I. Hence, under light-limiting green excitation when both Chl a and Chl b molecules are excited equally, the limiting factor in the overall electron-transfer reaction was the turnover of PS I. The Chl composition of PS I, PS IIŒ± and PS IIŒ≤ was analyzed on the basis of a core Chl a reaction center complex component and a Chl a b-LHC component. There is a dissimilar Chl a b-LHC composition in the three photosystems with 77% of total Chl b associated with PS IIŒ± only. The results indicate that PS IIŒ±, located in the membrane of the grana partition region, is poised to receive excitation from a wider spectral window than PS IIŒ≤ and PS I. ¬© 1983.</t>
  </si>
  <si>
    <t>473-484</t>
  </si>
  <si>
    <t>57203081985;7406781037</t>
  </si>
  <si>
    <t>Melis, Anastasios;Anderson, Jan M.</t>
  </si>
  <si>
    <t>Melis A.</t>
  </si>
  <si>
    <t>Structural and functional organization of the photosystems in spinach chloroplasts. Antenna size, relative electron-transport capacity, and chlorophyll composition</t>
  </si>
  <si>
    <t>10.1016/0005-2728(83)90108-1</t>
  </si>
  <si>
    <t>2-s2.0-0000116657</t>
  </si>
  <si>
    <t>PHY79-04928</t>
  </si>
  <si>
    <t>['¬© 1983', 'trapping geometry', 'theory applies', 'specifically analyzed', 'readily extended', 'penning trap', 'mass motions', 'ion space', 'ion density', 'common situations', 'charge influence']</t>
  </si>
  <si>
    <t>A theory of ion space-charge influence on the observed ion cyclotron resonance frequency in static field ion traps is presented. The dependence of this influence on ion density, ion cloud shape, and trapping geometry is investigated. Four trapping geometries are specifically analyzed: the Penning trap, the cubical ICR cell, the common rectangular ICR cell, and an elongated ICR cell. This treatment is readily extended to other geometries. The theory applies to common situations where the exciting or detecting antennae fields are not homogeneous, and individual particle motions are excited/detected as opposed to center-of-mass motions. ¬© 1983.</t>
  </si>
  <si>
    <t>169-187</t>
  </si>
  <si>
    <t>International Journal of Mass Spectrometry and Ion Processes</t>
  </si>
  <si>
    <t>60000221;60000221;60000221</t>
  </si>
  <si>
    <t>36819229700;35925857800;7202886035</t>
  </si>
  <si>
    <t>Jeffries, J. B.;Barlow, S. E.;Dunn, G. H.</t>
  </si>
  <si>
    <t>Jeffries J.</t>
  </si>
  <si>
    <t>Theory of space-charge shift of ion cyclotron resonance frequencies</t>
  </si>
  <si>
    <t>0168-1176(83)85016-2</t>
  </si>
  <si>
    <t>10.1016/0168-1176(83)85016-2</t>
  </si>
  <si>
    <t>2-s2.0-0004601028</t>
  </si>
  <si>
    <t>['two species', 'two dos', 'tubular body', 'three types', 'structural features', 'socket structures', 'sensory cells', 'poreless sensilla', 'periplaneta showed', 'periplaneta americana', 'microtubules similar', 'maxillary palps', 'maxillary palp', 'large dos', 'inflexible socket', 'hygroand thermoreception', 'fit tightly', 'electrophysiological investigation', 'dos ),', 'common features', 'bilateral symmetry', '18 species', '0 cilium']</t>
  </si>
  <si>
    <t>Hygroreception | Insect sensilla | Sensory cell ultrastructure | Thermoreception</t>
  </si>
  <si>
    <t>1. Poreless sensilla (np-sensilla) on the antennae of 18 species from 9 insect orders, and on the maxillary palps of Periplaneta americana were investigated using chemo- and cryofixation. 2. The number of np-sensilla is low. Common features of these sensilla are: (a) the presence of a peg, (b) the lack of pores that lead to the dendritic outer segments (DOS), (c) the lack of socket structures, which would indicate flexibility, and (d) the presence of three types of sensory cells. The type-1 sensory cells are characterized by large DOS, which proceed into the peg where they fit tightly to its wall. As a rule, two DOS are present, being arranged in bilateral symmetry. Within them, in two species, a pattern of microtubules similar to that of a tubular body was observed. In the type-2 sensory cells, the DOS end beneath the peg and mostly display membrane invaginations. In the type-3 sensory cell, the DOS is an unmodified 9√ó2+0 cilium. 3. Electrophysiological investigation of the np-sensillum in the maxillary palp of Periplaneta showed the presence of a hygroand/or thermoreceptor. 4. In a comparison of np-sensilla with an inflexible socket in different insect species, it is shown that these sensilla represent one fundamental sensillum type and that their structural features can be regarded as adaptations to hygroand thermoreception. ¬© 1983 Springer-Verlag.</t>
  </si>
  <si>
    <t>279-307</t>
  </si>
  <si>
    <t>60030807;60030807;60030807;60030807</t>
  </si>
  <si>
    <t>6603701874;6504101359;7003732020;6504137815</t>
  </si>
  <si>
    <t>Altner, Helmut;Schaller-Selzer, Linde;Stetter, Heinrich;Wohlrab, Inga</t>
  </si>
  <si>
    <t>Altner H.</t>
  </si>
  <si>
    <t>Poreless sensilla with inflexible sockets - A comparative study of a fundamental type of insect sensilla probably comprising thermo- and hygroreceptors</t>
  </si>
  <si>
    <t>10.1007/BF00213769</t>
  </si>
  <si>
    <t>2-s2.0-0021029453</t>
  </si>
  <si>
    <t>Other and hypothetical particles</t>
  </si>
  <si>
    <t>263-269</t>
  </si>
  <si>
    <t>60032350;60027509-60021660</t>
  </si>
  <si>
    <t>22965571000;6603927986</t>
  </si>
  <si>
    <t>Allega, A. M.;Cabibbo, N.</t>
  </si>
  <si>
    <t>Rome;Rome;Rome</t>
  </si>
  <si>
    <t>Sapienza Universit√† di Roma;Universit√† degli Studi di Roma "Tor Vergata";Istituto Nazionale di Fisica Nucleare - INFN</t>
  </si>
  <si>
    <t>60032350;60027509;60021660</t>
  </si>
  <si>
    <t>Allega A.</t>
  </si>
  <si>
    <t>Acoustic detection of superheavy monopoles in gravitational antennas</t>
  </si>
  <si>
    <t>10.1007/BF02814641</t>
  </si>
  <si>
    <t>2-s2.0-51249180660</t>
  </si>
  <si>
    <t>['¬© 1983', 'triton x', 'transverse orientation', 'subunits h', 'sodium dodecylsulphate', 'rhodopseudomonas capsulata', 'reagent 1', 'protein complexes', 'probably l', 'photosynthetic polypeptides', 'native pigment', 'harvesting complexes', 'distinguish polypeptides', 'complex b800', 'asymmetrically oriented', '8 kda', '12 kda']</t>
  </si>
  <si>
    <t>Bacteriochlorophyll-protein | Rhodopseudomonas capsulata | Surface iodination | topography | Transverse membrane</t>
  </si>
  <si>
    <t>The transverse orientation of photosynthetic polypeptides in the membrane of Rhodopseudomonas capsulata was investigated using surface radioiodination of chromatophores and spheroplasts with the reagent 1,3,4,6-tetrachloro-3Œ±, 6Œ±-diphenylglycoluril. Native pigment-protein complexes were isolated by Triton X-100-polyacrylamide gel electrophoresis to identify and distinguish polypeptides not separated by sodium dodecylsulphate-polyacrylamide gel electrophoresis. The two antenna light-harvesting complexes were found to be asymmetrically oriented with polypeptides 14 kDa and 8 kDa of complex B800-850 and 12 kDa of B870 being exposed on either membrane surface. Subunits H and M of the photochemical reaction centre, and probably L, span the membrane. ¬© 1983.</t>
  </si>
  <si>
    <t>60025641;60025641</t>
  </si>
  <si>
    <t>57212425535;7102742634</t>
  </si>
  <si>
    <t>Peters, J√ºrgen D.;Drews, Gerhart</t>
  </si>
  <si>
    <t>The transverse membrane orientation of the light-harvesting and reaction centre polypeptides of Rhodopseudomonas capsulata, investigated by surface iodination</t>
  </si>
  <si>
    <t>10.1016/0014-5793(83)81048-5</t>
  </si>
  <si>
    <t>2-s2.0-0345510929</t>
  </si>
  <si>
    <t>['¬© 1983', 'rights reserved', 'electrical engineers']</t>
  </si>
  <si>
    <t>A technique for using frequency scanning to give 360¬∞ electronic beam steering from a circular antenna array is described, using relatively simple hardware. A field focused filter is used as a frequency selected switch for a lens fed circular array. ¬© 1983, The Institution of Electrical Engineers. All rights reserved.</t>
  </si>
  <si>
    <t>898-899</t>
  </si>
  <si>
    <t>Smith, M. S.</t>
  </si>
  <si>
    <t>Frequency scanned circular antenna array</t>
  </si>
  <si>
    <t>10.1049/el:19830612</t>
  </si>
  <si>
    <t>2-s2.0-0020830039</t>
  </si>
  <si>
    <t>['¬© 1983', 'subreflector possessing', 'rights reserved', 'parametric study', 'manufacture compared', 'low sidelobes', 'initial results', 'electrical engineers']</t>
  </si>
  <si>
    <t>The dual offset spherical reflector antenna offers the advantage of a circularly symmetric main reflector together with a subreflector possessing an axis of symmetry. These features could lead to significant cost reductions in manufacture compared to existing offset designs. Initial results of a parametric study, using physical optics, show that 64% efficiency is possible with a peak crosspolar level below ‚àí35 dB, together with very low sidelobes. ¬© 1983, The Institution of Electrical Engineers. All rights reserved.</t>
  </si>
  <si>
    <t>912-914</t>
  </si>
  <si>
    <t>60022109;60022109;60022109</t>
  </si>
  <si>
    <t>57197192970;7006192058;7006375883</t>
  </si>
  <si>
    <t>Brown, R. C.;Clarricoats, P. J.B.;Ramanujam, P.</t>
  </si>
  <si>
    <t>Queen Mary University of London</t>
  </si>
  <si>
    <t>Brown R.</t>
  </si>
  <si>
    <t>Offset spherical dual-reflector antenna</t>
  </si>
  <si>
    <t>10.1049/el:19830623</t>
  </si>
  <si>
    <t>2-s2.0-0020832761</t>
  </si>
  <si>
    <t>['¬© 1983', 'three methods', 'sidelobe reduction', 'rights reserved', 'electrical engineers']</t>
  </si>
  <si>
    <t>Three methods for sidelobe reduction in linear antenna arrays using only one or two discrete amplitude levels are compared. The trade-off between the complexity of implementation and the achievable peak sidelobe level is demonstrated. ¬© 1983, The Institution of Electrical Engineers. All rights reserved.</t>
  </si>
  <si>
    <t>931-933</t>
  </si>
  <si>
    <t>55698377500;7402022114</t>
  </si>
  <si>
    <t>Smith, M. S.;Tan, T. G.</t>
  </si>
  <si>
    <t>Sidelobe reduction using random methods for antenna arrays</t>
  </si>
  <si>
    <t>10.1049/el:19830636</t>
  </si>
  <si>
    <t>2-s2.0-0020833152</t>
  </si>
  <si>
    <t>Engineering and Physical Sciences Research Council</t>
  </si>
  <si>
    <t>EPSRC</t>
  </si>
  <si>
    <t>['œ ≤-', '¬© 1983', 'typically 1900', 'thermophilic blue', 'several days', 'second detergent', 'purified oxygen', 'ph 7', 'per h', 'oxygen evolution', 'new oxygen', 'mg chlorophyll', 'lauryldimethylamine n', 'lauryl maltoside', 'ii particle', 'high rates', 'febs lett', 'fast phase', 'evolving photosystem', 'energy transfer', 'dcmu suggested', 'cytochromes b', 'completely devoid', 'chlorophyll antenna', '52 400', '50 chlorophyll', '43 200', '33 900', '30 000', '16 000', '15 000']</t>
  </si>
  <si>
    <t>(Phormidium laminosum) | Dodecyl-Œ≤-d-maltoside | Oxygen evolution | Photosystem II</t>
  </si>
  <si>
    <t>The purification and properties of a new oxygen-evolving Photosystem (PS) II particle from the thermophilic blue-green alga Phormidium laminosum are described. The activity of the lauryldimethylamine N-oxide PS II-enriched supernatant described previously (Stewart, A.C. and Bendall, D.S. (1979) FEBS Lett. 107, 308-312) was found to be stabilized for several days at 4¬∞;C by the addition of a second detergent, dodecyl-Œ≤-d-maltoside (lauryl maltoside). The lauryl maltoside/lauryldimethylamine N-oxide extract could be fractionated by sucrose density gradient centrifugation. Very high rates of oxygen evolution, typically 1900-2400 Œºmol O2/mg chlorophyll a per h at pH 7 with dimethylbenzoquinone and ferricyanide as acceptors, were observed for the lowest green band from the gradient. This fraction contained cytochromes b-559 (high-potential) and c-549, but was completely devoid of P-700 and cytochromes b-563 and f. The purified oxygen-evolving particles comprised seven major polypeptides (Mr 58 900, 52 400, 43 200, 33 900, 30 000, 16 000 and 15 000) and approximately five minor polypeptides. The particles contained 3-4 Mn atoms per reaction centre and had a chlorophyll antenna of approx. 50 chlorophyll a. The fast phase of fluorescence induction curves in the presence of hydroxylamine and 3-(3,4-dichlorophenyl)-1,1-dimethylurea (DCMU) could be described by an exponential, suggesting that no energy transfer was occurring between the PS II units responsible for this phase. Comparison of the area above the fluorescence induction curves in the absence and presence of DCMU suggested an acceptor pool size of 2-3 equivalents per centre. ¬© 1983.</t>
  </si>
  <si>
    <t>210-219</t>
  </si>
  <si>
    <t>60031101;60031101;60031101</t>
  </si>
  <si>
    <t>7006198889;7403497159;7003823374</t>
  </si>
  <si>
    <t>Bowes, Jane M.;Stewart, Alison C.;Bendall, Derek S.</t>
  </si>
  <si>
    <t>University of Cambridge</t>
  </si>
  <si>
    <t>Bowes J.</t>
  </si>
  <si>
    <t>Purification of Photosystem II particles from Phormidium laminosum using the detergent dodecyl-Œ≤-d-maltoside. Properties of the purified complex</t>
  </si>
  <si>
    <t>10.1016/0005-2728(83)90241-4</t>
  </si>
  <si>
    <t>2-s2.0-0000911638</t>
  </si>
  <si>
    <t>P CM-8201746</t>
  </si>
  <si>
    <t>['¬© 1983', 'whole cells', 'three pigment', 'strains exhibit', 'six strains', 'rhodopseudomonas capsulata', 'reaction centers', 'protein complexes', 'molecules involved', 'magnetic field', 'fluorescence increases', 'excited states', 'energy differences', 'containing protein', 'carotenoid excitation', 'best described', 'bacteriochlorophyll fluorescence', 'antenna contribution', '850 complex']</t>
  </si>
  <si>
    <t>(Rps. capsulata) | Bacterial photosynthesis | Carotenoid | Fluorescence | Magnetic field effect</t>
  </si>
  <si>
    <t>The magnetic field effects on bacteriochlorophyll fluorescence in six strains of Rhodopseudomonas capsulata were investigated. All strains exhibit an increase in fluorescence upon application of a magnetic field. Large magnetic field effects are shown to arise in mutants which contain the B800-850 complex as the only bacteriochlorophyll-containing protein. These fluorescence increases are observed only with carotenoid excitation and are best described by a carotenoid singlet heterofission mechanism. Variations in the magnitudes of the magnetic field effects for the Rps. capsulata strain arise from energy differences in the excited states of the molecules involved in the process. In order to determine the contribution from reaction centers to the magnetic field effects observed in the mutants which contain all three pigment-protein complexes, reaction centers were isolated from these strains. The reaction center contribution to the magnetic field effect on fluorescence in whole cells was determined to be smaller than the antenna contribution when carotenoid excitation was employed. ¬© 1983.</t>
  </si>
  <si>
    <t>178-189</t>
  </si>
  <si>
    <t>60022659;60022659</t>
  </si>
  <si>
    <t>36817548500;7201842354</t>
  </si>
  <si>
    <t>McGann, William J.;Frank, Harry A.</t>
  </si>
  <si>
    <t>Storrs</t>
  </si>
  <si>
    <t>University of Connecticut</t>
  </si>
  <si>
    <t>McGann W.</t>
  </si>
  <si>
    <t>Magnetic field effects on the fluorescence of mutant strains of Rhodopseudomonas capsulata</t>
  </si>
  <si>
    <t>10.1016/0005-2728(83)90238-4</t>
  </si>
  <si>
    <t>2-s2.0-4243536715</t>
  </si>
  <si>
    <t>1088-1091</t>
  </si>
  <si>
    <t>Dubinskii, B. A.</t>
  </si>
  <si>
    <t>Dubinskii B.A.</t>
  </si>
  <si>
    <t>Invariance of mean-square effective area of synthesized antenna apertures</t>
  </si>
  <si>
    <t>10.1007/BF01034678</t>
  </si>
  <si>
    <t>2-s2.0-0020853503</t>
  </si>
  <si>
    <t>1034-1040</t>
  </si>
  <si>
    <t>16522757600;16477144000;6603196355;7006105556</t>
  </si>
  <si>
    <t>Alekseev, V. A.;Kryukov, A. E.;Lipatov, B. N.;Sizov, A. S.</t>
  </si>
  <si>
    <t>Alekseev V.</t>
  </si>
  <si>
    <t>Instrumentation complex of a small-baseline centimeter-wavelength radio interferometer with cable communication lines for astrophysical purposes</t>
  </si>
  <si>
    <t>10.1007/BF01034669</t>
  </si>
  <si>
    <t>2-s2.0-0020856526</t>
  </si>
  <si>
    <t>1028-1034</t>
  </si>
  <si>
    <t>6506053980;6602308977;6506447327;7101701139;55354871700;6602816084</t>
  </si>
  <si>
    <t>Beagon, V. S.;Dugin, N. A.;Romanychev, A. A.;Semenova, L. R.;Turchin, V. I.;Tseitlin, N. M.</t>
  </si>
  <si>
    <t>Beagon V.</t>
  </si>
  <si>
    <t>Scientific-research institute of radiophysics (SRIR) decimeter-wavelength aperture synthesis system</t>
  </si>
  <si>
    <t>10.1007/BF01034668</t>
  </si>
  <si>
    <t>2-s2.0-0020856527</t>
  </si>
  <si>
    <t>['¬© 1983', 'wire radius', 'value close', 'suitably bent', 'spiral arm', 'rights reserved', 'power gain', 'neighbouring filaments', 'input impedance', 'electrical engineers']</t>
  </si>
  <si>
    <t>Antennas | Rectangular antennas</t>
  </si>
  <si>
    <t>The input impedance of a rectangular spiral antenna is calculated as a function of wire radius. A value close to 60œÄ Œ© is obtained when neighbouring filaments are spaced by nearly the equivalent strip width, although the spiral is not exactly self complementary. When the spiral arm is suitably bent the circularly polarised radiation pattern is widened in one principal plane, while maintaining the inherent input impedance and power gain. ¬© 1983, The Institution of Electrical Engineers. All rights reserved.</t>
  </si>
  <si>
    <t>957-958</t>
  </si>
  <si>
    <t>55633340100;56405174700;7005277837</t>
  </si>
  <si>
    <t>Nakano, H.;Yamauchi, J.;Nogami, K.</t>
  </si>
  <si>
    <t>Effects of wire radius and arm bend on a rectangular spiral antenna</t>
  </si>
  <si>
    <t>10.1049/el:19830651</t>
  </si>
  <si>
    <t>2-s2.0-0020849052</t>
  </si>
  <si>
    <t>['¬© 1983', 'ventral mid', 'systemic injection', 'olfactory lobes', 'major neurotransmitter', 'heavy labelling', 'drosophila melanogaster', 'diffusible substances', 'choline uptake', 'chemosensory systems', 'certain regions', 'antennal mechanosensory']</t>
  </si>
  <si>
    <t>autoradiography | chemosensory system | choline uptake | cholinergic neurons | Drosophila | mechanosensory system</t>
  </si>
  <si>
    <t>We describe the localization of sites for choline uptake in the brain of Drosophila melanogaster by the technique of autoradiography of diffusible substances. After systemic injection of [3H]choline, heavy labelling is found in certain regions of the ventral mid-brain, the antennal mechanosensory system including certain commissures, the olfactory lobes and the antennal glomerular tract. This accumulation of label is sensitive to hemicholinium-3 and can be suppressed by incubation at 0¬∞C. It is proposed that acetylcholine is a major neurotransmitter of the antennal mechanosensory and chemosensory systems of Drosophila. ¬© 1983.</t>
  </si>
  <si>
    <t>Neuroscience Letters</t>
  </si>
  <si>
    <t>60004898;60004898</t>
  </si>
  <si>
    <t>55294764000;7101600459</t>
  </si>
  <si>
    <t>Buchner, Erich;Rodrigues, Veronica</t>
  </si>
  <si>
    <t>Tubingen</t>
  </si>
  <si>
    <t>Max Planck Institute for Biological Cybernetics</t>
  </si>
  <si>
    <t>Buchner E.</t>
  </si>
  <si>
    <t>Autoradiographic localization of [&lt;sup&gt;3&lt;/sup&gt;H]choline uptake in the brain of Drosophila melanogaster</t>
  </si>
  <si>
    <t>10.1016/0304-3940(83)90416-0</t>
  </si>
  <si>
    <t>2-s2.0-0020973280</t>
  </si>
  <si>
    <t>['¬© 1983', 'two antennas', 'turbulent layer', 'rights reserved', 'letter reports', 'ground temperature', 'electrical engineers', 'concurrently measured']</t>
  </si>
  <si>
    <t>The letter reports on OTS BO carrier fluctuations which have been concurrently measured with two antennas of different aperture sizes for nearly one year. Monthly cumulative distributions of the signal variances clearly show a predominance of scintillations to occur during summer. From the signal variances measured concurrently, the altitude of the turbulent layer is derived which varies with water vapour density and ground temperature. ¬© 1983, The Institution of Electrical Engineers. All rights reserved.</t>
  </si>
  <si>
    <t>1032-1034</t>
  </si>
  <si>
    <t>117336348;117336348</t>
  </si>
  <si>
    <t>57194907689;6603729361</t>
  </si>
  <si>
    <t>Rocker, F.;Dintelmann, F.</t>
  </si>
  <si>
    <t>Forschungsinstitut der Deutschen</t>
  </si>
  <si>
    <t>Rocker F.</t>
  </si>
  <si>
    <t>Effect of antenna size on OTS signal scintillations and their seasonal dependence</t>
  </si>
  <si>
    <t>10.1049/el:19830700</t>
  </si>
  <si>
    <t>2-s2.0-0020844010</t>
  </si>
  <si>
    <t>['¬© 1983', 'typical array', 'scan angle', 'rights reserved', 'electrical engineers', 'efficient technique']</t>
  </si>
  <si>
    <t>Antennas | Dipole antennas | Microstrip | Phased arrays</t>
  </si>
  <si>
    <t>A moment method analysis of infinite microstrip dipole arrays which uses an efficient technique to evaluate the generalised impedance matrix is described. A particularly simple formulation is obtained through the use of the periodic Green function. Results for the reflection coefficient magnitude against scan angle are given for a typical array. ¬© 1983, The Institution of Electrical Engineers. All rights reserved.</t>
  </si>
  <si>
    <t>1043-1045</t>
  </si>
  <si>
    <t>7404005178;7401934487</t>
  </si>
  <si>
    <t>Wright, S. M.;Lo, Y. T.</t>
  </si>
  <si>
    <t>Efficient analysis for infinite microstrip dipole arrays</t>
  </si>
  <si>
    <t>10.1049/el:19830708</t>
  </si>
  <si>
    <t>2-s2.0-0020846620</t>
  </si>
  <si>
    <t>PCM 82-10524</t>
  </si>
  <si>
    <t>['¬© 1983', 'variable fluorescence', 'used single', 'state 1', 'picosecond resolution', 'photosystem ii', 'photon timing', 'phosphorylation alters', 'observed changes', 'intensity dependence', 'fluorescence decay', 'clear reversal']</t>
  </si>
  <si>
    <t>(Spinach chloroplast) | Fluorescence decay | Photosynthesis | Protein phosphorylation | State 1-State 2 transition</t>
  </si>
  <si>
    <t>We have used single-photon timing with picosecond resolution to investigate the effect of phosphorylation on the fluorescence decay from broken spinach chloroplasts. Phosphorylation of spinach thylakoids causes a quenching of the slow decay phase (equivalent to a quenching of variable fluorescence) and an increase in the yield of the middle phase decay component. In addition, phosphorylation alters the intensity dependence of fluorescence in a manner which indicates a decreased antenna size of Photosystem II. The observed changes are indicative of a State 1-State 2 transition and show a clear reversal when the membranes are dephosphorylated. ¬© 1983.</t>
  </si>
  <si>
    <t>261-271</t>
  </si>
  <si>
    <t>60007174;60007174;60007174</t>
  </si>
  <si>
    <t>24500037600;7004444579;7102209179</t>
  </si>
  <si>
    <t>Haworth, Philip;Karukstis, Kerry K.;Sauer, Kenneth</t>
  </si>
  <si>
    <t>Lawrence Berkeley National Laboratory</t>
  </si>
  <si>
    <t>Picosecond fluorescence kinetics in spinach chloroplasts at room temperature. Effects of phosphorylation</t>
  </si>
  <si>
    <t>10.1016/0005-2728(83)90199-8</t>
  </si>
  <si>
    <t>2-s2.0-0039416560</t>
  </si>
  <si>
    <t>['waveguide antenna', 'viewing optics', 'viewing axis', 'tracing computations', 'spatial resolution', 'shafranov shift', 'resolution perpendicular', 'rayleigh criterion', 'plasma equilibrium', 'optical depth', 'michelson interferometer', 'magnetic field', 'lens optics', 'integral expression', 'good agreement', 'general principles', 'frequency response', 'frequency resolution', 'following headings', 'finite density', 'error due', 'emission profile', 'emission perpendicular', 'emission intensity', 'developed leading']</t>
  </si>
  <si>
    <t>Corrections for the systematic errors associated with the measurements of electron cyclotron emission from DITE Tokamak using a Michelson interferometer are considered under the following headings. (a) Finite optical depth an isotropic reflection model is developed leading to a line-integral expression for the emission intensity which depends on the optical depth and the wall reflection coefficient. (b) Finite density and refraction: the error due to the distortion of the instrument antenna pattern is calculated from results of ray-tracing computations. (c) Relativistic resonance layer width: an expression is derived for the corresponding spatial error for emission perpendicular to the magnetic field. (d) Magnetic field corrections: an expression for the spatial error due to the poloidal and diamagnetic field contributions is given and its effect on the observed Shafranov shift is investigated. (e) Frequency response: the general principles of quasi-optics are applied to the Michelson interferometer demonstrating that a small-aperture blackbody oven may be used to calibrate the system. (f) Spatial resolution of the viewing optics: the equivalence of lens optics and waveguide antenna is shown both theoretically and experimentally and expressions are given for the resolution perpendicular to the viewing axis. (g) Frequency resolution: it is shown that the resolution of a Michelson interferometer can be better than that suggested by application of the Rayleigh criterion. These corrections are applied to experimental emission spectra and the derived electron temperature profiles compared with laser scattering measurements in a discharge where the plasma equilibrium is changing. The Shafranov shift of the corresponding temperature surfaces is shown to be in good agreement with that expected for the magnetic flux surfaces. Using the wall reflection model, the electron density profile is derived from the emission profile of the third harmonic cyclotron frequency.</t>
  </si>
  <si>
    <t>1501-1529</t>
  </si>
  <si>
    <t>Plasma Physics</t>
  </si>
  <si>
    <t>Clark, W. H.M.</t>
  </si>
  <si>
    <t>Oxfordshire</t>
  </si>
  <si>
    <t>Euratom Ukaea Fusion Association</t>
  </si>
  <si>
    <t>Clark W.H.M.</t>
  </si>
  <si>
    <t>The precision of electron cyclotron emission measurements from DITE Tokamak</t>
  </si>
  <si>
    <t>10.1088/0032-1028/25/12/315</t>
  </si>
  <si>
    <t>2-s2.0-0000200045</t>
  </si>
  <si>
    <t>['yaw stimulus', 'yaw imposed', 'yaw angle', 'vice versa', 'top position', 'tonic reaction', 'tonic component', 'timing within', 'thus mimicking', 'tethered flight', 'tcg interneurone', 'tcg burst', 'tcg activity', 'successively waxing', 'straight flight', 'stepwise yaw', 'small resetting', 'rhythmically active', 'results suggest', 'mutual inhibition', 'mediating yaw', 'left tcg', 'laminar stream', 'important pathway', 'flying animal', 'flight rhythm', 'electrically stimulated', 'earlier beginning', 'e .,', 'downstroke muscles', 'correcting behaviour', 'cell shows', 'bursts synchronised', 'beat cycle', 'antennae reveals', '9 ).', '7 ).', '5 ).', '4 ms', '4 ).', '3 ).', '13 ).', '11 ).']</t>
  </si>
  <si>
    <t>1. The TCG interneurone of the locust integrates information from the wind-sensitive head hairs and the antennae. The cell is rhythmically active in tethered flight and is sensitive to a yaw imposed on the animal in a laminar stream of air - the left TCG is more sensitive to a yaw to the left and vice versa (Figs. 1, 5). 2. Successively waxing over the different windhair fields (fields 1...5) and immobilising the antennae reveals that all these sense organs contribute to the sensitivity of the neurone to the angle of yaw (Figs. 2, 3). There is no mutual inhibition between the right and left TCG (Fig. 4). 3. The cell shows a phasic-tonic reaction when either the resting or the flying animal is subjected to a stepwise yaw. However, the tonic component is stronger when the animal is flying (Fig. 7). 4. During flight the TCG fires rhythmically in bursts synchronised with depressor muscle potentials, i.e., at about the time when the wing is in its top position. Yaw angle is coded by the number of spikes per burst and their timing within the wing-beat cycle. An increase of the TCG activity is correlated with an earlier beginning of the burst (Figs. 8, 9). There is no change in the interspike interval within the TCG burst during a yaw stimulus: the 1st and 2nd interspike intervals remain at an average of about 4 ms (Fig. 9). 5. In straight flight, electric stimulation applied to the right TCG neurone (thus mimicking a yaw to the right) evokes antagonistic time shifts in downstroke muscles, equivalent to those observed in response to an actual right yaw being imposed on the animal (Figs. 10, 11). The results suggest that the TCG is an important pathway in mediating yaw-correcting behaviour. 6. A small resetting of the flight rhythm is produced when the TCG is electrically stimulated during flight (Fig. 13). ¬© 1983 Springer-Verlag.</t>
  </si>
  <si>
    <t>453-465</t>
  </si>
  <si>
    <t>60033241;60005460</t>
  </si>
  <si>
    <t>7003978901;7101857978</t>
  </si>
  <si>
    <t>M√∂hl, Bernhard;Bacon, Jonathan</t>
  </si>
  <si>
    <t>Saarbrucken;Pocking</t>
  </si>
  <si>
    <t>Universit√§t des Saarlandes;Max Planck Institute for Ornithology</t>
  </si>
  <si>
    <t>M√∂hl B.</t>
  </si>
  <si>
    <t>The tritocerebral commissure giant (TCG) wind-sensitive interneurone in the locust - II. Directional sensitivity and role in flight stabilisation</t>
  </si>
  <si>
    <t>10.1007/BF00609571</t>
  </si>
  <si>
    <t>2-s2.0-0001628023</t>
  </si>
  <si>
    <t>['wind hairs', 'unstimulated wing', 'tcg originate', 'tcg interneurone', 'tcg activity', 'slightly advanced', 'sensory system', 'sense organs', 'schistocerca gregaria', 'rhythmically active', 'rhythm generator', 'posterior portion', 'physiological characteristics', 'particular relationship', 'normal activity', 'natural stimulation', 'muscle activity', 'maximally sensitive', 'locusta migratoria', 'integrates information', 'inhibitory inputs', 'flying animal', 'flight motor', 'flight frequency', 'fields 2', 'field 3', 'field 1', 'extracellular methods', 'elevator latency', 'electrical stimulation', 'contralateral inputs', 'beat cycle', 'approximately 0', 'approximate synchrony', 'anterior portion', 'antennae causes', 'antennae act', 'achieved largely', '7 ).', '6 ms', '5 ).', '4 ).', '25 hz', '15 ms', '14 ).', '13 ).', '12 ).', '11 ).', '10 ).']</t>
  </si>
  <si>
    <t>1. The TCG interneurone of the locust (Schistocerca gregaria, Locusta migratoria) integrates information from the aerodynamic sense organs on the head, the wind hairs and the antennae. Its physiological characteristics and activity in the flying animal are analyzed using intracellular and extracellular methods. 2. Intracellular recording shows that TCG receives excitatory inputs from ipsilateral wind hairs in fields 2, 4 and 5 and from those in the posterior portion of field 1. Inhibitory inputs to the TCG originate from hairs in the anterior portion of field 1 and from all hairs of field 3. There are no contralateral inputs to the TCG (Figs. 3, 4). In addition, the ipsilateral antenna provides a weak, directionally selective input (Fig. 5). 3. The cell is rhythmically active in flight, firing in bursts in approximate synchrony with depressor muscle activity (Fig. 7). The bursting activity originates from rhythmic wind turbulences in front of the head, caused by the beating of the wings and by the rhythmic head movements during flight. Excitatory and inhibitory inputs from the wind hairs and the antennae act in concert to produce the TCG's rhythm with its particular relationship to the flight-muscle activity (Fig. 10). 4. The wind hairs and the antenna - as measured by TCG activity - are maximally sensitive to turbulences at frequencies between 20 and 25 Hz. This corresponds to the natural flight frequency (Fig. 11). 5. Waxing over all the wind hairs and the antennae causes a reduction of the flight frequency. This is achieved largely by an increase of the depressor to elevator latency, whereas the elevator to depressor latency remains relatively unchanged (Fig. 12). 6. Electrical stimulation of the wind-hair sensory cells during flight, so as to mimic their natural stimulation, demonstrates the fast phasic influence of these sense organs on the flight motor. A single electrical stimulus to the wind hairs generally excites elevator motor neurones, causing their activity to be slightly advanced in time (compared to an unstimulated wing-beat interval). This effect varies quantitatively as a function of the stimulus timing within the wing-beat cycle. In contrast, depressor motor neurone activity is advanced when wind-hair stimulation occurs 6-15 ms before their normal activity and is retarded when stimuli are presented at 15-40 ms latency (Fig. 13). Single stimulus pulses are sufficient to reset the original wing beat rhythm by approximately 0.6 ms. This suggests that the wind-sensory system is a component of the flight-rhythm generator (Fig. 14). ¬© 1983 Springer-Verlag.</t>
  </si>
  <si>
    <t>439-452</t>
  </si>
  <si>
    <t>60005460;60033241</t>
  </si>
  <si>
    <t>7101857978;7003978901</t>
  </si>
  <si>
    <t>Bacon, Jonathan;M√∂hl, Bernhard</t>
  </si>
  <si>
    <t>Bacon J.</t>
  </si>
  <si>
    <t>The tritocerebral commissure giant (TCG) wind-sensitive interneurone in the locust - I. Its activity in straight flight</t>
  </si>
  <si>
    <t>10.1007/BF00609570</t>
  </si>
  <si>
    <t>2-s2.0-0001628024</t>
  </si>
  <si>
    <t>['unique combination', 'topically applied', 'staining liquid', 'primarily composed', 'monophyletic classification', 'methyl esters', 'lesser amounts', 'homologous ethyl', 'formica ants', 'ethyl dodecanoate', 'ceratinini ).']</t>
  </si>
  <si>
    <t>1,4-benzoquinone | aldehyde | Allodapini | bees | defense | ester | ethyl decanoate | Exoneura | Hymenoptera | mandibular glands | quinone | salicylaldehyde</t>
  </si>
  <si>
    <t>Female Exoneura richardsoni, E. bicolor, and E. bicincta (Hymenoptera: Anthophoridae) release a pungent, staining liquid from their mandibular glands upon disturbance. This secretion is primarily composed of ethyl dodecanoate, with lesser amounts of homologous ethyl and methyl esters, salicylaldehyde, and 1,4-benzoquinone. The secretion elicits vigorous grooming when topically applied to antennae of Formica ants. The shared, unique combination of mandibular gland lipids of these three Exoneura species supports their monophyletic classification, while the presence of salicylaldehyde may associate Exoneura (Allodapini) with Pithitis (Ceratinini). ¬© 1983 Plenum Publishing Corporation.</t>
  </si>
  <si>
    <t>1525-1531</t>
  </si>
  <si>
    <t>60015457;60015457</t>
  </si>
  <si>
    <t>7004185181;7004936823</t>
  </si>
  <si>
    <t>Cane, James H.;Michener, Charles D.</t>
  </si>
  <si>
    <t>University of Kansas</t>
  </si>
  <si>
    <t>Cane J.</t>
  </si>
  <si>
    <t>Chemistry and function of mandibular gland products of bees of the genus Exoneura (Hymenoptera, Anthophoridae)</t>
  </si>
  <si>
    <t>10.1007/BF00988418</t>
  </si>
  <si>
    <t>2-s2.0-0010319942</t>
  </si>
  <si>
    <t>['transmitted signal', 'sinusoidal function', 'simulation model', 'signal scattered', 'scattered signal', 'radar compares', 'phase changes', 'object spacing', 'matched antenna', 'less sensitive', 'doppler radar', 'detection characteristics', 'cardiac cycle', 'blood vessels', 'biological tissue', 'biological impedance', 'also performed', '5 ghz', '3 ghz']</t>
  </si>
  <si>
    <t>A microwave Doppler radar for continuously monitoring time-varying biological impedances is described. The radar compares the phase of the signal scattered from a region of biological tissue with that of the transmitted signal. The phase changes of the scattered signal are an indication of the net impedance changes within the test region due to various physiological processes, e.g. the displacements of blood vessels during the cardiac cycle. A Doppler radar, equipped with a matched antenna, was tested with a simulation model and its detection characteristics was found to be a sinusoidal function of the antenna-object spacing. Tests with helathy human subjects were also performed at 3 GHz and 10.5 GHz. It was found that the 3 GHz Doppler radar has significantly greater penetration in tissues but is less sensitive to changes of the biological impedance than the 10.5 GHz system.</t>
  </si>
  <si>
    <t>983-990</t>
  </si>
  <si>
    <t>Physics in Medicine and Biology</t>
  </si>
  <si>
    <t>60028897;60028897;60028897</t>
  </si>
  <si>
    <t>6603879078;56803516700;57198626640</t>
  </si>
  <si>
    <t>Thansandote, A.;Stuchly, S. S.;Smith, A. M.</t>
  </si>
  <si>
    <t>Monitoring variations of biological impedances using microwave Doppler radar</t>
  </si>
  <si>
    <t>10.1088/0031-9155/28/8/010</t>
  </si>
  <si>
    <t>2-s2.0-0020550813</t>
  </si>
  <si>
    <t>['unlike dopamine', 'specific regions', 'significant effect', 'potentials evoked', 'octopamine reduce', 'octopamine enhances', 'neural activity', 'mushroom bodies', 'light stimuli', 'evoked potentials', 'effects measured', 'earlier studies', 'behavioral responses', 'bee reported', 'bee brain', 'applied iontophoretically', 'animals however']</t>
  </si>
  <si>
    <t>1. Dopamine and octopamine are applied iontophoretically to specific regions of the bee brain and the effects measured on evoked potentials recorded in the Œ±-lobe of the mushroom bodies. 2. Octopamine enhances the size of potentials evoked by light stimuli. Dopamine has no significant effect on light-evoked potentials. 3. Both dopamine and octopamine reduce the size of potentials evoked by stimulation of the antennae with air or scent. In some animals however, octopamine, unlike dopamine, enhances olfactory responses. 4. Differences between the effects of dopamine and octopamine on neural activity in the mushroom bodies of the bee brain may be related to the differences between the effects of these amines on behavioral responses in the bee reported in earlier studies (Mercer and Menzel 1982). ¬© 1983 Springer-Verlag.</t>
  </si>
  <si>
    <t>469-476</t>
  </si>
  <si>
    <t>60030718;60030718</t>
  </si>
  <si>
    <t>7102052083;7006073714</t>
  </si>
  <si>
    <t>Mercer, A. R.;Erber, J.</t>
  </si>
  <si>
    <t>Berlin</t>
  </si>
  <si>
    <t>Freie Universit√§t Berlin</t>
  </si>
  <si>
    <t>Mercer A.</t>
  </si>
  <si>
    <t>The effects of amines on evoked potentials recorded in the mushroom bodies of the bee brain</t>
  </si>
  <si>
    <t>10.1007/BF00605463</t>
  </si>
  <si>
    <t>2-s2.0-0020553190</t>
  </si>
  <si>
    <t>['vlbi ),', 'three types', 'signals propagating', 'routine use', 'rotation vector', 'radio interferometry', 'physical causes', 'optical retroreflectors', 'new techniques', 'national programmes', 'llr ).', 'latter technique', 'laser ranging', 'kilometres apart', 'international union', 'international cooperation', 'former technique', 'earth rotation', 'different techniques', 'december 1981', 'day period', 'data suitable', 'compare results', 'baseline interferometry', 'arrival time', 'accurate intercomparisons', 'accuracy afforded']</t>
  </si>
  <si>
    <t>New techniques are being developed to improve the spatial and temporal resolutions achievable in measurements of the rotation vector of the Earth. Such improvements are expected to expose fine details of this rotation and to aid in understanding their physical causes. Although not yet fully developed, two of these techniques are now in routine use: radio interferometry and laser ranging. In the former technique, antennas up to thousands of kilometres apart are used to observe compact extragalactic radio sources. The differences in arrival time of the signals propagating from each source to the antennas, measured by the method of very-long-baseline interferometry (VLBI), are sensitive to variations in each of the components of the Earth's rotation vector. In the latter technique, lasers are used to measure the distance (range) to artificial Earth satellites (satellite laser ranging, SLR) and to optical retroreflectors on the Moon (lunar laser ranging, LLR). To assess the accuracy being achieved in the measurement of Earth rotation it is useful to compare results obtained with these different techniques. National programmes and international cooperation, exemplified by the International Astronomical Union/International Union of Geodesy and Geophysics project MERIT1,2, are encouraging the collection of data suitable for accurate intercomparisons. Here we compare results for a 400-day period from late September 1980 to December 1981, for which data from all three types of measurements are available. We also compare corresponding results from classical astrometric observations which demonstrate the degree of improvement in accuracy afforded by the new techniques. ¬© 1983 Nature Publishing Group.</t>
  </si>
  <si>
    <t>509-511</t>
  </si>
  <si>
    <t>Nature</t>
  </si>
  <si>
    <t>60027716;60027716;60013372;60013372;60013372;60022195;60022195-60016983;60022195;60022195-60020680</t>
  </si>
  <si>
    <t>7402818965;7202494122;7003666393;7006936301;35516489800;7404499894;7201699820;7402394719;7202507088</t>
  </si>
  <si>
    <t>Robertson, D. S.;Carter, W. E.;Eanes, R. J.;Schutz, B. E.;Tapley, B. D.;King, R. W.;Langley, R. B.;Morgan, P. J.;Shapiro, I. I.</t>
  </si>
  <si>
    <t>United States;United States;United States;Canada;United States</t>
  </si>
  <si>
    <t>Washington, D.C.;Cambridge;Cambridge;Fredericton;Austin</t>
  </si>
  <si>
    <t>National Oceanic and Atmospheric Administration;Massachusetts Institute of Technology;Harvard-Smithsonian Center for Astrophysics;University of New Brunswick;The University of Texas at Austin</t>
  </si>
  <si>
    <t>60027716;60022195;60020680;60016983;60013372</t>
  </si>
  <si>
    <t>Robertson D.</t>
  </si>
  <si>
    <t>Comparison of Earth rotation as inferred from radio interferometric, laser ranging and astrometric observations</t>
  </si>
  <si>
    <t>10.1038/302509a0</t>
  </si>
  <si>
    <t>2-s2.0-0020674239</t>
  </si>
  <si>
    <t>['two probes', 'two disks', 'thin substrate', 'solved approximately', 'rigorously derived', 'radiation pattern', 'input impedances', 'impedance parameters', 'disk structure', 'disk antennas', 'disk antenna', 'current distribution', 'better resonator', 'better radiator']</t>
  </si>
  <si>
    <t>The current distribution on a two-coupled circular microstrip disk antenna fed by two probes is rigorously derived using the Vector Hankel Transform. It is shown that the current on the two disks is governed by a set of vector integral equations. These equations are solved approximately for the amplitudes of the currents on the two disks, in the limit of thin substrate. Expressions for the self, mutual, and input impedances are then rigorously derived. It is shown that excitation of the odd symmetric TM11 mode can cause the two-disk antennas to act as a better radiator than the single-disk antenna, while the odd antisymmetric modes can cause the two-coupled disk structures to act as a better resonator than the single-disk structure. Expressions for the radiation pattern are then derived, and the impedance parameters and the radiation patterns plotted.</t>
  </si>
  <si>
    <t>493-506</t>
  </si>
  <si>
    <t>Journal of Applied Physics</t>
  </si>
  <si>
    <t>60022195;60022195;60022195</t>
  </si>
  <si>
    <t>7004110635;7403094093;7202290923</t>
  </si>
  <si>
    <t>Habashy, T. M.;Ali, S. M.;Kong, J. A.</t>
  </si>
  <si>
    <t>Impedance parameters and radiation pattern of two coupled circular microstrip disk antennas</t>
  </si>
  <si>
    <t>10.1063/1.332101</t>
  </si>
  <si>
    <t>2-s2.0-0020708071</t>
  </si>
  <si>
    <t>['system control', 'synchronous motors', 'relatively simple', 'polarisation positioners', 'four opto', 'efficiently carried', 'control azimuth', 'automatic control']</t>
  </si>
  <si>
    <t>Describes the automatic control of antenna radiation pattern measurements by an ITT 2020 microcomputer. The system uses stepper motors rather than synchronous motors to control azimuth, elevation and polarisation positioners, eliminating the need for position angle transducers. Position angle information for reference and cross checking purposes is provided by up to four opto-switches on each positioner. System control and monitoring is efficiently carried out using one VIA on the computer. The system is relatively simple and very versatile.</t>
  </si>
  <si>
    <t>394-396</t>
  </si>
  <si>
    <t>Journal of Physics E: Scientific Instruments</t>
  </si>
  <si>
    <t>7006590477;56020461500</t>
  </si>
  <si>
    <t>Papaioannou, D.;Langley, R. J.</t>
  </si>
  <si>
    <t>Papaioannou D.</t>
  </si>
  <si>
    <t>A microcomputer based control system for antenna measurements</t>
  </si>
  <si>
    <t>10.1088/0022-3735/16/5/008</t>
  </si>
  <si>
    <t>2-s2.0-0020752357</t>
  </si>
  <si>
    <t>['various amounts', 'usually less', 'integral form', 'general case', 'feed spillover', 'classical dish', 'aperture functions', 'antenna gain', 'angular distribution', 'aberration effects']</t>
  </si>
  <si>
    <t>For the microwave dish antennas, the antenna gain when transmitting can be different, and is usually less, than that of the same antenna when receiving. The theory of the far field transmit and receive antenna gains is developed for the classical dish as well as for the general case. Aperture functions are derived for use in the integral form of the Fraunhofer diffraction equation. Both the aberration effects of the dish and the angular distribution of the feed are taken into account. Calculations of transmit and receive antenna patterns and gains are compared for the f/1 classical dish for various amounts of feed spillover.</t>
  </si>
  <si>
    <t>3528-3533</t>
  </si>
  <si>
    <t>Richter, John L.</t>
  </si>
  <si>
    <t>Los Alamos</t>
  </si>
  <si>
    <t>Los Alamos National Laboratory</t>
  </si>
  <si>
    <t>Richter J.</t>
  </si>
  <si>
    <t>Transmit versus receive gains for microwave dish antennas</t>
  </si>
  <si>
    <t>10.1063/1.332420</t>
  </si>
  <si>
    <t>2-s2.0-0020764150</t>
  </si>
  <si>
    <t>['thermal conductivity', 'specific heat', 'range 0', 'measured properties', 'magnetic anomalies', 'critical temperature']</t>
  </si>
  <si>
    <t>The authors report measurements of the thermal conductivity, specific heat, and critical temperature of the aluminium alloy 5056 in the range 0.05 to 1.3K. The absence of magnetic anomalies in the specific heat and the rather high thermal conductivity in the superconducting state would allow reasonably fast cool-down below 0.1K of multiton gravitational wave antennae made of this material. On the basis of the measured properties, the desired refrigerator characteristics are discussed.</t>
  </si>
  <si>
    <t>695-699</t>
  </si>
  <si>
    <t>60032350;</t>
  </si>
  <si>
    <t>7005568912;56808178200</t>
  </si>
  <si>
    <t>Coccia, E.;Niinikoski, T. O.</t>
  </si>
  <si>
    <t>Sapienza Universit√† di Roma</t>
  </si>
  <si>
    <t>Coccia E.</t>
  </si>
  <si>
    <t>Thermal and superconducting properties of an aluminium alloy for gravitational wave antennae below 1K</t>
  </si>
  <si>
    <t>10.1088/0022-3735/16/7/030</t>
  </si>
  <si>
    <t>2-s2.0-0020780395</t>
  </si>
  <si>
    <t>['typical double', 'significant factor', 'shield parameters', 'shield design', 'shield antennas', 'potential importance', 'ohmically dissipative', 'ohmic phenomena', 'major problem', 'magnetosonic polarization', 'magnetic shielding', 'fusion experiments', 'foregoing effects', 'electrostatic shields', 'coupling efficiency', 'commonly employed', 'array shield', 'antenna width', 'also shown', 'also found', 'allied change']</t>
  </si>
  <si>
    <t>The electrostatic shields now commonly employed to shield antennas in the heating of plasma in the ion cyclotron frequency range are shown to reduce the specific radiation resistance of a long narrow antenna in the presence of plasma by a significant factor (on the order of 2/3 for a typical double-array shield) due to the effect of magnetic shielding of the magnetosonic polarization. An allied change in antenna specific inductance is also found. These effects are shown to diminish with increase in antenna width and should pose no major problem for the wide antennas projected for use in fusion experiments. In addition to the foregoing effects which are not ohmically dissipative in essence, electrostatic shields are also shown to introduce surprisingly high ohmic loss, this being of potential importance in shield design. The dependences of the above magnetic and ohmic phenomena on shield parameters are given and a shield design minimizing them is presented. Their repercussion on coupling efficiency and on the excitation voltage necessary for a given power flux from the antenna is discussed.</t>
  </si>
  <si>
    <t>3810-3817</t>
  </si>
  <si>
    <t>Faulconer, D. W.</t>
  </si>
  <si>
    <t>Brussels</t>
  </si>
  <si>
    <t>Koninklijke Militaire School - Ecole Royale Militaire</t>
  </si>
  <si>
    <t>Faulconer D.W.</t>
  </si>
  <si>
    <t>Adverse shielding of the heating field and high ohmic loss introduced by electrostatic shields employed in radio-frequency heating of plasma</t>
  </si>
  <si>
    <t>10.1063/1.332605</t>
  </si>
  <si>
    <t>2-s2.0-0020780605</t>
  </si>
  <si>
    <t>['theodolite observations', 'terrestrial camera', 'south africa', 'parabolic surface', 'author dept']</t>
  </si>
  <si>
    <t>A terrestrial camera is used to determine the coordinates of points on a parabolic surface. Comparison is made with the forward intersection results previously determined by theodolite observations. -Author Dept. of Surveying &amp; Mapping, Univ. of Natal, South Africa.</t>
  </si>
  <si>
    <t>315-320</t>
  </si>
  <si>
    <t>South African Journal of Photogrammetry, Remote Sensing &amp; Cartography</t>
  </si>
  <si>
    <t>Hepburn, R. M.</t>
  </si>
  <si>
    <t>Hepburn R.</t>
  </si>
  <si>
    <t>Audit profile check on a tropospheric scatter antenna.</t>
  </si>
  <si>
    <t>2-s2.0-0020870860</t>
  </si>
  <si>
    <t>['wide variety', 'vertical patterns', 'theoretical patterns', 'strength meter', 'site measurements', 'site measurement', 'results obtained', 'predicted manner', 'paper describes', 'electromagnetic field', 'directional properties', 'conclusive demonstration', 'best solution', 'amplitude patterns']</t>
  </si>
  <si>
    <t>On-site measurement of directional properties of an antenna is the only means of a conclusive demonstration that the performance of the antenna is as desired and that it interacts with its environment in a predicted manner. A wide variety of techniques has been employed for the on-site measurements of the amplitude patterns of an antenna, but the best solution is to use a helicopter to carry the field-strength meter or the source of the electromagnetic field. This paper describes the use of a helicopter for measuring antenna radiation patterns in Poland. The results obtained from measurements in all the bands from LF to UHF are illustrated with reproductions of horizontal and vertical patterns, which are compared with theoretical patterns.</t>
  </si>
  <si>
    <t>Archiwum Elektrotechniki</t>
  </si>
  <si>
    <t>60019987;60019987</t>
  </si>
  <si>
    <t>7005578213;6506182172</t>
  </si>
  <si>
    <t>Bem, Daniel Jozef;Zernicki, Edward</t>
  </si>
  <si>
    <t>Wroclaw</t>
  </si>
  <si>
    <t>Wroc≈Çaw University of Science and Technology</t>
  </si>
  <si>
    <t>Bem D.</t>
  </si>
  <si>
    <t>MEASUREMENTS OF ANTENNA RADIATION PATTERNS AND POWER GAIN BY MEANS OF A HELICOPTER.</t>
  </si>
  <si>
    <t>2-s2.0-0020871271</t>
  </si>
  <si>
    <t>['tm010 mode', 'tesla coil', 'strongly affected', 'proper placement', 'preferable approach', 'permits measurement', 'penetration depth', 'microwave generator', 'input power', 'induced plasma', 'impedance matching', 'elemental analysis', 'cavity well', 'burning plasma', 'argon plasma', 'approach precludes', 'also examined', 'add complexity', '15 w']</t>
  </si>
  <si>
    <t>The cylindrical resonant cavity operating in the TM010 mode is increasingly being used to generate a microwave-induced plasma (MIP) for elemental analysis by atomic emission spectrometry. In this study, the concepts of tuning and impedance matching for the Beenakker type TM010 resonant cavity are discussed. Proper placement and penetration depth of an antenna coupling probe appear to be a preferable approach to matching the TM010 microwave resonant cavity to a microwave generator. This approach precludes the use of external matching devices that add complexity to the system. In our system, a long probe penetrating 92% into the cavity well and positioned 14 mm from the center of the cavity allowed operation of a critically coupled argon plasma at 13-15 W as recorded from the generator's calibrated power meter. Additionally, a detector is described that permits measurement of the electric field inside the cavity. The electric field inside the cavity decreases substantially upon ignition of a burning plasma. Aided with a tesla coil, a minimum electric field of 150 V cm-1 allows ignition of an argon plasma. After ignition, the electric field typically reduces to 30 V cm-1 and is not strongly affected by increases in input power. The effect of impedance matching and the electric field caused by increasing the input power to the cavity is also examined.</t>
  </si>
  <si>
    <t>1667-1673</t>
  </si>
  <si>
    <t>Review of Scientific Instruments</t>
  </si>
  <si>
    <t>60004923;60004923;60004923</t>
  </si>
  <si>
    <t>6701911468;57205397335;7005395124</t>
  </si>
  <si>
    <t>Matus, L. G.;Boss, C. B.;Riddle, A. N.</t>
  </si>
  <si>
    <t>Raleigh</t>
  </si>
  <si>
    <t>NC State University</t>
  </si>
  <si>
    <t>Matus L.</t>
  </si>
  <si>
    <t>Tuning and matching the TM&lt;inf&gt;010&lt;/inf&gt; cavity</t>
  </si>
  <si>
    <t>10.1063/1.1137307</t>
  </si>
  <si>
    <t>2-s2.0-0020883355</t>
  </si>
  <si>
    <t>['service areas', 'one third', 'one half', 'little degradation', 'floor area', 'first design', 'equipment housing', 'electrical performance', 'cost reductions', 'circuit simplifications', '490 kg']</t>
  </si>
  <si>
    <t>With the increase of service areas and users of the land mobile radiotelephone system developed and provided by NTT since 1979, size and cost reductions are demanded on each subsystem and equipment. An antenna coupling equipment adopted in the system was about 490 kg in weight at the first design. Designs with newly developed components and circuit simplifications have reduced its weight to about one third and the floor area of the equipment housing to one half, with little degradation on electrical performance.</t>
  </si>
  <si>
    <t>Denshi Tokyo</t>
  </si>
  <si>
    <t>100410637;100410637;100410637</t>
  </si>
  <si>
    <t>7006261160;7005343373;6508131678</t>
  </si>
  <si>
    <t>Kurono, Masakazu;Nakahira, Masakazu;Nunotani, Tsuruo</t>
  </si>
  <si>
    <t>SPC Electronics Corp</t>
  </si>
  <si>
    <t>Kurono M.</t>
  </si>
  <si>
    <t>800 MHz-BAND ANTENNA COUPLING EQUIPMENT FOR THE MOBILE TELEPHONE BASE STATION.</t>
  </si>
  <si>
    <t>2-s2.0-0020989711</t>
  </si>
  <si>
    <t>['reflected wave', 'experimental results', 'easily obtained', 'coherent component', 'antenna equipment', '7 refs']</t>
  </si>
  <si>
    <t>A fading suppression method and antenna equipment have been proposed, and the effects have been confirmed by experiments. The fading suppression antenna can be easily obtained by adding some devices to the ordinary SBF antenna. From the experimental results, it is clear that the fading has been suppressed by eliminating a coherent component of a reflected wave. 7 refs.</t>
  </si>
  <si>
    <t>48-51</t>
  </si>
  <si>
    <t>FADING SUPPRESSION TECHNIQUE IN MARITIME SATELLITE COMMUNICATIONS.</t>
  </si>
  <si>
    <t>2-s2.0-0020990778</t>
  </si>
  <si>
    <t>['ses models', 'previous model', 'deck equipment', 'also reduced']</t>
  </si>
  <si>
    <t>Since Maritime Satellite communication was introduced various manufacturers produced 20 different Ship Earth Stations (SES) models. However, because almost all SES models were equipped with 1. 2 m or 1. 3 m diam parabola antenna, the Above Deck Equipment was too large and heavy for installation aboard small vessels. A new efficient 90 cm dia. dish antenna using 1. 3 db low noise amplifier was developed in Japan which satisfies the Effective Isotropic Radiated Power (EIRP) and general technical requirements. As a result, we have succeeded in reducing the Above Deck Equipment to a 1. 38 m high and a 1. 35 m across, weighing 195 kg. Its volume was less than 30% of the previous model. The Below Deck Equipment was also reduced to 20% in volume, and facilitated installing aboard smaller vessels. This new INMARSAT SES TM1167C was type-approved by INMARSAT.</t>
  </si>
  <si>
    <t>44-47</t>
  </si>
  <si>
    <t>60018735;60018735</t>
  </si>
  <si>
    <t>55727048000;6701857617</t>
  </si>
  <si>
    <t>Kobayashi, Kenzo;Omiya, Yoshitaka</t>
  </si>
  <si>
    <t>Toshiba Corporation</t>
  </si>
  <si>
    <t>Kobayashi K.</t>
  </si>
  <si>
    <t>NEW MINIATURE INMARSAT SHIP EARTH STATION.</t>
  </si>
  <si>
    <t>2-s2.0-0020990779</t>
  </si>
  <si>
    <t>['varied approaches', 'undoubtedly play', 'tiny insect', 'sole survival', 'small selection', 'small part', 'scientific disciplines', 'problem exists', 'pest control', 'major role', 'long dead', 'life shall', 'last verge', 'isozyme techniques', 'isozyme analysis', 'host plants', 'great deal', 'genetic analyses', 'general ecology', 'eternal snows', 'earth --', 'dialog must', 'cities shall', "bug '.", 'brief review', 'biological methods', 'basic sciences', 'basic research', 'applied field', 'animal life', '1949 ]:']</t>
  </si>
  <si>
    <t>Isozyme techniques have proven particularly useful in the past in the field of biological insect control. In this brief review I have tried to give a small selection of the varied approaches that have been used. In the future, isozyme analysis will undoubtedly play a major role. But genetic analyses, as exemplified by the use of isozymes, form but a small part of the knowledge we must have if biological control programs are to be successful. In a pest management program where one is using both chemical and biological methods it is necessary to know a great deal about the biology of the pests, their parasites, predators, and host plants or animals, together with a knowledge of the general ecology of the area where the problem exists. Too often, major control programs have been started with pitifully inadequate basic knowledge of the insect pest concerned, dooming such projects to a series of frantic and generally makeshift attempts to redeem these inadequacies. We are starting to see a much greater emphasis on interrelationships between scientific disciplines, more basic research being conducted, and a resurgence of interaction between those people who are in the applied field and those in the basic sciences. This dialog must be continued. In closing, I want to emphasize again that in pest control we are involved in the management of a coexistence with insects and I think it appropriate to end with the thoughts of W.J. Holland [1949]: when all cities shall have been long dead and crumbled into dust, and all life shall be on the very last verge of extinction on this globe; then on a bit of lichen, growing on the bald rocks beside the eternal snows of Panama, shall be seated a tiny insect, preening its antenna in the glow of the worn-out sun, representing the sole survival of animal life on this our earth--a melancholy 'bug'.</t>
  </si>
  <si>
    <t>197-211</t>
  </si>
  <si>
    <t>Isozymes</t>
  </si>
  <si>
    <t>Kitto, G. B.</t>
  </si>
  <si>
    <t>Kitto G.</t>
  </si>
  <si>
    <t>Biological control of insect pests.</t>
  </si>
  <si>
    <t>2-s2.0-0021011072</t>
  </si>
  <si>
    <t>['two types', 'two instruments', 'radio frequency', 'one constructed', 'hyperthermia treatment', 'great promise', 'endotract antenna', 'controlled temperatures', 'clinical application']</t>
  </si>
  <si>
    <t>As hyperthermia treatment for deeply located malignant lesions is most difficult, two types of endotract antenna were devised, one constructed for radio frequency and the other for administration of microwave to tumors of the esophagus and colorectum. Well-controlled temperatures can be applied to the narrowed pyloric canal of dogs with these two instruments, which appear to have great promise for clinical application.</t>
  </si>
  <si>
    <t>622-624</t>
  </si>
  <si>
    <t>0016450X</t>
  </si>
  <si>
    <t>Gann, The Japanese Journal of Cancer Research</t>
  </si>
  <si>
    <t>60004091;60004091;60004091;;</t>
  </si>
  <si>
    <t>57196809411;24500187600;7101863001;55517768700;57206473021</t>
  </si>
  <si>
    <t>Sugimachi, K.;Inokuchi, K.;Kai, H.;Sogawa, A.;Kawai, Y.</t>
  </si>
  <si>
    <t>Fukuoka</t>
  </si>
  <si>
    <t>Kyushu University, Faculty of Medical Sciences</t>
  </si>
  <si>
    <t>Sugimachi K.</t>
  </si>
  <si>
    <t>Endotract antenna for application of hyperthermia to malignant lesions</t>
  </si>
  <si>
    <t>2-s2.0-0021081023</t>
  </si>
  <si>
    <t>['wing beat', 'wind reaching', 'wind modulation', 'wind measurements', 'tethered flight', 'stimulus modulation', 'step changes', 'state response', 'speed modulated', 'sensitive hairs', 'relative coordination', 'preferred phase', 'peak value', 'new steady', 'modulation frequency', 'mechanical components', 'locusta shows', 'locked phase', 'immediate reaction', 'flight pattern', 'flight oscillator', 'flight direction', 'dynamic response', 'cooperative system', 'central neuronal', 'antennae removed', 'already blowing', '8 ).', '7 ).', '500 frames', '5 ¬∞', '3 ).', '2 ).', '12 ).', '11 ).', '1 ).']</t>
  </si>
  <si>
    <t>1. Using high speed film analysis (500 frames/s) to investigate the head nodding movement during tethered flight in Locusta shows that the position of the wind-sensitive head hairs with respect to the flight direction is altered by 5.5¬∞ in the rhythm of the wing beat (Fig. 2). 2. Wind measurements in the region of the hair fields demonstrate that the wind reaching the hairs during flight is modulated by the animal's own wing beat. The modulation has a peak-to-peak value of 0.6-1.0 m/s (Fig. 3). 3. An airstream with its speed modulated by these values was used to stimulate the wind-sensitive hairs to analyse the steady-state response during tethered flight in animals with the antennae removed (Fig. 1). In these entrainment experiments absolute coordination (a relation of locked phase) between the wind modulation and the flight oscillator is found in a range of about 3 Hz around the intrinsic flight frequency. At frequencies both above and below this range, relative coordination (a relation of preferred phase) is obtained (Figs. 4-7). 4. The dynamic response to step changes in the modulation frequency was tested. There is an immediate reaction, but it takes several wing beats to reach the new steady-state (Fig. 8). 5. When flight was elicited while a modulated wind stream was already blowing, the first wing beat occurred in a preferred phase with respect to the stimulus modulation (Figs. 10 and 11). 6. To understand the generation of the flight pattern, the whole flight oscillator must be considered as a cooperative system of central neuronal, sensory (proprioceptive) and mechanical components (Fig. 12). ¬© 1983 Springer-Verlag.</t>
  </si>
  <si>
    <t>427-438</t>
  </si>
  <si>
    <t>60024025;60024025;60024025</t>
  </si>
  <si>
    <t>16476865400;6602085573;7006366668</t>
  </si>
  <si>
    <t>Horsmann, Ulrich;Heinzel, Hans Georg;Wendler, Gernot</t>
  </si>
  <si>
    <t>Koln</t>
  </si>
  <si>
    <t>University of Cologne</t>
  </si>
  <si>
    <t>Horsmann U.</t>
  </si>
  <si>
    <t>The phasic influence of self-generated air current modulations on the locust flight motor</t>
  </si>
  <si>
    <t>10.1007/BF00609569</t>
  </si>
  <si>
    <t>2-s2.0-0141737779</t>
  </si>
  <si>
    <t>['theoretical expectations', 'small antennae', 'plasma contained', 'magnetic probes', 'magnetic field', 'made downstream', 'experimental results', 'acoustic wave']</t>
  </si>
  <si>
    <t>Experimental results are presented on localized MHD disturbances in a plasma contained in a uniform magnetic field. The disturbances were generated by small antennae and observations were made downstream with magnetic probes to determine the extent to which the wave packet would be guided by the magnetic field. The acoustic wave was found to be strongly localized along field lines, the shear AlfvCn wave was less strongly localized and the fast Alfven wave was not localized, in agreement with theoretical expectations.</t>
  </si>
  <si>
    <t>1377-1387</t>
  </si>
  <si>
    <t>Cross, R. C.</t>
  </si>
  <si>
    <t>Sydney</t>
  </si>
  <si>
    <t>The University of Sydney</t>
  </si>
  <si>
    <t>Cross R.</t>
  </si>
  <si>
    <t>Experimental observations of localized Alfven and ion acoustic waves in a plasma</t>
  </si>
  <si>
    <t>10.1088/0032-1028/25/12/306</t>
  </si>
  <si>
    <t>2-s2.0-0442319796</t>
  </si>
  <si>
    <t>['widely satisfied', 'typical parameters', 'several gauss', 'resonance surface', 'radial propagation', 'r )&gt;', 'propagation region', 'plasma profiles', 'parameter dependence', 'often causes', 'mod va', 'mod r', 'mod k', 'magnetic shear', 'kinetic equations', 'important roles', 'frequency ).', 'efficient heating', 'deposition profile', 'cylindrical tokamak', 'condition k', 'bulk heating', 'always correspond', 'alfven velocity']</t>
  </si>
  <si>
    <t>The energy deposition profile of the shear Alfven wave in a cylindrical Tokamak is obtained. The radial propagation and the absorption are solved by use of the kinetic equations for collisionless inhomogeneous plasmas. The absorption is mainly by electron Landau damping, and occurs not only at the resonance surface, k/sub ///(r)vA(r)= omega , but also in the propagation region, mod r/sub ///(r) mod VA(r)&gt;or approximately= omega &lt;or approximately= mod k/sub ///(r) mod ve(r) (V A:Alfven velocity, ve:electron thermal velocity, k/sub ///:parallel wave number and omega :frequency). The parameter dependence is studied and the magnetic shear and plasma profiles have important roles for the deposition profile. Efficient heating is possible if the condition k/sub ///VA approximately= omega is widely satisfied in the propagation region. The bulk heating does not always correspond to good antenna coupling, which often causes an unfavourable edge heating. For some typical parameters the energy input W approximately 1 W cm-3 is expected when the wave amplitude Br is several gauss.</t>
  </si>
  <si>
    <t>1037-1049</t>
  </si>
  <si>
    <t>60015658;</t>
  </si>
  <si>
    <t>13306390500;35352798500</t>
  </si>
  <si>
    <t>Itoh, K.;Itoh, S. I.</t>
  </si>
  <si>
    <t>Kashiwa</t>
  </si>
  <si>
    <t>Japan Atomic Energy Agency</t>
  </si>
  <si>
    <t>Itoh K.</t>
  </si>
  <si>
    <t>Energy deposition profile of shear Alfven wave heating</t>
  </si>
  <si>
    <t>10.1088/0032-1028/25/9/007</t>
  </si>
  <si>
    <t>2-s2.0-12744275708</t>
  </si>
  <si>
    <t>['v characteristic', 'low frequency', 'detected voltage']</t>
  </si>
  <si>
    <t>Antenna-coupled point contact n-Ge/tungsten Schottky diodes have been used to detect CO2 laser radiation, and a very clear antenna pattern is obtained for an electric field polarized in the plane of incidence. The polarity of the detected voltage of the diode at low frequency and CO2 laser frequency regions indicates that the nonlinear I-V characteristic of the diode at low frequency persists up to the CO2 laser frequency.</t>
  </si>
  <si>
    <t>268-269</t>
  </si>
  <si>
    <t>Applied Physics Letters</t>
  </si>
  <si>
    <t>60004176;60004176;60004176</t>
  </si>
  <si>
    <t>7403247020;35476116400;7004555963</t>
  </si>
  <si>
    <t>Inoue, N.;Harakawa, K.;Yasuoka, Y.</t>
  </si>
  <si>
    <t>National Defense Academy of Japan</t>
  </si>
  <si>
    <t>Inoue N.</t>
  </si>
  <si>
    <t>Characteristics of Schottky diodes at 10.6 Œºm</t>
  </si>
  <si>
    <t>10.1063/1.93910</t>
  </si>
  <si>
    <t>2-s2.0-3343002055</t>
  </si>
  <si>
    <t>Carnegie Institution of Washington</t>
  </si>
  <si>
    <t>10.1007/BF00054145</t>
  </si>
  <si>
    <t>2-s2.0-34250148521</t>
  </si>
  <si>
    <t>['wave velocities', 'wave propagation', 'resonant electrons', 'potential change', 'five times', 'away electrons']</t>
  </si>
  <si>
    <t>Radio frequency current generation is studied in a toroidal plasma without slide-away electrons. The wave velocities are chosen to be three or five times as large as the electron thermal velocity. The wave-particle resonant interaction accelerates electrons in the direction of wave propagation. The current generation due to the potential change by r.f. dominates over that due to the resonant electrons.</t>
  </si>
  <si>
    <t>1469-1482</t>
  </si>
  <si>
    <t>60000264-60033317;60000264;60000264</t>
  </si>
  <si>
    <t>22998329600;36057196100;22999408900</t>
  </si>
  <si>
    <t>Kojima, Takuo;Okuda, Takayoshi;Taka, Shuichi</t>
  </si>
  <si>
    <t>United Kingdom;Japan</t>
  </si>
  <si>
    <t>Abingdon;Nagoya</t>
  </si>
  <si>
    <t>Culham Centre for Fusion Energy;Nagoya University</t>
  </si>
  <si>
    <t>60033317;60000264</t>
  </si>
  <si>
    <t>Kojima T.</t>
  </si>
  <si>
    <t>Radio frequency current generation by helical slow-wave antennas in a torus</t>
  </si>
  <si>
    <t>10.1088/0032-1028/25/12/313</t>
  </si>
  <si>
    <t>2-s2.0-36149040339</t>
  </si>
  <si>
    <t>2-s2.0-36149042668</t>
  </si>
  <si>
    <t>['wavenumber vector', 'wavenumber spectrum', 'wave antenna', 'spatial distribution', 'separately observed', 'linear plasma', 'line slow', 'incident microwave', 'electrostatic probe']</t>
  </si>
  <si>
    <t>Lower hybrid waves externally excited by a meander-line slow-wave antenna were observed by scattering of 70 GHz microwaves. The spatial distribution and wavenumber spectrum of lower hybrid waves travelling in a linear plasma were obtained. The up-shifted and down-shifted scattering signals from the incident microwave were separately observed by a phase locked heterodyne receiver. These observations make clear not only the magnitude but also the direction of the wavenumber vector. These are consistent with the auxiliary wave measurements using an electrostatic probe.</t>
  </si>
  <si>
    <t>875-882</t>
  </si>
  <si>
    <t>60000264;60000264;60000264;60000264</t>
  </si>
  <si>
    <t>7007048412;36983527300;7102111483;36057196100</t>
  </si>
  <si>
    <t>Uesugi, Y.;Itoh, T.;Takamura, S.;Okuda, T.</t>
  </si>
  <si>
    <t>Uesugi Y.</t>
  </si>
  <si>
    <t>Heterodyne detection of lower hybrid waves in a plasma by microwave scattering</t>
  </si>
  <si>
    <t>10.1088/0032-1028/25/8/006</t>
  </si>
  <si>
    <t>2-s2.0-36149045442</t>
  </si>
  <si>
    <t>['whose spectrum', 'pump gives', 'power spectrum', 'parametric instability', 'monochromatic pumps', 'monochromatic pump', 'lower threshold', 'frequency separation', 'amplitude modulation', 'adjacent components', 'acoustic wave']</t>
  </si>
  <si>
    <t>A parametric instability has been observed in a cold low density plasma to be excited by the unidirectional lower hybrid wave driven by a multiple-ring slow wave antenna. The resonant decay waves are identified to be an ion-acoustic wave and a lower hybrid wave. The effect of non-monochromatic pumps on the threshold of the parametric instability (PI) is investigated. When the power spectrum of the finite bandwidth pump produced by amplitude modulation is narrower than a resonance width Œ≥o of the PI, this pump gives a lower threshold than that of the monochromatic pump. The multi-pump, whose spectrum is composed of multiple discrete components with a large (compared width Œ≥o) frequency separation between adjacent components, increases its threshold as the increase of the number of components.</t>
  </si>
  <si>
    <t>1441-1460</t>
  </si>
  <si>
    <t>60016074-60000264;60016074;60016074;60016074</t>
  </si>
  <si>
    <t>22996962800;22997069100;22999180200;22999610200</t>
  </si>
  <si>
    <t xml:space="preserve">Atsumoto, Kazunori M.;Hiroshi Sato, ;Shuichi Takamura, ;Takayoshi Okuda, </t>
  </si>
  <si>
    <t>Yamagata;Nagoya</t>
  </si>
  <si>
    <t>Yamagata University;Nagoya University</t>
  </si>
  <si>
    <t>60016074;60000264</t>
  </si>
  <si>
    <t>Atsumoto K.</t>
  </si>
  <si>
    <t>Observation of parametric instability in lower hybrid waves and its control by non-monochromatic pumps</t>
  </si>
  <si>
    <t>10.1088/0032-1028/25/12/311</t>
  </si>
  <si>
    <t>2-s2.0-36149046176</t>
  </si>
  <si>
    <t>2-s2.0-36149047140</t>
  </si>
  <si>
    <t>['substantial part', 'strongly modified', 'strong interaction', 'spitzer resistivity', 'sensitive function', 'power input', 'power available', 'plasma equilibrium', 'perpendicular dimension', 'neutral collisions', 'mhd waves', 'mantle systems', 'magnitude higher', 'magnetoacoustic waves', 'immediate vicinity', 'fusion device', 'cold layers', 'cold gas', 'attain values', '5 mw']</t>
  </si>
  <si>
    <t>In cold gas-mantle systems a partially ionized boundary layer is formed which becomes highly resistive to the magnetoacoustic waves. Especially below the ion gyro frequency œâci the effective resistivity due to ion-neutral collisions can attain values being an order of magnitude higher than the Spitzer resistivity. Thus , a substantial part of the r.f. power available at the antenna can be damped in such a layer. The application of the r.f. power in the Alfven wave frequency range of the internal ring device FLASK IVA (FIVA) results in a relatively powerful plasma heating. The plasma-neutral gas balance is strongly modified by this power input, as well as the plasma equilibrium which becomes a sensitive function of the neutral gas content of the plasma. An r.f. power of the order of 0.5 MW is absorbed in the plasma. The parameters and the perpendicular dimension of the discharge are in the range which is typical for the layers which will form in the immediate vicinity of the wall in a fully developed mantle of a fusion device. Thus the presented data indicate that a strong interaction between the MHD waves and such cold layers should be expected.</t>
  </si>
  <si>
    <t>1389-1406</t>
  </si>
  <si>
    <t>Bures, M.</t>
  </si>
  <si>
    <t>Bures M.</t>
  </si>
  <si>
    <t>On the interaction of MHD waves with a plasma surrounded by a cold gas-mantle</t>
  </si>
  <si>
    <t>10.1088/0032-1028/25/12/307</t>
  </si>
  <si>
    <t>2-s2.0-36149048411</t>
  </si>
  <si>
    <t>['wave equation', 'typically 10', 'radiation resistance', 'power radiated', 'plasma region', 'particular case', 'numerical integration', 'inductance obtained', 'icrh antenna', 'hypergeometric functions', 'epstein profile', 'dispersion curve', 'considerable saving', 'computer time', 'analytic solution']</t>
  </si>
  <si>
    <t>An analytic solution of the wave equation for an inhomogeneous Tokamak plasma is obtained in terms of hypergeometric functions by fitting the Epstein profile, with a maximum of five free parameters, to the dispersion curve. Power radiated from an ICRH antenna is then evaluated by solving a boundary value problem. The radiation resistance and inductance obtained by this method are compared in a particular case, for illustration, with those employing numerical integration and are found to be typically 10% higher. Replacing the numerical integration by the curve fitting procedure in the plasma region, a considerable saving of computer time can be achieved.</t>
  </si>
  <si>
    <t>755-765</t>
  </si>
  <si>
    <t>60004280;60004280;60004280;60004280</t>
  </si>
  <si>
    <t>57215019097;7102660576;7403189436;7004079277</t>
  </si>
  <si>
    <t>Bhatnagar, R. P.;Bhatnagar, V. P.;Koch, R.;Weynants, R. R.</t>
  </si>
  <si>
    <t>Bhatnagar R.P.</t>
  </si>
  <si>
    <t>Application of Epstein technique to study the coupling properties of an ICRH antenna</t>
  </si>
  <si>
    <t>10.1088/0032-1028/25/7/005</t>
  </si>
  <si>
    <t>2-s2.0-36149049571</t>
  </si>
  <si>
    <t>2-s2.0-42549172963</t>
  </si>
  <si>
    <t>2-s2.0-42549173018</t>
  </si>
  <si>
    <t>2-s2.0-42549173336</t>
  </si>
  <si>
    <t>Antennas | transmission lines and propagation</t>
  </si>
  <si>
    <t>475-479</t>
  </si>
  <si>
    <t>60017697;60020261</t>
  </si>
  <si>
    <t>6508178436;7005778416</t>
  </si>
  <si>
    <t>Brugarino, T.;Pantano, P.</t>
  </si>
  <si>
    <t>Rende;Palermo</t>
  </si>
  <si>
    <t>Universit√† della Calabria;Universit√† degli Studi di Palermo</t>
  </si>
  <si>
    <t>60020261;60017697</t>
  </si>
  <si>
    <t>Brugarino T.</t>
  </si>
  <si>
    <t>KdV-Burgers' equation and nonlinear transmission lines</t>
  </si>
  <si>
    <t>10.1007/BF02789604</t>
  </si>
  <si>
    <t>2-s2.0-51649161009</t>
  </si>
  <si>
    <t>['¬© 1983', 'standard deviation', 'rural environments', 'rights reserved', 'path loss', 'path length', 'normally distributed', 'mobile terminal', 'light urban', 'field trials', 'essentially independent', 'electrical engineers', '76 mhz', '0 db']</t>
  </si>
  <si>
    <t>A series of field trials in Auckland at 76 MHz have confirmed that propagation path loss is normally distributed and may be characterised by a fourth-power-law distance dependency. The path loss standard deviation has been found to be dependent on the mobile terminal's environment and on frequency, but is essentially independent of base station antenna height and path length. The excess path loss over plane earth predictions and the standard deviation of path loss have been measured as 14.6, 5., 0.8 and 1.0 dB and 6.2, 5.2, 3.7 and 5.0 dB for urban, light urban, suburban and rural environments, respectively. ¬© 1983, The Institution of Electrical Engineers. All rights reserved.</t>
  </si>
  <si>
    <t>1064-1065</t>
  </si>
  <si>
    <t>Mobile radio propagation in Auckland at 76 MHz</t>
  </si>
  <si>
    <t>10.1049/el:19830722</t>
  </si>
  <si>
    <t>2-s2.0-0021098118</t>
  </si>
  <si>
    <t>['¬© 1983', 'view obtainable', 'two reflectors', 'slightly deforming', 'rights reserved', 'reduce aberrations', 'primary coma', 'previous article', 'electrical engineers', 'deformed hyperboloid', 'compact arrangement', 'aberrations arising']</t>
  </si>
  <si>
    <t>We minimise the aberrations arising in a double reflector antenna when the feed is displaced from the focus. In a previous article, astigmatism and primary coma were reduced by slightly deforming the two reflecting surfaces and optimising the principal ray angles of incidence. Here we further reduce aberrations by determining the optimum subreflector magnification. The result is a new reflector arrangement, consisting of a deformed paraboloid combined with a deformed hyperboloid, having the widest possible field of view obtainable with two reflectors in a compact arrangement of short focal length. ¬© 1983, The Institution of Electrical Engineers. All rights reserved.</t>
  </si>
  <si>
    <t>1061-1062</t>
  </si>
  <si>
    <t>Dragone, C.</t>
  </si>
  <si>
    <t>Unique reflector arrangement with very wide field of view for multibeam antennas</t>
  </si>
  <si>
    <t>10.1049/el:19830720</t>
  </si>
  <si>
    <t>2-s2.0-0021098124</t>
  </si>
  <si>
    <t>Medical Research Council</t>
  </si>
  <si>
    <t>MRC</t>
  </si>
  <si>
    <t>['¬© 1983', 'secondary structure', 'probably identical', 'preferred conformer', 'preferred conformation', 'original observations', 'febs lett', 'antenna extends', '4glcnac unit']</t>
  </si>
  <si>
    <t>Human serum transferin Two-dimensional NMR spectroscopy | Nuclear Overhauser effect | Oligosaccharide conformation</t>
  </si>
  <si>
    <t>Using data obtained from both one-dimensional and two-dimensional Nuclear Overhauser effect measurements, we have extended our original observations [FEBS Lett. (1983) 150, 503-506] upon the preferred conformer of the complex-type oligosaccharide unit derived from human serum transferrin. We propose that the GalŒ≤1-4GlcNAcŒ≤1-2ManŒ±1-3ManŒ≤1-4GlcNAcŒ≤1-4GlcNAc unit has continuous secondary structure, and that the Œ±(1-6) antenna extends from this structure with no single preferred orientation. Within the Œ±(1-6) antenna, however, a segment of secondary structure (GalŒ≤1-4GlcNAcŒ≤1-ManŒ±1-) exists with a preferred conformation which is probably identical to that found in the Œ±(1-3) antenna. ¬© 1983.</t>
  </si>
  <si>
    <t>231-235</t>
  </si>
  <si>
    <t>60026851;60026851;60026851;60026851</t>
  </si>
  <si>
    <t>7006782996;35399298000;7005622222;7006480573</t>
  </si>
  <si>
    <t>Homans, S. W.;Dwek, R. A.;Fernandes, D. L.;Rademacher, T. W.</t>
  </si>
  <si>
    <t>Oxford</t>
  </si>
  <si>
    <t>University of Oxford</t>
  </si>
  <si>
    <t>Homans S.</t>
  </si>
  <si>
    <t>Solution conformation of biantennary complex type oligosaccharides. Determination of major conformers about the glycosidic linkages</t>
  </si>
  <si>
    <t>10.1016/0014-5793(83)80291-9</t>
  </si>
  <si>
    <t>2-s2.0-0002554031</t>
  </si>
  <si>
    <t>['¬© 1983', 'van grondelle', 'total fraction', 'rhodopseudomonas capsulata', 'reaction centers', 'purple bacteria', 'pulse intensity', 'pulse arrived', 'preceding paper', 'kinetic properties', 'experimental results', 'energy transfer', 'den hollander', 'current models', 'closed state', 'c .,', 'analysed using', 'acta 725', '507 ).']</t>
  </si>
  <si>
    <t>Fluorescence | Photosynthesis | Picosecond pulse excitation | R. rubrum | Reaction center | Rps. capsulata</t>
  </si>
  <si>
    <t>In this paper a number of experiments with the purple bacteria Rhodospirillum rubrum and Rhodopseudomonas capsulata is described in which the total fluorescence yield and/or the total fraction of reaction centers closed after a picosecond laser pulse were measured as a function of the pulse intensity. The conditions were such that the reaction centers were either all in the open or all in the closed state before the pulse arrived. These experiments are analysed using the theoretical formalism discussed in the preceding paper (Den Hollander, W.T.F., Bakker J.G.C., and Van Grondelle, R., Biochim. Biophys. Acta 725, 492-507). From the experimental results the number of connected photosynthetic units, Œª, the rate of energy transfer between neighboring antenna molecules, kh, and the rate of trapping by an open reaction center, kot, can be estimated. For R. rubrum it is found that Œª = 14-17, kh = (1-2)¬∑1012 s-1 and kot = (4-6)¬∑1011 s-1, for Rps. capsulata Œª ‚âà 30, kh ‚âà 4¬∑1011 s-1 and kot ‚âà 3¬∑1011 s-1. The findings are discussed in terms of current models for the structure of the antenna and the kinetic properties of the decay processes occurring in these purple bacteria. ¬© 1983.</t>
  </si>
  <si>
    <t>508-518</t>
  </si>
  <si>
    <t>60003878;60003878-60008734;60070756</t>
  </si>
  <si>
    <t>24498309900;35599806700;24499012100</t>
  </si>
  <si>
    <t>Bakker, J. G.C.;Van Grondelle, R.;Den Hollander, W. T.F.</t>
  </si>
  <si>
    <t>Netherlands;Netherlands;Netherlands</t>
  </si>
  <si>
    <t>Leiden;Amsterdam;Leiden</t>
  </si>
  <si>
    <t>Lorentz Institute for Theoretical Physics;Vrije Universiteit Amsterdam;Sterrewacht Leiden</t>
  </si>
  <si>
    <t>60070756;60008734;60003878</t>
  </si>
  <si>
    <t>Bakker J.</t>
  </si>
  <si>
    <t>Trapping, loss and annihilation of excitations in a photosynthetic system. II. Experiments with the purple bacteria Rhodospirillum rubrum and Rhodopseudomonas capsulata</t>
  </si>
  <si>
    <t>10.1016/0005-2728(83)90191-3</t>
  </si>
  <si>
    <t>2-s2.0-0000606655</t>
  </si>
  <si>
    <t>['¬© 1983', 'times lower', 'saturating light', 'rhodopseudomonas capsulata', 'reaction centers', 'photosynthetic system', 'lower amount', 'light intensities', 'grown cells', 'different irradiances', 'apparently compensating', '40 w', '1400 w']</t>
  </si>
  <si>
    <t>(Rps. capsulata) | Bacterial photosynthesis | Membrane differentiation | Phosphosphorylation | Reaction center</t>
  </si>
  <si>
    <t>Cells of Rhodopseudomonas capsulata were grown in a turbido-stat and adapted to high (1400 W/m2) or low (40 W/m2) light intensities. In high-light-grown cells the specific BChl content was about 10-times lower, the number of intracytoplasmatic membrane vesicles smaller by a factor of about 20, the photosynthetic unit smaller by a factor of 1.9 and the reaction center content about 5-times lower than in low-light-grown cells. However, the photophosphorylation rate per reaction center under saturating light was higher in high-light-grown cells by a factor of 7.7, apparently compensating the lower amount of reaction centers. Adaptation of the cells to different irradiances not only seems to comprise a variation of the size and composition of the antennae, but also a change in the affinity of the photosynthetic system to light, as concluded from saturation curves obtained from the two adaptation stages of cells. ¬© 1983.</t>
  </si>
  <si>
    <t>455-463</t>
  </si>
  <si>
    <t>24454464900;7005463696;7102742634</t>
  </si>
  <si>
    <t>Reidl, Helwig;Golecki, Jochen R.;Drews, Gerhart</t>
  </si>
  <si>
    <t>Reidl H.</t>
  </si>
  <si>
    <t>Energetic aspects of photophosphorylation capacity and reaction center content of Rhodopseudomonas capsulata, grown in a turbidostat under different irradiances</t>
  </si>
  <si>
    <t>000527288390186X</t>
  </si>
  <si>
    <t>10.1016/0005-2728(83)90186-X</t>
  </si>
  <si>
    <t>2-s2.0-0011876383</t>
  </si>
  <si>
    <t>['two groups', 'tentative division', 'swimming legs', 'slight reductions', 'new species', 'modified spines', 'male mouthparts', 'francis group', 'damkaeria falcifera', '5th legs', '2nd maxilla']</t>
  </si>
  <si>
    <t>A new species, Damkaeria falcifera, taken with a Beyer epibenthic closing net at a depth of 1380 m is described. Males were more abundant than females. The species has a long pointed rostrum, modified spines on the 2nd maxilla, slight reductions in the male mouthparts, and a greatly elongated right 5th leg of the male. The species shows affinity both to the Bathypontiidae and to the Spinocalanidae. A tentative division of the Bathypontiidae into two groups is proposed, based on the structure of the male 1st antenna, the swimming legs, and the presence or absence of the 5th legs of females. ¬© 1983 Taylor &amp; Francis Group, LLC.</t>
  </si>
  <si>
    <t>257-262</t>
  </si>
  <si>
    <t>Sarsia</t>
  </si>
  <si>
    <t>Fosshagen, Audun</t>
  </si>
  <si>
    <t>Bergen</t>
  </si>
  <si>
    <t>Universitetet i Bergen</t>
  </si>
  <si>
    <t>Fosshagen A.</t>
  </si>
  <si>
    <t>A new genus of calanoid copepod from the Norwegian Sea</t>
  </si>
  <si>
    <t>10.1080/00364827.1983.10420579</t>
  </si>
  <si>
    <t>2-s2.0-4143084459</t>
  </si>
  <si>
    <t>Neotropical Ornithological Society</t>
  </si>
  <si>
    <t>NOS</t>
  </si>
  <si>
    <t>['¬© 1983', 'whole cells', 'wavelength absorbance', 'two techniques', 'triplet state', 'tentative explanation', 'sssr 269', 'small heterogeneity', 'slight heterogeneity', 'singlet absorbance', 'selection offered', 'results confirm', 'resonance technique', 'reaction centers', 'reaction center', 'primary donor', 'previously obtained', 'possibly caused', 'field triplet', 'expected reversal', 'esr spectrum', 'energy transfer', 'doklady akad', 'difference spectrum', 'difference band', 'detected magnetic', 'den blanken', 'center geometry', 'antenna pigments', 'antenna fluorescence', 'adjacent chromophore', 'acta 681', '850 nm', '838 nm', '374 ).']</t>
  </si>
  <si>
    <t>(Rps. viridis) | Absorbance-difference spectroscopy | ESR | Photosynthesis | Primary donor | Triplet state</t>
  </si>
  <si>
    <t>The absorbance-detected magnetic-resonance technique has been applied to the study of the triplet state of the primary donor in chromatophores of the photosynthetic bacterium Rps. viridis. The results confirm the triplet-minus-singlet absorbance-difference spectrum and its interpretation as previously obtained for isolated reaction centers (Den Blanken, H.J. and Hoff, A.J. (1982) Biochim. Biophys. Acta 681, 365-374). Our present results affirm that the primary donor is a bacteriochlorophyll b dimer, and that there is no blue exciton band at 850 nm. We show that the reaction centers are not identical, but have a small heterogeneity in their properties. In chromatophores and sometimes in isolated reaction centers a shoulder is observed in the long-wavelength absorbance-difference band of the primary donor. This shoulder is possibly caused by charge transfer interaction of the donor with an adjacent chromophore (Vermeglio, A. and Paillotin. G. (1982) Biochim. Biophys. Acta 681, 32-40; Maslov, V.G., Klevanik, A.V., Ismailov, M.A. and Shuvalov, V.A. (1983) Doklady Akad. Nauk. SSSR 269, 1217-1221) or it reflects a slight heterogeneity in the reaction-center geometry, which cannot be removed with the selection offered by the magnetic resonance technique. The zero-field triplet-ESR spectrum and the sublevel decay rates of the triplet state of the primary donor are presented, as detected in whole cells at the antenna fluorescence, and in chromatophores and isolated reaction centers at the absorbance-difference band at 838 nm. We do not observe the expected reversal of the sign of the ESR transitions monitored with the two techniques. A tentative explanation is given in terms of energy transfer from unrelaxed excited states of the antenna pigments to the reaction center. ¬© 1983.</t>
  </si>
  <si>
    <t>472-482</t>
  </si>
  <si>
    <t>60003878;60003878;60003878</t>
  </si>
  <si>
    <t>6602416508;6506377125;7103325525</t>
  </si>
  <si>
    <t>Den Blanken, H. J.;Jongenelis, A. P.J.M.;Hoff, A. J.</t>
  </si>
  <si>
    <t>Leiden</t>
  </si>
  <si>
    <t>Sterrewacht Leiden</t>
  </si>
  <si>
    <t>Den Blanken H.</t>
  </si>
  <si>
    <t>The triplet state of the primary donor of the photosynthetic bacterium Rhodopseudomonas viridis</t>
  </si>
  <si>
    <t>10.1016/0005-2728(83)90188-3</t>
  </si>
  <si>
    <t>2-s2.0-4243253493</t>
  </si>
  <si>
    <t>weighted matrix_7:3</t>
  </si>
  <si>
    <t>weighted matrix_5:5</t>
  </si>
  <si>
    <t>weighted matrix_3:7</t>
  </si>
  <si>
    <t>if</t>
  </si>
  <si>
    <t>fund_sponsor</t>
  </si>
  <si>
    <t>fund_no</t>
  </si>
  <si>
    <t>fund_acr</t>
  </si>
  <si>
    <t>openaccess</t>
  </si>
  <si>
    <t>max-min</t>
  </si>
  <si>
    <t>citation_norm</t>
  </si>
  <si>
    <t>average_citation</t>
  </si>
  <si>
    <t>citedby_count</t>
  </si>
  <si>
    <t>Rake Keyword</t>
  </si>
  <si>
    <t>authkeywords</t>
  </si>
  <si>
    <t>description</t>
  </si>
  <si>
    <t>pageRange</t>
  </si>
  <si>
    <t>article_number</t>
  </si>
  <si>
    <t>issueIdentifier</t>
  </si>
  <si>
    <t>volume</t>
  </si>
  <si>
    <t>aggregationType</t>
  </si>
  <si>
    <t>eIssn</t>
  </si>
  <si>
    <t>source_id</t>
  </si>
  <si>
    <t>issn</t>
  </si>
  <si>
    <t>sjr_norm</t>
  </si>
  <si>
    <t>sjr</t>
  </si>
  <si>
    <t>publicationName</t>
  </si>
  <si>
    <t>coverDisplayDate</t>
  </si>
  <si>
    <t>Year Gap</t>
  </si>
  <si>
    <t>Year</t>
  </si>
  <si>
    <t>coverDate</t>
  </si>
  <si>
    <t>author_afids</t>
  </si>
  <si>
    <t>author_ids</t>
  </si>
  <si>
    <t>author_names</t>
  </si>
  <si>
    <t>author_count</t>
  </si>
  <si>
    <t>affiliation_country</t>
  </si>
  <si>
    <t>affiliation_city</t>
  </si>
  <si>
    <t>affilname</t>
  </si>
  <si>
    <t>afid</t>
  </si>
  <si>
    <t>creator</t>
  </si>
  <si>
    <t>subtypeDescription</t>
  </si>
  <si>
    <t>subtype</t>
  </si>
  <si>
    <t>title</t>
  </si>
  <si>
    <t>pubmed_id</t>
  </si>
  <si>
    <t>pii</t>
  </si>
  <si>
    <t>doi</t>
  </si>
  <si>
    <t>eid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</si>
</sst>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x14ac:knownFonts="1">
    <font>
      <sz val="12"/>
      <color theme="1"/>
      <name val="Calibri"/>
      <family val="2"/>
      <scheme val="minor"/>
    </font>
    <font>
      <sz val="12"/>
      <color rgb="FF006100"/>
      <name val="Calibri"/>
      <family val="2"/>
      <scheme val="minor"/>
    </font>
    <font>
      <sz val="12"/>
      <color rgb="FF9C0006"/>
      <name val="Calibri"/>
      <family val="2"/>
      <scheme val="minor"/>
    </font>
    <font>
      <sz val="12"/>
      <color rgb="FF3F3F76"/>
      <name val="Calibri"/>
      <family val="2"/>
      <scheme val="minor"/>
    </font>
    <font>
      <b/>
      <sz val="12"/>
      <color theme="1"/>
      <name val="Calibri"/>
      <family val="2"/>
      <scheme val="minor"/>
    </font>
    <font>
      <b/>
      <sz val="12"/>
      <color rgb="FF3F3F76"/>
      <name val="Calibri"/>
      <family val="2"/>
      <scheme val="minor"/>
    </font>
    <font>
      <b/>
      <sz val="11"/>
      <color theme="1"/>
      <name val="Calibri"/>
      <family val="2"/>
      <scheme val="minor"/>
    </font>
    <font>
      <b/>
      <sz val="12"/>
      <color rgb="FF006100"/>
      <name val="Calibri"/>
      <family val="2"/>
      <scheme val="minor"/>
    </font>
    <font>
      <b/>
      <sz val="12"/>
      <color rgb="FF9C0006"/>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cellStyleXfs>
  <cellXfs count="20">
    <xf numFmtId="0" fontId="0" fillId="0" borderId="0" xfId="0"/>
    <xf numFmtId="0" fontId="3" fillId="4" borderId="1" xfId="3"/>
    <xf numFmtId="0" fontId="0" fillId="5" borderId="0" xfId="0" applyFill="1"/>
    <xf numFmtId="2" fontId="1" fillId="0" borderId="0" xfId="1" applyNumberFormat="1" applyFill="1"/>
    <xf numFmtId="2" fontId="1" fillId="2" borderId="0" xfId="1" applyNumberFormat="1"/>
    <xf numFmtId="2" fontId="0" fillId="5" borderId="0" xfId="0" applyNumberFormat="1" applyFill="1"/>
    <xf numFmtId="0" fontId="2" fillId="3" borderId="0" xfId="2"/>
    <xf numFmtId="164" fontId="0" fillId="0" borderId="0" xfId="0" applyNumberFormat="1"/>
    <xf numFmtId="0" fontId="0" fillId="6" borderId="0" xfId="0" applyFill="1"/>
    <xf numFmtId="16" fontId="0" fillId="0" borderId="0" xfId="0" applyNumberFormat="1"/>
    <xf numFmtId="17" fontId="0" fillId="0" borderId="0" xfId="0" applyNumberFormat="1"/>
    <xf numFmtId="0" fontId="0" fillId="7" borderId="0" xfId="0" applyFill="1"/>
    <xf numFmtId="0" fontId="5" fillId="0" borderId="1" xfId="3" applyFont="1" applyFill="1"/>
    <xf numFmtId="0" fontId="6" fillId="0" borderId="2" xfId="0" applyFont="1" applyBorder="1" applyAlignment="1">
      <alignment horizontal="center" vertical="top"/>
    </xf>
    <xf numFmtId="0" fontId="4" fillId="0" borderId="0" xfId="0" applyFont="1"/>
    <xf numFmtId="2" fontId="7" fillId="0" borderId="0" xfId="1" applyNumberFormat="1" applyFont="1" applyFill="1"/>
    <xf numFmtId="2" fontId="4" fillId="0" borderId="0" xfId="0" applyNumberFormat="1" applyFont="1"/>
    <xf numFmtId="0" fontId="6" fillId="0" borderId="0" xfId="0" applyFont="1" applyAlignment="1">
      <alignment horizontal="center" vertical="top"/>
    </xf>
    <xf numFmtId="0" fontId="8" fillId="0" borderId="0" xfId="2" applyFont="1" applyFill="1" applyBorder="1" applyAlignment="1">
      <alignment horizontal="center" vertical="top"/>
    </xf>
    <xf numFmtId="164" fontId="4" fillId="0" borderId="0" xfId="0" applyNumberFormat="1" applyFont="1"/>
  </cellXfs>
  <cellStyles count="4">
    <cellStyle name="Bad" xfId="2" builtinId="27"/>
    <cellStyle name="Good" xfId="1" builtinId="26"/>
    <cellStyle name="Input" xfId="3"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ear_data/antenna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tenna_all"/>
      <sheetName val="Sheet2"/>
      <sheetName val="&lt;=1980"/>
      <sheetName val="1981"/>
      <sheetName val="1982"/>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EF48A-B7F2-404E-BC71-FF2269312EDD}">
  <dimension ref="A1:AW100"/>
  <sheetViews>
    <sheetView tabSelected="1" topLeftCell="O1" workbookViewId="0">
      <selection activeCell="R6" sqref="R6"/>
    </sheetView>
  </sheetViews>
  <sheetFormatPr baseColWidth="10" defaultRowHeight="16" x14ac:dyDescent="0.2"/>
  <cols>
    <col min="18" max="18" width="25" customWidth="1"/>
    <col min="22" max="22" width="24.83203125" customWidth="1"/>
  </cols>
  <sheetData>
    <row r="1" spans="1:49" s="11" customFormat="1" x14ac:dyDescent="0.2">
      <c r="A1" s="14"/>
      <c r="B1" s="14" t="s">
        <v>1166</v>
      </c>
      <c r="C1" s="14" t="s">
        <v>1165</v>
      </c>
      <c r="D1" s="14" t="s">
        <v>1164</v>
      </c>
      <c r="E1" s="14" t="s">
        <v>1163</v>
      </c>
      <c r="F1" s="14" t="s">
        <v>1162</v>
      </c>
      <c r="G1" s="14" t="s">
        <v>1161</v>
      </c>
      <c r="H1" s="14" t="s">
        <v>1160</v>
      </c>
      <c r="I1" s="14" t="s">
        <v>1159</v>
      </c>
      <c r="J1" s="14" t="s">
        <v>1158</v>
      </c>
      <c r="K1" s="14" t="s">
        <v>1157</v>
      </c>
      <c r="L1" s="14" t="s">
        <v>1156</v>
      </c>
      <c r="M1" s="14" t="s">
        <v>1155</v>
      </c>
      <c r="N1" s="14" t="s">
        <v>1154</v>
      </c>
      <c r="O1" s="14" t="s">
        <v>1153</v>
      </c>
      <c r="P1" s="14" t="s">
        <v>1152</v>
      </c>
      <c r="Q1" s="14" t="s">
        <v>1151</v>
      </c>
      <c r="R1" s="19" t="s">
        <v>1150</v>
      </c>
      <c r="S1" s="14" t="s">
        <v>1149</v>
      </c>
      <c r="T1" s="14" t="s">
        <v>1149</v>
      </c>
      <c r="U1" s="14" t="s">
        <v>1148</v>
      </c>
      <c r="V1" s="19" t="s">
        <v>1147</v>
      </c>
      <c r="W1" s="14" t="s">
        <v>1146</v>
      </c>
      <c r="X1" s="13" t="s">
        <v>1145</v>
      </c>
      <c r="Y1" s="18" t="s">
        <v>1144</v>
      </c>
      <c r="Z1" s="17" t="s">
        <v>1129</v>
      </c>
      <c r="AA1" s="14" t="s">
        <v>1143</v>
      </c>
      <c r="AB1" s="14" t="s">
        <v>1142</v>
      </c>
      <c r="AC1" s="14" t="s">
        <v>1141</v>
      </c>
      <c r="AD1" s="14" t="s">
        <v>1140</v>
      </c>
      <c r="AE1" s="14" t="s">
        <v>1139</v>
      </c>
      <c r="AF1" s="14" t="s">
        <v>1138</v>
      </c>
      <c r="AG1" s="14" t="s">
        <v>1137</v>
      </c>
      <c r="AH1" s="14" t="s">
        <v>1136</v>
      </c>
      <c r="AI1" s="14" t="s">
        <v>1135</v>
      </c>
      <c r="AJ1" s="14" t="s">
        <v>1134</v>
      </c>
      <c r="AK1" s="13" t="s">
        <v>1133</v>
      </c>
      <c r="AL1" s="14" t="s">
        <v>1132</v>
      </c>
      <c r="AM1" s="16" t="s">
        <v>1131</v>
      </c>
      <c r="AN1" s="15" t="s">
        <v>1130</v>
      </c>
      <c r="AO1" s="15" t="s">
        <v>1129</v>
      </c>
      <c r="AP1" s="14" t="s">
        <v>1128</v>
      </c>
      <c r="AQ1" s="14" t="s">
        <v>1127</v>
      </c>
      <c r="AR1" s="14" t="s">
        <v>1126</v>
      </c>
      <c r="AS1" s="14" t="s">
        <v>1125</v>
      </c>
      <c r="AT1" s="13" t="s">
        <v>1124</v>
      </c>
      <c r="AU1" s="12" t="s">
        <v>1123</v>
      </c>
      <c r="AV1" s="12" t="s">
        <v>1122</v>
      </c>
      <c r="AW1" s="12" t="s">
        <v>1121</v>
      </c>
    </row>
    <row r="2" spans="1:49" x14ac:dyDescent="0.2">
      <c r="A2">
        <v>0</v>
      </c>
      <c r="B2" t="s">
        <v>1120</v>
      </c>
      <c r="C2" t="s">
        <v>1119</v>
      </c>
      <c r="D2">
        <v>5272883901883</v>
      </c>
      <c r="F2" t="s">
        <v>1118</v>
      </c>
      <c r="G2" t="s">
        <v>5</v>
      </c>
      <c r="H2" t="s">
        <v>4</v>
      </c>
      <c r="I2" t="s">
        <v>1117</v>
      </c>
      <c r="J2">
        <v>60003878</v>
      </c>
      <c r="K2" t="s">
        <v>1116</v>
      </c>
      <c r="L2" t="s">
        <v>1115</v>
      </c>
      <c r="M2" t="s">
        <v>16</v>
      </c>
      <c r="N2">
        <v>3</v>
      </c>
      <c r="O2" t="s">
        <v>1114</v>
      </c>
      <c r="P2" t="s">
        <v>1113</v>
      </c>
      <c r="Q2" t="s">
        <v>1112</v>
      </c>
      <c r="R2" s="7">
        <v>30680</v>
      </c>
      <c r="S2" s="8">
        <f t="shared" ref="S2:S65" si="0">YEAR(R2)</f>
        <v>1983</v>
      </c>
      <c r="T2" s="8">
        <v>1983</v>
      </c>
      <c r="U2" s="8">
        <f t="shared" ref="U2:U65" si="1">2022-T2</f>
        <v>39</v>
      </c>
      <c r="V2" s="7">
        <v>30680</v>
      </c>
      <c r="W2" t="s">
        <v>121</v>
      </c>
      <c r="X2" s="2">
        <v>1.59</v>
      </c>
      <c r="Y2" s="6">
        <f t="shared" ref="Y2:Y65" si="2">(X2-$Z$4)/($Z$3-$Z$4)</f>
        <v>4.2444141907583888E-2</v>
      </c>
      <c r="AA2">
        <v>52728</v>
      </c>
      <c r="AB2">
        <v>16791</v>
      </c>
      <c r="AD2" t="s">
        <v>2</v>
      </c>
      <c r="AE2">
        <v>725</v>
      </c>
      <c r="AF2">
        <v>3</v>
      </c>
      <c r="AH2" t="s">
        <v>1111</v>
      </c>
      <c r="AI2" t="s">
        <v>1110</v>
      </c>
      <c r="AJ2" t="s">
        <v>1109</v>
      </c>
      <c r="AK2" t="s">
        <v>1108</v>
      </c>
      <c r="AL2">
        <v>27</v>
      </c>
      <c r="AM2" s="5">
        <f t="shared" ref="AM2:AM65" si="3">AL2/U2</f>
        <v>0.69230769230769229</v>
      </c>
      <c r="AN2" s="4">
        <f t="shared" ref="AN2:AN65" si="4">(AM2-$AO$4)/($AO$3-$AO$4)</f>
        <v>1.0485538694550431E-3</v>
      </c>
      <c r="AO2" s="3"/>
      <c r="AP2">
        <v>0</v>
      </c>
      <c r="AQ2" t="s">
        <v>1107</v>
      </c>
      <c r="AR2" t="s">
        <v>1</v>
      </c>
      <c r="AS2" t="s">
        <v>1106</v>
      </c>
      <c r="AT2" s="2" t="s">
        <v>0</v>
      </c>
      <c r="AU2" s="1">
        <f t="shared" ref="AU2:AU65" si="5">(Y2*0.7+AN2*0.3)*100</f>
        <v>3.0025465496145234</v>
      </c>
      <c r="AV2" s="1">
        <f t="shared" ref="AV2:AV65" si="6">(Y2*0.5+AN2*0.5)*100</f>
        <v>2.1746347888519466</v>
      </c>
      <c r="AW2" s="1">
        <f t="shared" ref="AW2:AW65" si="7">(Y2*0.3+AN2*0.7)*100</f>
        <v>1.3467230280893696</v>
      </c>
    </row>
    <row r="3" spans="1:49" x14ac:dyDescent="0.2">
      <c r="A3">
        <v>1</v>
      </c>
      <c r="B3" t="s">
        <v>1105</v>
      </c>
      <c r="C3" t="s">
        <v>1104</v>
      </c>
      <c r="F3" t="s">
        <v>1103</v>
      </c>
      <c r="G3" t="s">
        <v>5</v>
      </c>
      <c r="H3" t="s">
        <v>4</v>
      </c>
      <c r="I3" t="s">
        <v>1102</v>
      </c>
      <c r="J3">
        <v>60029622</v>
      </c>
      <c r="K3" t="s">
        <v>1101</v>
      </c>
      <c r="L3" t="s">
        <v>1100</v>
      </c>
      <c r="M3" t="s">
        <v>38</v>
      </c>
      <c r="N3">
        <v>1</v>
      </c>
      <c r="O3" t="s">
        <v>1099</v>
      </c>
      <c r="P3">
        <v>6603621077</v>
      </c>
      <c r="Q3">
        <v>60029622</v>
      </c>
      <c r="R3" s="7">
        <v>30680</v>
      </c>
      <c r="S3" s="8">
        <f t="shared" si="0"/>
        <v>1983</v>
      </c>
      <c r="T3" s="8">
        <v>1983</v>
      </c>
      <c r="U3" s="8">
        <f t="shared" si="1"/>
        <v>39</v>
      </c>
      <c r="V3" s="7">
        <v>30680</v>
      </c>
      <c r="W3" t="s">
        <v>1098</v>
      </c>
      <c r="X3" s="2" t="s">
        <v>0</v>
      </c>
      <c r="Y3" s="6" t="e">
        <f t="shared" si="2"/>
        <v>#VALUE!</v>
      </c>
      <c r="Z3">
        <v>37.460999999999999</v>
      </c>
      <c r="AA3">
        <v>364827</v>
      </c>
      <c r="AB3">
        <v>13626</v>
      </c>
      <c r="AD3" t="s">
        <v>2</v>
      </c>
      <c r="AE3">
        <v>68</v>
      </c>
      <c r="AF3">
        <v>4</v>
      </c>
      <c r="AH3" t="s">
        <v>1097</v>
      </c>
      <c r="AI3" t="s">
        <v>1096</v>
      </c>
      <c r="AK3" t="s">
        <v>1095</v>
      </c>
      <c r="AL3">
        <v>7</v>
      </c>
      <c r="AM3" s="5">
        <f t="shared" si="3"/>
        <v>0.17948717948717949</v>
      </c>
      <c r="AN3" s="4">
        <f t="shared" si="4"/>
        <v>2.7184729948834453E-4</v>
      </c>
      <c r="AO3" s="3">
        <v>660.25</v>
      </c>
      <c r="AP3">
        <v>0</v>
      </c>
      <c r="AR3" t="s">
        <v>1</v>
      </c>
      <c r="AT3" s="2" t="s">
        <v>0</v>
      </c>
      <c r="AU3" s="1" t="e">
        <f t="shared" si="5"/>
        <v>#VALUE!</v>
      </c>
      <c r="AV3" s="1" t="e">
        <f t="shared" si="6"/>
        <v>#VALUE!</v>
      </c>
      <c r="AW3" s="1" t="e">
        <f t="shared" si="7"/>
        <v>#VALUE!</v>
      </c>
    </row>
    <row r="4" spans="1:49" x14ac:dyDescent="0.2">
      <c r="A4">
        <v>2</v>
      </c>
      <c r="B4" t="s">
        <v>1094</v>
      </c>
      <c r="C4" t="s">
        <v>1093</v>
      </c>
      <c r="D4" t="s">
        <v>1092</v>
      </c>
      <c r="F4" t="s">
        <v>1091</v>
      </c>
      <c r="G4" t="s">
        <v>5</v>
      </c>
      <c r="H4" t="s">
        <v>4</v>
      </c>
      <c r="I4" t="s">
        <v>1090</v>
      </c>
      <c r="J4">
        <v>60025641</v>
      </c>
      <c r="K4" t="s">
        <v>11</v>
      </c>
      <c r="L4" t="s">
        <v>10</v>
      </c>
      <c r="M4" t="s">
        <v>9</v>
      </c>
      <c r="N4">
        <v>3</v>
      </c>
      <c r="O4" t="s">
        <v>1089</v>
      </c>
      <c r="P4" t="s">
        <v>1088</v>
      </c>
      <c r="Q4" t="s">
        <v>8</v>
      </c>
      <c r="R4" s="7">
        <v>30680</v>
      </c>
      <c r="S4" s="8">
        <f t="shared" si="0"/>
        <v>1983</v>
      </c>
      <c r="T4" s="8">
        <v>1983</v>
      </c>
      <c r="U4" s="8">
        <f t="shared" si="1"/>
        <v>39</v>
      </c>
      <c r="V4" s="7">
        <v>30680</v>
      </c>
      <c r="W4" t="s">
        <v>121</v>
      </c>
      <c r="X4" s="2">
        <v>1.59</v>
      </c>
      <c r="Y4" s="6">
        <f t="shared" si="2"/>
        <v>4.2444141907583888E-2</v>
      </c>
      <c r="Z4">
        <v>0</v>
      </c>
      <c r="AA4">
        <v>52728</v>
      </c>
      <c r="AB4">
        <v>16791</v>
      </c>
      <c r="AD4" t="s">
        <v>2</v>
      </c>
      <c r="AE4">
        <v>725</v>
      </c>
      <c r="AF4">
        <v>3</v>
      </c>
      <c r="AH4" t="s">
        <v>1087</v>
      </c>
      <c r="AI4" t="s">
        <v>1086</v>
      </c>
      <c r="AJ4" t="s">
        <v>1085</v>
      </c>
      <c r="AK4" t="s">
        <v>1084</v>
      </c>
      <c r="AL4">
        <v>29</v>
      </c>
      <c r="AM4" s="5">
        <f t="shared" si="3"/>
        <v>0.74358974358974361</v>
      </c>
      <c r="AN4" s="4">
        <f t="shared" si="4"/>
        <v>1.1262245264517131E-3</v>
      </c>
      <c r="AO4" s="3">
        <v>0</v>
      </c>
      <c r="AP4">
        <v>0</v>
      </c>
      <c r="AQ4" t="s">
        <v>133</v>
      </c>
      <c r="AR4" t="s">
        <v>1</v>
      </c>
      <c r="AS4" t="s">
        <v>132</v>
      </c>
      <c r="AT4" s="2" t="s">
        <v>0</v>
      </c>
      <c r="AU4" s="1">
        <f t="shared" si="5"/>
        <v>3.0048766693244233</v>
      </c>
      <c r="AV4" s="1">
        <f t="shared" si="6"/>
        <v>2.1785183217017798</v>
      </c>
      <c r="AW4" s="1">
        <f t="shared" si="7"/>
        <v>1.3521599740791364</v>
      </c>
    </row>
    <row r="5" spans="1:49" x14ac:dyDescent="0.2">
      <c r="A5">
        <v>3</v>
      </c>
      <c r="B5" t="s">
        <v>1083</v>
      </c>
      <c r="C5" t="s">
        <v>1082</v>
      </c>
      <c r="D5">
        <v>5272883901913</v>
      </c>
      <c r="F5" t="s">
        <v>1081</v>
      </c>
      <c r="G5" t="s">
        <v>5</v>
      </c>
      <c r="H5" t="s">
        <v>4</v>
      </c>
      <c r="I5" t="s">
        <v>1080</v>
      </c>
      <c r="J5" t="s">
        <v>1079</v>
      </c>
      <c r="K5" t="s">
        <v>1078</v>
      </c>
      <c r="L5" t="s">
        <v>1077</v>
      </c>
      <c r="M5" t="s">
        <v>1076</v>
      </c>
      <c r="N5">
        <v>3</v>
      </c>
      <c r="O5" t="s">
        <v>1075</v>
      </c>
      <c r="P5" t="s">
        <v>1074</v>
      </c>
      <c r="Q5" t="s">
        <v>1073</v>
      </c>
      <c r="R5" s="7">
        <v>30680</v>
      </c>
      <c r="S5" s="8">
        <f t="shared" si="0"/>
        <v>1983</v>
      </c>
      <c r="T5" s="8">
        <v>1983</v>
      </c>
      <c r="U5" s="8">
        <f t="shared" si="1"/>
        <v>39</v>
      </c>
      <c r="V5" s="7">
        <v>30680</v>
      </c>
      <c r="W5" t="s">
        <v>121</v>
      </c>
      <c r="X5" s="2">
        <v>1.59</v>
      </c>
      <c r="Y5" s="6">
        <f t="shared" si="2"/>
        <v>4.2444141907583888E-2</v>
      </c>
      <c r="AA5">
        <v>52728</v>
      </c>
      <c r="AB5">
        <v>16791</v>
      </c>
      <c r="AD5" t="s">
        <v>2</v>
      </c>
      <c r="AE5">
        <v>725</v>
      </c>
      <c r="AF5">
        <v>3</v>
      </c>
      <c r="AH5" t="s">
        <v>1072</v>
      </c>
      <c r="AI5" t="s">
        <v>1071</v>
      </c>
      <c r="AJ5" t="s">
        <v>1070</v>
      </c>
      <c r="AK5" t="s">
        <v>1069</v>
      </c>
      <c r="AL5">
        <v>81</v>
      </c>
      <c r="AM5" s="5">
        <f t="shared" si="3"/>
        <v>2.0769230769230771</v>
      </c>
      <c r="AN5" s="4">
        <f t="shared" si="4"/>
        <v>3.1456616083651301E-3</v>
      </c>
      <c r="AO5" s="3"/>
      <c r="AP5">
        <v>0</v>
      </c>
      <c r="AR5" t="s">
        <v>1</v>
      </c>
      <c r="AT5" s="2" t="s">
        <v>0</v>
      </c>
      <c r="AU5" s="1">
        <f t="shared" si="5"/>
        <v>3.0654597817818261</v>
      </c>
      <c r="AV5" s="1">
        <f t="shared" si="6"/>
        <v>2.2794901757974508</v>
      </c>
      <c r="AW5" s="1">
        <f t="shared" si="7"/>
        <v>1.4935205698130756</v>
      </c>
    </row>
    <row r="6" spans="1:49" x14ac:dyDescent="0.2">
      <c r="A6">
        <v>4</v>
      </c>
      <c r="B6" t="s">
        <v>1068</v>
      </c>
      <c r="C6" t="s">
        <v>1067</v>
      </c>
      <c r="D6">
        <v>14579383802919</v>
      </c>
      <c r="F6" t="s">
        <v>1066</v>
      </c>
      <c r="G6" t="s">
        <v>5</v>
      </c>
      <c r="H6" t="s">
        <v>4</v>
      </c>
      <c r="I6" t="s">
        <v>1065</v>
      </c>
      <c r="J6">
        <v>60026851</v>
      </c>
      <c r="K6" t="s">
        <v>1064</v>
      </c>
      <c r="L6" t="s">
        <v>1063</v>
      </c>
      <c r="M6" t="s">
        <v>28</v>
      </c>
      <c r="N6">
        <v>4</v>
      </c>
      <c r="O6" t="s">
        <v>1062</v>
      </c>
      <c r="P6" t="s">
        <v>1061</v>
      </c>
      <c r="Q6" t="s">
        <v>1060</v>
      </c>
      <c r="R6" s="7">
        <v>30662</v>
      </c>
      <c r="S6" s="8">
        <f t="shared" si="0"/>
        <v>1983</v>
      </c>
      <c r="T6" s="8">
        <v>1983</v>
      </c>
      <c r="U6" s="8">
        <f t="shared" si="1"/>
        <v>39</v>
      </c>
      <c r="V6" s="7">
        <v>30662</v>
      </c>
      <c r="W6" t="s">
        <v>140</v>
      </c>
      <c r="X6" s="2">
        <v>1.593</v>
      </c>
      <c r="Y6" s="6">
        <f t="shared" si="2"/>
        <v>4.2524225194201973E-2</v>
      </c>
      <c r="AA6">
        <v>145793</v>
      </c>
      <c r="AB6">
        <v>17481</v>
      </c>
      <c r="AD6" t="s">
        <v>2</v>
      </c>
      <c r="AE6">
        <v>164</v>
      </c>
      <c r="AF6">
        <v>2</v>
      </c>
      <c r="AH6" t="s">
        <v>1059</v>
      </c>
      <c r="AI6" t="s">
        <v>1058</v>
      </c>
      <c r="AJ6" t="s">
        <v>1057</v>
      </c>
      <c r="AK6" t="s">
        <v>1056</v>
      </c>
      <c r="AL6">
        <v>29</v>
      </c>
      <c r="AM6" s="5">
        <f t="shared" si="3"/>
        <v>0.74358974358974361</v>
      </c>
      <c r="AN6" s="4">
        <f t="shared" si="4"/>
        <v>1.1262245264517131E-3</v>
      </c>
      <c r="AO6" s="3"/>
      <c r="AP6">
        <v>1</v>
      </c>
      <c r="AQ6" t="s">
        <v>1055</v>
      </c>
      <c r="AR6" t="s">
        <v>1</v>
      </c>
      <c r="AS6" t="s">
        <v>1054</v>
      </c>
      <c r="AT6" s="2">
        <v>4.1239999999999997</v>
      </c>
      <c r="AU6" s="1">
        <f t="shared" si="5"/>
        <v>3.0104824993876891</v>
      </c>
      <c r="AV6" s="1">
        <f t="shared" si="6"/>
        <v>2.182522486032684</v>
      </c>
      <c r="AW6" s="1">
        <f t="shared" si="7"/>
        <v>1.354562472677679</v>
      </c>
    </row>
    <row r="7" spans="1:49" x14ac:dyDescent="0.2">
      <c r="A7">
        <v>5</v>
      </c>
      <c r="B7" t="s">
        <v>1053</v>
      </c>
      <c r="C7" t="s">
        <v>1052</v>
      </c>
      <c r="F7" t="s">
        <v>1051</v>
      </c>
      <c r="G7" t="s">
        <v>5</v>
      </c>
      <c r="H7" t="s">
        <v>4</v>
      </c>
      <c r="I7" t="s">
        <v>92</v>
      </c>
      <c r="J7">
        <v>60021378</v>
      </c>
      <c r="K7" t="s">
        <v>77</v>
      </c>
      <c r="L7" t="s">
        <v>76</v>
      </c>
      <c r="M7" t="s">
        <v>3</v>
      </c>
      <c r="N7">
        <v>1</v>
      </c>
      <c r="O7" t="s">
        <v>1050</v>
      </c>
      <c r="P7">
        <v>7005699797</v>
      </c>
      <c r="Q7">
        <v>60021378</v>
      </c>
      <c r="R7" s="7">
        <v>30658</v>
      </c>
      <c r="S7" s="8">
        <f t="shared" si="0"/>
        <v>1983</v>
      </c>
      <c r="T7" s="8">
        <v>1983</v>
      </c>
      <c r="U7" s="8">
        <f t="shared" si="1"/>
        <v>39</v>
      </c>
      <c r="V7" s="7">
        <v>30658</v>
      </c>
      <c r="W7" t="s">
        <v>120</v>
      </c>
      <c r="X7" s="2">
        <v>0.375</v>
      </c>
      <c r="Y7" s="6">
        <f t="shared" si="2"/>
        <v>1.0010410827260351E-2</v>
      </c>
      <c r="AA7">
        <v>135194</v>
      </c>
      <c r="AB7">
        <v>24918</v>
      </c>
      <c r="AD7" t="s">
        <v>2</v>
      </c>
      <c r="AE7">
        <v>19</v>
      </c>
      <c r="AH7" t="s">
        <v>1049</v>
      </c>
      <c r="AI7" t="s">
        <v>1048</v>
      </c>
      <c r="AJ7" t="s">
        <v>122</v>
      </c>
      <c r="AK7" t="s">
        <v>1047</v>
      </c>
      <c r="AL7">
        <v>19</v>
      </c>
      <c r="AM7" s="5">
        <f t="shared" si="3"/>
        <v>0.48717948717948717</v>
      </c>
      <c r="AN7" s="4">
        <f t="shared" si="4"/>
        <v>7.3787124146836372E-4</v>
      </c>
      <c r="AO7" s="3"/>
      <c r="AP7">
        <v>0</v>
      </c>
      <c r="AR7" t="s">
        <v>1</v>
      </c>
      <c r="AT7" s="2">
        <v>1.3140000000000001</v>
      </c>
      <c r="AU7" s="1">
        <f t="shared" si="5"/>
        <v>0.72286489515227548</v>
      </c>
      <c r="AV7" s="1">
        <f t="shared" si="6"/>
        <v>0.5374141034364357</v>
      </c>
      <c r="AW7" s="1">
        <f t="shared" si="7"/>
        <v>0.35196331172059597</v>
      </c>
    </row>
    <row r="8" spans="1:49" x14ac:dyDescent="0.2">
      <c r="A8">
        <v>6</v>
      </c>
      <c r="B8" t="s">
        <v>1046</v>
      </c>
      <c r="C8" t="s">
        <v>1045</v>
      </c>
      <c r="F8" t="s">
        <v>1044</v>
      </c>
      <c r="G8" t="s">
        <v>5</v>
      </c>
      <c r="H8" t="s">
        <v>4</v>
      </c>
      <c r="I8" t="s">
        <v>207</v>
      </c>
      <c r="J8">
        <v>60005686</v>
      </c>
      <c r="K8" t="s">
        <v>95</v>
      </c>
      <c r="L8" t="s">
        <v>94</v>
      </c>
      <c r="M8" t="s">
        <v>85</v>
      </c>
      <c r="N8">
        <v>3</v>
      </c>
      <c r="O8" t="s">
        <v>206</v>
      </c>
      <c r="P8" t="s">
        <v>205</v>
      </c>
      <c r="Q8" t="s">
        <v>204</v>
      </c>
      <c r="R8" s="7">
        <v>30658</v>
      </c>
      <c r="S8" s="8">
        <f t="shared" si="0"/>
        <v>1983</v>
      </c>
      <c r="T8" s="8">
        <v>1983</v>
      </c>
      <c r="U8" s="8">
        <f t="shared" si="1"/>
        <v>39</v>
      </c>
      <c r="V8" s="7">
        <v>30658</v>
      </c>
      <c r="W8" t="s">
        <v>120</v>
      </c>
      <c r="X8" s="2">
        <v>0.375</v>
      </c>
      <c r="Y8" s="6">
        <f t="shared" si="2"/>
        <v>1.0010410827260351E-2</v>
      </c>
      <c r="AA8">
        <v>135194</v>
      </c>
      <c r="AB8">
        <v>24918</v>
      </c>
      <c r="AD8" t="s">
        <v>2</v>
      </c>
      <c r="AE8">
        <v>19</v>
      </c>
      <c r="AH8" t="s">
        <v>1043</v>
      </c>
      <c r="AI8" t="s">
        <v>1042</v>
      </c>
      <c r="AJ8" t="s">
        <v>201</v>
      </c>
      <c r="AK8" t="s">
        <v>1041</v>
      </c>
      <c r="AL8">
        <v>3</v>
      </c>
      <c r="AM8" s="5">
        <f t="shared" si="3"/>
        <v>7.6923076923076927E-2</v>
      </c>
      <c r="AN8" s="4">
        <f t="shared" si="4"/>
        <v>1.1650598549500481E-4</v>
      </c>
      <c r="AO8" s="3"/>
      <c r="AP8">
        <v>0</v>
      </c>
      <c r="AR8" t="s">
        <v>1</v>
      </c>
      <c r="AT8" s="2">
        <v>1.3140000000000001</v>
      </c>
      <c r="AU8" s="1">
        <f t="shared" si="5"/>
        <v>0.70422393747307466</v>
      </c>
      <c r="AV8" s="1">
        <f t="shared" si="6"/>
        <v>0.50634584063776777</v>
      </c>
      <c r="AW8" s="1">
        <f t="shared" si="7"/>
        <v>0.30846774380246084</v>
      </c>
    </row>
    <row r="9" spans="1:49" x14ac:dyDescent="0.2">
      <c r="A9">
        <v>7</v>
      </c>
      <c r="B9" t="s">
        <v>1040</v>
      </c>
      <c r="C9" t="s">
        <v>1039</v>
      </c>
      <c r="F9" t="s">
        <v>1038</v>
      </c>
      <c r="G9" t="s">
        <v>5</v>
      </c>
      <c r="H9" t="s">
        <v>4</v>
      </c>
      <c r="I9" t="s">
        <v>1037</v>
      </c>
      <c r="J9" t="s">
        <v>1036</v>
      </c>
      <c r="K9" t="s">
        <v>1035</v>
      </c>
      <c r="L9" t="s">
        <v>1034</v>
      </c>
      <c r="M9" t="s">
        <v>31</v>
      </c>
      <c r="N9">
        <v>2</v>
      </c>
      <c r="O9" t="s">
        <v>1033</v>
      </c>
      <c r="P9" t="s">
        <v>1032</v>
      </c>
      <c r="Q9" t="s">
        <v>1031</v>
      </c>
      <c r="R9" s="7">
        <v>30651</v>
      </c>
      <c r="S9" s="8">
        <f t="shared" si="0"/>
        <v>1983</v>
      </c>
      <c r="T9" s="8">
        <v>1983</v>
      </c>
      <c r="U9" s="8">
        <f t="shared" si="1"/>
        <v>39</v>
      </c>
      <c r="V9" s="7">
        <v>30651</v>
      </c>
      <c r="W9" t="s">
        <v>127</v>
      </c>
      <c r="X9" s="2" t="s">
        <v>0</v>
      </c>
      <c r="Y9" s="6" t="e">
        <f t="shared" si="2"/>
        <v>#VALUE!</v>
      </c>
      <c r="AA9" t="s">
        <v>126</v>
      </c>
      <c r="AB9">
        <v>12100155632</v>
      </c>
      <c r="AC9" t="s">
        <v>125</v>
      </c>
      <c r="AD9" t="s">
        <v>2</v>
      </c>
      <c r="AE9">
        <v>38</v>
      </c>
      <c r="AF9">
        <v>14</v>
      </c>
      <c r="AH9" t="s">
        <v>1030</v>
      </c>
      <c r="AJ9" t="s">
        <v>1029</v>
      </c>
      <c r="AL9">
        <v>2</v>
      </c>
      <c r="AM9" s="5">
        <f t="shared" si="3"/>
        <v>5.128205128205128E-2</v>
      </c>
      <c r="AN9" s="4">
        <f t="shared" si="4"/>
        <v>7.767065699666987E-5</v>
      </c>
      <c r="AO9" s="3"/>
      <c r="AP9">
        <v>0</v>
      </c>
      <c r="AR9" t="s">
        <v>1</v>
      </c>
      <c r="AT9" s="2" t="s">
        <v>0</v>
      </c>
      <c r="AU9" s="1" t="e">
        <f t="shared" si="5"/>
        <v>#VALUE!</v>
      </c>
      <c r="AV9" s="1" t="e">
        <f t="shared" si="6"/>
        <v>#VALUE!</v>
      </c>
      <c r="AW9" s="1" t="e">
        <f t="shared" si="7"/>
        <v>#VALUE!</v>
      </c>
    </row>
    <row r="10" spans="1:49" x14ac:dyDescent="0.2">
      <c r="A10">
        <v>8</v>
      </c>
      <c r="B10" t="s">
        <v>1028</v>
      </c>
      <c r="C10" t="s">
        <v>981</v>
      </c>
      <c r="F10" t="s">
        <v>980</v>
      </c>
      <c r="G10" t="s">
        <v>5</v>
      </c>
      <c r="H10" t="s">
        <v>4</v>
      </c>
      <c r="I10" t="s">
        <v>979</v>
      </c>
      <c r="J10" t="s">
        <v>978</v>
      </c>
      <c r="K10" t="s">
        <v>977</v>
      </c>
      <c r="L10" t="s">
        <v>976</v>
      </c>
      <c r="M10" t="s">
        <v>975</v>
      </c>
      <c r="N10">
        <v>3</v>
      </c>
      <c r="O10" t="s">
        <v>974</v>
      </c>
      <c r="P10" t="s">
        <v>973</v>
      </c>
      <c r="Q10" t="s">
        <v>972</v>
      </c>
      <c r="R10" s="7">
        <v>30651</v>
      </c>
      <c r="S10" s="8">
        <f t="shared" si="0"/>
        <v>1983</v>
      </c>
      <c r="T10" s="8">
        <v>1983</v>
      </c>
      <c r="U10" s="8">
        <f t="shared" si="1"/>
        <v>39</v>
      </c>
      <c r="V10" s="7">
        <v>1983</v>
      </c>
      <c r="W10" t="s">
        <v>712</v>
      </c>
      <c r="X10" s="2" t="s">
        <v>0</v>
      </c>
      <c r="Y10" s="6" t="e">
        <f t="shared" si="2"/>
        <v>#VALUE!</v>
      </c>
      <c r="AA10">
        <v>321028</v>
      </c>
      <c r="AB10">
        <v>60924</v>
      </c>
      <c r="AD10" t="s">
        <v>2</v>
      </c>
      <c r="AE10">
        <v>25</v>
      </c>
      <c r="AF10">
        <v>12</v>
      </c>
      <c r="AG10">
        <v>313</v>
      </c>
      <c r="AH10" t="s">
        <v>971</v>
      </c>
      <c r="AI10" t="s">
        <v>970</v>
      </c>
      <c r="AK10" t="s">
        <v>969</v>
      </c>
      <c r="AL10">
        <v>4</v>
      </c>
      <c r="AM10" s="5">
        <f t="shared" si="3"/>
        <v>0.10256410256410256</v>
      </c>
      <c r="AN10" s="4">
        <f t="shared" si="4"/>
        <v>1.5534131399333974E-4</v>
      </c>
      <c r="AO10" s="3"/>
      <c r="AP10">
        <v>0</v>
      </c>
      <c r="AR10" t="s">
        <v>1</v>
      </c>
      <c r="AT10" s="2" t="s">
        <v>0</v>
      </c>
      <c r="AU10" s="1" t="e">
        <f t="shared" si="5"/>
        <v>#VALUE!</v>
      </c>
      <c r="AV10" s="1" t="e">
        <f t="shared" si="6"/>
        <v>#VALUE!</v>
      </c>
      <c r="AW10" s="1" t="e">
        <f t="shared" si="7"/>
        <v>#VALUE!</v>
      </c>
    </row>
    <row r="11" spans="1:49" x14ac:dyDescent="0.2">
      <c r="A11">
        <v>9</v>
      </c>
      <c r="B11" t="s">
        <v>1027</v>
      </c>
      <c r="C11" t="s">
        <v>1014</v>
      </c>
      <c r="F11" t="s">
        <v>1013</v>
      </c>
      <c r="G11" t="s">
        <v>5</v>
      </c>
      <c r="H11" t="s">
        <v>4</v>
      </c>
      <c r="I11" t="s">
        <v>1012</v>
      </c>
      <c r="J11">
        <v>60002014</v>
      </c>
      <c r="K11" t="s">
        <v>129</v>
      </c>
      <c r="L11" t="s">
        <v>128</v>
      </c>
      <c r="M11" t="s">
        <v>119</v>
      </c>
      <c r="N11">
        <v>1</v>
      </c>
      <c r="O11" t="s">
        <v>1011</v>
      </c>
      <c r="P11">
        <v>57205961378</v>
      </c>
      <c r="Q11">
        <v>60002014</v>
      </c>
      <c r="R11" s="7">
        <v>30651</v>
      </c>
      <c r="S11" s="8">
        <f t="shared" si="0"/>
        <v>1983</v>
      </c>
      <c r="T11" s="8">
        <v>1983</v>
      </c>
      <c r="U11" s="8">
        <f t="shared" si="1"/>
        <v>39</v>
      </c>
      <c r="V11" s="7">
        <v>1983</v>
      </c>
      <c r="W11" t="s">
        <v>712</v>
      </c>
      <c r="X11" s="2" t="s">
        <v>0</v>
      </c>
      <c r="Y11" s="6" t="e">
        <f t="shared" si="2"/>
        <v>#VALUE!</v>
      </c>
      <c r="AA11">
        <v>321028</v>
      </c>
      <c r="AB11">
        <v>60924</v>
      </c>
      <c r="AD11" t="s">
        <v>2</v>
      </c>
      <c r="AE11">
        <v>25</v>
      </c>
      <c r="AF11">
        <v>12</v>
      </c>
      <c r="AG11">
        <v>307</v>
      </c>
      <c r="AH11" t="s">
        <v>1010</v>
      </c>
      <c r="AI11" t="s">
        <v>1009</v>
      </c>
      <c r="AK11" t="s">
        <v>1008</v>
      </c>
      <c r="AL11">
        <v>1</v>
      </c>
      <c r="AM11" s="5">
        <f t="shared" si="3"/>
        <v>2.564102564102564E-2</v>
      </c>
      <c r="AN11" s="4">
        <f t="shared" si="4"/>
        <v>3.8835328498334935E-5</v>
      </c>
      <c r="AO11" s="3"/>
      <c r="AP11">
        <v>0</v>
      </c>
      <c r="AR11" t="s">
        <v>1</v>
      </c>
      <c r="AT11" s="2" t="s">
        <v>0</v>
      </c>
      <c r="AU11" s="1" t="e">
        <f t="shared" si="5"/>
        <v>#VALUE!</v>
      </c>
      <c r="AV11" s="1" t="e">
        <f t="shared" si="6"/>
        <v>#VALUE!</v>
      </c>
      <c r="AW11" s="1" t="e">
        <f t="shared" si="7"/>
        <v>#VALUE!</v>
      </c>
    </row>
    <row r="12" spans="1:49" x14ac:dyDescent="0.2">
      <c r="A12">
        <v>10</v>
      </c>
      <c r="B12" t="s">
        <v>1026</v>
      </c>
      <c r="C12" t="s">
        <v>1005</v>
      </c>
      <c r="F12" t="s">
        <v>1004</v>
      </c>
      <c r="G12" t="s">
        <v>5</v>
      </c>
      <c r="H12" t="s">
        <v>4</v>
      </c>
      <c r="I12" t="s">
        <v>1003</v>
      </c>
      <c r="J12" t="s">
        <v>1002</v>
      </c>
      <c r="K12" t="s">
        <v>1001</v>
      </c>
      <c r="L12" t="s">
        <v>1000</v>
      </c>
      <c r="M12" t="s">
        <v>84</v>
      </c>
      <c r="N12">
        <v>4</v>
      </c>
      <c r="O12" t="s">
        <v>999</v>
      </c>
      <c r="P12" t="s">
        <v>998</v>
      </c>
      <c r="Q12" t="s">
        <v>997</v>
      </c>
      <c r="R12" s="7">
        <v>30651</v>
      </c>
      <c r="S12" s="8">
        <f t="shared" si="0"/>
        <v>1983</v>
      </c>
      <c r="T12" s="8">
        <v>1983</v>
      </c>
      <c r="U12" s="8">
        <f t="shared" si="1"/>
        <v>39</v>
      </c>
      <c r="V12" s="7">
        <v>1983</v>
      </c>
      <c r="W12" t="s">
        <v>712</v>
      </c>
      <c r="X12" s="2" t="s">
        <v>0</v>
      </c>
      <c r="Y12" s="6" t="e">
        <f t="shared" si="2"/>
        <v>#VALUE!</v>
      </c>
      <c r="AA12">
        <v>321028</v>
      </c>
      <c r="AB12">
        <v>60924</v>
      </c>
      <c r="AD12" t="s">
        <v>2</v>
      </c>
      <c r="AE12">
        <v>25</v>
      </c>
      <c r="AF12">
        <v>12</v>
      </c>
      <c r="AG12">
        <v>311</v>
      </c>
      <c r="AH12" t="s">
        <v>996</v>
      </c>
      <c r="AI12" t="s">
        <v>995</v>
      </c>
      <c r="AK12" t="s">
        <v>994</v>
      </c>
      <c r="AL12">
        <v>2</v>
      </c>
      <c r="AM12" s="5">
        <f t="shared" si="3"/>
        <v>5.128205128205128E-2</v>
      </c>
      <c r="AN12" s="4">
        <f t="shared" si="4"/>
        <v>7.767065699666987E-5</v>
      </c>
      <c r="AO12" s="3"/>
      <c r="AP12">
        <v>0</v>
      </c>
      <c r="AR12" t="s">
        <v>1</v>
      </c>
      <c r="AT12" s="2" t="s">
        <v>0</v>
      </c>
      <c r="AU12" s="1" t="e">
        <f t="shared" si="5"/>
        <v>#VALUE!</v>
      </c>
      <c r="AV12" s="1" t="e">
        <f t="shared" si="6"/>
        <v>#VALUE!</v>
      </c>
      <c r="AW12" s="1" t="e">
        <f t="shared" si="7"/>
        <v>#VALUE!</v>
      </c>
    </row>
    <row r="13" spans="1:49" x14ac:dyDescent="0.2">
      <c r="A13">
        <v>11</v>
      </c>
      <c r="B13" t="s">
        <v>1025</v>
      </c>
      <c r="C13" t="s">
        <v>1024</v>
      </c>
      <c r="F13" t="s">
        <v>1023</v>
      </c>
      <c r="G13" t="s">
        <v>5</v>
      </c>
      <c r="H13" t="s">
        <v>4</v>
      </c>
      <c r="I13" t="s">
        <v>1022</v>
      </c>
      <c r="J13">
        <v>60004280</v>
      </c>
      <c r="K13" t="s">
        <v>837</v>
      </c>
      <c r="L13" t="s">
        <v>836</v>
      </c>
      <c r="M13" t="s">
        <v>15</v>
      </c>
      <c r="N13">
        <v>4</v>
      </c>
      <c r="O13" t="s">
        <v>1021</v>
      </c>
      <c r="P13" t="s">
        <v>1020</v>
      </c>
      <c r="Q13" t="s">
        <v>1019</v>
      </c>
      <c r="R13" s="7">
        <v>30651</v>
      </c>
      <c r="S13" s="8">
        <f t="shared" si="0"/>
        <v>1983</v>
      </c>
      <c r="T13" s="8">
        <v>1983</v>
      </c>
      <c r="U13" s="8">
        <f t="shared" si="1"/>
        <v>39</v>
      </c>
      <c r="V13" s="7">
        <v>1983</v>
      </c>
      <c r="W13" t="s">
        <v>712</v>
      </c>
      <c r="X13" s="2" t="s">
        <v>0</v>
      </c>
      <c r="Y13" s="6" t="e">
        <f t="shared" si="2"/>
        <v>#VALUE!</v>
      </c>
      <c r="AA13">
        <v>321028</v>
      </c>
      <c r="AB13">
        <v>60924</v>
      </c>
      <c r="AD13" t="s">
        <v>2</v>
      </c>
      <c r="AE13">
        <v>25</v>
      </c>
      <c r="AF13">
        <v>7</v>
      </c>
      <c r="AG13">
        <v>5</v>
      </c>
      <c r="AH13" t="s">
        <v>1018</v>
      </c>
      <c r="AI13" t="s">
        <v>1017</v>
      </c>
      <c r="AK13" t="s">
        <v>1016</v>
      </c>
      <c r="AL13">
        <v>0</v>
      </c>
      <c r="AM13" s="5">
        <f t="shared" si="3"/>
        <v>0</v>
      </c>
      <c r="AN13" s="4">
        <f t="shared" si="4"/>
        <v>0</v>
      </c>
      <c r="AO13" s="3"/>
      <c r="AP13">
        <v>0</v>
      </c>
      <c r="AR13" t="s">
        <v>1</v>
      </c>
      <c r="AT13" s="2" t="s">
        <v>0</v>
      </c>
      <c r="AU13" s="1" t="e">
        <f t="shared" si="5"/>
        <v>#VALUE!</v>
      </c>
      <c r="AV13" s="1" t="e">
        <f t="shared" si="6"/>
        <v>#VALUE!</v>
      </c>
      <c r="AW13" s="1" t="e">
        <f t="shared" si="7"/>
        <v>#VALUE!</v>
      </c>
    </row>
    <row r="14" spans="1:49" x14ac:dyDescent="0.2">
      <c r="A14">
        <v>12</v>
      </c>
      <c r="B14" t="s">
        <v>1015</v>
      </c>
      <c r="C14" t="s">
        <v>1014</v>
      </c>
      <c r="F14" t="s">
        <v>1013</v>
      </c>
      <c r="G14" t="s">
        <v>5</v>
      </c>
      <c r="H14" t="s">
        <v>4</v>
      </c>
      <c r="I14" t="s">
        <v>1012</v>
      </c>
      <c r="J14">
        <v>60002014</v>
      </c>
      <c r="K14" t="s">
        <v>129</v>
      </c>
      <c r="L14" t="s">
        <v>128</v>
      </c>
      <c r="M14" t="s">
        <v>119</v>
      </c>
      <c r="N14">
        <v>1</v>
      </c>
      <c r="O14" t="s">
        <v>1011</v>
      </c>
      <c r="P14">
        <v>57205961378</v>
      </c>
      <c r="Q14">
        <v>60002014</v>
      </c>
      <c r="R14" s="7">
        <v>30651</v>
      </c>
      <c r="S14" s="8">
        <f t="shared" si="0"/>
        <v>1983</v>
      </c>
      <c r="T14" s="8">
        <v>1983</v>
      </c>
      <c r="U14" s="8">
        <f t="shared" si="1"/>
        <v>39</v>
      </c>
      <c r="V14" s="7">
        <v>1983</v>
      </c>
      <c r="W14" t="s">
        <v>72</v>
      </c>
      <c r="X14" s="2">
        <v>0.85699999999999998</v>
      </c>
      <c r="Y14" s="6">
        <f t="shared" si="2"/>
        <v>2.287712554389899E-2</v>
      </c>
      <c r="AA14">
        <v>321028</v>
      </c>
      <c r="AB14">
        <v>28570</v>
      </c>
      <c r="AD14" t="s">
        <v>2</v>
      </c>
      <c r="AE14">
        <v>25</v>
      </c>
      <c r="AF14">
        <v>12</v>
      </c>
      <c r="AG14">
        <v>307</v>
      </c>
      <c r="AH14" t="s">
        <v>1010</v>
      </c>
      <c r="AI14" t="s">
        <v>1009</v>
      </c>
      <c r="AK14" t="s">
        <v>1008</v>
      </c>
      <c r="AL14">
        <v>0</v>
      </c>
      <c r="AM14" s="5">
        <f t="shared" si="3"/>
        <v>0</v>
      </c>
      <c r="AN14" s="4">
        <f t="shared" si="4"/>
        <v>0</v>
      </c>
      <c r="AO14" s="3"/>
      <c r="AP14">
        <v>0</v>
      </c>
      <c r="AR14" t="s">
        <v>1</v>
      </c>
      <c r="AT14" s="2" t="s">
        <v>0</v>
      </c>
      <c r="AU14" s="1">
        <f t="shared" si="5"/>
        <v>1.6013987880729292</v>
      </c>
      <c r="AV14" s="1">
        <f t="shared" si="6"/>
        <v>1.1438562771949494</v>
      </c>
      <c r="AW14" s="1">
        <f t="shared" si="7"/>
        <v>0.68631376631696972</v>
      </c>
    </row>
    <row r="15" spans="1:49" x14ac:dyDescent="0.2">
      <c r="A15">
        <v>13</v>
      </c>
      <c r="B15" t="s">
        <v>1007</v>
      </c>
      <c r="C15" t="s">
        <v>940</v>
      </c>
      <c r="F15" t="s">
        <v>939</v>
      </c>
      <c r="G15" t="s">
        <v>5</v>
      </c>
      <c r="H15" t="s">
        <v>4</v>
      </c>
      <c r="I15" t="s">
        <v>938</v>
      </c>
      <c r="J15">
        <v>60025709</v>
      </c>
      <c r="K15" t="s">
        <v>937</v>
      </c>
      <c r="L15" t="s">
        <v>936</v>
      </c>
      <c r="M15" t="s">
        <v>39</v>
      </c>
      <c r="N15">
        <v>1</v>
      </c>
      <c r="O15" t="s">
        <v>935</v>
      </c>
      <c r="P15">
        <v>7202235472</v>
      </c>
      <c r="Q15">
        <v>60025709</v>
      </c>
      <c r="R15" s="7">
        <v>30651</v>
      </c>
      <c r="S15" s="8">
        <f t="shared" si="0"/>
        <v>1983</v>
      </c>
      <c r="T15" s="8">
        <v>1983</v>
      </c>
      <c r="U15" s="8">
        <f t="shared" si="1"/>
        <v>39</v>
      </c>
      <c r="V15" s="7">
        <v>1983</v>
      </c>
      <c r="W15" t="s">
        <v>72</v>
      </c>
      <c r="X15" s="2">
        <v>0.85699999999999998</v>
      </c>
      <c r="Y15" s="6">
        <f t="shared" si="2"/>
        <v>2.287712554389899E-2</v>
      </c>
      <c r="AA15">
        <v>321028</v>
      </c>
      <c r="AB15">
        <v>28570</v>
      </c>
      <c r="AD15" t="s">
        <v>2</v>
      </c>
      <c r="AE15">
        <v>25</v>
      </c>
      <c r="AF15">
        <v>12</v>
      </c>
      <c r="AG15">
        <v>306</v>
      </c>
      <c r="AH15" t="s">
        <v>934</v>
      </c>
      <c r="AI15" t="s">
        <v>933</v>
      </c>
      <c r="AK15" t="s">
        <v>932</v>
      </c>
      <c r="AL15">
        <v>8</v>
      </c>
      <c r="AM15" s="5">
        <f t="shared" si="3"/>
        <v>0.20512820512820512</v>
      </c>
      <c r="AN15" s="4">
        <f t="shared" si="4"/>
        <v>3.1068262798667948E-4</v>
      </c>
      <c r="AO15" s="3"/>
      <c r="AP15">
        <v>0</v>
      </c>
      <c r="AR15" t="s">
        <v>1</v>
      </c>
      <c r="AT15" s="2" t="s">
        <v>0</v>
      </c>
      <c r="AU15" s="1">
        <f t="shared" si="5"/>
        <v>1.6107192669125296</v>
      </c>
      <c r="AV15" s="1">
        <f t="shared" si="6"/>
        <v>1.1593904085942834</v>
      </c>
      <c r="AW15" s="1">
        <f t="shared" si="7"/>
        <v>0.70806155027603723</v>
      </c>
    </row>
    <row r="16" spans="1:49" x14ac:dyDescent="0.2">
      <c r="A16">
        <v>14</v>
      </c>
      <c r="B16" t="s">
        <v>1006</v>
      </c>
      <c r="C16" t="s">
        <v>1005</v>
      </c>
      <c r="F16" t="s">
        <v>1004</v>
      </c>
      <c r="G16" t="s">
        <v>5</v>
      </c>
      <c r="H16" t="s">
        <v>4</v>
      </c>
      <c r="I16" t="s">
        <v>1003</v>
      </c>
      <c r="J16" t="s">
        <v>1002</v>
      </c>
      <c r="K16" t="s">
        <v>1001</v>
      </c>
      <c r="L16" t="s">
        <v>1000</v>
      </c>
      <c r="M16" t="s">
        <v>84</v>
      </c>
      <c r="N16">
        <v>4</v>
      </c>
      <c r="O16" t="s">
        <v>999</v>
      </c>
      <c r="P16" t="s">
        <v>998</v>
      </c>
      <c r="Q16" t="s">
        <v>997</v>
      </c>
      <c r="R16" s="7">
        <v>30651</v>
      </c>
      <c r="S16" s="8">
        <f t="shared" si="0"/>
        <v>1983</v>
      </c>
      <c r="T16" s="8">
        <v>1983</v>
      </c>
      <c r="U16" s="8">
        <f t="shared" si="1"/>
        <v>39</v>
      </c>
      <c r="V16" s="7">
        <v>1983</v>
      </c>
      <c r="W16" t="s">
        <v>72</v>
      </c>
      <c r="X16" s="2">
        <v>0.85699999999999998</v>
      </c>
      <c r="Y16" s="6">
        <f t="shared" si="2"/>
        <v>2.287712554389899E-2</v>
      </c>
      <c r="AA16">
        <v>321028</v>
      </c>
      <c r="AB16">
        <v>28570</v>
      </c>
      <c r="AD16" t="s">
        <v>2</v>
      </c>
      <c r="AE16">
        <v>25</v>
      </c>
      <c r="AF16">
        <v>12</v>
      </c>
      <c r="AG16">
        <v>311</v>
      </c>
      <c r="AH16" t="s">
        <v>996</v>
      </c>
      <c r="AI16" t="s">
        <v>995</v>
      </c>
      <c r="AK16" t="s">
        <v>994</v>
      </c>
      <c r="AL16">
        <v>0</v>
      </c>
      <c r="AM16" s="5">
        <f t="shared" si="3"/>
        <v>0</v>
      </c>
      <c r="AN16" s="4">
        <f t="shared" si="4"/>
        <v>0</v>
      </c>
      <c r="AO16" s="3"/>
      <c r="AP16">
        <v>0</v>
      </c>
      <c r="AR16" t="s">
        <v>1</v>
      </c>
      <c r="AT16" s="2" t="s">
        <v>0</v>
      </c>
      <c r="AU16" s="1">
        <f t="shared" si="5"/>
        <v>1.6013987880729292</v>
      </c>
      <c r="AV16" s="1">
        <f t="shared" si="6"/>
        <v>1.1438562771949494</v>
      </c>
      <c r="AW16" s="1">
        <f t="shared" si="7"/>
        <v>0.68631376631696972</v>
      </c>
    </row>
    <row r="17" spans="1:49" x14ac:dyDescent="0.2">
      <c r="A17">
        <v>15</v>
      </c>
      <c r="B17" t="s">
        <v>993</v>
      </c>
      <c r="C17" t="s">
        <v>992</v>
      </c>
      <c r="F17" t="s">
        <v>991</v>
      </c>
      <c r="G17" t="s">
        <v>5</v>
      </c>
      <c r="H17" t="s">
        <v>4</v>
      </c>
      <c r="I17" t="s">
        <v>990</v>
      </c>
      <c r="J17">
        <v>60000264</v>
      </c>
      <c r="K17" t="s">
        <v>27</v>
      </c>
      <c r="L17" t="s">
        <v>26</v>
      </c>
      <c r="M17" t="s">
        <v>6</v>
      </c>
      <c r="N17">
        <v>4</v>
      </c>
      <c r="O17" t="s">
        <v>989</v>
      </c>
      <c r="P17" t="s">
        <v>988</v>
      </c>
      <c r="Q17" t="s">
        <v>987</v>
      </c>
      <c r="R17" s="7">
        <v>30651</v>
      </c>
      <c r="S17" s="8">
        <f t="shared" si="0"/>
        <v>1983</v>
      </c>
      <c r="T17" s="8">
        <v>1983</v>
      </c>
      <c r="U17" s="8">
        <f t="shared" si="1"/>
        <v>39</v>
      </c>
      <c r="V17" s="7">
        <v>1983</v>
      </c>
      <c r="W17" t="s">
        <v>712</v>
      </c>
      <c r="X17" s="2" t="s">
        <v>0</v>
      </c>
      <c r="Y17" s="6" t="e">
        <f t="shared" si="2"/>
        <v>#VALUE!</v>
      </c>
      <c r="AA17">
        <v>321028</v>
      </c>
      <c r="AB17">
        <v>60924</v>
      </c>
      <c r="AD17" t="s">
        <v>2</v>
      </c>
      <c r="AE17">
        <v>25</v>
      </c>
      <c r="AF17">
        <v>8</v>
      </c>
      <c r="AG17">
        <v>6</v>
      </c>
      <c r="AH17" t="s">
        <v>986</v>
      </c>
      <c r="AI17" t="s">
        <v>985</v>
      </c>
      <c r="AK17" t="s">
        <v>984</v>
      </c>
      <c r="AL17">
        <v>2</v>
      </c>
      <c r="AM17" s="5">
        <f t="shared" si="3"/>
        <v>5.128205128205128E-2</v>
      </c>
      <c r="AN17" s="4">
        <f t="shared" si="4"/>
        <v>7.767065699666987E-5</v>
      </c>
      <c r="AO17" s="3"/>
      <c r="AP17">
        <v>0</v>
      </c>
      <c r="AR17" t="s">
        <v>1</v>
      </c>
      <c r="AT17" s="2" t="s">
        <v>0</v>
      </c>
      <c r="AU17" s="1" t="e">
        <f t="shared" si="5"/>
        <v>#VALUE!</v>
      </c>
      <c r="AV17" s="1" t="e">
        <f t="shared" si="6"/>
        <v>#VALUE!</v>
      </c>
      <c r="AW17" s="1" t="e">
        <f t="shared" si="7"/>
        <v>#VALUE!</v>
      </c>
    </row>
    <row r="18" spans="1:49" x14ac:dyDescent="0.2">
      <c r="A18">
        <v>16</v>
      </c>
      <c r="B18" t="s">
        <v>983</v>
      </c>
      <c r="C18" t="s">
        <v>718</v>
      </c>
      <c r="F18" t="s">
        <v>717</v>
      </c>
      <c r="G18" t="s">
        <v>5</v>
      </c>
      <c r="H18" t="s">
        <v>4</v>
      </c>
      <c r="I18" t="s">
        <v>716</v>
      </c>
      <c r="J18">
        <v>60008662</v>
      </c>
      <c r="K18" t="s">
        <v>715</v>
      </c>
      <c r="L18" t="s">
        <v>714</v>
      </c>
      <c r="M18" t="s">
        <v>28</v>
      </c>
      <c r="N18">
        <v>1</v>
      </c>
      <c r="O18" t="s">
        <v>713</v>
      </c>
      <c r="P18">
        <v>36894053200</v>
      </c>
      <c r="Q18">
        <v>60008662</v>
      </c>
      <c r="R18" s="7">
        <v>30651</v>
      </c>
      <c r="S18" s="8">
        <f t="shared" si="0"/>
        <v>1983</v>
      </c>
      <c r="T18" s="8">
        <v>1983</v>
      </c>
      <c r="U18" s="8">
        <f t="shared" si="1"/>
        <v>39</v>
      </c>
      <c r="V18" s="7">
        <v>1983</v>
      </c>
      <c r="W18" t="s">
        <v>72</v>
      </c>
      <c r="X18" s="2">
        <v>0.85699999999999998</v>
      </c>
      <c r="Y18" s="6">
        <f t="shared" si="2"/>
        <v>2.287712554389899E-2</v>
      </c>
      <c r="AA18">
        <v>321028</v>
      </c>
      <c r="AB18">
        <v>28570</v>
      </c>
      <c r="AD18" t="s">
        <v>2</v>
      </c>
      <c r="AE18">
        <v>25</v>
      </c>
      <c r="AF18">
        <v>12</v>
      </c>
      <c r="AG18">
        <v>315</v>
      </c>
      <c r="AH18" t="s">
        <v>711</v>
      </c>
      <c r="AI18" t="s">
        <v>710</v>
      </c>
      <c r="AK18" t="s">
        <v>709</v>
      </c>
      <c r="AL18">
        <v>6</v>
      </c>
      <c r="AM18" s="5">
        <f t="shared" si="3"/>
        <v>0.15384615384615385</v>
      </c>
      <c r="AN18" s="4">
        <f t="shared" si="4"/>
        <v>2.3301197099000962E-4</v>
      </c>
      <c r="AO18" s="3"/>
      <c r="AP18">
        <v>0</v>
      </c>
      <c r="AR18" t="s">
        <v>1</v>
      </c>
      <c r="AT18" s="2" t="s">
        <v>0</v>
      </c>
      <c r="AU18" s="1">
        <f t="shared" si="5"/>
        <v>1.6083891472026295</v>
      </c>
      <c r="AV18" s="1">
        <f t="shared" si="6"/>
        <v>1.15550687574445</v>
      </c>
      <c r="AW18" s="1">
        <f t="shared" si="7"/>
        <v>0.70262460428627038</v>
      </c>
    </row>
    <row r="19" spans="1:49" x14ac:dyDescent="0.2">
      <c r="A19">
        <v>17</v>
      </c>
      <c r="B19" t="s">
        <v>982</v>
      </c>
      <c r="C19" t="s">
        <v>981</v>
      </c>
      <c r="F19" t="s">
        <v>980</v>
      </c>
      <c r="G19" t="s">
        <v>5</v>
      </c>
      <c r="H19" t="s">
        <v>4</v>
      </c>
      <c r="I19" t="s">
        <v>979</v>
      </c>
      <c r="J19" t="s">
        <v>978</v>
      </c>
      <c r="K19" t="s">
        <v>977</v>
      </c>
      <c r="L19" t="s">
        <v>976</v>
      </c>
      <c r="M19" t="s">
        <v>975</v>
      </c>
      <c r="N19">
        <v>3</v>
      </c>
      <c r="O19" t="s">
        <v>974</v>
      </c>
      <c r="P19" t="s">
        <v>973</v>
      </c>
      <c r="Q19" t="s">
        <v>972</v>
      </c>
      <c r="R19" s="7">
        <v>30651</v>
      </c>
      <c r="S19" s="8">
        <f t="shared" si="0"/>
        <v>1983</v>
      </c>
      <c r="T19" s="8">
        <v>1983</v>
      </c>
      <c r="U19" s="8">
        <f t="shared" si="1"/>
        <v>39</v>
      </c>
      <c r="V19" s="7">
        <v>1983</v>
      </c>
      <c r="W19" t="s">
        <v>72</v>
      </c>
      <c r="X19" s="2">
        <v>0.85699999999999998</v>
      </c>
      <c r="Y19" s="6">
        <f t="shared" si="2"/>
        <v>2.287712554389899E-2</v>
      </c>
      <c r="AA19">
        <v>321028</v>
      </c>
      <c r="AB19">
        <v>28570</v>
      </c>
      <c r="AD19" t="s">
        <v>2</v>
      </c>
      <c r="AE19">
        <v>25</v>
      </c>
      <c r="AF19">
        <v>12</v>
      </c>
      <c r="AG19">
        <v>313</v>
      </c>
      <c r="AH19" t="s">
        <v>971</v>
      </c>
      <c r="AI19" t="s">
        <v>970</v>
      </c>
      <c r="AK19" t="s">
        <v>969</v>
      </c>
      <c r="AL19">
        <v>0</v>
      </c>
      <c r="AM19" s="5">
        <f t="shared" si="3"/>
        <v>0</v>
      </c>
      <c r="AN19" s="4">
        <f t="shared" si="4"/>
        <v>0</v>
      </c>
      <c r="AO19" s="3"/>
      <c r="AP19">
        <v>0</v>
      </c>
      <c r="AR19" t="s">
        <v>1</v>
      </c>
      <c r="AT19" s="2" t="s">
        <v>0</v>
      </c>
      <c r="AU19" s="1">
        <f t="shared" si="5"/>
        <v>1.6013987880729292</v>
      </c>
      <c r="AV19" s="1">
        <f t="shared" si="6"/>
        <v>1.1438562771949494</v>
      </c>
      <c r="AW19" s="1">
        <f t="shared" si="7"/>
        <v>0.68631376631696972</v>
      </c>
    </row>
    <row r="20" spans="1:49" x14ac:dyDescent="0.2">
      <c r="A20">
        <v>18</v>
      </c>
      <c r="B20" t="s">
        <v>968</v>
      </c>
      <c r="C20" t="s">
        <v>967</v>
      </c>
      <c r="F20" t="s">
        <v>24</v>
      </c>
      <c r="G20" t="s">
        <v>5</v>
      </c>
      <c r="H20" t="s">
        <v>4</v>
      </c>
      <c r="I20" t="s">
        <v>23</v>
      </c>
      <c r="J20">
        <v>60024613</v>
      </c>
      <c r="K20" t="s">
        <v>966</v>
      </c>
      <c r="L20" t="s">
        <v>40</v>
      </c>
      <c r="M20" t="s">
        <v>3</v>
      </c>
      <c r="N20">
        <v>1</v>
      </c>
      <c r="O20" t="s">
        <v>22</v>
      </c>
      <c r="P20">
        <v>7409449087</v>
      </c>
      <c r="Q20">
        <v>60024613</v>
      </c>
      <c r="R20" s="7">
        <v>30651</v>
      </c>
      <c r="S20" s="8">
        <f t="shared" si="0"/>
        <v>1983</v>
      </c>
      <c r="T20" s="8">
        <v>1983</v>
      </c>
      <c r="U20" s="8">
        <f t="shared" si="1"/>
        <v>39</v>
      </c>
      <c r="V20" s="7">
        <v>30651</v>
      </c>
      <c r="W20" t="s">
        <v>21</v>
      </c>
      <c r="X20" s="2">
        <v>1.1579999999999999</v>
      </c>
      <c r="Y20" s="6">
        <f t="shared" si="2"/>
        <v>3.0912148634579962E-2</v>
      </c>
      <c r="AA20">
        <v>1668595</v>
      </c>
      <c r="AB20">
        <v>14223</v>
      </c>
      <c r="AC20">
        <v>15735079</v>
      </c>
      <c r="AD20" t="s">
        <v>2</v>
      </c>
      <c r="AE20">
        <v>4</v>
      </c>
      <c r="AF20">
        <v>4</v>
      </c>
      <c r="AH20" t="s">
        <v>20</v>
      </c>
      <c r="AI20" t="s">
        <v>19</v>
      </c>
      <c r="AJ20" t="s">
        <v>18</v>
      </c>
      <c r="AK20" t="s">
        <v>17</v>
      </c>
      <c r="AL20">
        <v>3</v>
      </c>
      <c r="AM20" s="5">
        <f t="shared" si="3"/>
        <v>7.6923076923076927E-2</v>
      </c>
      <c r="AN20" s="4">
        <f t="shared" si="4"/>
        <v>1.1650598549500481E-4</v>
      </c>
      <c r="AO20" s="3"/>
      <c r="AP20">
        <v>0</v>
      </c>
      <c r="AR20" t="s">
        <v>1</v>
      </c>
      <c r="AT20" s="2">
        <v>3.573</v>
      </c>
      <c r="AU20" s="1">
        <f t="shared" si="5"/>
        <v>2.1673455839854472</v>
      </c>
      <c r="AV20" s="1">
        <f t="shared" si="6"/>
        <v>1.5514327310037483</v>
      </c>
      <c r="AW20" s="1">
        <f t="shared" si="7"/>
        <v>0.93551987802204928</v>
      </c>
    </row>
    <row r="21" spans="1:49" x14ac:dyDescent="0.2">
      <c r="A21">
        <v>19</v>
      </c>
      <c r="B21" t="s">
        <v>965</v>
      </c>
      <c r="C21" t="s">
        <v>964</v>
      </c>
      <c r="F21" t="s">
        <v>963</v>
      </c>
      <c r="G21" t="s">
        <v>5</v>
      </c>
      <c r="H21" t="s">
        <v>4</v>
      </c>
      <c r="I21" t="s">
        <v>962</v>
      </c>
      <c r="J21">
        <v>60004176</v>
      </c>
      <c r="K21" t="s">
        <v>961</v>
      </c>
      <c r="L21" t="s">
        <v>80</v>
      </c>
      <c r="M21" t="s">
        <v>6</v>
      </c>
      <c r="N21">
        <v>3</v>
      </c>
      <c r="O21" t="s">
        <v>960</v>
      </c>
      <c r="P21" t="s">
        <v>959</v>
      </c>
      <c r="Q21" t="s">
        <v>958</v>
      </c>
      <c r="R21" s="7">
        <v>30651</v>
      </c>
      <c r="S21" s="8">
        <f t="shared" si="0"/>
        <v>1983</v>
      </c>
      <c r="T21" s="8">
        <v>1983</v>
      </c>
      <c r="U21" s="8">
        <f t="shared" si="1"/>
        <v>39</v>
      </c>
      <c r="V21" s="7">
        <v>1983</v>
      </c>
      <c r="W21" t="s">
        <v>957</v>
      </c>
      <c r="X21" s="2">
        <v>1.1819999999999999</v>
      </c>
      <c r="Y21" s="6">
        <f t="shared" si="2"/>
        <v>3.1552814927524625E-2</v>
      </c>
      <c r="AA21">
        <v>36951</v>
      </c>
      <c r="AB21">
        <v>27030</v>
      </c>
      <c r="AD21" t="s">
        <v>2</v>
      </c>
      <c r="AE21">
        <v>42</v>
      </c>
      <c r="AF21">
        <v>3</v>
      </c>
      <c r="AH21" t="s">
        <v>956</v>
      </c>
      <c r="AI21" t="s">
        <v>955</v>
      </c>
      <c r="AK21" t="s">
        <v>954</v>
      </c>
      <c r="AL21">
        <v>12</v>
      </c>
      <c r="AM21" s="5">
        <f t="shared" si="3"/>
        <v>0.30769230769230771</v>
      </c>
      <c r="AN21" s="4">
        <f t="shared" si="4"/>
        <v>4.6602394198001925E-4</v>
      </c>
      <c r="AO21" s="3"/>
      <c r="AP21">
        <v>0</v>
      </c>
      <c r="AR21" t="s">
        <v>1</v>
      </c>
      <c r="AT21" s="2">
        <v>3.7909999999999999</v>
      </c>
      <c r="AU21" s="1">
        <f t="shared" si="5"/>
        <v>2.2226777631861241</v>
      </c>
      <c r="AV21" s="1">
        <f t="shared" si="6"/>
        <v>1.6009419434752321</v>
      </c>
      <c r="AW21" s="1">
        <f t="shared" si="7"/>
        <v>0.97920612376434013</v>
      </c>
    </row>
    <row r="22" spans="1:49" x14ac:dyDescent="0.2">
      <c r="A22">
        <v>20</v>
      </c>
      <c r="B22" t="s">
        <v>953</v>
      </c>
      <c r="C22" t="s">
        <v>952</v>
      </c>
      <c r="F22" t="s">
        <v>951</v>
      </c>
      <c r="G22" t="s">
        <v>5</v>
      </c>
      <c r="H22" t="s">
        <v>4</v>
      </c>
      <c r="I22" t="s">
        <v>950</v>
      </c>
      <c r="J22">
        <v>60015658</v>
      </c>
      <c r="K22" t="s">
        <v>949</v>
      </c>
      <c r="L22" t="s">
        <v>948</v>
      </c>
      <c r="M22" t="s">
        <v>6</v>
      </c>
      <c r="N22">
        <v>2</v>
      </c>
      <c r="O22" t="s">
        <v>947</v>
      </c>
      <c r="P22" t="s">
        <v>946</v>
      </c>
      <c r="Q22" t="s">
        <v>945</v>
      </c>
      <c r="R22" s="7">
        <v>30651</v>
      </c>
      <c r="S22" s="8">
        <f t="shared" si="0"/>
        <v>1983</v>
      </c>
      <c r="T22" s="8">
        <v>1983</v>
      </c>
      <c r="U22" s="8">
        <f t="shared" si="1"/>
        <v>39</v>
      </c>
      <c r="V22" s="7">
        <v>1983</v>
      </c>
      <c r="W22" t="s">
        <v>712</v>
      </c>
      <c r="X22" s="2" t="s">
        <v>0</v>
      </c>
      <c r="Y22" s="6" t="e">
        <f t="shared" si="2"/>
        <v>#VALUE!</v>
      </c>
      <c r="AA22">
        <v>321028</v>
      </c>
      <c r="AB22">
        <v>60924</v>
      </c>
      <c r="AD22" t="s">
        <v>2</v>
      </c>
      <c r="AE22">
        <v>25</v>
      </c>
      <c r="AF22">
        <v>9</v>
      </c>
      <c r="AG22">
        <v>7</v>
      </c>
      <c r="AH22" t="s">
        <v>944</v>
      </c>
      <c r="AI22" t="s">
        <v>943</v>
      </c>
      <c r="AK22" t="s">
        <v>942</v>
      </c>
      <c r="AL22">
        <v>5</v>
      </c>
      <c r="AM22" s="5">
        <f t="shared" si="3"/>
        <v>0.12820512820512819</v>
      </c>
      <c r="AN22" s="4">
        <f t="shared" si="4"/>
        <v>1.9417664249167467E-4</v>
      </c>
      <c r="AO22" s="3"/>
      <c r="AP22">
        <v>0</v>
      </c>
      <c r="AR22" t="s">
        <v>1</v>
      </c>
      <c r="AT22" s="2" t="s">
        <v>0</v>
      </c>
      <c r="AU22" s="1" t="e">
        <f t="shared" si="5"/>
        <v>#VALUE!</v>
      </c>
      <c r="AV22" s="1" t="e">
        <f t="shared" si="6"/>
        <v>#VALUE!</v>
      </c>
      <c r="AW22" s="1" t="e">
        <f t="shared" si="7"/>
        <v>#VALUE!</v>
      </c>
    </row>
    <row r="23" spans="1:49" x14ac:dyDescent="0.2">
      <c r="A23">
        <v>21</v>
      </c>
      <c r="B23" t="s">
        <v>941</v>
      </c>
      <c r="C23" t="s">
        <v>940</v>
      </c>
      <c r="F23" t="s">
        <v>939</v>
      </c>
      <c r="G23" t="s">
        <v>5</v>
      </c>
      <c r="H23" t="s">
        <v>4</v>
      </c>
      <c r="I23" t="s">
        <v>938</v>
      </c>
      <c r="J23">
        <v>60025709</v>
      </c>
      <c r="K23" t="s">
        <v>937</v>
      </c>
      <c r="L23" t="s">
        <v>936</v>
      </c>
      <c r="M23" t="s">
        <v>39</v>
      </c>
      <c r="N23">
        <v>1</v>
      </c>
      <c r="O23" t="s">
        <v>935</v>
      </c>
      <c r="P23">
        <v>7202235472</v>
      </c>
      <c r="Q23">
        <v>60025709</v>
      </c>
      <c r="R23" s="7">
        <v>30651</v>
      </c>
      <c r="S23" s="8">
        <f t="shared" si="0"/>
        <v>1983</v>
      </c>
      <c r="T23" s="8">
        <v>1983</v>
      </c>
      <c r="U23" s="8">
        <f t="shared" si="1"/>
        <v>39</v>
      </c>
      <c r="V23" s="7">
        <v>1983</v>
      </c>
      <c r="W23" t="s">
        <v>712</v>
      </c>
      <c r="X23" s="2" t="s">
        <v>0</v>
      </c>
      <c r="Y23" s="6" t="e">
        <f t="shared" si="2"/>
        <v>#VALUE!</v>
      </c>
      <c r="AA23">
        <v>321028</v>
      </c>
      <c r="AB23">
        <v>60924</v>
      </c>
      <c r="AD23" t="s">
        <v>2</v>
      </c>
      <c r="AE23">
        <v>25</v>
      </c>
      <c r="AF23">
        <v>12</v>
      </c>
      <c r="AG23">
        <v>306</v>
      </c>
      <c r="AH23" t="s">
        <v>934</v>
      </c>
      <c r="AI23" t="s">
        <v>933</v>
      </c>
      <c r="AK23" t="s">
        <v>932</v>
      </c>
      <c r="AL23">
        <v>10</v>
      </c>
      <c r="AM23" s="5">
        <f t="shared" si="3"/>
        <v>0.25641025641025639</v>
      </c>
      <c r="AN23" s="4">
        <f t="shared" si="4"/>
        <v>3.8835328498334934E-4</v>
      </c>
      <c r="AO23" s="3"/>
      <c r="AP23">
        <v>0</v>
      </c>
      <c r="AR23" t="s">
        <v>1</v>
      </c>
      <c r="AT23" s="2" t="s">
        <v>0</v>
      </c>
      <c r="AU23" s="1" t="e">
        <f t="shared" si="5"/>
        <v>#VALUE!</v>
      </c>
      <c r="AV23" s="1" t="e">
        <f t="shared" si="6"/>
        <v>#VALUE!</v>
      </c>
      <c r="AW23" s="1" t="e">
        <f t="shared" si="7"/>
        <v>#VALUE!</v>
      </c>
    </row>
    <row r="24" spans="1:49" x14ac:dyDescent="0.2">
      <c r="A24">
        <v>22</v>
      </c>
      <c r="B24" t="s">
        <v>931</v>
      </c>
      <c r="C24" t="s">
        <v>930</v>
      </c>
      <c r="F24" t="s">
        <v>929</v>
      </c>
      <c r="G24" t="s">
        <v>5</v>
      </c>
      <c r="H24" t="s">
        <v>4</v>
      </c>
      <c r="I24" t="s">
        <v>928</v>
      </c>
      <c r="J24">
        <v>60024025</v>
      </c>
      <c r="K24" t="s">
        <v>927</v>
      </c>
      <c r="L24" t="s">
        <v>926</v>
      </c>
      <c r="M24" t="s">
        <v>9</v>
      </c>
      <c r="N24">
        <v>3</v>
      </c>
      <c r="O24" t="s">
        <v>925</v>
      </c>
      <c r="P24" t="s">
        <v>924</v>
      </c>
      <c r="Q24" t="s">
        <v>923</v>
      </c>
      <c r="R24" s="7">
        <v>30651</v>
      </c>
      <c r="S24" s="8">
        <f t="shared" si="0"/>
        <v>1983</v>
      </c>
      <c r="T24" s="8">
        <v>1983</v>
      </c>
      <c r="U24" s="8">
        <f t="shared" si="1"/>
        <v>39</v>
      </c>
      <c r="V24" s="7">
        <v>30651</v>
      </c>
      <c r="W24" t="s">
        <v>113</v>
      </c>
      <c r="X24" s="2">
        <v>0.8</v>
      </c>
      <c r="Y24" s="6">
        <f t="shared" si="2"/>
        <v>2.1355543098155415E-2</v>
      </c>
      <c r="AA24">
        <v>3407594</v>
      </c>
      <c r="AB24">
        <v>23456</v>
      </c>
      <c r="AC24">
        <v>14321351</v>
      </c>
      <c r="AD24" t="s">
        <v>2</v>
      </c>
      <c r="AE24">
        <v>150</v>
      </c>
      <c r="AF24">
        <v>4</v>
      </c>
      <c r="AH24" t="s">
        <v>922</v>
      </c>
      <c r="AI24" t="s">
        <v>921</v>
      </c>
      <c r="AK24" t="s">
        <v>920</v>
      </c>
      <c r="AL24">
        <v>41</v>
      </c>
      <c r="AM24" s="5">
        <f t="shared" si="3"/>
        <v>1.0512820512820513</v>
      </c>
      <c r="AN24" s="4">
        <f t="shared" si="4"/>
        <v>1.5922484684317323E-3</v>
      </c>
      <c r="AO24" s="3"/>
      <c r="AP24">
        <v>0</v>
      </c>
      <c r="AR24" t="s">
        <v>1</v>
      </c>
      <c r="AT24" s="2" t="s">
        <v>0</v>
      </c>
      <c r="AU24" s="1">
        <f t="shared" si="5"/>
        <v>1.5426554709238309</v>
      </c>
      <c r="AV24" s="1">
        <f t="shared" si="6"/>
        <v>1.1473895783293573</v>
      </c>
      <c r="AW24" s="1">
        <f t="shared" si="7"/>
        <v>0.75212368573488364</v>
      </c>
    </row>
    <row r="25" spans="1:49" x14ac:dyDescent="0.2">
      <c r="A25">
        <v>23</v>
      </c>
      <c r="B25" t="s">
        <v>919</v>
      </c>
      <c r="E25">
        <v>6642135</v>
      </c>
      <c r="F25" t="s">
        <v>918</v>
      </c>
      <c r="G25" t="s">
        <v>5</v>
      </c>
      <c r="H25" t="s">
        <v>4</v>
      </c>
      <c r="I25" t="s">
        <v>917</v>
      </c>
      <c r="J25">
        <v>60004091</v>
      </c>
      <c r="K25" t="s">
        <v>916</v>
      </c>
      <c r="L25" t="s">
        <v>915</v>
      </c>
      <c r="M25" t="s">
        <v>6</v>
      </c>
      <c r="N25">
        <v>5</v>
      </c>
      <c r="O25" t="s">
        <v>914</v>
      </c>
      <c r="P25" t="s">
        <v>913</v>
      </c>
      <c r="Q25" t="s">
        <v>912</v>
      </c>
      <c r="R25" s="7">
        <v>30651</v>
      </c>
      <c r="S25" s="8">
        <f t="shared" si="0"/>
        <v>1983</v>
      </c>
      <c r="T25" s="8">
        <v>1983</v>
      </c>
      <c r="U25" s="8">
        <f t="shared" si="1"/>
        <v>39</v>
      </c>
      <c r="V25" s="7">
        <v>1983</v>
      </c>
      <c r="W25" t="s">
        <v>911</v>
      </c>
      <c r="X25" s="2" t="s">
        <v>0</v>
      </c>
      <c r="Y25" s="6" t="e">
        <f t="shared" si="2"/>
        <v>#VALUE!</v>
      </c>
      <c r="AA25" t="s">
        <v>910</v>
      </c>
      <c r="AB25">
        <v>66522</v>
      </c>
      <c r="AD25" t="s">
        <v>2</v>
      </c>
      <c r="AE25">
        <v>74</v>
      </c>
      <c r="AF25">
        <v>5</v>
      </c>
      <c r="AH25" t="s">
        <v>909</v>
      </c>
      <c r="AI25" t="s">
        <v>908</v>
      </c>
      <c r="AK25" t="s">
        <v>907</v>
      </c>
      <c r="AL25">
        <v>21</v>
      </c>
      <c r="AM25" s="5">
        <f t="shared" si="3"/>
        <v>0.53846153846153844</v>
      </c>
      <c r="AN25" s="4">
        <f t="shared" si="4"/>
        <v>8.1554189846503363E-4</v>
      </c>
      <c r="AO25" s="3"/>
      <c r="AP25">
        <v>0</v>
      </c>
      <c r="AR25" t="s">
        <v>1</v>
      </c>
      <c r="AT25" s="2" t="s">
        <v>0</v>
      </c>
      <c r="AU25" s="1" t="e">
        <f t="shared" si="5"/>
        <v>#VALUE!</v>
      </c>
      <c r="AV25" s="1" t="e">
        <f t="shared" si="6"/>
        <v>#VALUE!</v>
      </c>
      <c r="AW25" s="1" t="e">
        <f t="shared" si="7"/>
        <v>#VALUE!</v>
      </c>
    </row>
    <row r="26" spans="1:49" x14ac:dyDescent="0.2">
      <c r="A26">
        <v>24</v>
      </c>
      <c r="B26" t="s">
        <v>906</v>
      </c>
      <c r="E26">
        <v>6642987</v>
      </c>
      <c r="F26" t="s">
        <v>905</v>
      </c>
      <c r="G26" t="s">
        <v>5</v>
      </c>
      <c r="H26" t="s">
        <v>4</v>
      </c>
      <c r="I26" t="s">
        <v>904</v>
      </c>
      <c r="N26">
        <v>1</v>
      </c>
      <c r="O26" t="s">
        <v>903</v>
      </c>
      <c r="P26">
        <v>7003499207</v>
      </c>
      <c r="R26" s="7">
        <v>30651</v>
      </c>
      <c r="S26" s="8">
        <f t="shared" si="0"/>
        <v>1983</v>
      </c>
      <c r="T26" s="8">
        <v>1983</v>
      </c>
      <c r="U26" s="8">
        <f t="shared" si="1"/>
        <v>39</v>
      </c>
      <c r="V26" s="7">
        <v>1983</v>
      </c>
      <c r="W26" t="s">
        <v>902</v>
      </c>
      <c r="X26" s="2" t="s">
        <v>0</v>
      </c>
      <c r="Y26" s="6" t="e">
        <f t="shared" si="2"/>
        <v>#VALUE!</v>
      </c>
      <c r="AA26">
        <v>1603787</v>
      </c>
      <c r="AB26">
        <v>68719</v>
      </c>
      <c r="AD26" t="s">
        <v>2</v>
      </c>
      <c r="AE26">
        <v>11</v>
      </c>
      <c r="AH26" t="s">
        <v>901</v>
      </c>
      <c r="AI26" t="s">
        <v>900</v>
      </c>
      <c r="AK26" t="s">
        <v>899</v>
      </c>
      <c r="AL26">
        <v>0</v>
      </c>
      <c r="AM26" s="5">
        <f t="shared" si="3"/>
        <v>0</v>
      </c>
      <c r="AN26" s="4">
        <f t="shared" si="4"/>
        <v>0</v>
      </c>
      <c r="AO26" s="3"/>
      <c r="AP26">
        <v>0</v>
      </c>
      <c r="AR26" t="s">
        <v>1</v>
      </c>
      <c r="AT26" s="2" t="s">
        <v>0</v>
      </c>
      <c r="AU26" s="1" t="e">
        <f t="shared" si="5"/>
        <v>#VALUE!</v>
      </c>
      <c r="AV26" s="1" t="e">
        <f t="shared" si="6"/>
        <v>#VALUE!</v>
      </c>
      <c r="AW26" s="1" t="e">
        <f t="shared" si="7"/>
        <v>#VALUE!</v>
      </c>
    </row>
    <row r="27" spans="1:49" x14ac:dyDescent="0.2">
      <c r="A27">
        <v>25</v>
      </c>
      <c r="B27" t="s">
        <v>898</v>
      </c>
      <c r="F27" t="s">
        <v>897</v>
      </c>
      <c r="G27" t="s">
        <v>5</v>
      </c>
      <c r="H27" t="s">
        <v>4</v>
      </c>
      <c r="I27" t="s">
        <v>896</v>
      </c>
      <c r="J27">
        <v>60018735</v>
      </c>
      <c r="K27" t="s">
        <v>895</v>
      </c>
      <c r="L27" t="s">
        <v>7</v>
      </c>
      <c r="M27" t="s">
        <v>6</v>
      </c>
      <c r="N27">
        <v>2</v>
      </c>
      <c r="O27" t="s">
        <v>894</v>
      </c>
      <c r="P27" t="s">
        <v>893</v>
      </c>
      <c r="Q27" t="s">
        <v>892</v>
      </c>
      <c r="R27" s="7">
        <v>30651</v>
      </c>
      <c r="S27" s="8">
        <f t="shared" si="0"/>
        <v>1983</v>
      </c>
      <c r="T27" s="8">
        <v>1983</v>
      </c>
      <c r="U27" s="8">
        <f t="shared" si="1"/>
        <v>39</v>
      </c>
      <c r="V27" s="7">
        <v>1983</v>
      </c>
      <c r="W27" t="s">
        <v>876</v>
      </c>
      <c r="X27" s="2" t="s">
        <v>0</v>
      </c>
      <c r="Y27" s="6" t="e">
        <f t="shared" si="2"/>
        <v>#VALUE!</v>
      </c>
      <c r="AA27">
        <v>2851903</v>
      </c>
      <c r="AB27">
        <v>38260</v>
      </c>
      <c r="AD27" t="s">
        <v>2</v>
      </c>
      <c r="AF27">
        <v>22</v>
      </c>
      <c r="AH27" t="s">
        <v>891</v>
      </c>
      <c r="AI27" t="s">
        <v>890</v>
      </c>
      <c r="AK27" t="s">
        <v>889</v>
      </c>
      <c r="AL27">
        <v>0</v>
      </c>
      <c r="AM27" s="5">
        <f t="shared" si="3"/>
        <v>0</v>
      </c>
      <c r="AN27" s="4">
        <f t="shared" si="4"/>
        <v>0</v>
      </c>
      <c r="AO27" s="3"/>
      <c r="AP27">
        <v>0</v>
      </c>
      <c r="AR27" t="s">
        <v>1</v>
      </c>
      <c r="AT27" s="2" t="s">
        <v>0</v>
      </c>
      <c r="AU27" s="1" t="e">
        <f t="shared" si="5"/>
        <v>#VALUE!</v>
      </c>
      <c r="AV27" s="1" t="e">
        <f t="shared" si="6"/>
        <v>#VALUE!</v>
      </c>
      <c r="AW27" s="1" t="e">
        <f t="shared" si="7"/>
        <v>#VALUE!</v>
      </c>
    </row>
    <row r="28" spans="1:49" x14ac:dyDescent="0.2">
      <c r="A28">
        <v>26</v>
      </c>
      <c r="B28" t="s">
        <v>888</v>
      </c>
      <c r="F28" t="s">
        <v>887</v>
      </c>
      <c r="G28" t="s">
        <v>5</v>
      </c>
      <c r="H28" t="s">
        <v>4</v>
      </c>
      <c r="I28" t="s">
        <v>51</v>
      </c>
      <c r="J28">
        <v>60092258</v>
      </c>
      <c r="K28" t="s">
        <v>50</v>
      </c>
      <c r="L28" t="s">
        <v>49</v>
      </c>
      <c r="M28" t="s">
        <v>6</v>
      </c>
      <c r="N28">
        <v>2</v>
      </c>
      <c r="O28" t="s">
        <v>48</v>
      </c>
      <c r="P28" t="s">
        <v>47</v>
      </c>
      <c r="Q28" t="s">
        <v>46</v>
      </c>
      <c r="R28" s="7">
        <v>30651</v>
      </c>
      <c r="S28" s="8">
        <f t="shared" si="0"/>
        <v>1983</v>
      </c>
      <c r="T28" s="8">
        <v>1983</v>
      </c>
      <c r="U28" s="8">
        <f t="shared" si="1"/>
        <v>39</v>
      </c>
      <c r="V28" s="7">
        <v>1983</v>
      </c>
      <c r="W28" t="s">
        <v>876</v>
      </c>
      <c r="X28" s="2" t="s">
        <v>0</v>
      </c>
      <c r="Y28" s="6" t="e">
        <f t="shared" si="2"/>
        <v>#VALUE!</v>
      </c>
      <c r="AA28">
        <v>2851903</v>
      </c>
      <c r="AB28">
        <v>38260</v>
      </c>
      <c r="AD28" t="s">
        <v>2</v>
      </c>
      <c r="AF28">
        <v>22</v>
      </c>
      <c r="AH28" t="s">
        <v>886</v>
      </c>
      <c r="AI28" t="s">
        <v>885</v>
      </c>
      <c r="AK28" t="s">
        <v>884</v>
      </c>
      <c r="AL28">
        <v>0</v>
      </c>
      <c r="AM28" s="5">
        <f t="shared" si="3"/>
        <v>0</v>
      </c>
      <c r="AN28" s="4">
        <f t="shared" si="4"/>
        <v>0</v>
      </c>
      <c r="AO28" s="3"/>
      <c r="AP28">
        <v>0</v>
      </c>
      <c r="AR28" t="s">
        <v>1</v>
      </c>
      <c r="AT28" s="2" t="s">
        <v>0</v>
      </c>
      <c r="AU28" s="1" t="e">
        <f t="shared" si="5"/>
        <v>#VALUE!</v>
      </c>
      <c r="AV28" s="1" t="e">
        <f t="shared" si="6"/>
        <v>#VALUE!</v>
      </c>
      <c r="AW28" s="1" t="e">
        <f t="shared" si="7"/>
        <v>#VALUE!</v>
      </c>
    </row>
    <row r="29" spans="1:49" x14ac:dyDescent="0.2">
      <c r="A29">
        <v>27</v>
      </c>
      <c r="B29" t="s">
        <v>883</v>
      </c>
      <c r="F29" t="s">
        <v>882</v>
      </c>
      <c r="G29" t="s">
        <v>5</v>
      </c>
      <c r="H29" t="s">
        <v>4</v>
      </c>
      <c r="I29" t="s">
        <v>881</v>
      </c>
      <c r="J29">
        <v>100410637</v>
      </c>
      <c r="K29" t="s">
        <v>880</v>
      </c>
      <c r="L29" t="s">
        <v>97</v>
      </c>
      <c r="M29" t="s">
        <v>6</v>
      </c>
      <c r="N29">
        <v>3</v>
      </c>
      <c r="O29" t="s">
        <v>879</v>
      </c>
      <c r="P29" t="s">
        <v>878</v>
      </c>
      <c r="Q29" t="s">
        <v>877</v>
      </c>
      <c r="R29" s="7">
        <v>30651</v>
      </c>
      <c r="S29" s="8">
        <f t="shared" si="0"/>
        <v>1983</v>
      </c>
      <c r="T29" s="8">
        <v>1983</v>
      </c>
      <c r="U29" s="8">
        <f t="shared" si="1"/>
        <v>39</v>
      </c>
      <c r="V29" s="7">
        <v>1983</v>
      </c>
      <c r="W29" t="s">
        <v>876</v>
      </c>
      <c r="X29" s="2" t="s">
        <v>0</v>
      </c>
      <c r="Y29" s="6" t="e">
        <f t="shared" si="2"/>
        <v>#VALUE!</v>
      </c>
      <c r="AA29">
        <v>2851903</v>
      </c>
      <c r="AB29">
        <v>38260</v>
      </c>
      <c r="AD29" t="s">
        <v>2</v>
      </c>
      <c r="AF29">
        <v>22</v>
      </c>
      <c r="AH29" t="s">
        <v>89</v>
      </c>
      <c r="AI29" t="s">
        <v>875</v>
      </c>
      <c r="AK29" t="s">
        <v>874</v>
      </c>
      <c r="AL29">
        <v>0</v>
      </c>
      <c r="AM29" s="5">
        <f t="shared" si="3"/>
        <v>0</v>
      </c>
      <c r="AN29" s="4">
        <f t="shared" si="4"/>
        <v>0</v>
      </c>
      <c r="AO29" s="3"/>
      <c r="AP29">
        <v>0</v>
      </c>
      <c r="AR29" t="s">
        <v>1</v>
      </c>
      <c r="AT29" s="2" t="s">
        <v>0</v>
      </c>
      <c r="AU29" s="1" t="e">
        <f t="shared" si="5"/>
        <v>#VALUE!</v>
      </c>
      <c r="AV29" s="1" t="e">
        <f t="shared" si="6"/>
        <v>#VALUE!</v>
      </c>
      <c r="AW29" s="1" t="e">
        <f t="shared" si="7"/>
        <v>#VALUE!</v>
      </c>
    </row>
    <row r="30" spans="1:49" x14ac:dyDescent="0.2">
      <c r="A30">
        <v>28</v>
      </c>
      <c r="B30" t="s">
        <v>873</v>
      </c>
      <c r="C30" t="s">
        <v>872</v>
      </c>
      <c r="F30" t="s">
        <v>871</v>
      </c>
      <c r="G30" t="s">
        <v>5</v>
      </c>
      <c r="H30" t="s">
        <v>4</v>
      </c>
      <c r="I30" t="s">
        <v>870</v>
      </c>
      <c r="J30">
        <v>60004923</v>
      </c>
      <c r="K30" t="s">
        <v>869</v>
      </c>
      <c r="L30" t="s">
        <v>868</v>
      </c>
      <c r="M30" t="s">
        <v>3</v>
      </c>
      <c r="N30">
        <v>3</v>
      </c>
      <c r="O30" t="s">
        <v>867</v>
      </c>
      <c r="P30" t="s">
        <v>866</v>
      </c>
      <c r="Q30" t="s">
        <v>865</v>
      </c>
      <c r="R30" s="7">
        <v>30651</v>
      </c>
      <c r="S30" s="8">
        <f t="shared" si="0"/>
        <v>1983</v>
      </c>
      <c r="T30" s="8">
        <v>1983</v>
      </c>
      <c r="U30" s="8">
        <f t="shared" si="1"/>
        <v>39</v>
      </c>
      <c r="V30" s="7">
        <v>1983</v>
      </c>
      <c r="W30" t="s">
        <v>864</v>
      </c>
      <c r="X30" s="2">
        <v>0.60499999999999998</v>
      </c>
      <c r="Y30" s="6">
        <f t="shared" si="2"/>
        <v>1.6150129467980032E-2</v>
      </c>
      <c r="AA30">
        <v>346748</v>
      </c>
      <c r="AB30">
        <v>15563</v>
      </c>
      <c r="AD30" t="s">
        <v>2</v>
      </c>
      <c r="AE30">
        <v>54</v>
      </c>
      <c r="AF30">
        <v>12</v>
      </c>
      <c r="AH30" t="s">
        <v>863</v>
      </c>
      <c r="AI30" t="s">
        <v>862</v>
      </c>
      <c r="AK30" t="s">
        <v>861</v>
      </c>
      <c r="AL30">
        <v>19</v>
      </c>
      <c r="AM30" s="5">
        <f t="shared" si="3"/>
        <v>0.48717948717948717</v>
      </c>
      <c r="AN30" s="4">
        <f t="shared" si="4"/>
        <v>7.3787124146836372E-4</v>
      </c>
      <c r="AO30" s="3"/>
      <c r="AP30">
        <v>0</v>
      </c>
      <c r="AR30" t="s">
        <v>1</v>
      </c>
      <c r="AT30" s="2">
        <v>1.5229999999999999</v>
      </c>
      <c r="AU30" s="1">
        <f t="shared" si="5"/>
        <v>1.152645200002653</v>
      </c>
      <c r="AV30" s="1">
        <f t="shared" si="6"/>
        <v>0.84440003547241982</v>
      </c>
      <c r="AW30" s="1">
        <f t="shared" si="7"/>
        <v>0.53615487094218639</v>
      </c>
    </row>
    <row r="31" spans="1:49" x14ac:dyDescent="0.2">
      <c r="A31">
        <v>29</v>
      </c>
      <c r="B31" t="s">
        <v>860</v>
      </c>
      <c r="F31" t="s">
        <v>859</v>
      </c>
      <c r="G31" t="s">
        <v>5</v>
      </c>
      <c r="H31" t="s">
        <v>4</v>
      </c>
      <c r="I31" t="s">
        <v>858</v>
      </c>
      <c r="J31">
        <v>60019987</v>
      </c>
      <c r="K31" t="s">
        <v>857</v>
      </c>
      <c r="L31" t="s">
        <v>856</v>
      </c>
      <c r="M31" t="s">
        <v>100</v>
      </c>
      <c r="N31">
        <v>2</v>
      </c>
      <c r="O31" t="s">
        <v>855</v>
      </c>
      <c r="P31" t="s">
        <v>854</v>
      </c>
      <c r="Q31" t="s">
        <v>853</v>
      </c>
      <c r="R31" s="7">
        <v>30651</v>
      </c>
      <c r="S31" s="8">
        <f t="shared" si="0"/>
        <v>1983</v>
      </c>
      <c r="T31" s="8">
        <v>1983</v>
      </c>
      <c r="U31" s="8">
        <f t="shared" si="1"/>
        <v>39</v>
      </c>
      <c r="V31" s="7">
        <v>1983</v>
      </c>
      <c r="W31" t="s">
        <v>852</v>
      </c>
      <c r="X31" s="2" t="s">
        <v>0</v>
      </c>
      <c r="Y31" s="6" t="e">
        <f t="shared" si="2"/>
        <v>#VALUE!</v>
      </c>
      <c r="AA31">
        <v>40746</v>
      </c>
      <c r="AB31">
        <v>31408</v>
      </c>
      <c r="AD31" t="s">
        <v>2</v>
      </c>
      <c r="AE31">
        <v>32</v>
      </c>
      <c r="AF31" s="9">
        <v>44228</v>
      </c>
      <c r="AH31" s="10">
        <v>46082</v>
      </c>
      <c r="AI31" t="s">
        <v>851</v>
      </c>
      <c r="AK31" t="s">
        <v>850</v>
      </c>
      <c r="AL31">
        <v>0</v>
      </c>
      <c r="AM31" s="5">
        <f t="shared" si="3"/>
        <v>0</v>
      </c>
      <c r="AN31" s="4">
        <f t="shared" si="4"/>
        <v>0</v>
      </c>
      <c r="AO31" s="3"/>
      <c r="AP31">
        <v>0</v>
      </c>
      <c r="AR31" t="s">
        <v>1</v>
      </c>
      <c r="AT31" s="2" t="s">
        <v>0</v>
      </c>
      <c r="AU31" s="1" t="e">
        <f t="shared" si="5"/>
        <v>#VALUE!</v>
      </c>
      <c r="AV31" s="1" t="e">
        <f t="shared" si="6"/>
        <v>#VALUE!</v>
      </c>
      <c r="AW31" s="1" t="e">
        <f t="shared" si="7"/>
        <v>#VALUE!</v>
      </c>
    </row>
    <row r="32" spans="1:49" x14ac:dyDescent="0.2">
      <c r="A32">
        <v>30</v>
      </c>
      <c r="B32" t="s">
        <v>849</v>
      </c>
      <c r="F32" t="s">
        <v>848</v>
      </c>
      <c r="G32" t="s">
        <v>5</v>
      </c>
      <c r="H32" t="s">
        <v>4</v>
      </c>
      <c r="I32" t="s">
        <v>847</v>
      </c>
      <c r="N32">
        <v>1</v>
      </c>
      <c r="O32" t="s">
        <v>846</v>
      </c>
      <c r="P32">
        <v>7003465118</v>
      </c>
      <c r="R32" s="7">
        <v>30651</v>
      </c>
      <c r="S32" s="8">
        <f t="shared" si="0"/>
        <v>1983</v>
      </c>
      <c r="T32" s="8">
        <v>1983</v>
      </c>
      <c r="U32" s="8">
        <f t="shared" si="1"/>
        <v>39</v>
      </c>
      <c r="V32" s="7">
        <v>1983</v>
      </c>
      <c r="W32" t="s">
        <v>845</v>
      </c>
      <c r="X32" s="2" t="s">
        <v>0</v>
      </c>
      <c r="Y32" s="6" t="e">
        <f t="shared" si="2"/>
        <v>#VALUE!</v>
      </c>
      <c r="AB32">
        <v>59842</v>
      </c>
      <c r="AD32" t="s">
        <v>2</v>
      </c>
      <c r="AE32">
        <v>13</v>
      </c>
      <c r="AF32">
        <v>5</v>
      </c>
      <c r="AH32" t="s">
        <v>844</v>
      </c>
      <c r="AI32" t="s">
        <v>843</v>
      </c>
      <c r="AK32" t="s">
        <v>842</v>
      </c>
      <c r="AL32">
        <v>0</v>
      </c>
      <c r="AM32" s="5">
        <f t="shared" si="3"/>
        <v>0</v>
      </c>
      <c r="AN32" s="4">
        <f t="shared" si="4"/>
        <v>0</v>
      </c>
      <c r="AO32" s="3"/>
      <c r="AP32">
        <v>0</v>
      </c>
      <c r="AR32" t="s">
        <v>1</v>
      </c>
      <c r="AT32" s="2" t="s">
        <v>0</v>
      </c>
      <c r="AU32" s="1" t="e">
        <f t="shared" si="5"/>
        <v>#VALUE!</v>
      </c>
      <c r="AV32" s="1" t="e">
        <f t="shared" si="6"/>
        <v>#VALUE!</v>
      </c>
      <c r="AW32" s="1" t="e">
        <f t="shared" si="7"/>
        <v>#VALUE!</v>
      </c>
    </row>
    <row r="33" spans="1:49" x14ac:dyDescent="0.2">
      <c r="A33">
        <v>31</v>
      </c>
      <c r="B33" t="s">
        <v>841</v>
      </c>
      <c r="C33" t="s">
        <v>840</v>
      </c>
      <c r="F33" t="s">
        <v>839</v>
      </c>
      <c r="G33" t="s">
        <v>5</v>
      </c>
      <c r="H33" t="s">
        <v>4</v>
      </c>
      <c r="I33" t="s">
        <v>838</v>
      </c>
      <c r="J33">
        <v>60004280</v>
      </c>
      <c r="K33" t="s">
        <v>837</v>
      </c>
      <c r="L33" t="s">
        <v>836</v>
      </c>
      <c r="M33" t="s">
        <v>15</v>
      </c>
      <c r="N33">
        <v>1</v>
      </c>
      <c r="O33" t="s">
        <v>835</v>
      </c>
      <c r="P33">
        <v>7003367702</v>
      </c>
      <c r="Q33">
        <v>60004280</v>
      </c>
      <c r="R33" s="7">
        <v>30651</v>
      </c>
      <c r="S33" s="8">
        <f t="shared" si="0"/>
        <v>1983</v>
      </c>
      <c r="T33" s="8">
        <v>1983</v>
      </c>
      <c r="U33" s="8">
        <f t="shared" si="1"/>
        <v>39</v>
      </c>
      <c r="V33" s="7">
        <v>1983</v>
      </c>
      <c r="W33" t="s">
        <v>794</v>
      </c>
      <c r="X33" s="2">
        <v>0.69899999999999995</v>
      </c>
      <c r="Y33" s="6">
        <f t="shared" si="2"/>
        <v>1.8659405782013295E-2</v>
      </c>
      <c r="AA33">
        <v>218979</v>
      </c>
      <c r="AB33">
        <v>28132</v>
      </c>
      <c r="AD33" t="s">
        <v>2</v>
      </c>
      <c r="AE33">
        <v>54</v>
      </c>
      <c r="AF33">
        <v>7</v>
      </c>
      <c r="AH33" t="s">
        <v>834</v>
      </c>
      <c r="AI33" t="s">
        <v>833</v>
      </c>
      <c r="AK33" t="s">
        <v>832</v>
      </c>
      <c r="AL33">
        <v>23</v>
      </c>
      <c r="AM33" s="5">
        <f t="shared" si="3"/>
        <v>0.58974358974358976</v>
      </c>
      <c r="AN33" s="4">
        <f t="shared" si="4"/>
        <v>8.9321255546170354E-4</v>
      </c>
      <c r="AO33" s="3"/>
      <c r="AP33">
        <v>0</v>
      </c>
      <c r="AR33" t="s">
        <v>1</v>
      </c>
      <c r="AT33" s="2">
        <v>2.5459999999999998</v>
      </c>
      <c r="AU33" s="1">
        <f t="shared" si="5"/>
        <v>1.3329547814047815</v>
      </c>
      <c r="AV33" s="1">
        <f t="shared" si="6"/>
        <v>0.97763091687375003</v>
      </c>
      <c r="AW33" s="1">
        <f t="shared" si="7"/>
        <v>0.6223070523427181</v>
      </c>
    </row>
    <row r="34" spans="1:49" x14ac:dyDescent="0.2">
      <c r="A34">
        <v>32</v>
      </c>
      <c r="B34" t="s">
        <v>831</v>
      </c>
      <c r="C34" t="s">
        <v>830</v>
      </c>
      <c r="F34" t="s">
        <v>829</v>
      </c>
      <c r="G34" t="s">
        <v>5</v>
      </c>
      <c r="H34" t="s">
        <v>4</v>
      </c>
      <c r="I34" t="s">
        <v>828</v>
      </c>
      <c r="J34">
        <v>60032350</v>
      </c>
      <c r="K34" t="s">
        <v>827</v>
      </c>
      <c r="L34" t="s">
        <v>91</v>
      </c>
      <c r="M34" t="s">
        <v>90</v>
      </c>
      <c r="N34">
        <v>2</v>
      </c>
      <c r="O34" t="s">
        <v>826</v>
      </c>
      <c r="P34" t="s">
        <v>825</v>
      </c>
      <c r="Q34" t="s">
        <v>824</v>
      </c>
      <c r="R34" s="7">
        <v>30651</v>
      </c>
      <c r="S34" s="8">
        <f t="shared" si="0"/>
        <v>1983</v>
      </c>
      <c r="T34" s="8">
        <v>1983</v>
      </c>
      <c r="U34" s="8">
        <f t="shared" si="1"/>
        <v>39</v>
      </c>
      <c r="V34" s="7">
        <v>1983</v>
      </c>
      <c r="W34" t="s">
        <v>804</v>
      </c>
      <c r="X34" s="2" t="s">
        <v>0</v>
      </c>
      <c r="Y34" s="6" t="e">
        <f t="shared" si="2"/>
        <v>#VALUE!</v>
      </c>
      <c r="AA34">
        <v>223735</v>
      </c>
      <c r="AB34">
        <v>32471</v>
      </c>
      <c r="AD34" t="s">
        <v>2</v>
      </c>
      <c r="AE34">
        <v>16</v>
      </c>
      <c r="AF34">
        <v>7</v>
      </c>
      <c r="AG34">
        <v>30</v>
      </c>
      <c r="AH34" t="s">
        <v>823</v>
      </c>
      <c r="AI34" t="s">
        <v>822</v>
      </c>
      <c r="AK34" t="s">
        <v>821</v>
      </c>
      <c r="AL34">
        <v>29</v>
      </c>
      <c r="AM34" s="5">
        <f t="shared" si="3"/>
        <v>0.74358974358974361</v>
      </c>
      <c r="AN34" s="4">
        <f t="shared" si="4"/>
        <v>1.1262245264517131E-3</v>
      </c>
      <c r="AO34" s="3"/>
      <c r="AP34">
        <v>0</v>
      </c>
      <c r="AR34" t="s">
        <v>1</v>
      </c>
      <c r="AT34" s="2" t="s">
        <v>0</v>
      </c>
      <c r="AU34" s="1" t="e">
        <f t="shared" si="5"/>
        <v>#VALUE!</v>
      </c>
      <c r="AV34" s="1" t="e">
        <f t="shared" si="6"/>
        <v>#VALUE!</v>
      </c>
      <c r="AW34" s="1" t="e">
        <f t="shared" si="7"/>
        <v>#VALUE!</v>
      </c>
    </row>
    <row r="35" spans="1:49" x14ac:dyDescent="0.2">
      <c r="A35">
        <v>33</v>
      </c>
      <c r="B35" t="s">
        <v>820</v>
      </c>
      <c r="C35" t="s">
        <v>819</v>
      </c>
      <c r="F35" t="s">
        <v>818</v>
      </c>
      <c r="G35" t="s">
        <v>5</v>
      </c>
      <c r="H35" t="s">
        <v>4</v>
      </c>
      <c r="I35" t="s">
        <v>817</v>
      </c>
      <c r="J35">
        <v>60006164</v>
      </c>
      <c r="K35" t="s">
        <v>816</v>
      </c>
      <c r="L35" t="s">
        <v>815</v>
      </c>
      <c r="M35" t="s">
        <v>3</v>
      </c>
      <c r="N35">
        <v>1</v>
      </c>
      <c r="O35" t="s">
        <v>814</v>
      </c>
      <c r="P35">
        <v>55422417100</v>
      </c>
      <c r="Q35">
        <v>60006164</v>
      </c>
      <c r="R35" s="7">
        <v>30651</v>
      </c>
      <c r="S35" s="8">
        <f t="shared" si="0"/>
        <v>1983</v>
      </c>
      <c r="T35" s="8">
        <v>1983</v>
      </c>
      <c r="U35" s="8">
        <f t="shared" si="1"/>
        <v>39</v>
      </c>
      <c r="V35" s="7">
        <v>1983</v>
      </c>
      <c r="W35" t="s">
        <v>794</v>
      </c>
      <c r="X35" s="2">
        <v>0.69899999999999995</v>
      </c>
      <c r="Y35" s="6">
        <f t="shared" si="2"/>
        <v>1.8659405782013295E-2</v>
      </c>
      <c r="AA35">
        <v>218979</v>
      </c>
      <c r="AB35">
        <v>28132</v>
      </c>
      <c r="AD35" t="s">
        <v>2</v>
      </c>
      <c r="AE35">
        <v>54</v>
      </c>
      <c r="AF35">
        <v>6</v>
      </c>
      <c r="AH35" t="s">
        <v>813</v>
      </c>
      <c r="AI35" t="s">
        <v>812</v>
      </c>
      <c r="AK35" t="s">
        <v>811</v>
      </c>
      <c r="AL35">
        <v>0</v>
      </c>
      <c r="AM35" s="5">
        <f t="shared" si="3"/>
        <v>0</v>
      </c>
      <c r="AN35" s="4">
        <f t="shared" si="4"/>
        <v>0</v>
      </c>
      <c r="AO35" s="3"/>
      <c r="AP35">
        <v>0</v>
      </c>
      <c r="AR35" t="s">
        <v>1</v>
      </c>
      <c r="AT35" s="2">
        <v>2.5459999999999998</v>
      </c>
      <c r="AU35" s="1">
        <f t="shared" si="5"/>
        <v>1.3061584047409305</v>
      </c>
      <c r="AV35" s="1">
        <f t="shared" si="6"/>
        <v>0.93297028910066471</v>
      </c>
      <c r="AW35" s="1">
        <f t="shared" si="7"/>
        <v>0.55978217346039882</v>
      </c>
    </row>
    <row r="36" spans="1:49" x14ac:dyDescent="0.2">
      <c r="A36">
        <v>34</v>
      </c>
      <c r="B36" t="s">
        <v>810</v>
      </c>
      <c r="C36" t="s">
        <v>809</v>
      </c>
      <c r="F36" t="s">
        <v>808</v>
      </c>
      <c r="G36" t="s">
        <v>5</v>
      </c>
      <c r="H36" t="s">
        <v>4</v>
      </c>
      <c r="I36" t="s">
        <v>807</v>
      </c>
      <c r="J36">
        <v>60010818</v>
      </c>
      <c r="K36" t="s">
        <v>287</v>
      </c>
      <c r="L36" t="s">
        <v>286</v>
      </c>
      <c r="M36" t="s">
        <v>28</v>
      </c>
      <c r="N36">
        <v>2</v>
      </c>
      <c r="O36" t="s">
        <v>806</v>
      </c>
      <c r="P36" t="s">
        <v>805</v>
      </c>
      <c r="Q36" t="s">
        <v>304</v>
      </c>
      <c r="R36" s="7">
        <v>30651</v>
      </c>
      <c r="S36" s="8">
        <f t="shared" si="0"/>
        <v>1983</v>
      </c>
      <c r="T36" s="8">
        <v>1983</v>
      </c>
      <c r="U36" s="8">
        <f t="shared" si="1"/>
        <v>39</v>
      </c>
      <c r="V36" s="7">
        <v>1983</v>
      </c>
      <c r="W36" t="s">
        <v>804</v>
      </c>
      <c r="X36" s="2" t="s">
        <v>0</v>
      </c>
      <c r="Y36" s="6" t="e">
        <f t="shared" si="2"/>
        <v>#VALUE!</v>
      </c>
      <c r="AA36">
        <v>223735</v>
      </c>
      <c r="AB36">
        <v>32471</v>
      </c>
      <c r="AD36" t="s">
        <v>2</v>
      </c>
      <c r="AE36">
        <v>16</v>
      </c>
      <c r="AF36">
        <v>5</v>
      </c>
      <c r="AG36">
        <v>8</v>
      </c>
      <c r="AH36" t="s">
        <v>803</v>
      </c>
      <c r="AI36" t="s">
        <v>802</v>
      </c>
      <c r="AK36" t="s">
        <v>801</v>
      </c>
      <c r="AL36">
        <v>3</v>
      </c>
      <c r="AM36" s="5">
        <f t="shared" si="3"/>
        <v>7.6923076923076927E-2</v>
      </c>
      <c r="AN36" s="4">
        <f t="shared" si="4"/>
        <v>1.1650598549500481E-4</v>
      </c>
      <c r="AO36" s="3"/>
      <c r="AP36">
        <v>0</v>
      </c>
      <c r="AR36" t="s">
        <v>1</v>
      </c>
      <c r="AT36" s="2" t="s">
        <v>0</v>
      </c>
      <c r="AU36" s="1" t="e">
        <f t="shared" si="5"/>
        <v>#VALUE!</v>
      </c>
      <c r="AV36" s="1" t="e">
        <f t="shared" si="6"/>
        <v>#VALUE!</v>
      </c>
      <c r="AW36" s="1" t="e">
        <f t="shared" si="7"/>
        <v>#VALUE!</v>
      </c>
    </row>
    <row r="37" spans="1:49" x14ac:dyDescent="0.2">
      <c r="A37">
        <v>35</v>
      </c>
      <c r="B37" t="s">
        <v>800</v>
      </c>
      <c r="C37" t="s">
        <v>799</v>
      </c>
      <c r="F37" t="s">
        <v>798</v>
      </c>
      <c r="G37" t="s">
        <v>5</v>
      </c>
      <c r="H37" t="s">
        <v>4</v>
      </c>
      <c r="I37" t="s">
        <v>118</v>
      </c>
      <c r="J37">
        <v>60022195</v>
      </c>
      <c r="K37" t="s">
        <v>74</v>
      </c>
      <c r="L37" t="s">
        <v>33</v>
      </c>
      <c r="M37" t="s">
        <v>3</v>
      </c>
      <c r="N37">
        <v>3</v>
      </c>
      <c r="O37" t="s">
        <v>797</v>
      </c>
      <c r="P37" t="s">
        <v>796</v>
      </c>
      <c r="Q37" t="s">
        <v>795</v>
      </c>
      <c r="R37" s="7">
        <v>30651</v>
      </c>
      <c r="S37" s="8">
        <f t="shared" si="0"/>
        <v>1983</v>
      </c>
      <c r="T37" s="8">
        <v>1983</v>
      </c>
      <c r="U37" s="8">
        <f t="shared" si="1"/>
        <v>39</v>
      </c>
      <c r="V37" s="7">
        <v>1983</v>
      </c>
      <c r="W37" t="s">
        <v>794</v>
      </c>
      <c r="X37" s="2">
        <v>0.69899999999999995</v>
      </c>
      <c r="Y37" s="6">
        <f t="shared" si="2"/>
        <v>1.8659405782013295E-2</v>
      </c>
      <c r="AA37">
        <v>218979</v>
      </c>
      <c r="AB37">
        <v>28132</v>
      </c>
      <c r="AD37" t="s">
        <v>2</v>
      </c>
      <c r="AE37">
        <v>54</v>
      </c>
      <c r="AF37">
        <v>2</v>
      </c>
      <c r="AH37" t="s">
        <v>793</v>
      </c>
      <c r="AI37" t="s">
        <v>792</v>
      </c>
      <c r="AK37" t="s">
        <v>791</v>
      </c>
      <c r="AL37">
        <v>8</v>
      </c>
      <c r="AM37" s="5">
        <f t="shared" si="3"/>
        <v>0.20512820512820512</v>
      </c>
      <c r="AN37" s="4">
        <f t="shared" si="4"/>
        <v>3.1068262798667948E-4</v>
      </c>
      <c r="AO37" s="3"/>
      <c r="AP37">
        <v>0</v>
      </c>
      <c r="AR37" t="s">
        <v>1</v>
      </c>
      <c r="AT37" s="2">
        <v>2.5459999999999998</v>
      </c>
      <c r="AU37" s="1">
        <f t="shared" si="5"/>
        <v>1.3154788835805309</v>
      </c>
      <c r="AV37" s="1">
        <f t="shared" si="6"/>
        <v>0.94850442049999872</v>
      </c>
      <c r="AW37" s="1">
        <f t="shared" si="7"/>
        <v>0.58152995741946634</v>
      </c>
    </row>
    <row r="38" spans="1:49" x14ac:dyDescent="0.2">
      <c r="A38">
        <v>36</v>
      </c>
      <c r="B38" t="s">
        <v>790</v>
      </c>
      <c r="C38" t="s">
        <v>789</v>
      </c>
      <c r="F38" t="s">
        <v>788</v>
      </c>
      <c r="G38" t="s">
        <v>5</v>
      </c>
      <c r="H38" t="s">
        <v>4</v>
      </c>
      <c r="I38" t="s">
        <v>787</v>
      </c>
      <c r="J38" t="s">
        <v>786</v>
      </c>
      <c r="K38" t="s">
        <v>785</v>
      </c>
      <c r="L38" t="s">
        <v>784</v>
      </c>
      <c r="M38" t="s">
        <v>783</v>
      </c>
      <c r="N38">
        <v>9</v>
      </c>
      <c r="O38" t="s">
        <v>782</v>
      </c>
      <c r="P38" t="s">
        <v>781</v>
      </c>
      <c r="Q38" t="s">
        <v>780</v>
      </c>
      <c r="R38" s="7">
        <v>30651</v>
      </c>
      <c r="S38" s="8">
        <f t="shared" si="0"/>
        <v>1983</v>
      </c>
      <c r="T38" s="8">
        <v>1983</v>
      </c>
      <c r="U38" s="8">
        <f t="shared" si="1"/>
        <v>39</v>
      </c>
      <c r="V38" s="7">
        <v>1983</v>
      </c>
      <c r="W38" t="s">
        <v>779</v>
      </c>
      <c r="X38" s="2">
        <v>15.993</v>
      </c>
      <c r="Y38" s="6">
        <f t="shared" si="2"/>
        <v>0.42692400096099947</v>
      </c>
      <c r="AA38">
        <v>280836</v>
      </c>
      <c r="AB38">
        <v>21206</v>
      </c>
      <c r="AD38" t="s">
        <v>2</v>
      </c>
      <c r="AE38">
        <v>302</v>
      </c>
      <c r="AF38">
        <v>5908</v>
      </c>
      <c r="AH38" t="s">
        <v>778</v>
      </c>
      <c r="AI38" t="s">
        <v>777</v>
      </c>
      <c r="AK38" t="s">
        <v>776</v>
      </c>
      <c r="AL38">
        <v>5</v>
      </c>
      <c r="AM38" s="5">
        <f t="shared" si="3"/>
        <v>0.12820512820512819</v>
      </c>
      <c r="AN38" s="4">
        <f t="shared" si="4"/>
        <v>1.9417664249167467E-4</v>
      </c>
      <c r="AO38" s="3"/>
      <c r="AP38">
        <v>0</v>
      </c>
      <c r="AR38" t="s">
        <v>1</v>
      </c>
      <c r="AT38" s="2">
        <v>49.962000000000003</v>
      </c>
      <c r="AU38" s="1">
        <f t="shared" si="5"/>
        <v>29.890505366544705</v>
      </c>
      <c r="AV38" s="1">
        <f t="shared" si="6"/>
        <v>21.355908880174557</v>
      </c>
      <c r="AW38" s="1">
        <f t="shared" si="7"/>
        <v>12.821312393804401</v>
      </c>
    </row>
    <row r="39" spans="1:49" x14ac:dyDescent="0.2">
      <c r="A39">
        <v>37</v>
      </c>
      <c r="B39" t="s">
        <v>775</v>
      </c>
      <c r="C39" t="s">
        <v>774</v>
      </c>
      <c r="F39" t="s">
        <v>773</v>
      </c>
      <c r="G39" t="s">
        <v>5</v>
      </c>
      <c r="H39" t="s">
        <v>4</v>
      </c>
      <c r="I39" t="s">
        <v>772</v>
      </c>
      <c r="J39">
        <v>60030718</v>
      </c>
      <c r="K39" t="s">
        <v>771</v>
      </c>
      <c r="L39" t="s">
        <v>770</v>
      </c>
      <c r="M39" t="s">
        <v>9</v>
      </c>
      <c r="N39">
        <v>2</v>
      </c>
      <c r="O39" t="s">
        <v>769</v>
      </c>
      <c r="P39" t="s">
        <v>768</v>
      </c>
      <c r="Q39" t="s">
        <v>767</v>
      </c>
      <c r="R39" s="7">
        <v>30651</v>
      </c>
      <c r="S39" s="8">
        <f t="shared" si="0"/>
        <v>1983</v>
      </c>
      <c r="T39" s="8">
        <v>1983</v>
      </c>
      <c r="U39" s="8">
        <f t="shared" si="1"/>
        <v>39</v>
      </c>
      <c r="V39" s="7">
        <v>30651</v>
      </c>
      <c r="W39" t="s">
        <v>113</v>
      </c>
      <c r="X39" s="2">
        <v>0.8</v>
      </c>
      <c r="Y39" s="6">
        <f t="shared" si="2"/>
        <v>2.1355543098155415E-2</v>
      </c>
      <c r="AA39">
        <v>3407594</v>
      </c>
      <c r="AB39">
        <v>23456</v>
      </c>
      <c r="AC39">
        <v>14321351</v>
      </c>
      <c r="AD39" t="s">
        <v>2</v>
      </c>
      <c r="AE39">
        <v>151</v>
      </c>
      <c r="AF39">
        <v>4</v>
      </c>
      <c r="AH39" t="s">
        <v>766</v>
      </c>
      <c r="AI39" t="s">
        <v>765</v>
      </c>
      <c r="AK39" t="s">
        <v>764</v>
      </c>
      <c r="AL39">
        <v>51</v>
      </c>
      <c r="AM39" s="5">
        <f t="shared" si="3"/>
        <v>1.3076923076923077</v>
      </c>
      <c r="AN39" s="4">
        <f t="shared" si="4"/>
        <v>1.9806017534150819E-3</v>
      </c>
      <c r="AO39" s="3"/>
      <c r="AP39">
        <v>0</v>
      </c>
      <c r="AR39" t="s">
        <v>1</v>
      </c>
      <c r="AT39" s="2" t="s">
        <v>0</v>
      </c>
      <c r="AU39" s="1">
        <f t="shared" si="5"/>
        <v>1.5543060694733313</v>
      </c>
      <c r="AV39" s="1">
        <f t="shared" si="6"/>
        <v>1.166807242578525</v>
      </c>
      <c r="AW39" s="1">
        <f t="shared" si="7"/>
        <v>0.77930841568371823</v>
      </c>
    </row>
    <row r="40" spans="1:49" x14ac:dyDescent="0.2">
      <c r="A40">
        <v>38</v>
      </c>
      <c r="B40" t="s">
        <v>763</v>
      </c>
      <c r="C40" t="s">
        <v>762</v>
      </c>
      <c r="E40">
        <v>6622532</v>
      </c>
      <c r="F40" t="s">
        <v>761</v>
      </c>
      <c r="G40" t="s">
        <v>5</v>
      </c>
      <c r="H40" t="s">
        <v>4</v>
      </c>
      <c r="I40" t="s">
        <v>102</v>
      </c>
      <c r="J40">
        <v>60028897</v>
      </c>
      <c r="K40" t="s">
        <v>117</v>
      </c>
      <c r="L40" t="s">
        <v>87</v>
      </c>
      <c r="M40" t="s">
        <v>58</v>
      </c>
      <c r="N40">
        <v>3</v>
      </c>
      <c r="O40" t="s">
        <v>760</v>
      </c>
      <c r="P40" t="s">
        <v>759</v>
      </c>
      <c r="Q40" t="s">
        <v>758</v>
      </c>
      <c r="R40" s="7">
        <v>30651</v>
      </c>
      <c r="S40" s="8">
        <f t="shared" si="0"/>
        <v>1983</v>
      </c>
      <c r="T40" s="8">
        <v>1983</v>
      </c>
      <c r="U40" s="8">
        <f t="shared" si="1"/>
        <v>39</v>
      </c>
      <c r="V40" s="7">
        <v>1983</v>
      </c>
      <c r="W40" t="s">
        <v>757</v>
      </c>
      <c r="X40" s="2">
        <v>1.3120000000000001</v>
      </c>
      <c r="Y40" s="6">
        <f t="shared" si="2"/>
        <v>3.502309068097488E-2</v>
      </c>
      <c r="AA40">
        <v>319155</v>
      </c>
      <c r="AB40">
        <v>29203</v>
      </c>
      <c r="AD40" t="s">
        <v>2</v>
      </c>
      <c r="AE40">
        <v>28</v>
      </c>
      <c r="AF40">
        <v>8</v>
      </c>
      <c r="AG40">
        <v>10</v>
      </c>
      <c r="AH40" t="s">
        <v>756</v>
      </c>
      <c r="AI40" t="s">
        <v>755</v>
      </c>
      <c r="AK40" t="s">
        <v>754</v>
      </c>
      <c r="AL40">
        <v>8</v>
      </c>
      <c r="AM40" s="5">
        <f t="shared" si="3"/>
        <v>0.20512820512820512</v>
      </c>
      <c r="AN40" s="4">
        <f t="shared" si="4"/>
        <v>3.1068262798667948E-4</v>
      </c>
      <c r="AO40" s="3"/>
      <c r="AP40">
        <v>0</v>
      </c>
      <c r="AR40" t="s">
        <v>1</v>
      </c>
      <c r="AT40" s="2">
        <v>3.609</v>
      </c>
      <c r="AU40" s="1">
        <f t="shared" si="5"/>
        <v>2.460936826507842</v>
      </c>
      <c r="AV40" s="1">
        <f t="shared" si="6"/>
        <v>1.7666886654480778</v>
      </c>
      <c r="AW40" s="1">
        <f t="shared" si="7"/>
        <v>1.0724405043883141</v>
      </c>
    </row>
    <row r="41" spans="1:49" x14ac:dyDescent="0.2">
      <c r="A41">
        <v>39</v>
      </c>
      <c r="B41" t="s">
        <v>753</v>
      </c>
      <c r="C41" t="s">
        <v>752</v>
      </c>
      <c r="F41" t="s">
        <v>751</v>
      </c>
      <c r="G41" t="s">
        <v>5</v>
      </c>
      <c r="H41" t="s">
        <v>4</v>
      </c>
      <c r="I41" t="s">
        <v>750</v>
      </c>
      <c r="J41">
        <v>60015457</v>
      </c>
      <c r="K41" t="s">
        <v>749</v>
      </c>
      <c r="L41" t="s">
        <v>34</v>
      </c>
      <c r="M41" t="s">
        <v>3</v>
      </c>
      <c r="N41">
        <v>2</v>
      </c>
      <c r="O41" t="s">
        <v>748</v>
      </c>
      <c r="P41" t="s">
        <v>747</v>
      </c>
      <c r="Q41" t="s">
        <v>746</v>
      </c>
      <c r="R41" s="7">
        <v>30651</v>
      </c>
      <c r="S41" s="8">
        <f t="shared" si="0"/>
        <v>1983</v>
      </c>
      <c r="T41" s="8">
        <v>1983</v>
      </c>
      <c r="U41" s="8">
        <f t="shared" si="1"/>
        <v>39</v>
      </c>
      <c r="V41" s="7">
        <v>30651</v>
      </c>
      <c r="W41" t="s">
        <v>130</v>
      </c>
      <c r="X41" s="2">
        <v>0.85499999999999998</v>
      </c>
      <c r="Y41" s="6">
        <f t="shared" si="2"/>
        <v>2.28237366861536E-2</v>
      </c>
      <c r="AA41">
        <v>980331</v>
      </c>
      <c r="AB41">
        <v>23342</v>
      </c>
      <c r="AC41">
        <v>15731561</v>
      </c>
      <c r="AD41" t="s">
        <v>2</v>
      </c>
      <c r="AE41">
        <v>9</v>
      </c>
      <c r="AF41">
        <v>12</v>
      </c>
      <c r="AH41" t="s">
        <v>745</v>
      </c>
      <c r="AI41" t="s">
        <v>744</v>
      </c>
      <c r="AJ41" t="s">
        <v>743</v>
      </c>
      <c r="AK41" t="s">
        <v>742</v>
      </c>
      <c r="AL41">
        <v>21</v>
      </c>
      <c r="AM41" s="5">
        <f t="shared" si="3"/>
        <v>0.53846153846153844</v>
      </c>
      <c r="AN41" s="4">
        <f t="shared" si="4"/>
        <v>8.1554189846503363E-4</v>
      </c>
      <c r="AO41" s="3"/>
      <c r="AP41">
        <v>0</v>
      </c>
      <c r="AR41" t="s">
        <v>1</v>
      </c>
      <c r="AT41" s="2">
        <v>2.6259999999999999</v>
      </c>
      <c r="AU41" s="1">
        <f t="shared" si="5"/>
        <v>1.6221278249847026</v>
      </c>
      <c r="AV41" s="1">
        <f t="shared" si="6"/>
        <v>1.1819639292309316</v>
      </c>
      <c r="AW41" s="1">
        <f t="shared" si="7"/>
        <v>0.74180003347716039</v>
      </c>
    </row>
    <row r="42" spans="1:49" x14ac:dyDescent="0.2">
      <c r="A42">
        <v>40</v>
      </c>
      <c r="B42" t="s">
        <v>741</v>
      </c>
      <c r="C42" t="s">
        <v>740</v>
      </c>
      <c r="F42" t="s">
        <v>739</v>
      </c>
      <c r="G42" t="s">
        <v>5</v>
      </c>
      <c r="H42" t="s">
        <v>4</v>
      </c>
      <c r="I42" t="s">
        <v>738</v>
      </c>
      <c r="J42" t="s">
        <v>723</v>
      </c>
      <c r="K42" t="s">
        <v>727</v>
      </c>
      <c r="L42" t="s">
        <v>726</v>
      </c>
      <c r="M42" t="s">
        <v>116</v>
      </c>
      <c r="N42">
        <v>2</v>
      </c>
      <c r="O42" t="s">
        <v>737</v>
      </c>
      <c r="P42" t="s">
        <v>736</v>
      </c>
      <c r="Q42" t="s">
        <v>735</v>
      </c>
      <c r="R42" s="7">
        <v>30651</v>
      </c>
      <c r="S42" s="8">
        <f t="shared" si="0"/>
        <v>1983</v>
      </c>
      <c r="T42" s="8">
        <v>1983</v>
      </c>
      <c r="U42" s="8">
        <f t="shared" si="1"/>
        <v>39</v>
      </c>
      <c r="V42" s="7">
        <v>30651</v>
      </c>
      <c r="W42" t="s">
        <v>113</v>
      </c>
      <c r="X42" s="2">
        <v>0.8</v>
      </c>
      <c r="Y42" s="6">
        <f t="shared" si="2"/>
        <v>2.1355543098155415E-2</v>
      </c>
      <c r="AA42">
        <v>3407594</v>
      </c>
      <c r="AB42">
        <v>23456</v>
      </c>
      <c r="AC42">
        <v>14321351</v>
      </c>
      <c r="AD42" t="s">
        <v>2</v>
      </c>
      <c r="AE42">
        <v>150</v>
      </c>
      <c r="AF42">
        <v>4</v>
      </c>
      <c r="AH42" t="s">
        <v>734</v>
      </c>
      <c r="AI42" t="s">
        <v>733</v>
      </c>
      <c r="AK42" t="s">
        <v>732</v>
      </c>
      <c r="AL42">
        <v>52</v>
      </c>
      <c r="AM42" s="5">
        <f t="shared" si="3"/>
        <v>1.3333333333333333</v>
      </c>
      <c r="AN42" s="4">
        <f t="shared" si="4"/>
        <v>2.0194370819134164E-3</v>
      </c>
      <c r="AO42" s="3"/>
      <c r="AP42">
        <v>0</v>
      </c>
      <c r="AR42" t="s">
        <v>1</v>
      </c>
      <c r="AT42" s="2" t="s">
        <v>0</v>
      </c>
      <c r="AU42" s="1">
        <f t="shared" si="5"/>
        <v>1.5554711293282812</v>
      </c>
      <c r="AV42" s="1">
        <f t="shared" si="6"/>
        <v>1.1687490090034416</v>
      </c>
      <c r="AW42" s="1">
        <f t="shared" si="7"/>
        <v>0.78202688867860159</v>
      </c>
    </row>
    <row r="43" spans="1:49" x14ac:dyDescent="0.2">
      <c r="A43">
        <v>41</v>
      </c>
      <c r="B43" t="s">
        <v>731</v>
      </c>
      <c r="C43" t="s">
        <v>730</v>
      </c>
      <c r="F43" t="s">
        <v>729</v>
      </c>
      <c r="G43" t="s">
        <v>5</v>
      </c>
      <c r="H43" t="s">
        <v>4</v>
      </c>
      <c r="I43" t="s">
        <v>728</v>
      </c>
      <c r="J43" t="s">
        <v>723</v>
      </c>
      <c r="K43" t="s">
        <v>727</v>
      </c>
      <c r="L43" t="s">
        <v>726</v>
      </c>
      <c r="M43" t="s">
        <v>116</v>
      </c>
      <c r="N43">
        <v>2</v>
      </c>
      <c r="O43" t="s">
        <v>725</v>
      </c>
      <c r="P43" t="s">
        <v>724</v>
      </c>
      <c r="Q43" t="s">
        <v>723</v>
      </c>
      <c r="R43" s="7">
        <v>30651</v>
      </c>
      <c r="S43" s="8">
        <f t="shared" si="0"/>
        <v>1983</v>
      </c>
      <c r="T43" s="8">
        <v>1983</v>
      </c>
      <c r="U43" s="8">
        <f t="shared" si="1"/>
        <v>39</v>
      </c>
      <c r="V43" s="7">
        <v>30651</v>
      </c>
      <c r="W43" t="s">
        <v>113</v>
      </c>
      <c r="X43" s="2">
        <v>0.8</v>
      </c>
      <c r="Y43" s="6">
        <f t="shared" si="2"/>
        <v>2.1355543098155415E-2</v>
      </c>
      <c r="AA43">
        <v>3407594</v>
      </c>
      <c r="AB43">
        <v>23456</v>
      </c>
      <c r="AC43">
        <v>14321351</v>
      </c>
      <c r="AD43" t="s">
        <v>2</v>
      </c>
      <c r="AE43">
        <v>150</v>
      </c>
      <c r="AF43">
        <v>4</v>
      </c>
      <c r="AH43" t="s">
        <v>722</v>
      </c>
      <c r="AI43" t="s">
        <v>721</v>
      </c>
      <c r="AK43" t="s">
        <v>720</v>
      </c>
      <c r="AL43">
        <v>47</v>
      </c>
      <c r="AM43" s="5">
        <f t="shared" si="3"/>
        <v>1.2051282051282051</v>
      </c>
      <c r="AN43" s="4">
        <f t="shared" si="4"/>
        <v>1.8252604394217418E-3</v>
      </c>
      <c r="AO43" s="3"/>
      <c r="AP43">
        <v>0</v>
      </c>
      <c r="AR43" t="s">
        <v>1</v>
      </c>
      <c r="AT43" s="2" t="s">
        <v>0</v>
      </c>
      <c r="AU43" s="1">
        <f t="shared" si="5"/>
        <v>1.5496458300535312</v>
      </c>
      <c r="AV43" s="1">
        <f t="shared" si="6"/>
        <v>1.1590401768788579</v>
      </c>
      <c r="AW43" s="1">
        <f t="shared" si="7"/>
        <v>0.7684345237041843</v>
      </c>
    </row>
    <row r="44" spans="1:49" x14ac:dyDescent="0.2">
      <c r="A44">
        <v>42</v>
      </c>
      <c r="B44" t="s">
        <v>719</v>
      </c>
      <c r="C44" t="s">
        <v>718</v>
      </c>
      <c r="F44" t="s">
        <v>717</v>
      </c>
      <c r="G44" t="s">
        <v>5</v>
      </c>
      <c r="H44" t="s">
        <v>4</v>
      </c>
      <c r="I44" t="s">
        <v>716</v>
      </c>
      <c r="J44">
        <v>60008662</v>
      </c>
      <c r="K44" t="s">
        <v>715</v>
      </c>
      <c r="L44" t="s">
        <v>714</v>
      </c>
      <c r="M44" t="s">
        <v>28</v>
      </c>
      <c r="N44">
        <v>1</v>
      </c>
      <c r="O44" t="s">
        <v>713</v>
      </c>
      <c r="P44">
        <v>36894053200</v>
      </c>
      <c r="Q44">
        <v>60008662</v>
      </c>
      <c r="R44" s="7">
        <v>30651</v>
      </c>
      <c r="S44" s="8">
        <f t="shared" si="0"/>
        <v>1983</v>
      </c>
      <c r="T44" s="8">
        <v>1983</v>
      </c>
      <c r="U44" s="8">
        <f t="shared" si="1"/>
        <v>39</v>
      </c>
      <c r="V44" s="7">
        <v>1983</v>
      </c>
      <c r="W44" t="s">
        <v>712</v>
      </c>
      <c r="X44" s="2" t="s">
        <v>0</v>
      </c>
      <c r="Y44" s="6" t="e">
        <f t="shared" si="2"/>
        <v>#VALUE!</v>
      </c>
      <c r="AA44">
        <v>321028</v>
      </c>
      <c r="AB44">
        <v>60924</v>
      </c>
      <c r="AD44" t="s">
        <v>2</v>
      </c>
      <c r="AE44">
        <v>25</v>
      </c>
      <c r="AF44">
        <v>12</v>
      </c>
      <c r="AG44">
        <v>315</v>
      </c>
      <c r="AH44" t="s">
        <v>711</v>
      </c>
      <c r="AI44" t="s">
        <v>710</v>
      </c>
      <c r="AK44" t="s">
        <v>709</v>
      </c>
      <c r="AL44">
        <v>20</v>
      </c>
      <c r="AM44" s="5">
        <f t="shared" si="3"/>
        <v>0.51282051282051277</v>
      </c>
      <c r="AN44" s="4">
        <f t="shared" si="4"/>
        <v>7.7670656996669868E-4</v>
      </c>
      <c r="AO44" s="3"/>
      <c r="AP44">
        <v>0</v>
      </c>
      <c r="AR44" t="s">
        <v>1</v>
      </c>
      <c r="AT44" s="2" t="s">
        <v>0</v>
      </c>
      <c r="AU44" s="1" t="e">
        <f t="shared" si="5"/>
        <v>#VALUE!</v>
      </c>
      <c r="AV44" s="1" t="e">
        <f t="shared" si="6"/>
        <v>#VALUE!</v>
      </c>
      <c r="AW44" s="1" t="e">
        <f t="shared" si="7"/>
        <v>#VALUE!</v>
      </c>
    </row>
    <row r="45" spans="1:49" x14ac:dyDescent="0.2">
      <c r="A45">
        <v>43</v>
      </c>
      <c r="B45" t="s">
        <v>708</v>
      </c>
      <c r="C45" t="s">
        <v>707</v>
      </c>
      <c r="D45">
        <v>5272883901998</v>
      </c>
      <c r="F45" t="s">
        <v>706</v>
      </c>
      <c r="G45" t="s">
        <v>5</v>
      </c>
      <c r="H45" t="s">
        <v>4</v>
      </c>
      <c r="I45" t="s">
        <v>225</v>
      </c>
      <c r="J45">
        <v>60007174</v>
      </c>
      <c r="K45" t="s">
        <v>705</v>
      </c>
      <c r="L45" t="s">
        <v>59</v>
      </c>
      <c r="M45" t="s">
        <v>3</v>
      </c>
      <c r="N45">
        <v>3</v>
      </c>
      <c r="O45" t="s">
        <v>704</v>
      </c>
      <c r="P45" t="s">
        <v>703</v>
      </c>
      <c r="Q45" t="s">
        <v>702</v>
      </c>
      <c r="R45" s="7">
        <v>30650</v>
      </c>
      <c r="S45" s="8">
        <f t="shared" si="0"/>
        <v>1983</v>
      </c>
      <c r="T45" s="8">
        <v>1983</v>
      </c>
      <c r="U45" s="8">
        <f t="shared" si="1"/>
        <v>39</v>
      </c>
      <c r="V45" s="7">
        <v>30650</v>
      </c>
      <c r="W45" t="s">
        <v>121</v>
      </c>
      <c r="X45" s="2">
        <v>1.59</v>
      </c>
      <c r="Y45" s="6">
        <f t="shared" si="2"/>
        <v>4.2444141907583888E-2</v>
      </c>
      <c r="AA45">
        <v>52728</v>
      </c>
      <c r="AB45">
        <v>16791</v>
      </c>
      <c r="AD45" t="s">
        <v>2</v>
      </c>
      <c r="AE45">
        <v>725</v>
      </c>
      <c r="AF45">
        <v>2</v>
      </c>
      <c r="AH45" t="s">
        <v>701</v>
      </c>
      <c r="AI45" t="s">
        <v>700</v>
      </c>
      <c r="AJ45" t="s">
        <v>699</v>
      </c>
      <c r="AK45" t="s">
        <v>698</v>
      </c>
      <c r="AL45">
        <v>19</v>
      </c>
      <c r="AM45" s="5">
        <f t="shared" si="3"/>
        <v>0.48717948717948717</v>
      </c>
      <c r="AN45" s="4">
        <f t="shared" si="4"/>
        <v>7.3787124146836372E-4</v>
      </c>
      <c r="AO45" s="3"/>
      <c r="AP45">
        <v>0</v>
      </c>
      <c r="AQ45" t="s">
        <v>115</v>
      </c>
      <c r="AR45" t="s">
        <v>697</v>
      </c>
      <c r="AS45" t="s">
        <v>114</v>
      </c>
      <c r="AT45" s="2" t="s">
        <v>0</v>
      </c>
      <c r="AU45" s="1">
        <f t="shared" si="5"/>
        <v>2.9932260707749228</v>
      </c>
      <c r="AV45" s="1">
        <f t="shared" si="6"/>
        <v>2.1591006574526124</v>
      </c>
      <c r="AW45" s="1">
        <f t="shared" si="7"/>
        <v>1.324975244130302</v>
      </c>
    </row>
    <row r="46" spans="1:49" x14ac:dyDescent="0.2">
      <c r="A46">
        <v>44</v>
      </c>
      <c r="B46" t="s">
        <v>696</v>
      </c>
      <c r="C46" t="s">
        <v>695</v>
      </c>
      <c r="F46" t="s">
        <v>694</v>
      </c>
      <c r="G46" t="s">
        <v>5</v>
      </c>
      <c r="H46" t="s">
        <v>4</v>
      </c>
      <c r="I46" t="s">
        <v>79</v>
      </c>
      <c r="J46">
        <v>60000745</v>
      </c>
      <c r="K46" t="s">
        <v>56</v>
      </c>
      <c r="L46" t="s">
        <v>55</v>
      </c>
      <c r="M46" t="s">
        <v>3</v>
      </c>
      <c r="N46">
        <v>2</v>
      </c>
      <c r="O46" t="s">
        <v>693</v>
      </c>
      <c r="P46" t="s">
        <v>692</v>
      </c>
      <c r="Q46" t="s">
        <v>54</v>
      </c>
      <c r="R46" s="7">
        <v>30644</v>
      </c>
      <c r="S46" s="8">
        <f t="shared" si="0"/>
        <v>1983</v>
      </c>
      <c r="T46" s="8">
        <v>1983</v>
      </c>
      <c r="U46" s="8">
        <f t="shared" si="1"/>
        <v>39</v>
      </c>
      <c r="V46" s="7">
        <v>30644</v>
      </c>
      <c r="W46" t="s">
        <v>120</v>
      </c>
      <c r="X46" s="2">
        <v>0.375</v>
      </c>
      <c r="Y46" s="6">
        <f t="shared" si="2"/>
        <v>1.0010410827260351E-2</v>
      </c>
      <c r="AA46">
        <v>135194</v>
      </c>
      <c r="AB46">
        <v>24918</v>
      </c>
      <c r="AD46" t="s">
        <v>2</v>
      </c>
      <c r="AE46">
        <v>19</v>
      </c>
      <c r="AF46">
        <v>24</v>
      </c>
      <c r="AH46" t="s">
        <v>691</v>
      </c>
      <c r="AI46" t="s">
        <v>690</v>
      </c>
      <c r="AJ46" t="s">
        <v>689</v>
      </c>
      <c r="AK46" t="s">
        <v>688</v>
      </c>
      <c r="AL46">
        <v>2</v>
      </c>
      <c r="AM46" s="5">
        <f t="shared" si="3"/>
        <v>5.128205128205128E-2</v>
      </c>
      <c r="AN46" s="4">
        <f t="shared" si="4"/>
        <v>7.767065699666987E-5</v>
      </c>
      <c r="AO46" s="3"/>
      <c r="AP46">
        <v>0</v>
      </c>
      <c r="AR46" t="s">
        <v>1</v>
      </c>
      <c r="AT46" s="2">
        <v>1.3140000000000001</v>
      </c>
      <c r="AU46" s="1">
        <f t="shared" si="5"/>
        <v>0.70305887761812469</v>
      </c>
      <c r="AV46" s="1">
        <f t="shared" si="6"/>
        <v>0.50440407421285105</v>
      </c>
      <c r="AW46" s="1">
        <f t="shared" si="7"/>
        <v>0.30574927080757741</v>
      </c>
    </row>
    <row r="47" spans="1:49" x14ac:dyDescent="0.2">
      <c r="A47">
        <v>45</v>
      </c>
      <c r="B47" t="s">
        <v>687</v>
      </c>
      <c r="C47" t="s">
        <v>686</v>
      </c>
      <c r="F47" t="s">
        <v>685</v>
      </c>
      <c r="G47" t="s">
        <v>5</v>
      </c>
      <c r="H47" t="s">
        <v>4</v>
      </c>
      <c r="I47" t="s">
        <v>684</v>
      </c>
      <c r="J47">
        <v>117336348</v>
      </c>
      <c r="K47" t="s">
        <v>683</v>
      </c>
      <c r="L47" t="s">
        <v>138</v>
      </c>
      <c r="M47" t="s">
        <v>9</v>
      </c>
      <c r="N47">
        <v>2</v>
      </c>
      <c r="O47" t="s">
        <v>682</v>
      </c>
      <c r="P47" t="s">
        <v>681</v>
      </c>
      <c r="Q47" t="s">
        <v>680</v>
      </c>
      <c r="R47" s="7">
        <v>30644</v>
      </c>
      <c r="S47" s="8">
        <f t="shared" si="0"/>
        <v>1983</v>
      </c>
      <c r="T47" s="8">
        <v>1983</v>
      </c>
      <c r="U47" s="8">
        <f t="shared" si="1"/>
        <v>39</v>
      </c>
      <c r="V47" s="7">
        <v>30644</v>
      </c>
      <c r="W47" t="s">
        <v>120</v>
      </c>
      <c r="X47" s="2">
        <v>0.375</v>
      </c>
      <c r="Y47" s="6">
        <f t="shared" si="2"/>
        <v>1.0010410827260351E-2</v>
      </c>
      <c r="AA47">
        <v>135194</v>
      </c>
      <c r="AB47">
        <v>24918</v>
      </c>
      <c r="AD47" t="s">
        <v>2</v>
      </c>
      <c r="AE47">
        <v>19</v>
      </c>
      <c r="AF47">
        <v>24</v>
      </c>
      <c r="AH47" t="s">
        <v>679</v>
      </c>
      <c r="AI47" t="s">
        <v>678</v>
      </c>
      <c r="AJ47" t="s">
        <v>75</v>
      </c>
      <c r="AK47" t="s">
        <v>677</v>
      </c>
      <c r="AL47">
        <v>8</v>
      </c>
      <c r="AM47" s="5">
        <f t="shared" si="3"/>
        <v>0.20512820512820512</v>
      </c>
      <c r="AN47" s="4">
        <f t="shared" si="4"/>
        <v>3.1068262798667948E-4</v>
      </c>
      <c r="AO47" s="3"/>
      <c r="AP47">
        <v>0</v>
      </c>
      <c r="AR47" t="s">
        <v>1</v>
      </c>
      <c r="AT47" s="2">
        <v>1.3140000000000001</v>
      </c>
      <c r="AU47" s="1">
        <f t="shared" si="5"/>
        <v>0.71004923674782505</v>
      </c>
      <c r="AV47" s="1">
        <f t="shared" si="6"/>
        <v>0.51605467276235151</v>
      </c>
      <c r="AW47" s="1">
        <f t="shared" si="7"/>
        <v>0.32206010877687807</v>
      </c>
    </row>
    <row r="48" spans="1:49" x14ac:dyDescent="0.2">
      <c r="A48">
        <v>46</v>
      </c>
      <c r="B48" t="s">
        <v>676</v>
      </c>
      <c r="C48" t="s">
        <v>675</v>
      </c>
      <c r="D48">
        <v>304394083904160</v>
      </c>
      <c r="E48">
        <v>6318163</v>
      </c>
      <c r="F48" t="s">
        <v>674</v>
      </c>
      <c r="G48" t="s">
        <v>5</v>
      </c>
      <c r="H48" t="s">
        <v>4</v>
      </c>
      <c r="I48" t="s">
        <v>673</v>
      </c>
      <c r="J48">
        <v>60004898</v>
      </c>
      <c r="K48" t="s">
        <v>672</v>
      </c>
      <c r="L48" t="s">
        <v>671</v>
      </c>
      <c r="M48" t="s">
        <v>9</v>
      </c>
      <c r="N48">
        <v>2</v>
      </c>
      <c r="O48" t="s">
        <v>670</v>
      </c>
      <c r="P48" t="s">
        <v>669</v>
      </c>
      <c r="Q48" t="s">
        <v>668</v>
      </c>
      <c r="R48" s="7">
        <v>30641</v>
      </c>
      <c r="S48" s="8">
        <f t="shared" si="0"/>
        <v>1983</v>
      </c>
      <c r="T48" s="8">
        <v>1983</v>
      </c>
      <c r="U48" s="8">
        <f t="shared" si="1"/>
        <v>39</v>
      </c>
      <c r="V48" s="7">
        <v>30641</v>
      </c>
      <c r="W48" t="s">
        <v>667</v>
      </c>
      <c r="X48" s="2">
        <v>0.94399999999999995</v>
      </c>
      <c r="Y48" s="6">
        <f t="shared" si="2"/>
        <v>2.5199540855823391E-2</v>
      </c>
      <c r="AA48">
        <v>3043940</v>
      </c>
      <c r="AB48">
        <v>18046</v>
      </c>
      <c r="AD48" t="s">
        <v>2</v>
      </c>
      <c r="AE48">
        <v>42</v>
      </c>
      <c r="AF48">
        <v>1</v>
      </c>
      <c r="AH48" t="s">
        <v>57</v>
      </c>
      <c r="AI48" t="s">
        <v>666</v>
      </c>
      <c r="AJ48" t="s">
        <v>665</v>
      </c>
      <c r="AK48" t="s">
        <v>664</v>
      </c>
      <c r="AL48">
        <v>28</v>
      </c>
      <c r="AM48" s="5">
        <f t="shared" si="3"/>
        <v>0.71794871794871795</v>
      </c>
      <c r="AN48" s="4">
        <f t="shared" si="4"/>
        <v>1.0873891979533781E-3</v>
      </c>
      <c r="AO48" s="3"/>
      <c r="AP48">
        <v>0</v>
      </c>
      <c r="AR48" t="s">
        <v>1</v>
      </c>
      <c r="AT48" s="2">
        <v>3.0459999999999998</v>
      </c>
      <c r="AU48" s="1">
        <f t="shared" si="5"/>
        <v>1.7965895358462385</v>
      </c>
      <c r="AV48" s="1">
        <f t="shared" si="6"/>
        <v>1.3143465026888383</v>
      </c>
      <c r="AW48" s="1">
        <f t="shared" si="7"/>
        <v>0.83210346953143799</v>
      </c>
    </row>
    <row r="49" spans="1:49" x14ac:dyDescent="0.2">
      <c r="A49">
        <v>47</v>
      </c>
      <c r="B49" t="s">
        <v>663</v>
      </c>
      <c r="C49" t="s">
        <v>662</v>
      </c>
      <c r="F49" t="s">
        <v>661</v>
      </c>
      <c r="G49" t="s">
        <v>5</v>
      </c>
      <c r="H49" t="s">
        <v>4</v>
      </c>
      <c r="I49" t="s">
        <v>73</v>
      </c>
      <c r="J49">
        <v>60030526</v>
      </c>
      <c r="K49" t="s">
        <v>96</v>
      </c>
      <c r="L49" t="s">
        <v>7</v>
      </c>
      <c r="M49" t="s">
        <v>6</v>
      </c>
      <c r="N49">
        <v>3</v>
      </c>
      <c r="O49" t="s">
        <v>660</v>
      </c>
      <c r="P49" t="s">
        <v>659</v>
      </c>
      <c r="Q49" t="s">
        <v>101</v>
      </c>
      <c r="R49" s="7">
        <v>30630</v>
      </c>
      <c r="S49" s="8">
        <f t="shared" si="0"/>
        <v>1983</v>
      </c>
      <c r="T49" s="8">
        <v>1983</v>
      </c>
      <c r="U49" s="8">
        <f t="shared" si="1"/>
        <v>39</v>
      </c>
      <c r="V49" s="7">
        <v>30630</v>
      </c>
      <c r="W49" t="s">
        <v>120</v>
      </c>
      <c r="X49" s="2">
        <v>0.375</v>
      </c>
      <c r="Y49" s="6">
        <f t="shared" si="2"/>
        <v>1.0010410827260351E-2</v>
      </c>
      <c r="AA49">
        <v>135194</v>
      </c>
      <c r="AB49">
        <v>24918</v>
      </c>
      <c r="AD49" t="s">
        <v>2</v>
      </c>
      <c r="AE49">
        <v>19</v>
      </c>
      <c r="AF49">
        <v>23</v>
      </c>
      <c r="AH49" t="s">
        <v>658</v>
      </c>
      <c r="AI49" t="s">
        <v>657</v>
      </c>
      <c r="AJ49" t="s">
        <v>656</v>
      </c>
      <c r="AK49" t="s">
        <v>655</v>
      </c>
      <c r="AL49">
        <v>4</v>
      </c>
      <c r="AM49" s="5">
        <f t="shared" si="3"/>
        <v>0.10256410256410256</v>
      </c>
      <c r="AN49" s="4">
        <f t="shared" si="4"/>
        <v>1.5534131399333974E-4</v>
      </c>
      <c r="AO49" s="3"/>
      <c r="AP49">
        <v>0</v>
      </c>
      <c r="AR49" t="s">
        <v>1</v>
      </c>
      <c r="AT49" s="2">
        <v>1.3140000000000001</v>
      </c>
      <c r="AU49" s="1">
        <f t="shared" si="5"/>
        <v>0.70538899732802474</v>
      </c>
      <c r="AV49" s="1">
        <f t="shared" si="6"/>
        <v>0.50828760706268461</v>
      </c>
      <c r="AW49" s="1">
        <f t="shared" si="7"/>
        <v>0.31118621679734426</v>
      </c>
    </row>
    <row r="50" spans="1:49" x14ac:dyDescent="0.2">
      <c r="A50">
        <v>48</v>
      </c>
      <c r="B50" t="s">
        <v>654</v>
      </c>
      <c r="C50" t="s">
        <v>653</v>
      </c>
      <c r="F50" t="s">
        <v>652</v>
      </c>
      <c r="G50" t="s">
        <v>5</v>
      </c>
      <c r="H50" t="s">
        <v>4</v>
      </c>
      <c r="I50" t="s">
        <v>651</v>
      </c>
      <c r="N50">
        <v>6</v>
      </c>
      <c r="O50" t="s">
        <v>650</v>
      </c>
      <c r="P50" t="s">
        <v>649</v>
      </c>
      <c r="Q50" t="s">
        <v>29</v>
      </c>
      <c r="R50" s="7">
        <v>30621</v>
      </c>
      <c r="S50" s="8">
        <f t="shared" si="0"/>
        <v>1983</v>
      </c>
      <c r="T50" s="8">
        <v>1983</v>
      </c>
      <c r="U50" s="8">
        <f t="shared" si="1"/>
        <v>39</v>
      </c>
      <c r="V50" s="7">
        <v>30621</v>
      </c>
      <c r="W50" t="s">
        <v>62</v>
      </c>
      <c r="X50" s="2">
        <v>0.318</v>
      </c>
      <c r="Y50" s="6">
        <f t="shared" si="2"/>
        <v>8.4888283815167786E-3</v>
      </c>
      <c r="AA50">
        <v>338443</v>
      </c>
      <c r="AB50">
        <v>27160</v>
      </c>
      <c r="AC50">
        <v>15739120</v>
      </c>
      <c r="AD50" t="s">
        <v>2</v>
      </c>
      <c r="AE50">
        <v>26</v>
      </c>
      <c r="AF50">
        <v>11</v>
      </c>
      <c r="AH50" t="s">
        <v>648</v>
      </c>
      <c r="AL50">
        <v>0</v>
      </c>
      <c r="AM50" s="5">
        <f t="shared" si="3"/>
        <v>0</v>
      </c>
      <c r="AN50" s="4">
        <f t="shared" si="4"/>
        <v>0</v>
      </c>
      <c r="AO50" s="3"/>
      <c r="AP50">
        <v>0</v>
      </c>
      <c r="AR50" t="s">
        <v>1</v>
      </c>
      <c r="AT50" s="2">
        <v>0.77</v>
      </c>
      <c r="AU50" s="1">
        <f t="shared" si="5"/>
        <v>0.59421798670617454</v>
      </c>
      <c r="AV50" s="1">
        <f t="shared" si="6"/>
        <v>0.42444141907583893</v>
      </c>
      <c r="AW50" s="1">
        <f t="shared" si="7"/>
        <v>0.25466485144550338</v>
      </c>
    </row>
    <row r="51" spans="1:49" x14ac:dyDescent="0.2">
      <c r="A51">
        <v>49</v>
      </c>
      <c r="B51" t="s">
        <v>647</v>
      </c>
      <c r="C51" t="s">
        <v>646</v>
      </c>
      <c r="F51" t="s">
        <v>645</v>
      </c>
      <c r="G51" t="s">
        <v>5</v>
      </c>
      <c r="H51" t="s">
        <v>4</v>
      </c>
      <c r="I51" t="s">
        <v>644</v>
      </c>
      <c r="N51">
        <v>4</v>
      </c>
      <c r="O51" t="s">
        <v>643</v>
      </c>
      <c r="P51" t="s">
        <v>642</v>
      </c>
      <c r="Q51" t="s">
        <v>37</v>
      </c>
      <c r="R51" s="7">
        <v>30621</v>
      </c>
      <c r="S51" s="8">
        <f t="shared" si="0"/>
        <v>1983</v>
      </c>
      <c r="T51" s="8">
        <v>1983</v>
      </c>
      <c r="U51" s="8">
        <f t="shared" si="1"/>
        <v>39</v>
      </c>
      <c r="V51" s="7">
        <v>30621</v>
      </c>
      <c r="W51" t="s">
        <v>62</v>
      </c>
      <c r="X51" s="2">
        <v>0.318</v>
      </c>
      <c r="Y51" s="6">
        <f t="shared" si="2"/>
        <v>8.4888283815167786E-3</v>
      </c>
      <c r="AA51">
        <v>338443</v>
      </c>
      <c r="AB51">
        <v>27160</v>
      </c>
      <c r="AC51">
        <v>15739120</v>
      </c>
      <c r="AD51" t="s">
        <v>2</v>
      </c>
      <c r="AE51">
        <v>26</v>
      </c>
      <c r="AF51">
        <v>11</v>
      </c>
      <c r="AH51" t="s">
        <v>641</v>
      </c>
      <c r="AL51">
        <v>0</v>
      </c>
      <c r="AM51" s="5">
        <f t="shared" si="3"/>
        <v>0</v>
      </c>
      <c r="AN51" s="4">
        <f t="shared" si="4"/>
        <v>0</v>
      </c>
      <c r="AO51" s="3"/>
      <c r="AP51">
        <v>0</v>
      </c>
      <c r="AR51" t="s">
        <v>1</v>
      </c>
      <c r="AT51" s="2">
        <v>0.77</v>
      </c>
      <c r="AU51" s="1">
        <f t="shared" si="5"/>
        <v>0.59421798670617454</v>
      </c>
      <c r="AV51" s="1">
        <f t="shared" si="6"/>
        <v>0.42444141907583893</v>
      </c>
      <c r="AW51" s="1">
        <f t="shared" si="7"/>
        <v>0.25466485144550338</v>
      </c>
    </row>
    <row r="52" spans="1:49" x14ac:dyDescent="0.2">
      <c r="A52">
        <v>50</v>
      </c>
      <c r="B52" t="s">
        <v>640</v>
      </c>
      <c r="C52" t="s">
        <v>639</v>
      </c>
      <c r="F52" t="s">
        <v>638</v>
      </c>
      <c r="G52" t="s">
        <v>5</v>
      </c>
      <c r="H52" t="s">
        <v>4</v>
      </c>
      <c r="I52" t="s">
        <v>637</v>
      </c>
      <c r="N52">
        <v>1</v>
      </c>
      <c r="O52" t="s">
        <v>636</v>
      </c>
      <c r="P52">
        <v>6507921352</v>
      </c>
      <c r="R52" s="7">
        <v>30621</v>
      </c>
      <c r="S52" s="8">
        <f t="shared" si="0"/>
        <v>1983</v>
      </c>
      <c r="T52" s="8">
        <v>1983</v>
      </c>
      <c r="U52" s="8">
        <f t="shared" si="1"/>
        <v>39</v>
      </c>
      <c r="V52" s="7">
        <v>30621</v>
      </c>
      <c r="W52" t="s">
        <v>62</v>
      </c>
      <c r="X52" s="2">
        <v>0.318</v>
      </c>
      <c r="Y52" s="6">
        <f t="shared" si="2"/>
        <v>8.4888283815167786E-3</v>
      </c>
      <c r="AA52">
        <v>338443</v>
      </c>
      <c r="AB52">
        <v>27160</v>
      </c>
      <c r="AC52">
        <v>15739120</v>
      </c>
      <c r="AD52" t="s">
        <v>2</v>
      </c>
      <c r="AE52">
        <v>26</v>
      </c>
      <c r="AF52">
        <v>11</v>
      </c>
      <c r="AH52" t="s">
        <v>635</v>
      </c>
      <c r="AL52">
        <v>0</v>
      </c>
      <c r="AM52" s="5">
        <f t="shared" si="3"/>
        <v>0</v>
      </c>
      <c r="AN52" s="4">
        <f t="shared" si="4"/>
        <v>0</v>
      </c>
      <c r="AO52" s="3"/>
      <c r="AP52">
        <v>0</v>
      </c>
      <c r="AR52" t="s">
        <v>1</v>
      </c>
      <c r="AT52" s="2">
        <v>0.77</v>
      </c>
      <c r="AU52" s="1">
        <f t="shared" si="5"/>
        <v>0.59421798670617454</v>
      </c>
      <c r="AV52" s="1">
        <f t="shared" si="6"/>
        <v>0.42444141907583893</v>
      </c>
      <c r="AW52" s="1">
        <f t="shared" si="7"/>
        <v>0.25466485144550338</v>
      </c>
    </row>
    <row r="53" spans="1:49" x14ac:dyDescent="0.2">
      <c r="A53">
        <v>51</v>
      </c>
      <c r="B53" t="s">
        <v>634</v>
      </c>
      <c r="C53" t="s">
        <v>633</v>
      </c>
      <c r="D53">
        <v>5272883902384</v>
      </c>
      <c r="F53" t="s">
        <v>632</v>
      </c>
      <c r="G53" t="s">
        <v>5</v>
      </c>
      <c r="H53" t="s">
        <v>4</v>
      </c>
      <c r="I53" t="s">
        <v>631</v>
      </c>
      <c r="J53">
        <v>60022659</v>
      </c>
      <c r="K53" t="s">
        <v>630</v>
      </c>
      <c r="L53" t="s">
        <v>629</v>
      </c>
      <c r="M53" t="s">
        <v>3</v>
      </c>
      <c r="N53">
        <v>2</v>
      </c>
      <c r="O53" t="s">
        <v>628</v>
      </c>
      <c r="P53" t="s">
        <v>627</v>
      </c>
      <c r="Q53" t="s">
        <v>626</v>
      </c>
      <c r="R53" s="7">
        <v>30620</v>
      </c>
      <c r="S53" s="8">
        <f t="shared" si="0"/>
        <v>1983</v>
      </c>
      <c r="T53" s="8">
        <v>1983</v>
      </c>
      <c r="U53" s="8">
        <f t="shared" si="1"/>
        <v>39</v>
      </c>
      <c r="V53" s="7">
        <v>30620</v>
      </c>
      <c r="W53" t="s">
        <v>121</v>
      </c>
      <c r="X53" s="2">
        <v>1.59</v>
      </c>
      <c r="Y53" s="6">
        <f t="shared" si="2"/>
        <v>4.2444141907583888E-2</v>
      </c>
      <c r="AA53">
        <v>52728</v>
      </c>
      <c r="AB53">
        <v>16791</v>
      </c>
      <c r="AD53" t="s">
        <v>2</v>
      </c>
      <c r="AE53">
        <v>725</v>
      </c>
      <c r="AF53">
        <v>1</v>
      </c>
      <c r="AH53" t="s">
        <v>625</v>
      </c>
      <c r="AI53" t="s">
        <v>624</v>
      </c>
      <c r="AJ53" t="s">
        <v>623</v>
      </c>
      <c r="AK53" t="s">
        <v>622</v>
      </c>
      <c r="AL53">
        <v>7</v>
      </c>
      <c r="AM53" s="5">
        <f t="shared" si="3"/>
        <v>0.17948717948717949</v>
      </c>
      <c r="AN53" s="4">
        <f t="shared" si="4"/>
        <v>2.7184729948834453E-4</v>
      </c>
      <c r="AO53" s="3"/>
      <c r="AP53">
        <v>0</v>
      </c>
      <c r="AR53" t="s">
        <v>621</v>
      </c>
      <c r="AT53" s="2" t="s">
        <v>0</v>
      </c>
      <c r="AU53" s="1">
        <f t="shared" si="5"/>
        <v>2.9792453525155227</v>
      </c>
      <c r="AV53" s="1">
        <f t="shared" si="6"/>
        <v>2.1357994603536117</v>
      </c>
      <c r="AW53" s="1">
        <f t="shared" si="7"/>
        <v>1.2923535681917007</v>
      </c>
    </row>
    <row r="54" spans="1:49" x14ac:dyDescent="0.2">
      <c r="A54">
        <v>52</v>
      </c>
      <c r="B54" t="s">
        <v>620</v>
      </c>
      <c r="C54" t="s">
        <v>619</v>
      </c>
      <c r="D54">
        <v>5272883902414</v>
      </c>
      <c r="F54" t="s">
        <v>618</v>
      </c>
      <c r="G54" t="s">
        <v>5</v>
      </c>
      <c r="H54" t="s">
        <v>4</v>
      </c>
      <c r="I54" t="s">
        <v>617</v>
      </c>
      <c r="J54">
        <v>60031101</v>
      </c>
      <c r="K54" t="s">
        <v>616</v>
      </c>
      <c r="L54" t="s">
        <v>33</v>
      </c>
      <c r="M54" t="s">
        <v>28</v>
      </c>
      <c r="N54">
        <v>3</v>
      </c>
      <c r="O54" t="s">
        <v>615</v>
      </c>
      <c r="P54" t="s">
        <v>614</v>
      </c>
      <c r="Q54" t="s">
        <v>613</v>
      </c>
      <c r="R54" s="7">
        <v>30620</v>
      </c>
      <c r="S54" s="8">
        <f t="shared" si="0"/>
        <v>1983</v>
      </c>
      <c r="T54" s="8">
        <v>1983</v>
      </c>
      <c r="U54" s="8">
        <f t="shared" si="1"/>
        <v>39</v>
      </c>
      <c r="V54" s="7">
        <v>30620</v>
      </c>
      <c r="W54" t="s">
        <v>121</v>
      </c>
      <c r="X54" s="2">
        <v>1.59</v>
      </c>
      <c r="Y54" s="6">
        <f t="shared" si="2"/>
        <v>4.2444141907583888E-2</v>
      </c>
      <c r="AA54">
        <v>52728</v>
      </c>
      <c r="AB54">
        <v>16791</v>
      </c>
      <c r="AD54" t="s">
        <v>2</v>
      </c>
      <c r="AE54">
        <v>725</v>
      </c>
      <c r="AF54">
        <v>1</v>
      </c>
      <c r="AH54" t="s">
        <v>612</v>
      </c>
      <c r="AI54" t="s">
        <v>611</v>
      </c>
      <c r="AJ54" t="s">
        <v>610</v>
      </c>
      <c r="AK54" t="s">
        <v>609</v>
      </c>
      <c r="AL54">
        <v>58</v>
      </c>
      <c r="AM54" s="5">
        <f t="shared" si="3"/>
        <v>1.4871794871794872</v>
      </c>
      <c r="AN54" s="4">
        <f t="shared" si="4"/>
        <v>2.2524490529034261E-3</v>
      </c>
      <c r="AO54" s="3"/>
      <c r="AP54">
        <v>0</v>
      </c>
      <c r="AQ54" t="s">
        <v>608</v>
      </c>
      <c r="AR54" t="s">
        <v>1</v>
      </c>
      <c r="AS54" t="s">
        <v>607</v>
      </c>
      <c r="AT54" s="2" t="s">
        <v>0</v>
      </c>
      <c r="AU54" s="1">
        <f t="shared" si="5"/>
        <v>3.0386634051179748</v>
      </c>
      <c r="AV54" s="1">
        <f t="shared" si="6"/>
        <v>2.2348295480243658</v>
      </c>
      <c r="AW54" s="1">
        <f t="shared" si="7"/>
        <v>1.4309956909307564</v>
      </c>
    </row>
    <row r="55" spans="1:49" x14ac:dyDescent="0.2">
      <c r="A55">
        <v>53</v>
      </c>
      <c r="B55" t="s">
        <v>606</v>
      </c>
      <c r="C55" t="s">
        <v>605</v>
      </c>
      <c r="F55" t="s">
        <v>604</v>
      </c>
      <c r="G55" t="s">
        <v>5</v>
      </c>
      <c r="H55" t="s">
        <v>4</v>
      </c>
      <c r="I55" t="s">
        <v>98</v>
      </c>
      <c r="J55">
        <v>60022148</v>
      </c>
      <c r="K55" t="s">
        <v>44</v>
      </c>
      <c r="L55" t="s">
        <v>43</v>
      </c>
      <c r="M55" t="s">
        <v>28</v>
      </c>
      <c r="N55">
        <v>2</v>
      </c>
      <c r="O55" t="s">
        <v>603</v>
      </c>
      <c r="P55" t="s">
        <v>602</v>
      </c>
      <c r="Q55" t="s">
        <v>42</v>
      </c>
      <c r="R55" s="7">
        <v>30616</v>
      </c>
      <c r="S55" s="8">
        <f t="shared" si="0"/>
        <v>1983</v>
      </c>
      <c r="T55" s="8">
        <v>1983</v>
      </c>
      <c r="U55" s="8">
        <f t="shared" si="1"/>
        <v>39</v>
      </c>
      <c r="V55" s="7">
        <v>30616</v>
      </c>
      <c r="W55" t="s">
        <v>120</v>
      </c>
      <c r="X55" s="2">
        <v>0.375</v>
      </c>
      <c r="Y55" s="6">
        <f t="shared" si="2"/>
        <v>1.0010410827260351E-2</v>
      </c>
      <c r="AA55">
        <v>135194</v>
      </c>
      <c r="AB55">
        <v>24918</v>
      </c>
      <c r="AD55" t="s">
        <v>2</v>
      </c>
      <c r="AE55">
        <v>19</v>
      </c>
      <c r="AF55">
        <v>22</v>
      </c>
      <c r="AH55" t="s">
        <v>601</v>
      </c>
      <c r="AI55" t="s">
        <v>600</v>
      </c>
      <c r="AJ55" t="s">
        <v>505</v>
      </c>
      <c r="AK55" t="s">
        <v>599</v>
      </c>
      <c r="AL55">
        <v>3</v>
      </c>
      <c r="AM55" s="5">
        <f t="shared" si="3"/>
        <v>7.6923076923076927E-2</v>
      </c>
      <c r="AN55" s="4">
        <f t="shared" si="4"/>
        <v>1.1650598549500481E-4</v>
      </c>
      <c r="AO55" s="3"/>
      <c r="AP55">
        <v>0</v>
      </c>
      <c r="AR55" t="s">
        <v>1</v>
      </c>
      <c r="AT55" s="2">
        <v>1.3140000000000001</v>
      </c>
      <c r="AU55" s="1">
        <f t="shared" si="5"/>
        <v>0.70422393747307466</v>
      </c>
      <c r="AV55" s="1">
        <f t="shared" si="6"/>
        <v>0.50634584063776777</v>
      </c>
      <c r="AW55" s="1">
        <f t="shared" si="7"/>
        <v>0.30846774380246084</v>
      </c>
    </row>
    <row r="56" spans="1:49" x14ac:dyDescent="0.2">
      <c r="A56">
        <v>54</v>
      </c>
      <c r="B56" t="s">
        <v>598</v>
      </c>
      <c r="C56" t="s">
        <v>597</v>
      </c>
      <c r="F56" t="s">
        <v>596</v>
      </c>
      <c r="G56" t="s">
        <v>5</v>
      </c>
      <c r="H56" t="s">
        <v>4</v>
      </c>
      <c r="I56" t="s">
        <v>595</v>
      </c>
      <c r="J56">
        <v>60022109</v>
      </c>
      <c r="K56" t="s">
        <v>594</v>
      </c>
      <c r="L56" t="s">
        <v>43</v>
      </c>
      <c r="M56" t="s">
        <v>28</v>
      </c>
      <c r="N56">
        <v>3</v>
      </c>
      <c r="O56" t="s">
        <v>593</v>
      </c>
      <c r="P56" t="s">
        <v>592</v>
      </c>
      <c r="Q56" t="s">
        <v>591</v>
      </c>
      <c r="R56" s="7">
        <v>30616</v>
      </c>
      <c r="S56" s="8">
        <f t="shared" si="0"/>
        <v>1983</v>
      </c>
      <c r="T56" s="8">
        <v>1983</v>
      </c>
      <c r="U56" s="8">
        <f t="shared" si="1"/>
        <v>39</v>
      </c>
      <c r="V56" s="7">
        <v>30616</v>
      </c>
      <c r="W56" t="s">
        <v>120</v>
      </c>
      <c r="X56" s="2">
        <v>0.375</v>
      </c>
      <c r="Y56" s="6">
        <f t="shared" si="2"/>
        <v>1.0010410827260351E-2</v>
      </c>
      <c r="AA56">
        <v>135194</v>
      </c>
      <c r="AB56">
        <v>24918</v>
      </c>
      <c r="AD56" t="s">
        <v>2</v>
      </c>
      <c r="AE56">
        <v>19</v>
      </c>
      <c r="AF56">
        <v>22</v>
      </c>
      <c r="AH56" t="s">
        <v>590</v>
      </c>
      <c r="AI56" t="s">
        <v>589</v>
      </c>
      <c r="AJ56" t="s">
        <v>122</v>
      </c>
      <c r="AK56" t="s">
        <v>588</v>
      </c>
      <c r="AL56">
        <v>3</v>
      </c>
      <c r="AM56" s="5">
        <f t="shared" si="3"/>
        <v>7.6923076923076927E-2</v>
      </c>
      <c r="AN56" s="4">
        <f t="shared" si="4"/>
        <v>1.1650598549500481E-4</v>
      </c>
      <c r="AO56" s="3"/>
      <c r="AP56">
        <v>0</v>
      </c>
      <c r="AR56" t="s">
        <v>1</v>
      </c>
      <c r="AT56" s="2">
        <v>1.3140000000000001</v>
      </c>
      <c r="AU56" s="1">
        <f t="shared" si="5"/>
        <v>0.70422393747307466</v>
      </c>
      <c r="AV56" s="1">
        <f t="shared" si="6"/>
        <v>0.50634584063776777</v>
      </c>
      <c r="AW56" s="1">
        <f t="shared" si="7"/>
        <v>0.30846774380246084</v>
      </c>
    </row>
    <row r="57" spans="1:49" x14ac:dyDescent="0.2">
      <c r="A57">
        <v>55</v>
      </c>
      <c r="B57" t="s">
        <v>587</v>
      </c>
      <c r="C57" t="s">
        <v>586</v>
      </c>
      <c r="F57" t="s">
        <v>585</v>
      </c>
      <c r="G57" t="s">
        <v>5</v>
      </c>
      <c r="H57" t="s">
        <v>4</v>
      </c>
      <c r="I57" t="s">
        <v>98</v>
      </c>
      <c r="J57">
        <v>60022148</v>
      </c>
      <c r="K57" t="s">
        <v>44</v>
      </c>
      <c r="L57" t="s">
        <v>43</v>
      </c>
      <c r="M57" t="s">
        <v>28</v>
      </c>
      <c r="N57">
        <v>1</v>
      </c>
      <c r="O57" t="s">
        <v>584</v>
      </c>
      <c r="P57">
        <v>55698377500</v>
      </c>
      <c r="Q57">
        <v>60022148</v>
      </c>
      <c r="R57" s="7">
        <v>30602</v>
      </c>
      <c r="S57" s="8">
        <f t="shared" si="0"/>
        <v>1983</v>
      </c>
      <c r="T57" s="8">
        <v>1983</v>
      </c>
      <c r="U57" s="8">
        <f t="shared" si="1"/>
        <v>39</v>
      </c>
      <c r="V57" s="7">
        <v>30602</v>
      </c>
      <c r="W57" t="s">
        <v>120</v>
      </c>
      <c r="X57" s="2">
        <v>0.375</v>
      </c>
      <c r="Y57" s="6">
        <f t="shared" si="2"/>
        <v>1.0010410827260351E-2</v>
      </c>
      <c r="AA57">
        <v>135194</v>
      </c>
      <c r="AB57">
        <v>24918</v>
      </c>
      <c r="AD57" t="s">
        <v>2</v>
      </c>
      <c r="AE57">
        <v>19</v>
      </c>
      <c r="AF57">
        <v>21</v>
      </c>
      <c r="AH57" t="s">
        <v>583</v>
      </c>
      <c r="AI57" t="s">
        <v>582</v>
      </c>
      <c r="AJ57" t="s">
        <v>505</v>
      </c>
      <c r="AK57" t="s">
        <v>581</v>
      </c>
      <c r="AL57">
        <v>0</v>
      </c>
      <c r="AM57" s="5">
        <f t="shared" si="3"/>
        <v>0</v>
      </c>
      <c r="AN57" s="4">
        <f t="shared" si="4"/>
        <v>0</v>
      </c>
      <c r="AO57" s="3"/>
      <c r="AP57">
        <v>0</v>
      </c>
      <c r="AR57" t="s">
        <v>1</v>
      </c>
      <c r="AT57" s="2">
        <v>1.3140000000000001</v>
      </c>
      <c r="AU57" s="1">
        <f t="shared" si="5"/>
        <v>0.70072875790822453</v>
      </c>
      <c r="AV57" s="1">
        <f t="shared" si="6"/>
        <v>0.5005205413630176</v>
      </c>
      <c r="AW57" s="1">
        <f t="shared" si="7"/>
        <v>0.30031232481781051</v>
      </c>
    </row>
    <row r="58" spans="1:49" x14ac:dyDescent="0.2">
      <c r="A58">
        <v>56</v>
      </c>
      <c r="B58" t="s">
        <v>580</v>
      </c>
      <c r="C58" t="s">
        <v>579</v>
      </c>
      <c r="D58">
        <v>14579383810485</v>
      </c>
      <c r="F58" t="s">
        <v>578</v>
      </c>
      <c r="G58" t="s">
        <v>5</v>
      </c>
      <c r="H58" t="s">
        <v>4</v>
      </c>
      <c r="I58" t="s">
        <v>12</v>
      </c>
      <c r="J58">
        <v>60025641</v>
      </c>
      <c r="K58" t="s">
        <v>11</v>
      </c>
      <c r="L58" t="s">
        <v>10</v>
      </c>
      <c r="M58" t="s">
        <v>9</v>
      </c>
      <c r="N58">
        <v>2</v>
      </c>
      <c r="O58" t="s">
        <v>577</v>
      </c>
      <c r="P58" t="s">
        <v>576</v>
      </c>
      <c r="Q58" t="s">
        <v>575</v>
      </c>
      <c r="R58" s="7">
        <v>30592</v>
      </c>
      <c r="S58" s="8">
        <f t="shared" si="0"/>
        <v>1983</v>
      </c>
      <c r="T58" s="8">
        <v>1983</v>
      </c>
      <c r="U58" s="8">
        <f t="shared" si="1"/>
        <v>39</v>
      </c>
      <c r="V58" s="7">
        <v>30592</v>
      </c>
      <c r="W58" t="s">
        <v>140</v>
      </c>
      <c r="X58" s="2">
        <v>1.593</v>
      </c>
      <c r="Y58" s="6">
        <f t="shared" si="2"/>
        <v>4.2524225194201973E-2</v>
      </c>
      <c r="AA58">
        <v>145793</v>
      </c>
      <c r="AB58">
        <v>17481</v>
      </c>
      <c r="AD58" t="s">
        <v>2</v>
      </c>
      <c r="AE58">
        <v>162</v>
      </c>
      <c r="AF58">
        <v>1</v>
      </c>
      <c r="AH58" t="s">
        <v>36</v>
      </c>
      <c r="AI58" t="s">
        <v>574</v>
      </c>
      <c r="AJ58" t="s">
        <v>573</v>
      </c>
      <c r="AK58" t="s">
        <v>572</v>
      </c>
      <c r="AL58">
        <v>9</v>
      </c>
      <c r="AM58" s="5">
        <f t="shared" si="3"/>
        <v>0.23076923076923078</v>
      </c>
      <c r="AN58" s="4">
        <f t="shared" si="4"/>
        <v>3.4951795648501444E-4</v>
      </c>
      <c r="AO58" s="3"/>
      <c r="AP58">
        <v>1</v>
      </c>
      <c r="AQ58" t="s">
        <v>133</v>
      </c>
      <c r="AR58" t="s">
        <v>1</v>
      </c>
      <c r="AS58" t="s">
        <v>132</v>
      </c>
      <c r="AT58" s="2">
        <v>4.1239999999999997</v>
      </c>
      <c r="AU58" s="1">
        <f t="shared" si="5"/>
        <v>2.9871813022886884</v>
      </c>
      <c r="AV58" s="1">
        <f t="shared" si="6"/>
        <v>2.1436871575343495</v>
      </c>
      <c r="AW58" s="1">
        <f t="shared" si="7"/>
        <v>1.3001930127800103</v>
      </c>
    </row>
    <row r="59" spans="1:49" x14ac:dyDescent="0.2">
      <c r="A59">
        <v>57</v>
      </c>
      <c r="B59" t="s">
        <v>571</v>
      </c>
      <c r="C59" t="s">
        <v>570</v>
      </c>
      <c r="F59" t="s">
        <v>569</v>
      </c>
      <c r="G59" t="s">
        <v>5</v>
      </c>
      <c r="H59" t="s">
        <v>4</v>
      </c>
      <c r="I59" t="s">
        <v>568</v>
      </c>
      <c r="J59" t="s">
        <v>567</v>
      </c>
      <c r="K59" t="s">
        <v>566</v>
      </c>
      <c r="L59" t="s">
        <v>565</v>
      </c>
      <c r="M59" t="s">
        <v>25</v>
      </c>
      <c r="N59">
        <v>2</v>
      </c>
      <c r="O59" t="s">
        <v>564</v>
      </c>
      <c r="P59" t="s">
        <v>563</v>
      </c>
      <c r="Q59" t="s">
        <v>562</v>
      </c>
      <c r="R59" s="7">
        <v>30590</v>
      </c>
      <c r="S59" s="8">
        <f t="shared" si="0"/>
        <v>1983</v>
      </c>
      <c r="T59" s="8">
        <v>1983</v>
      </c>
      <c r="U59" s="8">
        <f t="shared" si="1"/>
        <v>39</v>
      </c>
      <c r="V59" s="7">
        <v>30590</v>
      </c>
      <c r="W59" t="s">
        <v>127</v>
      </c>
      <c r="X59" s="2" t="s">
        <v>0</v>
      </c>
      <c r="Y59" s="6" t="e">
        <f t="shared" si="2"/>
        <v>#VALUE!</v>
      </c>
      <c r="AA59" t="s">
        <v>126</v>
      </c>
      <c r="AB59">
        <v>12100155632</v>
      </c>
      <c r="AC59" t="s">
        <v>125</v>
      </c>
      <c r="AD59" t="s">
        <v>2</v>
      </c>
      <c r="AE59">
        <v>38</v>
      </c>
      <c r="AF59">
        <v>7</v>
      </c>
      <c r="AH59" t="s">
        <v>561</v>
      </c>
      <c r="AJ59" t="s">
        <v>560</v>
      </c>
      <c r="AL59">
        <v>29</v>
      </c>
      <c r="AM59" s="5">
        <f t="shared" si="3"/>
        <v>0.74358974358974361</v>
      </c>
      <c r="AN59" s="4">
        <f t="shared" si="4"/>
        <v>1.1262245264517131E-3</v>
      </c>
      <c r="AO59" s="3"/>
      <c r="AP59">
        <v>0</v>
      </c>
      <c r="AR59" t="s">
        <v>1</v>
      </c>
      <c r="AT59" s="2" t="s">
        <v>0</v>
      </c>
      <c r="AU59" s="1" t="e">
        <f t="shared" si="5"/>
        <v>#VALUE!</v>
      </c>
      <c r="AV59" s="1" t="e">
        <f t="shared" si="6"/>
        <v>#VALUE!</v>
      </c>
      <c r="AW59" s="1" t="e">
        <f t="shared" si="7"/>
        <v>#VALUE!</v>
      </c>
    </row>
    <row r="60" spans="1:49" x14ac:dyDescent="0.2">
      <c r="A60">
        <v>58</v>
      </c>
      <c r="B60" t="s">
        <v>559</v>
      </c>
      <c r="C60" t="s">
        <v>558</v>
      </c>
      <c r="E60">
        <v>6196120</v>
      </c>
      <c r="F60" t="s">
        <v>557</v>
      </c>
      <c r="G60" t="s">
        <v>5</v>
      </c>
      <c r="H60" t="s">
        <v>4</v>
      </c>
      <c r="I60" t="s">
        <v>556</v>
      </c>
      <c r="J60">
        <v>60030807</v>
      </c>
      <c r="K60" t="s">
        <v>66</v>
      </c>
      <c r="L60" t="s">
        <v>65</v>
      </c>
      <c r="M60" t="s">
        <v>9</v>
      </c>
      <c r="N60">
        <v>4</v>
      </c>
      <c r="O60" t="s">
        <v>555</v>
      </c>
      <c r="P60" t="s">
        <v>554</v>
      </c>
      <c r="Q60" t="s">
        <v>553</v>
      </c>
      <c r="R60" s="7">
        <v>30590</v>
      </c>
      <c r="S60" s="8">
        <f t="shared" si="0"/>
        <v>1983</v>
      </c>
      <c r="T60" s="8">
        <v>1983</v>
      </c>
      <c r="U60" s="8">
        <f t="shared" si="1"/>
        <v>39</v>
      </c>
      <c r="V60" s="7">
        <v>30590</v>
      </c>
      <c r="W60" t="s">
        <v>64</v>
      </c>
      <c r="X60" s="2">
        <v>1.64</v>
      </c>
      <c r="Y60" s="6">
        <f t="shared" si="2"/>
        <v>4.3778863351218597E-2</v>
      </c>
      <c r="AA60" t="s">
        <v>63</v>
      </c>
      <c r="AB60">
        <v>18446</v>
      </c>
      <c r="AC60">
        <v>14320878</v>
      </c>
      <c r="AD60" t="s">
        <v>2</v>
      </c>
      <c r="AE60">
        <v>234</v>
      </c>
      <c r="AF60">
        <v>2</v>
      </c>
      <c r="AH60" t="s">
        <v>552</v>
      </c>
      <c r="AI60" t="s">
        <v>551</v>
      </c>
      <c r="AJ60" t="s">
        <v>550</v>
      </c>
      <c r="AK60" t="s">
        <v>549</v>
      </c>
      <c r="AL60">
        <v>163</v>
      </c>
      <c r="AM60" s="5">
        <f t="shared" si="3"/>
        <v>4.1794871794871797</v>
      </c>
      <c r="AN60" s="4">
        <f t="shared" si="4"/>
        <v>6.3301585452285947E-3</v>
      </c>
      <c r="AO60" s="3"/>
      <c r="AP60">
        <v>0</v>
      </c>
      <c r="AR60" t="s">
        <v>1</v>
      </c>
      <c r="AT60" s="2">
        <v>5.2489999999999997</v>
      </c>
      <c r="AU60" s="1">
        <f t="shared" si="5"/>
        <v>3.2544251909421598</v>
      </c>
      <c r="AV60" s="1">
        <f t="shared" si="6"/>
        <v>2.5054510948223596</v>
      </c>
      <c r="AW60" s="1">
        <f t="shared" si="7"/>
        <v>1.7564769987025595</v>
      </c>
    </row>
    <row r="61" spans="1:49" x14ac:dyDescent="0.2">
      <c r="A61">
        <v>59</v>
      </c>
      <c r="B61" t="s">
        <v>548</v>
      </c>
      <c r="C61" t="s">
        <v>547</v>
      </c>
      <c r="D61" t="s">
        <v>546</v>
      </c>
      <c r="F61" t="s">
        <v>545</v>
      </c>
      <c r="G61" t="s">
        <v>5</v>
      </c>
      <c r="H61" t="s">
        <v>4</v>
      </c>
      <c r="I61" t="s">
        <v>544</v>
      </c>
      <c r="J61">
        <v>60000221</v>
      </c>
      <c r="K61" t="s">
        <v>53</v>
      </c>
      <c r="L61" t="s">
        <v>52</v>
      </c>
      <c r="M61" t="s">
        <v>3</v>
      </c>
      <c r="N61">
        <v>3</v>
      </c>
      <c r="O61" t="s">
        <v>543</v>
      </c>
      <c r="P61" t="s">
        <v>542</v>
      </c>
      <c r="Q61" t="s">
        <v>541</v>
      </c>
      <c r="R61" s="7">
        <v>30590</v>
      </c>
      <c r="S61" s="8">
        <f t="shared" si="0"/>
        <v>1983</v>
      </c>
      <c r="T61" s="8">
        <v>1983</v>
      </c>
      <c r="U61" s="8">
        <f t="shared" si="1"/>
        <v>39</v>
      </c>
      <c r="V61" s="7">
        <v>30590</v>
      </c>
      <c r="W61" t="s">
        <v>540</v>
      </c>
      <c r="X61" s="2" t="s">
        <v>0</v>
      </c>
      <c r="Y61" s="6" t="e">
        <f t="shared" si="2"/>
        <v>#VALUE!</v>
      </c>
      <c r="AA61">
        <v>1681176</v>
      </c>
      <c r="AB61">
        <v>30639</v>
      </c>
      <c r="AD61" t="s">
        <v>2</v>
      </c>
      <c r="AE61">
        <v>54</v>
      </c>
      <c r="AF61" s="9">
        <v>44228</v>
      </c>
      <c r="AH61" t="s">
        <v>539</v>
      </c>
      <c r="AI61" t="s">
        <v>538</v>
      </c>
      <c r="AK61" t="s">
        <v>537</v>
      </c>
      <c r="AL61">
        <v>199</v>
      </c>
      <c r="AM61" s="5">
        <f t="shared" si="3"/>
        <v>5.1025641025641022</v>
      </c>
      <c r="AN61" s="4">
        <f t="shared" si="4"/>
        <v>7.7282303711686514E-3</v>
      </c>
      <c r="AO61" s="3"/>
      <c r="AP61">
        <v>0</v>
      </c>
      <c r="AQ61" t="s">
        <v>115</v>
      </c>
      <c r="AR61" t="s">
        <v>536</v>
      </c>
      <c r="AS61" t="s">
        <v>114</v>
      </c>
      <c r="AT61" s="2" t="s">
        <v>0</v>
      </c>
      <c r="AU61" s="1" t="e">
        <f t="shared" si="5"/>
        <v>#VALUE!</v>
      </c>
      <c r="AV61" s="1" t="e">
        <f t="shared" si="6"/>
        <v>#VALUE!</v>
      </c>
      <c r="AW61" s="1" t="e">
        <f t="shared" si="7"/>
        <v>#VALUE!</v>
      </c>
    </row>
    <row r="62" spans="1:49" x14ac:dyDescent="0.2">
      <c r="A62">
        <v>60</v>
      </c>
      <c r="B62" t="s">
        <v>535</v>
      </c>
      <c r="C62" t="s">
        <v>534</v>
      </c>
      <c r="D62">
        <v>5272883901081</v>
      </c>
      <c r="F62" t="s">
        <v>533</v>
      </c>
      <c r="G62" t="s">
        <v>5</v>
      </c>
      <c r="H62" t="s">
        <v>4</v>
      </c>
      <c r="I62" t="s">
        <v>532</v>
      </c>
      <c r="J62">
        <v>60025038</v>
      </c>
      <c r="K62" t="s">
        <v>60</v>
      </c>
      <c r="L62" t="s">
        <v>59</v>
      </c>
      <c r="M62" t="s">
        <v>3</v>
      </c>
      <c r="N62">
        <v>2</v>
      </c>
      <c r="O62" t="s">
        <v>531</v>
      </c>
      <c r="P62" t="s">
        <v>530</v>
      </c>
      <c r="Q62" t="s">
        <v>68</v>
      </c>
      <c r="R62" s="7">
        <v>30589</v>
      </c>
      <c r="S62" s="8">
        <f t="shared" si="0"/>
        <v>1983</v>
      </c>
      <c r="T62" s="8">
        <v>1983</v>
      </c>
      <c r="U62" s="8">
        <f t="shared" si="1"/>
        <v>39</v>
      </c>
      <c r="V62" s="7">
        <v>30589</v>
      </c>
      <c r="W62" t="s">
        <v>121</v>
      </c>
      <c r="X62" s="2">
        <v>1.59</v>
      </c>
      <c r="Y62" s="6">
        <f t="shared" si="2"/>
        <v>4.2444141907583888E-2</v>
      </c>
      <c r="AA62">
        <v>52728</v>
      </c>
      <c r="AB62">
        <v>16791</v>
      </c>
      <c r="AD62" t="s">
        <v>2</v>
      </c>
      <c r="AE62">
        <v>724</v>
      </c>
      <c r="AF62">
        <v>3</v>
      </c>
      <c r="AH62" t="s">
        <v>529</v>
      </c>
      <c r="AI62" t="s">
        <v>528</v>
      </c>
      <c r="AJ62" t="s">
        <v>527</v>
      </c>
      <c r="AK62" t="s">
        <v>526</v>
      </c>
      <c r="AL62">
        <v>163</v>
      </c>
      <c r="AM62" s="5">
        <f t="shared" si="3"/>
        <v>4.1794871794871797</v>
      </c>
      <c r="AN62" s="4">
        <f t="shared" si="4"/>
        <v>6.3301585452285947E-3</v>
      </c>
      <c r="AO62" s="3"/>
      <c r="AP62">
        <v>0</v>
      </c>
      <c r="AQ62" t="s">
        <v>525</v>
      </c>
      <c r="AR62" t="s">
        <v>1</v>
      </c>
      <c r="AS62" t="s">
        <v>524</v>
      </c>
      <c r="AT62" s="2" t="s">
        <v>0</v>
      </c>
      <c r="AU62" s="1">
        <f t="shared" si="5"/>
        <v>3.1609946898877297</v>
      </c>
      <c r="AV62" s="1">
        <f t="shared" si="6"/>
        <v>2.4387150226406242</v>
      </c>
      <c r="AW62" s="1">
        <f t="shared" si="7"/>
        <v>1.7164353553935183</v>
      </c>
    </row>
    <row r="63" spans="1:49" x14ac:dyDescent="0.2">
      <c r="A63">
        <v>61</v>
      </c>
      <c r="B63" t="s">
        <v>523</v>
      </c>
      <c r="C63" t="s">
        <v>522</v>
      </c>
      <c r="F63" t="s">
        <v>521</v>
      </c>
      <c r="G63" t="s">
        <v>5</v>
      </c>
      <c r="H63" t="s">
        <v>4</v>
      </c>
      <c r="I63" t="s">
        <v>520</v>
      </c>
      <c r="J63">
        <v>60025778</v>
      </c>
      <c r="K63" t="s">
        <v>519</v>
      </c>
      <c r="L63" t="s">
        <v>518</v>
      </c>
      <c r="M63" t="s">
        <v>3</v>
      </c>
      <c r="N63">
        <v>1</v>
      </c>
      <c r="O63" t="s">
        <v>517</v>
      </c>
      <c r="P63">
        <v>56721541500</v>
      </c>
      <c r="Q63">
        <v>60025778</v>
      </c>
      <c r="R63" s="7">
        <v>30588</v>
      </c>
      <c r="S63" s="8">
        <f t="shared" si="0"/>
        <v>1983</v>
      </c>
      <c r="T63" s="8">
        <v>1983</v>
      </c>
      <c r="U63" s="8">
        <f t="shared" si="1"/>
        <v>39</v>
      </c>
      <c r="V63" s="7">
        <v>30588</v>
      </c>
      <c r="W63" t="s">
        <v>120</v>
      </c>
      <c r="X63" s="2">
        <v>0.375</v>
      </c>
      <c r="Y63" s="6">
        <f t="shared" si="2"/>
        <v>1.0010410827260351E-2</v>
      </c>
      <c r="AA63">
        <v>135194</v>
      </c>
      <c r="AB63">
        <v>24918</v>
      </c>
      <c r="AD63" t="s">
        <v>2</v>
      </c>
      <c r="AE63">
        <v>19</v>
      </c>
      <c r="AF63">
        <v>20</v>
      </c>
      <c r="AH63" t="s">
        <v>516</v>
      </c>
      <c r="AI63" t="s">
        <v>515</v>
      </c>
      <c r="AJ63" t="s">
        <v>514</v>
      </c>
      <c r="AK63" t="s">
        <v>513</v>
      </c>
      <c r="AL63">
        <v>35</v>
      </c>
      <c r="AM63" s="5">
        <f t="shared" si="3"/>
        <v>0.89743589743589747</v>
      </c>
      <c r="AN63" s="4">
        <f t="shared" si="4"/>
        <v>1.3592364974417228E-3</v>
      </c>
      <c r="AO63" s="3"/>
      <c r="AP63">
        <v>0</v>
      </c>
      <c r="AR63" t="s">
        <v>1</v>
      </c>
      <c r="AT63" s="2">
        <v>1.3140000000000001</v>
      </c>
      <c r="AU63" s="1">
        <f t="shared" si="5"/>
        <v>0.74150585283147619</v>
      </c>
      <c r="AV63" s="1">
        <f t="shared" si="6"/>
        <v>0.56848236623510373</v>
      </c>
      <c r="AW63" s="1">
        <f t="shared" si="7"/>
        <v>0.39545887963873111</v>
      </c>
    </row>
    <row r="64" spans="1:49" x14ac:dyDescent="0.2">
      <c r="A64">
        <v>62</v>
      </c>
      <c r="B64" t="s">
        <v>512</v>
      </c>
      <c r="C64" t="s">
        <v>511</v>
      </c>
      <c r="F64" t="s">
        <v>510</v>
      </c>
      <c r="G64" t="s">
        <v>5</v>
      </c>
      <c r="H64" t="s">
        <v>4</v>
      </c>
      <c r="I64" t="s">
        <v>509</v>
      </c>
      <c r="N64">
        <v>1</v>
      </c>
      <c r="O64" t="s">
        <v>508</v>
      </c>
      <c r="P64">
        <v>6602570114</v>
      </c>
      <c r="R64" s="7">
        <v>30588</v>
      </c>
      <c r="S64" s="8">
        <f t="shared" si="0"/>
        <v>1983</v>
      </c>
      <c r="T64" s="8">
        <v>1983</v>
      </c>
      <c r="U64" s="8">
        <f t="shared" si="1"/>
        <v>39</v>
      </c>
      <c r="V64" s="7">
        <v>30588</v>
      </c>
      <c r="W64" t="s">
        <v>120</v>
      </c>
      <c r="X64" s="2">
        <v>0.375</v>
      </c>
      <c r="Y64" s="6">
        <f t="shared" si="2"/>
        <v>1.0010410827260351E-2</v>
      </c>
      <c r="AA64">
        <v>135194</v>
      </c>
      <c r="AB64">
        <v>24918</v>
      </c>
      <c r="AD64" t="s">
        <v>2</v>
      </c>
      <c r="AE64">
        <v>19</v>
      </c>
      <c r="AF64">
        <v>20</v>
      </c>
      <c r="AH64" t="s">
        <v>507</v>
      </c>
      <c r="AI64" t="s">
        <v>506</v>
      </c>
      <c r="AJ64" t="s">
        <v>505</v>
      </c>
      <c r="AK64" t="s">
        <v>504</v>
      </c>
      <c r="AL64">
        <v>4</v>
      </c>
      <c r="AM64" s="5">
        <f t="shared" si="3"/>
        <v>0.10256410256410256</v>
      </c>
      <c r="AN64" s="4">
        <f t="shared" si="4"/>
        <v>1.5534131399333974E-4</v>
      </c>
      <c r="AO64" s="3"/>
      <c r="AP64">
        <v>0</v>
      </c>
      <c r="AR64" t="s">
        <v>1</v>
      </c>
      <c r="AT64" s="2">
        <v>1.3140000000000001</v>
      </c>
      <c r="AU64" s="1">
        <f t="shared" si="5"/>
        <v>0.70538899732802474</v>
      </c>
      <c r="AV64" s="1">
        <f t="shared" si="6"/>
        <v>0.50828760706268461</v>
      </c>
      <c r="AW64" s="1">
        <f t="shared" si="7"/>
        <v>0.31118621679734426</v>
      </c>
    </row>
    <row r="65" spans="1:49" x14ac:dyDescent="0.2">
      <c r="A65">
        <v>63</v>
      </c>
      <c r="B65" t="s">
        <v>503</v>
      </c>
      <c r="C65" t="s">
        <v>502</v>
      </c>
      <c r="F65" t="s">
        <v>501</v>
      </c>
      <c r="G65" t="s">
        <v>5</v>
      </c>
      <c r="H65" t="s">
        <v>4</v>
      </c>
      <c r="I65" t="s">
        <v>500</v>
      </c>
      <c r="J65" t="s">
        <v>499</v>
      </c>
      <c r="K65" t="s">
        <v>498</v>
      </c>
      <c r="L65" t="s">
        <v>497</v>
      </c>
      <c r="M65" t="s">
        <v>31</v>
      </c>
      <c r="N65">
        <v>3</v>
      </c>
      <c r="O65" t="s">
        <v>496</v>
      </c>
      <c r="P65" t="s">
        <v>495</v>
      </c>
      <c r="Q65" t="s">
        <v>494</v>
      </c>
      <c r="R65" s="7">
        <v>30588</v>
      </c>
      <c r="S65" s="8">
        <f t="shared" si="0"/>
        <v>1983</v>
      </c>
      <c r="T65" s="8">
        <v>1983</v>
      </c>
      <c r="U65" s="8">
        <f t="shared" si="1"/>
        <v>39</v>
      </c>
      <c r="V65" s="7">
        <v>30588</v>
      </c>
      <c r="W65" t="s">
        <v>120</v>
      </c>
      <c r="X65" s="2">
        <v>0.375</v>
      </c>
      <c r="Y65" s="6">
        <f t="shared" si="2"/>
        <v>1.0010410827260351E-2</v>
      </c>
      <c r="AA65">
        <v>135194</v>
      </c>
      <c r="AB65">
        <v>24918</v>
      </c>
      <c r="AD65" t="s">
        <v>2</v>
      </c>
      <c r="AE65">
        <v>19</v>
      </c>
      <c r="AF65">
        <v>20</v>
      </c>
      <c r="AH65" t="s">
        <v>493</v>
      </c>
      <c r="AI65" t="s">
        <v>492</v>
      </c>
      <c r="AJ65" t="s">
        <v>491</v>
      </c>
      <c r="AK65" t="s">
        <v>490</v>
      </c>
      <c r="AL65">
        <v>0</v>
      </c>
      <c r="AM65" s="5">
        <f t="shared" si="3"/>
        <v>0</v>
      </c>
      <c r="AN65" s="4">
        <f t="shared" si="4"/>
        <v>0</v>
      </c>
      <c r="AO65" s="3"/>
      <c r="AP65">
        <v>0</v>
      </c>
      <c r="AR65" t="s">
        <v>1</v>
      </c>
      <c r="AT65" s="2">
        <v>1.3140000000000001</v>
      </c>
      <c r="AU65" s="1">
        <f t="shared" si="5"/>
        <v>0.70072875790822453</v>
      </c>
      <c r="AV65" s="1">
        <f t="shared" si="6"/>
        <v>0.5005205413630176</v>
      </c>
      <c r="AW65" s="1">
        <f t="shared" si="7"/>
        <v>0.30031232481781051</v>
      </c>
    </row>
    <row r="66" spans="1:49" x14ac:dyDescent="0.2">
      <c r="A66">
        <v>64</v>
      </c>
      <c r="B66" t="s">
        <v>489</v>
      </c>
      <c r="C66" t="s">
        <v>488</v>
      </c>
      <c r="F66" t="s">
        <v>487</v>
      </c>
      <c r="G66" t="s">
        <v>5</v>
      </c>
      <c r="H66" t="s">
        <v>4</v>
      </c>
      <c r="I66" t="s">
        <v>93</v>
      </c>
      <c r="J66">
        <v>60032882</v>
      </c>
      <c r="K66" t="s">
        <v>124</v>
      </c>
      <c r="L66" t="s">
        <v>123</v>
      </c>
      <c r="M66" t="s">
        <v>16</v>
      </c>
      <c r="N66">
        <v>1</v>
      </c>
      <c r="O66" t="s">
        <v>486</v>
      </c>
      <c r="P66">
        <v>7007183627</v>
      </c>
      <c r="Q66">
        <v>60032882</v>
      </c>
      <c r="R66" s="7">
        <v>30574</v>
      </c>
      <c r="S66" s="8">
        <f t="shared" ref="S66:S100" si="8">YEAR(R66)</f>
        <v>1983</v>
      </c>
      <c r="T66" s="8">
        <v>1983</v>
      </c>
      <c r="U66" s="8">
        <f t="shared" ref="U66:U100" si="9">2022-T66</f>
        <v>39</v>
      </c>
      <c r="V66" s="7">
        <v>30574</v>
      </c>
      <c r="W66" t="s">
        <v>120</v>
      </c>
      <c r="X66" s="2">
        <v>0.375</v>
      </c>
      <c r="Y66" s="6">
        <f t="shared" ref="Y66:Y100" si="10">(X66-$Z$4)/($Z$3-$Z$4)</f>
        <v>1.0010410827260351E-2</v>
      </c>
      <c r="AA66">
        <v>135194</v>
      </c>
      <c r="AB66">
        <v>24918</v>
      </c>
      <c r="AD66" t="s">
        <v>2</v>
      </c>
      <c r="AE66">
        <v>19</v>
      </c>
      <c r="AF66">
        <v>19</v>
      </c>
      <c r="AH66" t="s">
        <v>485</v>
      </c>
      <c r="AI66" t="s">
        <v>484</v>
      </c>
      <c r="AJ66" t="s">
        <v>483</v>
      </c>
      <c r="AK66" t="s">
        <v>482</v>
      </c>
      <c r="AL66">
        <v>1</v>
      </c>
      <c r="AM66" s="5">
        <f t="shared" ref="AM66:AM100" si="11">AL66/U66</f>
        <v>2.564102564102564E-2</v>
      </c>
      <c r="AN66" s="4">
        <f t="shared" ref="AN66:AN100" si="12">(AM66-$AO$4)/($AO$3-$AO$4)</f>
        <v>3.8835328498334935E-5</v>
      </c>
      <c r="AO66" s="3"/>
      <c r="AP66">
        <v>0</v>
      </c>
      <c r="AR66" t="s">
        <v>1</v>
      </c>
      <c r="AT66" s="2">
        <v>1.3140000000000001</v>
      </c>
      <c r="AU66" s="1">
        <f t="shared" ref="AU66:AU100" si="13">(Y66*0.7+AN66*0.3)*100</f>
        <v>0.70189381776317461</v>
      </c>
      <c r="AV66" s="1">
        <f t="shared" ref="AV66:AV100" si="14">(Y66*0.5+AN66*0.5)*100</f>
        <v>0.50246230778793433</v>
      </c>
      <c r="AW66" s="1">
        <f t="shared" ref="AW66:AW100" si="15">(Y66*0.3+AN66*0.7)*100</f>
        <v>0.30303079781269393</v>
      </c>
    </row>
    <row r="67" spans="1:49" x14ac:dyDescent="0.2">
      <c r="A67">
        <v>65</v>
      </c>
      <c r="B67" t="s">
        <v>481</v>
      </c>
      <c r="C67" t="s">
        <v>480</v>
      </c>
      <c r="F67" t="s">
        <v>112</v>
      </c>
      <c r="G67" t="s">
        <v>5</v>
      </c>
      <c r="H67" t="s">
        <v>4</v>
      </c>
      <c r="I67" t="s">
        <v>111</v>
      </c>
      <c r="J67">
        <v>60011685</v>
      </c>
      <c r="K67" t="s">
        <v>110</v>
      </c>
      <c r="L67" t="s">
        <v>109</v>
      </c>
      <c r="M67" t="s">
        <v>100</v>
      </c>
      <c r="N67">
        <v>1</v>
      </c>
      <c r="O67" t="s">
        <v>108</v>
      </c>
      <c r="P67">
        <v>6701372735</v>
      </c>
      <c r="Q67">
        <v>60011685</v>
      </c>
      <c r="R67" s="7">
        <v>30560</v>
      </c>
      <c r="S67" s="8">
        <f t="shared" si="8"/>
        <v>1983</v>
      </c>
      <c r="T67" s="8">
        <v>1983</v>
      </c>
      <c r="U67" s="8">
        <f t="shared" si="9"/>
        <v>39</v>
      </c>
      <c r="V67" s="7">
        <v>30560</v>
      </c>
      <c r="W67" t="s">
        <v>21</v>
      </c>
      <c r="X67" s="2">
        <v>1.1579999999999999</v>
      </c>
      <c r="Y67" s="6">
        <f t="shared" si="10"/>
        <v>3.0912148634579962E-2</v>
      </c>
      <c r="AA67">
        <v>1668595</v>
      </c>
      <c r="AB67">
        <v>14223</v>
      </c>
      <c r="AC67">
        <v>15735079</v>
      </c>
      <c r="AD67" t="s">
        <v>2</v>
      </c>
      <c r="AE67">
        <v>4</v>
      </c>
      <c r="AF67">
        <v>3</v>
      </c>
      <c r="AH67" t="s">
        <v>107</v>
      </c>
      <c r="AI67" t="s">
        <v>106</v>
      </c>
      <c r="AJ67" t="s">
        <v>479</v>
      </c>
      <c r="AK67" t="s">
        <v>105</v>
      </c>
      <c r="AL67">
        <v>0</v>
      </c>
      <c r="AM67" s="5">
        <f t="shared" si="11"/>
        <v>0</v>
      </c>
      <c r="AN67" s="4">
        <f t="shared" si="12"/>
        <v>0</v>
      </c>
      <c r="AO67" s="3"/>
      <c r="AP67">
        <v>0</v>
      </c>
      <c r="AR67" t="s">
        <v>1</v>
      </c>
      <c r="AT67" s="2">
        <v>3.573</v>
      </c>
      <c r="AU67" s="1">
        <f t="shared" si="13"/>
        <v>2.1638504044205971</v>
      </c>
      <c r="AV67" s="1">
        <f t="shared" si="14"/>
        <v>1.5456074317289981</v>
      </c>
      <c r="AW67" s="1">
        <f t="shared" si="15"/>
        <v>0.92736445903739884</v>
      </c>
    </row>
    <row r="68" spans="1:49" x14ac:dyDescent="0.2">
      <c r="A68">
        <v>66</v>
      </c>
      <c r="B68" t="s">
        <v>478</v>
      </c>
      <c r="C68" t="s">
        <v>477</v>
      </c>
      <c r="E68">
        <v>6088715</v>
      </c>
      <c r="F68" t="s">
        <v>476</v>
      </c>
      <c r="G68" t="s">
        <v>5</v>
      </c>
      <c r="H68" t="s">
        <v>4</v>
      </c>
      <c r="I68" t="s">
        <v>475</v>
      </c>
      <c r="J68">
        <v>60012957</v>
      </c>
      <c r="K68" t="s">
        <v>474</v>
      </c>
      <c r="L68" t="s">
        <v>45</v>
      </c>
      <c r="M68" t="s">
        <v>3</v>
      </c>
      <c r="N68">
        <v>2</v>
      </c>
      <c r="O68" t="s">
        <v>473</v>
      </c>
      <c r="P68" t="s">
        <v>472</v>
      </c>
      <c r="Q68" t="s">
        <v>471</v>
      </c>
      <c r="R68" s="7">
        <v>30560</v>
      </c>
      <c r="S68" s="8">
        <f t="shared" si="8"/>
        <v>1983</v>
      </c>
      <c r="T68" s="8">
        <v>1983</v>
      </c>
      <c r="U68" s="8">
        <f t="shared" si="9"/>
        <v>39</v>
      </c>
      <c r="V68" s="7">
        <v>30560</v>
      </c>
      <c r="W68" t="s">
        <v>470</v>
      </c>
      <c r="X68" s="2">
        <v>1.256</v>
      </c>
      <c r="Y68" s="6">
        <f t="shared" si="10"/>
        <v>3.3528202664104001E-2</v>
      </c>
      <c r="AA68" t="s">
        <v>469</v>
      </c>
      <c r="AB68">
        <v>29954</v>
      </c>
      <c r="AC68">
        <v>15737373</v>
      </c>
      <c r="AD68" t="s">
        <v>2</v>
      </c>
      <c r="AE68">
        <v>1</v>
      </c>
      <c r="AF68">
        <v>3</v>
      </c>
      <c r="AH68" t="s">
        <v>468</v>
      </c>
      <c r="AI68" t="s">
        <v>467</v>
      </c>
      <c r="AJ68" t="s">
        <v>466</v>
      </c>
      <c r="AK68" t="s">
        <v>465</v>
      </c>
      <c r="AL68">
        <v>59</v>
      </c>
      <c r="AM68" s="5">
        <f t="shared" si="11"/>
        <v>1.5128205128205128</v>
      </c>
      <c r="AN68" s="4">
        <f t="shared" si="12"/>
        <v>2.2912843814017611E-3</v>
      </c>
      <c r="AO68" s="3"/>
      <c r="AP68">
        <v>0</v>
      </c>
      <c r="AR68" t="s">
        <v>1</v>
      </c>
      <c r="AT68" s="2">
        <v>4.13</v>
      </c>
      <c r="AU68" s="1">
        <f t="shared" si="13"/>
        <v>2.415712717929333</v>
      </c>
      <c r="AV68" s="1">
        <f t="shared" si="14"/>
        <v>1.7909743522752881</v>
      </c>
      <c r="AW68" s="1">
        <f t="shared" si="15"/>
        <v>1.1662359866212433</v>
      </c>
    </row>
    <row r="69" spans="1:49" x14ac:dyDescent="0.2">
      <c r="A69">
        <v>67</v>
      </c>
      <c r="B69" t="s">
        <v>464</v>
      </c>
      <c r="C69" t="s">
        <v>463</v>
      </c>
      <c r="F69" t="s">
        <v>462</v>
      </c>
      <c r="G69" t="s">
        <v>5</v>
      </c>
      <c r="H69" t="s">
        <v>4</v>
      </c>
      <c r="I69" t="s">
        <v>461</v>
      </c>
      <c r="J69">
        <v>60010818</v>
      </c>
      <c r="K69" t="s">
        <v>287</v>
      </c>
      <c r="L69" t="s">
        <v>286</v>
      </c>
      <c r="M69" t="s">
        <v>28</v>
      </c>
      <c r="N69">
        <v>2</v>
      </c>
      <c r="O69" t="s">
        <v>460</v>
      </c>
      <c r="P69" t="s">
        <v>459</v>
      </c>
      <c r="Q69" t="s">
        <v>304</v>
      </c>
      <c r="R69" s="7">
        <v>30560</v>
      </c>
      <c r="S69" s="8">
        <f t="shared" si="8"/>
        <v>1983</v>
      </c>
      <c r="T69" s="8">
        <v>1983</v>
      </c>
      <c r="U69" s="8">
        <f t="shared" si="9"/>
        <v>39</v>
      </c>
      <c r="V69" s="7">
        <v>30560</v>
      </c>
      <c r="W69" t="s">
        <v>120</v>
      </c>
      <c r="X69" s="2">
        <v>0.375</v>
      </c>
      <c r="Y69" s="6">
        <f t="shared" si="10"/>
        <v>1.0010410827260351E-2</v>
      </c>
      <c r="AA69">
        <v>135194</v>
      </c>
      <c r="AB69">
        <v>24918</v>
      </c>
      <c r="AD69" t="s">
        <v>2</v>
      </c>
      <c r="AE69">
        <v>19</v>
      </c>
      <c r="AF69">
        <v>18</v>
      </c>
      <c r="AH69" t="s">
        <v>458</v>
      </c>
      <c r="AI69" t="s">
        <v>457</v>
      </c>
      <c r="AJ69" t="s">
        <v>301</v>
      </c>
      <c r="AK69" t="s">
        <v>456</v>
      </c>
      <c r="AL69">
        <v>19</v>
      </c>
      <c r="AM69" s="5">
        <f t="shared" si="11"/>
        <v>0.48717948717948717</v>
      </c>
      <c r="AN69" s="4">
        <f t="shared" si="12"/>
        <v>7.3787124146836372E-4</v>
      </c>
      <c r="AO69" s="3"/>
      <c r="AP69">
        <v>0</v>
      </c>
      <c r="AR69" t="s">
        <v>1</v>
      </c>
      <c r="AT69" s="2">
        <v>1.3140000000000001</v>
      </c>
      <c r="AU69" s="1">
        <f t="shared" si="13"/>
        <v>0.72286489515227548</v>
      </c>
      <c r="AV69" s="1">
        <f t="shared" si="14"/>
        <v>0.5374141034364357</v>
      </c>
      <c r="AW69" s="1">
        <f t="shared" si="15"/>
        <v>0.35196331172059597</v>
      </c>
    </row>
    <row r="70" spans="1:49" x14ac:dyDescent="0.2">
      <c r="A70">
        <v>68</v>
      </c>
      <c r="B70" t="s">
        <v>455</v>
      </c>
      <c r="C70" t="s">
        <v>454</v>
      </c>
      <c r="F70" t="s">
        <v>453</v>
      </c>
      <c r="G70" t="s">
        <v>5</v>
      </c>
      <c r="H70" t="s">
        <v>4</v>
      </c>
      <c r="I70" t="s">
        <v>452</v>
      </c>
      <c r="J70">
        <v>60014174</v>
      </c>
      <c r="K70" t="s">
        <v>451</v>
      </c>
      <c r="L70" t="s">
        <v>450</v>
      </c>
      <c r="M70" t="s">
        <v>28</v>
      </c>
      <c r="N70">
        <v>2</v>
      </c>
      <c r="O70" t="s">
        <v>449</v>
      </c>
      <c r="P70" t="s">
        <v>448</v>
      </c>
      <c r="Q70" t="s">
        <v>447</v>
      </c>
      <c r="R70" s="7">
        <v>30560</v>
      </c>
      <c r="S70" s="8">
        <f t="shared" si="8"/>
        <v>1983</v>
      </c>
      <c r="T70" s="8">
        <v>1983</v>
      </c>
      <c r="U70" s="8">
        <f t="shared" si="9"/>
        <v>39</v>
      </c>
      <c r="V70" s="7">
        <v>30560</v>
      </c>
      <c r="W70" t="s">
        <v>120</v>
      </c>
      <c r="X70" s="2">
        <v>0.375</v>
      </c>
      <c r="Y70" s="6">
        <f t="shared" si="10"/>
        <v>1.0010410827260351E-2</v>
      </c>
      <c r="AA70">
        <v>135194</v>
      </c>
      <c r="AB70">
        <v>24918</v>
      </c>
      <c r="AD70" t="s">
        <v>2</v>
      </c>
      <c r="AE70">
        <v>19</v>
      </c>
      <c r="AF70">
        <v>18</v>
      </c>
      <c r="AH70" t="s">
        <v>446</v>
      </c>
      <c r="AI70" t="s">
        <v>445</v>
      </c>
      <c r="AJ70" t="s">
        <v>444</v>
      </c>
      <c r="AK70" t="s">
        <v>443</v>
      </c>
      <c r="AL70">
        <v>8</v>
      </c>
      <c r="AM70" s="5">
        <f t="shared" si="11"/>
        <v>0.20512820512820512</v>
      </c>
      <c r="AN70" s="4">
        <f t="shared" si="12"/>
        <v>3.1068262798667948E-4</v>
      </c>
      <c r="AO70" s="3"/>
      <c r="AP70">
        <v>0</v>
      </c>
      <c r="AR70" t="s">
        <v>1</v>
      </c>
      <c r="AT70" s="2">
        <v>1.3140000000000001</v>
      </c>
      <c r="AU70" s="1">
        <f t="shared" si="13"/>
        <v>0.71004923674782505</v>
      </c>
      <c r="AV70" s="1">
        <f t="shared" si="14"/>
        <v>0.51605467276235151</v>
      </c>
      <c r="AW70" s="1">
        <f t="shared" si="15"/>
        <v>0.32206010877687807</v>
      </c>
    </row>
    <row r="71" spans="1:49" x14ac:dyDescent="0.2">
      <c r="A71">
        <v>69</v>
      </c>
      <c r="B71" t="s">
        <v>442</v>
      </c>
      <c r="C71" t="s">
        <v>441</v>
      </c>
      <c r="F71" t="s">
        <v>440</v>
      </c>
      <c r="G71" t="s">
        <v>5</v>
      </c>
      <c r="H71" t="s">
        <v>4</v>
      </c>
      <c r="I71" t="s">
        <v>78</v>
      </c>
      <c r="J71">
        <v>60030553</v>
      </c>
      <c r="K71" t="s">
        <v>185</v>
      </c>
      <c r="L71" t="s">
        <v>184</v>
      </c>
      <c r="M71" t="s">
        <v>32</v>
      </c>
      <c r="N71">
        <v>1</v>
      </c>
      <c r="O71" t="s">
        <v>183</v>
      </c>
      <c r="P71">
        <v>7006052449</v>
      </c>
      <c r="Q71">
        <v>60030553</v>
      </c>
      <c r="R71" s="7">
        <v>30560</v>
      </c>
      <c r="S71" s="8">
        <f t="shared" si="8"/>
        <v>1983</v>
      </c>
      <c r="T71" s="8">
        <v>1983</v>
      </c>
      <c r="U71" s="8">
        <f t="shared" si="9"/>
        <v>39</v>
      </c>
      <c r="V71" s="7">
        <v>30560</v>
      </c>
      <c r="W71" t="s">
        <v>120</v>
      </c>
      <c r="X71" s="2">
        <v>0.375</v>
      </c>
      <c r="Y71" s="6">
        <f t="shared" si="10"/>
        <v>1.0010410827260351E-2</v>
      </c>
      <c r="AA71">
        <v>135194</v>
      </c>
      <c r="AB71">
        <v>24918</v>
      </c>
      <c r="AD71" t="s">
        <v>2</v>
      </c>
      <c r="AE71">
        <v>19</v>
      </c>
      <c r="AF71">
        <v>18</v>
      </c>
      <c r="AH71" t="s">
        <v>439</v>
      </c>
      <c r="AI71" t="s">
        <v>438</v>
      </c>
      <c r="AJ71" t="s">
        <v>131</v>
      </c>
      <c r="AK71" t="s">
        <v>437</v>
      </c>
      <c r="AL71">
        <v>3</v>
      </c>
      <c r="AM71" s="5">
        <f t="shared" si="11"/>
        <v>7.6923076923076927E-2</v>
      </c>
      <c r="AN71" s="4">
        <f t="shared" si="12"/>
        <v>1.1650598549500481E-4</v>
      </c>
      <c r="AO71" s="3"/>
      <c r="AP71">
        <v>0</v>
      </c>
      <c r="AR71" t="s">
        <v>1</v>
      </c>
      <c r="AT71" s="2">
        <v>1.3140000000000001</v>
      </c>
      <c r="AU71" s="1">
        <f t="shared" si="13"/>
        <v>0.70422393747307466</v>
      </c>
      <c r="AV71" s="1">
        <f t="shared" si="14"/>
        <v>0.50634584063776777</v>
      </c>
      <c r="AW71" s="1">
        <f t="shared" si="15"/>
        <v>0.30846774380246084</v>
      </c>
    </row>
    <row r="72" spans="1:49" x14ac:dyDescent="0.2">
      <c r="A72">
        <v>70</v>
      </c>
      <c r="B72" t="s">
        <v>436</v>
      </c>
      <c r="C72" t="s">
        <v>435</v>
      </c>
      <c r="F72" t="s">
        <v>434</v>
      </c>
      <c r="G72" t="s">
        <v>5</v>
      </c>
      <c r="H72" t="s">
        <v>4</v>
      </c>
      <c r="I72" t="s">
        <v>433</v>
      </c>
      <c r="J72">
        <v>60029701</v>
      </c>
      <c r="K72" t="s">
        <v>432</v>
      </c>
      <c r="L72" t="s">
        <v>431</v>
      </c>
      <c r="M72" t="s">
        <v>6</v>
      </c>
      <c r="N72">
        <v>1</v>
      </c>
      <c r="O72" t="s">
        <v>430</v>
      </c>
      <c r="P72">
        <v>6603781903</v>
      </c>
      <c r="Q72">
        <v>60029701</v>
      </c>
      <c r="R72" s="7">
        <v>30560</v>
      </c>
      <c r="S72" s="8">
        <f t="shared" si="8"/>
        <v>1983</v>
      </c>
      <c r="T72" s="8">
        <v>1983</v>
      </c>
      <c r="U72" s="8">
        <f t="shared" si="9"/>
        <v>39</v>
      </c>
      <c r="V72" s="7">
        <v>30560</v>
      </c>
      <c r="W72" t="s">
        <v>137</v>
      </c>
      <c r="X72" s="2">
        <v>0.61499999999999999</v>
      </c>
      <c r="Y72" s="6">
        <f t="shared" si="10"/>
        <v>1.6417073756706976E-2</v>
      </c>
      <c r="AA72">
        <v>1959271</v>
      </c>
      <c r="AB72">
        <v>12141</v>
      </c>
      <c r="AC72">
        <v>15729559</v>
      </c>
      <c r="AD72" t="s">
        <v>2</v>
      </c>
      <c r="AE72">
        <v>4</v>
      </c>
      <c r="AF72">
        <v>5</v>
      </c>
      <c r="AH72" t="s">
        <v>429</v>
      </c>
      <c r="AI72" t="s">
        <v>428</v>
      </c>
      <c r="AK72" t="s">
        <v>427</v>
      </c>
      <c r="AL72">
        <v>15</v>
      </c>
      <c r="AM72" s="5">
        <f t="shared" si="11"/>
        <v>0.38461538461538464</v>
      </c>
      <c r="AN72" s="4">
        <f t="shared" si="12"/>
        <v>5.8252992747502411E-4</v>
      </c>
      <c r="AO72" s="3"/>
      <c r="AP72">
        <v>0</v>
      </c>
      <c r="AR72" t="s">
        <v>1</v>
      </c>
      <c r="AT72" s="2" t="s">
        <v>0</v>
      </c>
      <c r="AU72" s="1">
        <f t="shared" si="13"/>
        <v>1.1666710607937387</v>
      </c>
      <c r="AV72" s="1">
        <f t="shared" si="14"/>
        <v>0.84998018420910004</v>
      </c>
      <c r="AW72" s="1">
        <f t="shared" si="15"/>
        <v>0.53328930762446092</v>
      </c>
    </row>
    <row r="73" spans="1:49" x14ac:dyDescent="0.2">
      <c r="A73">
        <v>71</v>
      </c>
      <c r="B73" t="s">
        <v>426</v>
      </c>
      <c r="C73" t="s">
        <v>425</v>
      </c>
      <c r="F73" t="s">
        <v>424</v>
      </c>
      <c r="G73" t="s">
        <v>5</v>
      </c>
      <c r="H73" t="s">
        <v>4</v>
      </c>
      <c r="I73" t="s">
        <v>423</v>
      </c>
      <c r="J73">
        <v>60031159</v>
      </c>
      <c r="K73" t="s">
        <v>104</v>
      </c>
      <c r="L73" t="s">
        <v>103</v>
      </c>
      <c r="M73" t="s">
        <v>16</v>
      </c>
      <c r="N73">
        <v>2</v>
      </c>
      <c r="O73" t="s">
        <v>422</v>
      </c>
      <c r="P73" t="s">
        <v>421</v>
      </c>
      <c r="Q73" t="s">
        <v>420</v>
      </c>
      <c r="R73" s="7">
        <v>30560</v>
      </c>
      <c r="S73" s="8">
        <f t="shared" si="8"/>
        <v>1983</v>
      </c>
      <c r="T73" s="8">
        <v>1983</v>
      </c>
      <c r="U73" s="8">
        <f t="shared" si="9"/>
        <v>39</v>
      </c>
      <c r="V73" s="7">
        <v>30560</v>
      </c>
      <c r="W73" t="s">
        <v>120</v>
      </c>
      <c r="X73" s="2">
        <v>0.375</v>
      </c>
      <c r="Y73" s="6">
        <f t="shared" si="10"/>
        <v>1.0010410827260351E-2</v>
      </c>
      <c r="AA73">
        <v>135194</v>
      </c>
      <c r="AB73">
        <v>24918</v>
      </c>
      <c r="AD73" t="s">
        <v>2</v>
      </c>
      <c r="AE73">
        <v>19</v>
      </c>
      <c r="AF73">
        <v>18</v>
      </c>
      <c r="AH73" t="s">
        <v>419</v>
      </c>
      <c r="AI73" t="s">
        <v>418</v>
      </c>
      <c r="AJ73" t="s">
        <v>122</v>
      </c>
      <c r="AK73" t="s">
        <v>417</v>
      </c>
      <c r="AL73">
        <v>3</v>
      </c>
      <c r="AM73" s="5">
        <f t="shared" si="11"/>
        <v>7.6923076923076927E-2</v>
      </c>
      <c r="AN73" s="4">
        <f t="shared" si="12"/>
        <v>1.1650598549500481E-4</v>
      </c>
      <c r="AO73" s="3"/>
      <c r="AP73">
        <v>0</v>
      </c>
      <c r="AR73" t="s">
        <v>1</v>
      </c>
      <c r="AT73" s="2">
        <v>1.3140000000000001</v>
      </c>
      <c r="AU73" s="1">
        <f t="shared" si="13"/>
        <v>0.70422393747307466</v>
      </c>
      <c r="AV73" s="1">
        <f t="shared" si="14"/>
        <v>0.50634584063776777</v>
      </c>
      <c r="AW73" s="1">
        <f t="shared" si="15"/>
        <v>0.30846774380246084</v>
      </c>
    </row>
    <row r="74" spans="1:49" x14ac:dyDescent="0.2">
      <c r="A74">
        <v>72</v>
      </c>
      <c r="B74" t="s">
        <v>416</v>
      </c>
      <c r="F74" t="s">
        <v>415</v>
      </c>
      <c r="G74" t="s">
        <v>5</v>
      </c>
      <c r="H74" t="s">
        <v>4</v>
      </c>
      <c r="I74" t="s">
        <v>414</v>
      </c>
      <c r="J74">
        <v>100663169</v>
      </c>
      <c r="K74" t="s">
        <v>413</v>
      </c>
      <c r="L74" t="s">
        <v>412</v>
      </c>
      <c r="M74" t="s">
        <v>3</v>
      </c>
      <c r="N74">
        <v>1</v>
      </c>
      <c r="O74" t="s">
        <v>411</v>
      </c>
      <c r="P74">
        <v>57212782769</v>
      </c>
      <c r="Q74">
        <v>100663169</v>
      </c>
      <c r="R74" s="7">
        <v>30560</v>
      </c>
      <c r="S74" s="8">
        <f t="shared" si="8"/>
        <v>1983</v>
      </c>
      <c r="T74" s="8">
        <v>1983</v>
      </c>
      <c r="U74" s="8">
        <f t="shared" si="9"/>
        <v>39</v>
      </c>
      <c r="V74" s="7">
        <v>30560</v>
      </c>
      <c r="W74" t="s">
        <v>410</v>
      </c>
      <c r="X74" s="2" t="s">
        <v>0</v>
      </c>
      <c r="Y74" s="6" t="e">
        <f t="shared" si="10"/>
        <v>#VALUE!</v>
      </c>
      <c r="AB74">
        <v>30834</v>
      </c>
      <c r="AD74" t="s">
        <v>2</v>
      </c>
      <c r="AE74">
        <v>1</v>
      </c>
      <c r="AF74">
        <v>1</v>
      </c>
      <c r="AH74" t="s">
        <v>409</v>
      </c>
      <c r="AI74" t="s">
        <v>408</v>
      </c>
      <c r="AK74" t="s">
        <v>407</v>
      </c>
      <c r="AL74">
        <v>0</v>
      </c>
      <c r="AM74" s="5">
        <f t="shared" si="11"/>
        <v>0</v>
      </c>
      <c r="AN74" s="4">
        <f t="shared" si="12"/>
        <v>0</v>
      </c>
      <c r="AO74" s="3"/>
      <c r="AP74">
        <v>0</v>
      </c>
      <c r="AR74" t="s">
        <v>1</v>
      </c>
      <c r="AT74" s="2" t="s">
        <v>0</v>
      </c>
      <c r="AU74" s="1" t="e">
        <f t="shared" si="13"/>
        <v>#VALUE!</v>
      </c>
      <c r="AV74" s="1" t="e">
        <f t="shared" si="14"/>
        <v>#VALUE!</v>
      </c>
      <c r="AW74" s="1" t="e">
        <f t="shared" si="15"/>
        <v>#VALUE!</v>
      </c>
    </row>
    <row r="75" spans="1:49" x14ac:dyDescent="0.2">
      <c r="A75">
        <v>73</v>
      </c>
      <c r="B75" t="s">
        <v>406</v>
      </c>
      <c r="C75" t="s">
        <v>405</v>
      </c>
      <c r="F75" t="s">
        <v>404</v>
      </c>
      <c r="G75" t="s">
        <v>5</v>
      </c>
      <c r="H75" t="s">
        <v>4</v>
      </c>
      <c r="I75" t="s">
        <v>403</v>
      </c>
      <c r="N75">
        <v>1</v>
      </c>
      <c r="O75" t="s">
        <v>402</v>
      </c>
      <c r="P75">
        <v>7103292821</v>
      </c>
      <c r="R75" s="7">
        <v>30560</v>
      </c>
      <c r="S75" s="8">
        <f t="shared" si="8"/>
        <v>1983</v>
      </c>
      <c r="T75" s="8">
        <v>1983</v>
      </c>
      <c r="U75" s="8">
        <f t="shared" si="9"/>
        <v>39</v>
      </c>
      <c r="V75" s="7">
        <v>30560</v>
      </c>
      <c r="W75" t="s">
        <v>62</v>
      </c>
      <c r="X75" s="2">
        <v>0.318</v>
      </c>
      <c r="Y75" s="6">
        <f t="shared" si="10"/>
        <v>8.4888283815167786E-3</v>
      </c>
      <c r="AA75">
        <v>338443</v>
      </c>
      <c r="AB75">
        <v>27160</v>
      </c>
      <c r="AC75">
        <v>15739120</v>
      </c>
      <c r="AD75" t="s">
        <v>2</v>
      </c>
      <c r="AE75">
        <v>26</v>
      </c>
      <c r="AF75">
        <v>9</v>
      </c>
      <c r="AH75" t="s">
        <v>401</v>
      </c>
      <c r="AL75">
        <v>0</v>
      </c>
      <c r="AM75" s="5">
        <f t="shared" si="11"/>
        <v>0</v>
      </c>
      <c r="AN75" s="4">
        <f t="shared" si="12"/>
        <v>0</v>
      </c>
      <c r="AO75" s="3"/>
      <c r="AP75">
        <v>0</v>
      </c>
      <c r="AR75" t="s">
        <v>1</v>
      </c>
      <c r="AT75" s="2">
        <v>0.77</v>
      </c>
      <c r="AU75" s="1">
        <f t="shared" si="13"/>
        <v>0.59421798670617454</v>
      </c>
      <c r="AV75" s="1">
        <f t="shared" si="14"/>
        <v>0.42444141907583893</v>
      </c>
      <c r="AW75" s="1">
        <f t="shared" si="15"/>
        <v>0.25466485144550338</v>
      </c>
    </row>
    <row r="76" spans="1:49" x14ac:dyDescent="0.2">
      <c r="A76">
        <v>74</v>
      </c>
      <c r="B76" t="s">
        <v>400</v>
      </c>
      <c r="C76" t="s">
        <v>399</v>
      </c>
      <c r="F76" t="s">
        <v>398</v>
      </c>
      <c r="G76" t="s">
        <v>5</v>
      </c>
      <c r="H76" t="s">
        <v>4</v>
      </c>
      <c r="I76" t="s">
        <v>175</v>
      </c>
      <c r="N76">
        <v>1</v>
      </c>
      <c r="O76" t="s">
        <v>397</v>
      </c>
      <c r="P76">
        <v>7102384283</v>
      </c>
      <c r="R76" s="7">
        <v>30560</v>
      </c>
      <c r="S76" s="8">
        <f t="shared" si="8"/>
        <v>1983</v>
      </c>
      <c r="T76" s="8">
        <v>1983</v>
      </c>
      <c r="U76" s="8">
        <f t="shared" si="9"/>
        <v>39</v>
      </c>
      <c r="V76" s="7">
        <v>30560</v>
      </c>
      <c r="W76" t="s">
        <v>62</v>
      </c>
      <c r="X76" s="2">
        <v>0.318</v>
      </c>
      <c r="Y76" s="6">
        <f t="shared" si="10"/>
        <v>8.4888283815167786E-3</v>
      </c>
      <c r="AA76">
        <v>338443</v>
      </c>
      <c r="AB76">
        <v>27160</v>
      </c>
      <c r="AC76">
        <v>15739120</v>
      </c>
      <c r="AD76" t="s">
        <v>2</v>
      </c>
      <c r="AE76">
        <v>26</v>
      </c>
      <c r="AF76">
        <v>9</v>
      </c>
      <c r="AH76" t="s">
        <v>396</v>
      </c>
      <c r="AL76">
        <v>0</v>
      </c>
      <c r="AM76" s="5">
        <f t="shared" si="11"/>
        <v>0</v>
      </c>
      <c r="AN76" s="4">
        <f t="shared" si="12"/>
        <v>0</v>
      </c>
      <c r="AO76" s="3"/>
      <c r="AP76">
        <v>0</v>
      </c>
      <c r="AR76" t="s">
        <v>1</v>
      </c>
      <c r="AT76" s="2">
        <v>0.77</v>
      </c>
      <c r="AU76" s="1">
        <f t="shared" si="13"/>
        <v>0.59421798670617454</v>
      </c>
      <c r="AV76" s="1">
        <f t="shared" si="14"/>
        <v>0.42444141907583893</v>
      </c>
      <c r="AW76" s="1">
        <f t="shared" si="15"/>
        <v>0.25466485144550338</v>
      </c>
    </row>
    <row r="77" spans="1:49" x14ac:dyDescent="0.2">
      <c r="A77">
        <v>75</v>
      </c>
      <c r="B77" t="s">
        <v>395</v>
      </c>
      <c r="C77" t="s">
        <v>394</v>
      </c>
      <c r="F77" t="s">
        <v>393</v>
      </c>
      <c r="G77" t="s">
        <v>5</v>
      </c>
      <c r="H77" t="s">
        <v>4</v>
      </c>
      <c r="I77" t="s">
        <v>392</v>
      </c>
      <c r="N77">
        <v>4</v>
      </c>
      <c r="O77" t="s">
        <v>391</v>
      </c>
      <c r="P77" t="s">
        <v>390</v>
      </c>
      <c r="Q77" t="s">
        <v>37</v>
      </c>
      <c r="R77" s="7">
        <v>30560</v>
      </c>
      <c r="S77" s="8">
        <f t="shared" si="8"/>
        <v>1983</v>
      </c>
      <c r="T77" s="8">
        <v>1983</v>
      </c>
      <c r="U77" s="8">
        <f t="shared" si="9"/>
        <v>39</v>
      </c>
      <c r="V77" s="7">
        <v>30560</v>
      </c>
      <c r="W77" t="s">
        <v>62</v>
      </c>
      <c r="X77" s="2">
        <v>0.318</v>
      </c>
      <c r="Y77" s="6">
        <f t="shared" si="10"/>
        <v>8.4888283815167786E-3</v>
      </c>
      <c r="AA77">
        <v>338443</v>
      </c>
      <c r="AB77">
        <v>27160</v>
      </c>
      <c r="AC77">
        <v>15739120</v>
      </c>
      <c r="AD77" t="s">
        <v>2</v>
      </c>
      <c r="AE77">
        <v>26</v>
      </c>
      <c r="AF77">
        <v>9</v>
      </c>
      <c r="AH77" t="s">
        <v>389</v>
      </c>
      <c r="AL77">
        <v>0</v>
      </c>
      <c r="AM77" s="5">
        <f t="shared" si="11"/>
        <v>0</v>
      </c>
      <c r="AN77" s="4">
        <f t="shared" si="12"/>
        <v>0</v>
      </c>
      <c r="AO77" s="3"/>
      <c r="AP77">
        <v>0</v>
      </c>
      <c r="AR77" t="s">
        <v>1</v>
      </c>
      <c r="AT77" s="2">
        <v>0.77</v>
      </c>
      <c r="AU77" s="1">
        <f t="shared" si="13"/>
        <v>0.59421798670617454</v>
      </c>
      <c r="AV77" s="1">
        <f t="shared" si="14"/>
        <v>0.42444141907583893</v>
      </c>
      <c r="AW77" s="1">
        <f t="shared" si="15"/>
        <v>0.25466485144550338</v>
      </c>
    </row>
    <row r="78" spans="1:49" x14ac:dyDescent="0.2">
      <c r="A78">
        <v>76</v>
      </c>
      <c r="B78" t="s">
        <v>388</v>
      </c>
      <c r="C78" t="s">
        <v>387</v>
      </c>
      <c r="F78" t="s">
        <v>386</v>
      </c>
      <c r="G78" t="s">
        <v>5</v>
      </c>
      <c r="H78" t="s">
        <v>4</v>
      </c>
      <c r="I78" t="s">
        <v>385</v>
      </c>
      <c r="N78">
        <v>2</v>
      </c>
      <c r="O78" t="s">
        <v>384</v>
      </c>
      <c r="P78" t="s">
        <v>383</v>
      </c>
      <c r="Q78" t="s">
        <v>30</v>
      </c>
      <c r="R78" s="7">
        <v>30560</v>
      </c>
      <c r="S78" s="8">
        <f t="shared" si="8"/>
        <v>1983</v>
      </c>
      <c r="T78" s="8">
        <v>1983</v>
      </c>
      <c r="U78" s="8">
        <f t="shared" si="9"/>
        <v>39</v>
      </c>
      <c r="V78" s="7">
        <v>30560</v>
      </c>
      <c r="W78" t="s">
        <v>62</v>
      </c>
      <c r="X78" s="2">
        <v>0.318</v>
      </c>
      <c r="Y78" s="6">
        <f t="shared" si="10"/>
        <v>8.4888283815167786E-3</v>
      </c>
      <c r="AA78">
        <v>338443</v>
      </c>
      <c r="AB78">
        <v>27160</v>
      </c>
      <c r="AC78">
        <v>15739120</v>
      </c>
      <c r="AD78" t="s">
        <v>2</v>
      </c>
      <c r="AE78">
        <v>26</v>
      </c>
      <c r="AF78">
        <v>9</v>
      </c>
      <c r="AH78" t="s">
        <v>382</v>
      </c>
      <c r="AL78">
        <v>0</v>
      </c>
      <c r="AM78" s="5">
        <f t="shared" si="11"/>
        <v>0</v>
      </c>
      <c r="AN78" s="4">
        <f t="shared" si="12"/>
        <v>0</v>
      </c>
      <c r="AO78" s="3"/>
      <c r="AP78">
        <v>0</v>
      </c>
      <c r="AR78" t="s">
        <v>1</v>
      </c>
      <c r="AT78" s="2">
        <v>0.77</v>
      </c>
      <c r="AU78" s="1">
        <f t="shared" si="13"/>
        <v>0.59421798670617454</v>
      </c>
      <c r="AV78" s="1">
        <f t="shared" si="14"/>
        <v>0.42444141907583893</v>
      </c>
      <c r="AW78" s="1">
        <f t="shared" si="15"/>
        <v>0.25466485144550338</v>
      </c>
    </row>
    <row r="79" spans="1:49" x14ac:dyDescent="0.2">
      <c r="A79">
        <v>77</v>
      </c>
      <c r="B79" t="s">
        <v>381</v>
      </c>
      <c r="E79">
        <v>6871857</v>
      </c>
      <c r="F79" t="s">
        <v>380</v>
      </c>
      <c r="G79" t="s">
        <v>5</v>
      </c>
      <c r="H79" t="s">
        <v>4</v>
      </c>
      <c r="I79" t="s">
        <v>379</v>
      </c>
      <c r="J79" t="s">
        <v>378</v>
      </c>
      <c r="K79" t="s">
        <v>377</v>
      </c>
      <c r="L79" t="s">
        <v>376</v>
      </c>
      <c r="M79" t="s">
        <v>13</v>
      </c>
      <c r="N79">
        <v>3</v>
      </c>
      <c r="O79" t="s">
        <v>375</v>
      </c>
      <c r="P79" t="s">
        <v>374</v>
      </c>
      <c r="Q79" t="s">
        <v>373</v>
      </c>
      <c r="R79" s="7">
        <v>30560</v>
      </c>
      <c r="S79" s="8">
        <f t="shared" si="8"/>
        <v>1983</v>
      </c>
      <c r="T79" s="8">
        <v>1983</v>
      </c>
      <c r="U79" s="8">
        <f t="shared" si="9"/>
        <v>39</v>
      </c>
      <c r="V79" s="7">
        <v>30560</v>
      </c>
      <c r="W79" t="s">
        <v>372</v>
      </c>
      <c r="X79" s="2">
        <v>4.1029999999999998</v>
      </c>
      <c r="Y79" s="6">
        <f t="shared" si="10"/>
        <v>0.10952724166466458</v>
      </c>
      <c r="AA79">
        <v>85472</v>
      </c>
      <c r="AB79">
        <v>29183</v>
      </c>
      <c r="AC79">
        <v>15387445</v>
      </c>
      <c r="AD79" t="s">
        <v>2</v>
      </c>
      <c r="AE79">
        <v>43</v>
      </c>
      <c r="AF79">
        <v>9</v>
      </c>
      <c r="AH79" t="s">
        <v>371</v>
      </c>
      <c r="AI79" t="s">
        <v>370</v>
      </c>
      <c r="AK79" t="s">
        <v>369</v>
      </c>
      <c r="AL79">
        <v>19</v>
      </c>
      <c r="AM79" s="5">
        <f t="shared" si="11"/>
        <v>0.48717948717948717</v>
      </c>
      <c r="AN79" s="4">
        <f t="shared" si="12"/>
        <v>7.3787124146836372E-4</v>
      </c>
      <c r="AO79" s="3"/>
      <c r="AP79">
        <v>0</v>
      </c>
      <c r="AQ79" t="s">
        <v>368</v>
      </c>
      <c r="AR79" t="s">
        <v>367</v>
      </c>
      <c r="AS79" t="s">
        <v>366</v>
      </c>
      <c r="AT79" s="2">
        <v>12.701000000000001</v>
      </c>
      <c r="AU79" s="1">
        <f t="shared" si="13"/>
        <v>7.6890430537705718</v>
      </c>
      <c r="AV79" s="1">
        <f t="shared" si="14"/>
        <v>5.5132556453066472</v>
      </c>
      <c r="AW79" s="1">
        <f t="shared" si="15"/>
        <v>3.3374682368427231</v>
      </c>
    </row>
    <row r="80" spans="1:49" x14ac:dyDescent="0.2">
      <c r="A80">
        <v>78</v>
      </c>
      <c r="B80" t="s">
        <v>365</v>
      </c>
      <c r="C80" t="s">
        <v>364</v>
      </c>
      <c r="F80" t="s">
        <v>363</v>
      </c>
      <c r="G80" t="s">
        <v>5</v>
      </c>
      <c r="H80" t="s">
        <v>4</v>
      </c>
      <c r="I80" t="s">
        <v>362</v>
      </c>
      <c r="J80">
        <v>60030807</v>
      </c>
      <c r="K80" t="s">
        <v>66</v>
      </c>
      <c r="L80" t="s">
        <v>65</v>
      </c>
      <c r="M80" t="s">
        <v>9</v>
      </c>
      <c r="N80">
        <v>1</v>
      </c>
      <c r="O80" t="s">
        <v>361</v>
      </c>
      <c r="P80">
        <v>7101808675</v>
      </c>
      <c r="Q80">
        <v>60030807</v>
      </c>
      <c r="R80" s="7">
        <v>30560</v>
      </c>
      <c r="S80" s="8">
        <f t="shared" si="8"/>
        <v>1983</v>
      </c>
      <c r="T80" s="8">
        <v>1983</v>
      </c>
      <c r="U80" s="8">
        <f t="shared" si="9"/>
        <v>39</v>
      </c>
      <c r="V80" s="7">
        <v>30560</v>
      </c>
      <c r="W80" t="s">
        <v>113</v>
      </c>
      <c r="X80" s="2">
        <v>0.8</v>
      </c>
      <c r="Y80" s="6">
        <f t="shared" si="10"/>
        <v>2.1355543098155415E-2</v>
      </c>
      <c r="AA80">
        <v>3407594</v>
      </c>
      <c r="AB80">
        <v>23456</v>
      </c>
      <c r="AC80">
        <v>14321351</v>
      </c>
      <c r="AD80" t="s">
        <v>2</v>
      </c>
      <c r="AE80">
        <v>152</v>
      </c>
      <c r="AF80">
        <v>3</v>
      </c>
      <c r="AH80" t="s">
        <v>360</v>
      </c>
      <c r="AI80" t="s">
        <v>359</v>
      </c>
      <c r="AK80" t="s">
        <v>358</v>
      </c>
      <c r="AL80">
        <v>62</v>
      </c>
      <c r="AM80" s="5">
        <f t="shared" si="11"/>
        <v>1.5897435897435896</v>
      </c>
      <c r="AN80" s="4">
        <f t="shared" si="12"/>
        <v>2.4077903668967659E-3</v>
      </c>
      <c r="AO80" s="3"/>
      <c r="AP80">
        <v>0</v>
      </c>
      <c r="AR80" t="s">
        <v>1</v>
      </c>
      <c r="AT80" s="2" t="s">
        <v>0</v>
      </c>
      <c r="AU80" s="1">
        <f t="shared" si="13"/>
        <v>1.5671217278777818</v>
      </c>
      <c r="AV80" s="1">
        <f t="shared" si="14"/>
        <v>1.1881666732526091</v>
      </c>
      <c r="AW80" s="1">
        <f t="shared" si="15"/>
        <v>0.80921161862743607</v>
      </c>
    </row>
    <row r="81" spans="1:49" x14ac:dyDescent="0.2">
      <c r="A81">
        <v>79</v>
      </c>
      <c r="B81" t="s">
        <v>357</v>
      </c>
      <c r="C81" t="s">
        <v>356</v>
      </c>
      <c r="F81" t="s">
        <v>355</v>
      </c>
      <c r="G81" t="s">
        <v>5</v>
      </c>
      <c r="H81" t="s">
        <v>4</v>
      </c>
      <c r="I81" t="s">
        <v>354</v>
      </c>
      <c r="J81" t="s">
        <v>349</v>
      </c>
      <c r="K81" t="s">
        <v>353</v>
      </c>
      <c r="L81" t="s">
        <v>352</v>
      </c>
      <c r="M81" t="s">
        <v>83</v>
      </c>
      <c r="N81">
        <v>2</v>
      </c>
      <c r="O81" t="s">
        <v>351</v>
      </c>
      <c r="P81" t="s">
        <v>350</v>
      </c>
      <c r="Q81" t="s">
        <v>349</v>
      </c>
      <c r="R81" s="7">
        <v>30560</v>
      </c>
      <c r="S81" s="8">
        <f t="shared" si="8"/>
        <v>1983</v>
      </c>
      <c r="T81" s="8">
        <v>1983</v>
      </c>
      <c r="U81" s="8">
        <f t="shared" si="9"/>
        <v>39</v>
      </c>
      <c r="V81" s="7">
        <v>30560</v>
      </c>
      <c r="W81" t="s">
        <v>14</v>
      </c>
      <c r="X81" s="2">
        <v>0.84299999999999997</v>
      </c>
      <c r="Y81" s="6">
        <f t="shared" si="10"/>
        <v>2.250340353968127E-2</v>
      </c>
      <c r="AA81">
        <v>188158</v>
      </c>
      <c r="AB81">
        <v>15168</v>
      </c>
      <c r="AC81">
        <v>15735117</v>
      </c>
      <c r="AD81" t="s">
        <v>2</v>
      </c>
      <c r="AE81">
        <v>106</v>
      </c>
      <c r="AF81">
        <v>1</v>
      </c>
      <c r="AH81" s="10">
        <v>12844</v>
      </c>
      <c r="AI81" t="s">
        <v>348</v>
      </c>
      <c r="AK81" t="s">
        <v>347</v>
      </c>
      <c r="AL81">
        <v>20</v>
      </c>
      <c r="AM81" s="5">
        <f t="shared" si="11"/>
        <v>0.51282051282051277</v>
      </c>
      <c r="AN81" s="4">
        <f t="shared" si="12"/>
        <v>7.7670656996669868E-4</v>
      </c>
      <c r="AO81" s="3"/>
      <c r="AP81">
        <v>0</v>
      </c>
      <c r="AR81" t="s">
        <v>1</v>
      </c>
      <c r="AT81" s="2">
        <v>2.694</v>
      </c>
      <c r="AU81" s="1">
        <f t="shared" si="13"/>
        <v>1.5985394448766899</v>
      </c>
      <c r="AV81" s="1">
        <f t="shared" si="14"/>
        <v>1.1640055054823983</v>
      </c>
      <c r="AW81" s="1">
        <f t="shared" si="15"/>
        <v>0.72947156608810704</v>
      </c>
    </row>
    <row r="82" spans="1:49" x14ac:dyDescent="0.2">
      <c r="A82">
        <v>80</v>
      </c>
      <c r="B82" t="s">
        <v>346</v>
      </c>
      <c r="C82" t="s">
        <v>345</v>
      </c>
      <c r="F82" t="s">
        <v>344</v>
      </c>
      <c r="G82" t="s">
        <v>5</v>
      </c>
      <c r="H82" t="s">
        <v>4</v>
      </c>
      <c r="I82" t="s">
        <v>343</v>
      </c>
      <c r="J82">
        <v>60023131</v>
      </c>
      <c r="K82" t="s">
        <v>342</v>
      </c>
      <c r="L82" t="s">
        <v>341</v>
      </c>
      <c r="M82" t="s">
        <v>9</v>
      </c>
      <c r="N82">
        <v>1</v>
      </c>
      <c r="O82" t="s">
        <v>340</v>
      </c>
      <c r="P82">
        <v>7005235326</v>
      </c>
      <c r="Q82">
        <v>60023131</v>
      </c>
      <c r="R82" s="7">
        <v>30560</v>
      </c>
      <c r="S82" s="8">
        <f t="shared" si="8"/>
        <v>1983</v>
      </c>
      <c r="T82" s="8">
        <v>1983</v>
      </c>
      <c r="U82" s="8">
        <f t="shared" si="9"/>
        <v>39</v>
      </c>
      <c r="V82" s="7">
        <v>30560</v>
      </c>
      <c r="W82" t="s">
        <v>339</v>
      </c>
      <c r="X82" s="2" t="s">
        <v>0</v>
      </c>
      <c r="Y82" s="6" t="e">
        <f t="shared" si="10"/>
        <v>#VALUE!</v>
      </c>
      <c r="AA82">
        <v>1743597</v>
      </c>
      <c r="AB82">
        <v>31434</v>
      </c>
      <c r="AC82">
        <v>14383888</v>
      </c>
      <c r="AD82" t="s">
        <v>2</v>
      </c>
      <c r="AE82">
        <v>36</v>
      </c>
      <c r="AF82">
        <v>3</v>
      </c>
      <c r="AH82" t="s">
        <v>338</v>
      </c>
      <c r="AI82" t="s">
        <v>337</v>
      </c>
      <c r="AK82" t="s">
        <v>336</v>
      </c>
      <c r="AL82">
        <v>58</v>
      </c>
      <c r="AM82" s="5">
        <f t="shared" si="11"/>
        <v>1.4871794871794872</v>
      </c>
      <c r="AN82" s="4">
        <f t="shared" si="12"/>
        <v>2.2524490529034261E-3</v>
      </c>
      <c r="AO82" s="3"/>
      <c r="AP82">
        <v>1</v>
      </c>
      <c r="AR82" t="s">
        <v>1</v>
      </c>
      <c r="AT82" s="2" t="s">
        <v>0</v>
      </c>
      <c r="AU82" s="1" t="e">
        <f t="shared" si="13"/>
        <v>#VALUE!</v>
      </c>
      <c r="AV82" s="1" t="e">
        <f t="shared" si="14"/>
        <v>#VALUE!</v>
      </c>
      <c r="AW82" s="1" t="e">
        <f t="shared" si="15"/>
        <v>#VALUE!</v>
      </c>
    </row>
    <row r="83" spans="1:49" x14ac:dyDescent="0.2">
      <c r="A83">
        <v>81</v>
      </c>
      <c r="B83" t="s">
        <v>335</v>
      </c>
      <c r="C83" t="s">
        <v>334</v>
      </c>
      <c r="F83" t="s">
        <v>333</v>
      </c>
      <c r="G83" t="s">
        <v>5</v>
      </c>
      <c r="H83" t="s">
        <v>4</v>
      </c>
      <c r="I83" t="s">
        <v>332</v>
      </c>
      <c r="J83">
        <v>60019160</v>
      </c>
      <c r="K83" t="s">
        <v>331</v>
      </c>
      <c r="L83" t="s">
        <v>330</v>
      </c>
      <c r="M83" t="s">
        <v>329</v>
      </c>
      <c r="N83">
        <v>1</v>
      </c>
      <c r="O83" t="s">
        <v>328</v>
      </c>
      <c r="P83">
        <v>7401918861</v>
      </c>
      <c r="Q83">
        <v>60019160</v>
      </c>
      <c r="R83" s="7">
        <v>30560</v>
      </c>
      <c r="S83" s="8">
        <f t="shared" si="8"/>
        <v>1983</v>
      </c>
      <c r="T83" s="8">
        <v>1983</v>
      </c>
      <c r="U83" s="8">
        <f t="shared" si="9"/>
        <v>39</v>
      </c>
      <c r="V83" s="7">
        <v>30560</v>
      </c>
      <c r="W83" t="s">
        <v>113</v>
      </c>
      <c r="X83" s="2">
        <v>0.8</v>
      </c>
      <c r="Y83" s="6">
        <f t="shared" si="10"/>
        <v>2.1355543098155415E-2</v>
      </c>
      <c r="AA83">
        <v>3407594</v>
      </c>
      <c r="AB83">
        <v>23456</v>
      </c>
      <c r="AC83">
        <v>14321351</v>
      </c>
      <c r="AD83" t="s">
        <v>2</v>
      </c>
      <c r="AE83">
        <v>150</v>
      </c>
      <c r="AF83">
        <v>3</v>
      </c>
      <c r="AH83" t="s">
        <v>327</v>
      </c>
      <c r="AI83" t="s">
        <v>326</v>
      </c>
      <c r="AK83" t="s">
        <v>325</v>
      </c>
      <c r="AL83">
        <v>27</v>
      </c>
      <c r="AM83" s="5">
        <f t="shared" si="11"/>
        <v>0.69230769230769229</v>
      </c>
      <c r="AN83" s="4">
        <f t="shared" si="12"/>
        <v>1.0485538694550431E-3</v>
      </c>
      <c r="AO83" s="3"/>
      <c r="AP83">
        <v>0</v>
      </c>
      <c r="AR83" t="s">
        <v>1</v>
      </c>
      <c r="AT83" s="2" t="s">
        <v>0</v>
      </c>
      <c r="AU83" s="1">
        <f t="shared" si="13"/>
        <v>1.5263446329545303</v>
      </c>
      <c r="AV83" s="1">
        <f t="shared" si="14"/>
        <v>1.1202048483805229</v>
      </c>
      <c r="AW83" s="1">
        <f t="shared" si="15"/>
        <v>0.71406506380651547</v>
      </c>
    </row>
    <row r="84" spans="1:49" x14ac:dyDescent="0.2">
      <c r="A84">
        <v>82</v>
      </c>
      <c r="B84" t="s">
        <v>324</v>
      </c>
      <c r="C84" t="s">
        <v>323</v>
      </c>
      <c r="D84" t="s">
        <v>322</v>
      </c>
      <c r="F84" t="s">
        <v>321</v>
      </c>
      <c r="G84" t="s">
        <v>5</v>
      </c>
      <c r="H84" t="s">
        <v>4</v>
      </c>
      <c r="I84" t="s">
        <v>225</v>
      </c>
      <c r="J84" t="s">
        <v>320</v>
      </c>
      <c r="K84" t="s">
        <v>319</v>
      </c>
      <c r="L84" t="s">
        <v>318</v>
      </c>
      <c r="M84" t="s">
        <v>13</v>
      </c>
      <c r="N84">
        <v>2</v>
      </c>
      <c r="O84" t="s">
        <v>317</v>
      </c>
      <c r="P84" t="s">
        <v>316</v>
      </c>
      <c r="Q84" t="s">
        <v>315</v>
      </c>
      <c r="R84" s="7">
        <v>30550</v>
      </c>
      <c r="S84" s="8">
        <f t="shared" si="8"/>
        <v>1983</v>
      </c>
      <c r="T84" s="8">
        <v>1983</v>
      </c>
      <c r="U84" s="8">
        <f t="shared" si="9"/>
        <v>39</v>
      </c>
      <c r="V84" s="7">
        <v>30550</v>
      </c>
      <c r="W84" t="s">
        <v>140</v>
      </c>
      <c r="X84" s="2">
        <v>1.593</v>
      </c>
      <c r="Y84" s="6">
        <f t="shared" si="10"/>
        <v>4.2524225194201973E-2</v>
      </c>
      <c r="AA84">
        <v>145793</v>
      </c>
      <c r="AB84">
        <v>17481</v>
      </c>
      <c r="AD84" t="s">
        <v>2</v>
      </c>
      <c r="AE84">
        <v>160</v>
      </c>
      <c r="AF84" s="9">
        <v>44228</v>
      </c>
      <c r="AH84" t="s">
        <v>314</v>
      </c>
      <c r="AI84" t="s">
        <v>313</v>
      </c>
      <c r="AJ84" t="s">
        <v>312</v>
      </c>
      <c r="AK84" t="s">
        <v>311</v>
      </c>
      <c r="AL84">
        <v>42</v>
      </c>
      <c r="AM84" s="5">
        <f t="shared" si="11"/>
        <v>1.0769230769230769</v>
      </c>
      <c r="AN84" s="4">
        <f t="shared" si="12"/>
        <v>1.6310837969300673E-3</v>
      </c>
      <c r="AO84" s="3"/>
      <c r="AP84">
        <v>1</v>
      </c>
      <c r="AQ84" t="s">
        <v>143</v>
      </c>
      <c r="AR84" t="s">
        <v>1</v>
      </c>
      <c r="AS84" t="s">
        <v>142</v>
      </c>
      <c r="AT84" s="2">
        <v>4.1239999999999997</v>
      </c>
      <c r="AU84" s="1">
        <f t="shared" si="13"/>
        <v>3.0256282775020402</v>
      </c>
      <c r="AV84" s="1">
        <f t="shared" si="14"/>
        <v>2.2077654495566019</v>
      </c>
      <c r="AW84" s="1">
        <f t="shared" si="15"/>
        <v>1.3899026216111638</v>
      </c>
    </row>
    <row r="85" spans="1:49" x14ac:dyDescent="0.2">
      <c r="A85">
        <v>83</v>
      </c>
      <c r="B85" t="s">
        <v>310</v>
      </c>
      <c r="C85" t="s">
        <v>309</v>
      </c>
      <c r="F85" t="s">
        <v>308</v>
      </c>
      <c r="G85" t="s">
        <v>5</v>
      </c>
      <c r="H85" t="s">
        <v>4</v>
      </c>
      <c r="I85" t="s">
        <v>307</v>
      </c>
      <c r="J85">
        <v>60010818</v>
      </c>
      <c r="K85" t="s">
        <v>287</v>
      </c>
      <c r="L85" t="s">
        <v>286</v>
      </c>
      <c r="M85" t="s">
        <v>28</v>
      </c>
      <c r="N85">
        <v>2</v>
      </c>
      <c r="O85" t="s">
        <v>306</v>
      </c>
      <c r="P85" t="s">
        <v>305</v>
      </c>
      <c r="Q85" t="s">
        <v>304</v>
      </c>
      <c r="R85" s="7">
        <v>30546</v>
      </c>
      <c r="S85" s="8">
        <f t="shared" si="8"/>
        <v>1983</v>
      </c>
      <c r="T85" s="8">
        <v>1983</v>
      </c>
      <c r="U85" s="8">
        <f t="shared" si="9"/>
        <v>39</v>
      </c>
      <c r="V85" s="7">
        <v>30546</v>
      </c>
      <c r="W85" t="s">
        <v>120</v>
      </c>
      <c r="X85" s="2">
        <v>0.375</v>
      </c>
      <c r="Y85" s="6">
        <f t="shared" si="10"/>
        <v>1.0010410827260351E-2</v>
      </c>
      <c r="AA85">
        <v>135194</v>
      </c>
      <c r="AB85">
        <v>24918</v>
      </c>
      <c r="AD85" t="s">
        <v>2</v>
      </c>
      <c r="AE85">
        <v>19</v>
      </c>
      <c r="AF85">
        <v>17</v>
      </c>
      <c r="AH85" t="s">
        <v>303</v>
      </c>
      <c r="AI85" t="s">
        <v>302</v>
      </c>
      <c r="AJ85" t="s">
        <v>301</v>
      </c>
      <c r="AK85" t="s">
        <v>300</v>
      </c>
      <c r="AL85">
        <v>158</v>
      </c>
      <c r="AM85" s="5">
        <f t="shared" si="11"/>
        <v>4.0512820512820511</v>
      </c>
      <c r="AN85" s="4">
        <f t="shared" si="12"/>
        <v>6.1359819027369195E-3</v>
      </c>
      <c r="AO85" s="3"/>
      <c r="AP85">
        <v>0</v>
      </c>
      <c r="AR85" t="s">
        <v>1</v>
      </c>
      <c r="AT85" s="2">
        <v>1.3140000000000001</v>
      </c>
      <c r="AU85" s="1">
        <f t="shared" si="13"/>
        <v>0.88480821499033213</v>
      </c>
      <c r="AV85" s="1">
        <f t="shared" si="14"/>
        <v>0.80731963649986349</v>
      </c>
      <c r="AW85" s="1">
        <f t="shared" si="15"/>
        <v>0.72983105800939496</v>
      </c>
    </row>
    <row r="86" spans="1:49" x14ac:dyDescent="0.2">
      <c r="A86">
        <v>84</v>
      </c>
      <c r="B86" t="s">
        <v>299</v>
      </c>
      <c r="C86" t="s">
        <v>298</v>
      </c>
      <c r="D86">
        <v>14579383804050</v>
      </c>
      <c r="F86" t="s">
        <v>297</v>
      </c>
      <c r="G86" t="s">
        <v>5</v>
      </c>
      <c r="H86" t="s">
        <v>4</v>
      </c>
      <c r="I86" t="s">
        <v>296</v>
      </c>
      <c r="J86">
        <v>60019615</v>
      </c>
      <c r="K86" t="s">
        <v>82</v>
      </c>
      <c r="L86" t="s">
        <v>81</v>
      </c>
      <c r="M86" t="s">
        <v>32</v>
      </c>
      <c r="N86">
        <v>1</v>
      </c>
      <c r="O86" t="s">
        <v>295</v>
      </c>
      <c r="P86">
        <v>24310010600</v>
      </c>
      <c r="Q86">
        <v>60019615</v>
      </c>
      <c r="R86" s="7">
        <v>30536</v>
      </c>
      <c r="S86" s="8">
        <f t="shared" si="8"/>
        <v>1983</v>
      </c>
      <c r="T86" s="8">
        <v>1983</v>
      </c>
      <c r="U86" s="8">
        <f t="shared" si="9"/>
        <v>39</v>
      </c>
      <c r="V86" s="7">
        <v>30536</v>
      </c>
      <c r="W86" t="s">
        <v>140</v>
      </c>
      <c r="X86" s="2">
        <v>1.593</v>
      </c>
      <c r="Y86" s="6">
        <f t="shared" si="10"/>
        <v>4.2524225194201973E-2</v>
      </c>
      <c r="AA86">
        <v>145793</v>
      </c>
      <c r="AB86">
        <v>17481</v>
      </c>
      <c r="AD86" t="s">
        <v>2</v>
      </c>
      <c r="AE86">
        <v>159</v>
      </c>
      <c r="AF86" s="9">
        <v>44228</v>
      </c>
      <c r="AH86" s="9">
        <v>44317</v>
      </c>
      <c r="AI86" t="s">
        <v>294</v>
      </c>
      <c r="AJ86" t="s">
        <v>293</v>
      </c>
      <c r="AK86" t="s">
        <v>292</v>
      </c>
      <c r="AL86">
        <v>16</v>
      </c>
      <c r="AM86" s="5">
        <f t="shared" si="11"/>
        <v>0.41025641025641024</v>
      </c>
      <c r="AN86" s="4">
        <f t="shared" si="12"/>
        <v>6.2136525597335896E-4</v>
      </c>
      <c r="AO86" s="3"/>
      <c r="AP86">
        <v>1</v>
      </c>
      <c r="AR86" t="s">
        <v>1</v>
      </c>
      <c r="AT86" s="2">
        <v>4.1239999999999997</v>
      </c>
      <c r="AU86" s="1">
        <f t="shared" si="13"/>
        <v>2.9953367212733388</v>
      </c>
      <c r="AV86" s="1">
        <f t="shared" si="14"/>
        <v>2.1572795225087664</v>
      </c>
      <c r="AW86" s="1">
        <f t="shared" si="15"/>
        <v>1.3192223237441942</v>
      </c>
    </row>
    <row r="87" spans="1:49" x14ac:dyDescent="0.2">
      <c r="A87">
        <v>85</v>
      </c>
      <c r="B87" t="s">
        <v>291</v>
      </c>
      <c r="C87" t="s">
        <v>290</v>
      </c>
      <c r="F87" t="s">
        <v>289</v>
      </c>
      <c r="G87" t="s">
        <v>5</v>
      </c>
      <c r="H87" t="s">
        <v>4</v>
      </c>
      <c r="I87" t="s">
        <v>288</v>
      </c>
      <c r="J87">
        <v>60010818</v>
      </c>
      <c r="K87" t="s">
        <v>287</v>
      </c>
      <c r="L87" t="s">
        <v>286</v>
      </c>
      <c r="M87" t="s">
        <v>28</v>
      </c>
      <c r="N87">
        <v>3</v>
      </c>
      <c r="O87" t="s">
        <v>285</v>
      </c>
      <c r="P87" t="s">
        <v>284</v>
      </c>
      <c r="Q87" t="s">
        <v>283</v>
      </c>
      <c r="R87" s="7">
        <v>30532</v>
      </c>
      <c r="S87" s="8">
        <f t="shared" si="8"/>
        <v>1983</v>
      </c>
      <c r="T87" s="8">
        <v>1983</v>
      </c>
      <c r="U87" s="8">
        <f t="shared" si="9"/>
        <v>39</v>
      </c>
      <c r="V87" s="7">
        <v>30532</v>
      </c>
      <c r="W87" t="s">
        <v>120</v>
      </c>
      <c r="X87" s="2">
        <v>0.375</v>
      </c>
      <c r="Y87" s="6">
        <f t="shared" si="10"/>
        <v>1.0010410827260351E-2</v>
      </c>
      <c r="AA87">
        <v>135194</v>
      </c>
      <c r="AB87">
        <v>24918</v>
      </c>
      <c r="AD87" t="s">
        <v>2</v>
      </c>
      <c r="AE87">
        <v>19</v>
      </c>
      <c r="AF87">
        <v>16</v>
      </c>
      <c r="AH87" t="s">
        <v>282</v>
      </c>
      <c r="AI87" t="s">
        <v>281</v>
      </c>
      <c r="AJ87" t="s">
        <v>280</v>
      </c>
      <c r="AK87" t="s">
        <v>279</v>
      </c>
      <c r="AL87">
        <v>5</v>
      </c>
      <c r="AM87" s="5">
        <f t="shared" si="11"/>
        <v>0.12820512820512819</v>
      </c>
      <c r="AN87" s="4">
        <f t="shared" si="12"/>
        <v>1.9417664249167467E-4</v>
      </c>
      <c r="AO87" s="3"/>
      <c r="AP87">
        <v>0</v>
      </c>
      <c r="AR87" t="s">
        <v>1</v>
      </c>
      <c r="AT87" s="2">
        <v>1.3140000000000001</v>
      </c>
      <c r="AU87" s="1">
        <f t="shared" si="13"/>
        <v>0.70655405718297482</v>
      </c>
      <c r="AV87" s="1">
        <f t="shared" si="14"/>
        <v>0.51022937348760133</v>
      </c>
      <c r="AW87" s="1">
        <f t="shared" si="15"/>
        <v>0.31390468979222774</v>
      </c>
    </row>
    <row r="88" spans="1:49" x14ac:dyDescent="0.2">
      <c r="A88">
        <v>86</v>
      </c>
      <c r="B88" t="s">
        <v>278</v>
      </c>
      <c r="C88" t="s">
        <v>277</v>
      </c>
      <c r="F88" t="s">
        <v>276</v>
      </c>
      <c r="G88" t="s">
        <v>5</v>
      </c>
      <c r="H88" t="s">
        <v>4</v>
      </c>
      <c r="I88" t="s">
        <v>275</v>
      </c>
      <c r="J88">
        <v>60075697</v>
      </c>
      <c r="K88" t="s">
        <v>274</v>
      </c>
      <c r="L88" t="s">
        <v>273</v>
      </c>
      <c r="M88" t="s">
        <v>9</v>
      </c>
      <c r="N88">
        <v>2</v>
      </c>
      <c r="O88" t="s">
        <v>272</v>
      </c>
      <c r="P88" t="s">
        <v>271</v>
      </c>
      <c r="Q88" t="s">
        <v>270</v>
      </c>
      <c r="R88" s="7">
        <v>30532</v>
      </c>
      <c r="S88" s="8">
        <f t="shared" si="8"/>
        <v>1983</v>
      </c>
      <c r="T88" s="8">
        <v>1983</v>
      </c>
      <c r="U88" s="8">
        <f t="shared" si="9"/>
        <v>39</v>
      </c>
      <c r="V88" s="7">
        <v>30532</v>
      </c>
      <c r="W88" t="s">
        <v>120</v>
      </c>
      <c r="X88" s="2">
        <v>0.375</v>
      </c>
      <c r="Y88" s="6">
        <f t="shared" si="10"/>
        <v>1.0010410827260351E-2</v>
      </c>
      <c r="AA88">
        <v>135194</v>
      </c>
      <c r="AB88">
        <v>24918</v>
      </c>
      <c r="AD88" t="s">
        <v>2</v>
      </c>
      <c r="AE88">
        <v>19</v>
      </c>
      <c r="AF88">
        <v>16</v>
      </c>
      <c r="AH88" t="s">
        <v>269</v>
      </c>
      <c r="AI88" t="s">
        <v>268</v>
      </c>
      <c r="AJ88" t="s">
        <v>267</v>
      </c>
      <c r="AK88" t="s">
        <v>266</v>
      </c>
      <c r="AL88">
        <v>30</v>
      </c>
      <c r="AM88" s="5">
        <f t="shared" si="11"/>
        <v>0.76923076923076927</v>
      </c>
      <c r="AN88" s="4">
        <f t="shared" si="12"/>
        <v>1.1650598549500482E-3</v>
      </c>
      <c r="AO88" s="3"/>
      <c r="AP88">
        <v>0</v>
      </c>
      <c r="AR88" t="s">
        <v>1</v>
      </c>
      <c r="AT88" s="2">
        <v>1.3140000000000001</v>
      </c>
      <c r="AU88" s="1">
        <f t="shared" si="13"/>
        <v>0.73568055355672601</v>
      </c>
      <c r="AV88" s="1">
        <f t="shared" si="14"/>
        <v>0.55877353411052</v>
      </c>
      <c r="AW88" s="1">
        <f t="shared" si="15"/>
        <v>0.38186651466431387</v>
      </c>
    </row>
    <row r="89" spans="1:49" x14ac:dyDescent="0.2">
      <c r="A89">
        <v>87</v>
      </c>
      <c r="B89" t="s">
        <v>265</v>
      </c>
      <c r="C89" t="s">
        <v>264</v>
      </c>
      <c r="F89" t="s">
        <v>263</v>
      </c>
      <c r="G89" t="s">
        <v>5</v>
      </c>
      <c r="H89" t="s">
        <v>4</v>
      </c>
      <c r="I89" t="s">
        <v>99</v>
      </c>
      <c r="J89">
        <v>60009697</v>
      </c>
      <c r="K89" t="s">
        <v>136</v>
      </c>
      <c r="L89" t="s">
        <v>135</v>
      </c>
      <c r="M89" t="s">
        <v>58</v>
      </c>
      <c r="N89">
        <v>3</v>
      </c>
      <c r="O89" t="s">
        <v>262</v>
      </c>
      <c r="P89" t="s">
        <v>261</v>
      </c>
      <c r="Q89" t="s">
        <v>134</v>
      </c>
      <c r="R89" s="7">
        <v>30532</v>
      </c>
      <c r="S89" s="8">
        <f t="shared" si="8"/>
        <v>1983</v>
      </c>
      <c r="T89" s="8">
        <v>1983</v>
      </c>
      <c r="U89" s="8">
        <f t="shared" si="9"/>
        <v>39</v>
      </c>
      <c r="V89" s="7">
        <v>30532</v>
      </c>
      <c r="W89" t="s">
        <v>120</v>
      </c>
      <c r="X89" s="2">
        <v>0.375</v>
      </c>
      <c r="Y89" s="6">
        <f t="shared" si="10"/>
        <v>1.0010410827260351E-2</v>
      </c>
      <c r="AA89">
        <v>135194</v>
      </c>
      <c r="AB89">
        <v>24918</v>
      </c>
      <c r="AD89" t="s">
        <v>2</v>
      </c>
      <c r="AE89">
        <v>19</v>
      </c>
      <c r="AF89">
        <v>16</v>
      </c>
      <c r="AH89" t="s">
        <v>260</v>
      </c>
      <c r="AI89" t="s">
        <v>259</v>
      </c>
      <c r="AJ89" t="s">
        <v>258</v>
      </c>
      <c r="AK89" t="s">
        <v>257</v>
      </c>
      <c r="AL89">
        <v>2</v>
      </c>
      <c r="AM89" s="5">
        <f t="shared" si="11"/>
        <v>5.128205128205128E-2</v>
      </c>
      <c r="AN89" s="4">
        <f t="shared" si="12"/>
        <v>7.767065699666987E-5</v>
      </c>
      <c r="AO89" s="3"/>
      <c r="AP89">
        <v>0</v>
      </c>
      <c r="AR89" t="s">
        <v>1</v>
      </c>
      <c r="AT89" s="2">
        <v>1.3140000000000001</v>
      </c>
      <c r="AU89" s="1">
        <f t="shared" si="13"/>
        <v>0.70305887761812469</v>
      </c>
      <c r="AV89" s="1">
        <f t="shared" si="14"/>
        <v>0.50440407421285105</v>
      </c>
      <c r="AW89" s="1">
        <f t="shared" si="15"/>
        <v>0.30574927080757741</v>
      </c>
    </row>
    <row r="90" spans="1:49" x14ac:dyDescent="0.2">
      <c r="A90">
        <v>88</v>
      </c>
      <c r="B90" t="s">
        <v>256</v>
      </c>
      <c r="F90" t="s">
        <v>255</v>
      </c>
      <c r="G90" t="s">
        <v>5</v>
      </c>
      <c r="H90" t="s">
        <v>4</v>
      </c>
      <c r="I90" t="s">
        <v>254</v>
      </c>
      <c r="J90">
        <v>100352200</v>
      </c>
      <c r="K90" t="s">
        <v>253</v>
      </c>
      <c r="L90" t="s">
        <v>252</v>
      </c>
      <c r="M90" t="s">
        <v>3</v>
      </c>
      <c r="N90">
        <v>1</v>
      </c>
      <c r="O90" t="s">
        <v>251</v>
      </c>
      <c r="P90">
        <v>6701354343</v>
      </c>
      <c r="Q90">
        <v>100352200</v>
      </c>
      <c r="R90" s="7">
        <v>30529</v>
      </c>
      <c r="S90" s="8">
        <f t="shared" si="8"/>
        <v>1983</v>
      </c>
      <c r="T90" s="8">
        <v>1983</v>
      </c>
      <c r="U90" s="8">
        <f t="shared" si="9"/>
        <v>39</v>
      </c>
      <c r="V90" s="7">
        <v>30529</v>
      </c>
      <c r="W90" t="s">
        <v>86</v>
      </c>
      <c r="X90" s="2" t="s">
        <v>0</v>
      </c>
      <c r="Y90" s="6" t="e">
        <f t="shared" si="10"/>
        <v>#VALUE!</v>
      </c>
      <c r="AA90">
        <v>262897</v>
      </c>
      <c r="AB90">
        <v>18580</v>
      </c>
      <c r="AD90" t="s">
        <v>2</v>
      </c>
      <c r="AE90">
        <v>26</v>
      </c>
      <c r="AF90">
        <v>8</v>
      </c>
      <c r="AI90" t="s">
        <v>250</v>
      </c>
      <c r="AK90" t="s">
        <v>249</v>
      </c>
      <c r="AL90">
        <v>1</v>
      </c>
      <c r="AM90" s="5">
        <f t="shared" si="11"/>
        <v>2.564102564102564E-2</v>
      </c>
      <c r="AN90" s="4">
        <f t="shared" si="12"/>
        <v>3.8835328498334935E-5</v>
      </c>
      <c r="AO90" s="3"/>
      <c r="AP90">
        <v>0</v>
      </c>
      <c r="AR90" t="s">
        <v>1</v>
      </c>
      <c r="AT90" s="2">
        <v>0.30599999999999999</v>
      </c>
      <c r="AU90" s="1" t="e">
        <f t="shared" si="13"/>
        <v>#VALUE!</v>
      </c>
      <c r="AV90" s="1" t="e">
        <f t="shared" si="14"/>
        <v>#VALUE!</v>
      </c>
      <c r="AW90" s="1" t="e">
        <f t="shared" si="15"/>
        <v>#VALUE!</v>
      </c>
    </row>
    <row r="91" spans="1:49" x14ac:dyDescent="0.2">
      <c r="A91">
        <v>89</v>
      </c>
      <c r="B91" t="s">
        <v>248</v>
      </c>
      <c r="C91" t="s">
        <v>247</v>
      </c>
      <c r="D91">
        <v>8621583840555</v>
      </c>
      <c r="E91">
        <v>6311417</v>
      </c>
      <c r="F91" t="s">
        <v>246</v>
      </c>
      <c r="G91" t="s">
        <v>5</v>
      </c>
      <c r="H91" t="s">
        <v>4</v>
      </c>
      <c r="I91" t="s">
        <v>245</v>
      </c>
      <c r="J91">
        <v>60012387</v>
      </c>
      <c r="K91" t="s">
        <v>244</v>
      </c>
      <c r="L91" t="s">
        <v>41</v>
      </c>
      <c r="M91" t="s">
        <v>3</v>
      </c>
      <c r="N91">
        <v>3</v>
      </c>
      <c r="O91" t="s">
        <v>243</v>
      </c>
      <c r="P91" t="s">
        <v>242</v>
      </c>
      <c r="Q91" t="s">
        <v>241</v>
      </c>
      <c r="R91" s="7">
        <v>30529</v>
      </c>
      <c r="S91" s="8">
        <f t="shared" si="8"/>
        <v>1983</v>
      </c>
      <c r="T91" s="8">
        <v>1983</v>
      </c>
      <c r="U91" s="8">
        <f t="shared" si="9"/>
        <v>39</v>
      </c>
      <c r="V91" s="7">
        <v>30529</v>
      </c>
      <c r="W91" t="s">
        <v>240</v>
      </c>
      <c r="X91" s="2">
        <v>0.46500000000000002</v>
      </c>
      <c r="Y91" s="6">
        <f t="shared" si="10"/>
        <v>1.2412909425802835E-2</v>
      </c>
      <c r="AA91">
        <v>86215</v>
      </c>
      <c r="AB91">
        <v>25803</v>
      </c>
      <c r="AD91" t="s">
        <v>2</v>
      </c>
      <c r="AE91">
        <v>119</v>
      </c>
      <c r="AF91" t="s">
        <v>239</v>
      </c>
      <c r="AH91" t="s">
        <v>238</v>
      </c>
      <c r="AI91" t="s">
        <v>237</v>
      </c>
      <c r="AK91" t="s">
        <v>236</v>
      </c>
      <c r="AL91">
        <v>2</v>
      </c>
      <c r="AM91" s="5">
        <f t="shared" si="11"/>
        <v>5.128205128205128E-2</v>
      </c>
      <c r="AN91" s="4">
        <f t="shared" si="12"/>
        <v>7.767065699666987E-5</v>
      </c>
      <c r="AO91" s="3"/>
      <c r="AP91">
        <v>0</v>
      </c>
      <c r="AR91" t="s">
        <v>1</v>
      </c>
      <c r="AT91" s="2">
        <v>2.1040000000000001</v>
      </c>
      <c r="AU91" s="1">
        <f t="shared" si="13"/>
        <v>0.87123377951609848</v>
      </c>
      <c r="AV91" s="1">
        <f t="shared" si="14"/>
        <v>0.62452900413997525</v>
      </c>
      <c r="AW91" s="1">
        <f t="shared" si="15"/>
        <v>0.37782422876385191</v>
      </c>
    </row>
    <row r="92" spans="1:49" x14ac:dyDescent="0.2">
      <c r="A92">
        <v>90</v>
      </c>
      <c r="B92" t="s">
        <v>235</v>
      </c>
      <c r="C92" t="s">
        <v>234</v>
      </c>
      <c r="F92" t="s">
        <v>233</v>
      </c>
      <c r="G92" t="s">
        <v>5</v>
      </c>
      <c r="H92" t="s">
        <v>4</v>
      </c>
      <c r="I92" t="s">
        <v>232</v>
      </c>
      <c r="N92">
        <v>4</v>
      </c>
      <c r="O92" t="s">
        <v>231</v>
      </c>
      <c r="P92" t="s">
        <v>230</v>
      </c>
      <c r="Q92" t="s">
        <v>37</v>
      </c>
      <c r="R92" s="7">
        <v>30529</v>
      </c>
      <c r="S92" s="8">
        <f t="shared" si="8"/>
        <v>1983</v>
      </c>
      <c r="T92" s="8">
        <v>1983</v>
      </c>
      <c r="U92" s="8">
        <f t="shared" si="9"/>
        <v>39</v>
      </c>
      <c r="V92" s="7">
        <v>30529</v>
      </c>
      <c r="W92" t="s">
        <v>141</v>
      </c>
      <c r="X92" s="2">
        <v>0.14899999999999999</v>
      </c>
      <c r="Y92" s="6">
        <f t="shared" si="10"/>
        <v>3.977469902031446E-3</v>
      </c>
      <c r="AA92">
        <v>5431972</v>
      </c>
      <c r="AB92">
        <v>15425</v>
      </c>
      <c r="AC92">
        <v>15738906</v>
      </c>
      <c r="AD92" t="s">
        <v>2</v>
      </c>
      <c r="AE92">
        <v>26</v>
      </c>
      <c r="AF92">
        <v>8</v>
      </c>
      <c r="AH92" t="s">
        <v>229</v>
      </c>
      <c r="AL92">
        <v>0</v>
      </c>
      <c r="AM92" s="5">
        <f t="shared" si="11"/>
        <v>0</v>
      </c>
      <c r="AN92" s="4">
        <f t="shared" si="12"/>
        <v>0</v>
      </c>
      <c r="AO92" s="3"/>
      <c r="AP92">
        <v>0</v>
      </c>
      <c r="AR92" t="s">
        <v>1</v>
      </c>
      <c r="AT92" s="2" t="s">
        <v>0</v>
      </c>
      <c r="AU92" s="1">
        <f t="shared" si="13"/>
        <v>0.2784228931422012</v>
      </c>
      <c r="AV92" s="1">
        <f t="shared" si="14"/>
        <v>0.19887349510157229</v>
      </c>
      <c r="AW92" s="1">
        <f t="shared" si="15"/>
        <v>0.11932409706094337</v>
      </c>
    </row>
    <row r="93" spans="1:49" x14ac:dyDescent="0.2">
      <c r="A93">
        <v>91</v>
      </c>
      <c r="B93" t="s">
        <v>228</v>
      </c>
      <c r="C93" t="s">
        <v>227</v>
      </c>
      <c r="D93">
        <v>5272883900361</v>
      </c>
      <c r="F93" t="s">
        <v>226</v>
      </c>
      <c r="G93" t="s">
        <v>5</v>
      </c>
      <c r="H93" t="s">
        <v>4</v>
      </c>
      <c r="I93" t="s">
        <v>225</v>
      </c>
      <c r="J93">
        <v>60031707</v>
      </c>
      <c r="K93" t="s">
        <v>224</v>
      </c>
      <c r="L93" t="s">
        <v>223</v>
      </c>
      <c r="M93" t="s">
        <v>3</v>
      </c>
      <c r="N93">
        <v>3</v>
      </c>
      <c r="O93" t="s">
        <v>222</v>
      </c>
      <c r="P93" t="s">
        <v>221</v>
      </c>
      <c r="Q93" t="s">
        <v>220</v>
      </c>
      <c r="R93" s="7">
        <v>30526</v>
      </c>
      <c r="S93" s="8">
        <f t="shared" si="8"/>
        <v>1983</v>
      </c>
      <c r="T93" s="8">
        <v>1983</v>
      </c>
      <c r="U93" s="8">
        <f t="shared" si="9"/>
        <v>39</v>
      </c>
      <c r="V93" s="7">
        <v>30526</v>
      </c>
      <c r="W93" t="s">
        <v>121</v>
      </c>
      <c r="X93" s="2">
        <v>1.59</v>
      </c>
      <c r="Y93" s="6">
        <f t="shared" si="10"/>
        <v>4.2444141907583888E-2</v>
      </c>
      <c r="AA93">
        <v>52728</v>
      </c>
      <c r="AB93">
        <v>16791</v>
      </c>
      <c r="AD93" t="s">
        <v>2</v>
      </c>
      <c r="AE93">
        <v>724</v>
      </c>
      <c r="AF93">
        <v>1</v>
      </c>
      <c r="AH93" t="s">
        <v>88</v>
      </c>
      <c r="AI93" t="s">
        <v>219</v>
      </c>
      <c r="AJ93" t="s">
        <v>218</v>
      </c>
      <c r="AK93" t="s">
        <v>217</v>
      </c>
      <c r="AL93">
        <v>160</v>
      </c>
      <c r="AM93" s="5">
        <f t="shared" si="11"/>
        <v>4.1025641025641022</v>
      </c>
      <c r="AN93" s="4">
        <f t="shared" si="12"/>
        <v>6.2136525597335894E-3</v>
      </c>
      <c r="AO93" s="3"/>
      <c r="AP93">
        <v>0</v>
      </c>
      <c r="AQ93" t="s">
        <v>115</v>
      </c>
      <c r="AR93" t="s">
        <v>216</v>
      </c>
      <c r="AS93" t="s">
        <v>114</v>
      </c>
      <c r="AT93" s="2" t="s">
        <v>0</v>
      </c>
      <c r="AU93" s="1">
        <f t="shared" si="13"/>
        <v>3.1574995103228796</v>
      </c>
      <c r="AV93" s="1">
        <f t="shared" si="14"/>
        <v>2.4328897233658742</v>
      </c>
      <c r="AW93" s="1">
        <f t="shared" si="15"/>
        <v>1.7082799364088679</v>
      </c>
    </row>
    <row r="94" spans="1:49" x14ac:dyDescent="0.2">
      <c r="A94">
        <v>92</v>
      </c>
      <c r="B94" t="s">
        <v>215</v>
      </c>
      <c r="E94">
        <v>6408093</v>
      </c>
      <c r="F94" t="s">
        <v>214</v>
      </c>
      <c r="G94" t="s">
        <v>5</v>
      </c>
      <c r="H94" t="s">
        <v>4</v>
      </c>
      <c r="I94" t="s">
        <v>71</v>
      </c>
      <c r="N94">
        <v>2</v>
      </c>
      <c r="O94" t="s">
        <v>70</v>
      </c>
      <c r="P94" t="s">
        <v>69</v>
      </c>
      <c r="Q94" t="s">
        <v>30</v>
      </c>
      <c r="R94" s="7">
        <v>30522</v>
      </c>
      <c r="S94" s="8">
        <f t="shared" si="8"/>
        <v>1983</v>
      </c>
      <c r="T94" s="8">
        <v>1983</v>
      </c>
      <c r="U94" s="8">
        <f t="shared" si="9"/>
        <v>39</v>
      </c>
      <c r="V94" s="7">
        <v>30522</v>
      </c>
      <c r="W94" t="s">
        <v>67</v>
      </c>
      <c r="X94" s="2">
        <v>2.3610000000000002</v>
      </c>
      <c r="Y94" s="6">
        <f t="shared" si="10"/>
        <v>6.3025546568431179E-2</v>
      </c>
      <c r="AA94">
        <v>219258</v>
      </c>
      <c r="AB94">
        <v>17592</v>
      </c>
      <c r="AD94" t="s">
        <v>2</v>
      </c>
      <c r="AE94">
        <v>258</v>
      </c>
      <c r="AF94">
        <v>14</v>
      </c>
      <c r="AH94" t="s">
        <v>213</v>
      </c>
      <c r="AI94" t="s">
        <v>212</v>
      </c>
      <c r="AK94" t="s">
        <v>211</v>
      </c>
      <c r="AL94">
        <v>46</v>
      </c>
      <c r="AM94" s="5">
        <f t="shared" si="11"/>
        <v>1.1794871794871795</v>
      </c>
      <c r="AN94" s="4">
        <f t="shared" si="12"/>
        <v>1.7864251109234071E-3</v>
      </c>
      <c r="AO94" s="3"/>
      <c r="AP94">
        <v>0</v>
      </c>
      <c r="AR94" t="s">
        <v>1</v>
      </c>
      <c r="AT94" s="2">
        <v>5.157</v>
      </c>
      <c r="AU94" s="1">
        <f t="shared" si="13"/>
        <v>4.4653810131178844</v>
      </c>
      <c r="AV94" s="1">
        <f t="shared" si="14"/>
        <v>3.2405985839677292</v>
      </c>
      <c r="AW94" s="1">
        <f t="shared" si="15"/>
        <v>2.0158161548175739</v>
      </c>
    </row>
    <row r="95" spans="1:49" x14ac:dyDescent="0.2">
      <c r="A95">
        <v>93</v>
      </c>
      <c r="B95" t="s">
        <v>210</v>
      </c>
      <c r="C95" t="s">
        <v>209</v>
      </c>
      <c r="F95" t="s">
        <v>208</v>
      </c>
      <c r="G95" t="s">
        <v>5</v>
      </c>
      <c r="H95" t="s">
        <v>4</v>
      </c>
      <c r="I95" t="s">
        <v>207</v>
      </c>
      <c r="J95">
        <v>60005686</v>
      </c>
      <c r="K95" t="s">
        <v>95</v>
      </c>
      <c r="L95" t="s">
        <v>94</v>
      </c>
      <c r="M95" t="s">
        <v>85</v>
      </c>
      <c r="N95">
        <v>3</v>
      </c>
      <c r="O95" t="s">
        <v>206</v>
      </c>
      <c r="P95" t="s">
        <v>205</v>
      </c>
      <c r="Q95" t="s">
        <v>204</v>
      </c>
      <c r="R95" s="7">
        <v>30518</v>
      </c>
      <c r="S95" s="8">
        <f t="shared" si="8"/>
        <v>1983</v>
      </c>
      <c r="T95" s="8">
        <v>1983</v>
      </c>
      <c r="U95" s="8">
        <f t="shared" si="9"/>
        <v>39</v>
      </c>
      <c r="V95" s="7">
        <v>30518</v>
      </c>
      <c r="W95" t="s">
        <v>120</v>
      </c>
      <c r="X95" s="2">
        <v>0.375</v>
      </c>
      <c r="Y95" s="6">
        <f t="shared" si="10"/>
        <v>1.0010410827260351E-2</v>
      </c>
      <c r="AA95">
        <v>135194</v>
      </c>
      <c r="AB95">
        <v>24918</v>
      </c>
      <c r="AD95" t="s">
        <v>2</v>
      </c>
      <c r="AE95">
        <v>19</v>
      </c>
      <c r="AF95">
        <v>15</v>
      </c>
      <c r="AH95" t="s">
        <v>203</v>
      </c>
      <c r="AI95" t="s">
        <v>202</v>
      </c>
      <c r="AJ95" t="s">
        <v>201</v>
      </c>
      <c r="AK95" t="s">
        <v>200</v>
      </c>
      <c r="AL95">
        <v>7</v>
      </c>
      <c r="AM95" s="5">
        <f t="shared" si="11"/>
        <v>0.17948717948717949</v>
      </c>
      <c r="AN95" s="4">
        <f t="shared" si="12"/>
        <v>2.7184729948834453E-4</v>
      </c>
      <c r="AO95" s="3"/>
      <c r="AP95">
        <v>0</v>
      </c>
      <c r="AR95" t="s">
        <v>1</v>
      </c>
      <c r="AT95" s="2">
        <v>1.3140000000000001</v>
      </c>
      <c r="AU95" s="1">
        <f t="shared" si="13"/>
        <v>0.70888417689287486</v>
      </c>
      <c r="AV95" s="1">
        <f t="shared" si="14"/>
        <v>0.51411290633743478</v>
      </c>
      <c r="AW95" s="1">
        <f t="shared" si="15"/>
        <v>0.31934163578199459</v>
      </c>
    </row>
    <row r="96" spans="1:49" x14ac:dyDescent="0.2">
      <c r="A96">
        <v>94</v>
      </c>
      <c r="B96" t="s">
        <v>199</v>
      </c>
      <c r="C96" t="s">
        <v>198</v>
      </c>
      <c r="F96" t="s">
        <v>197</v>
      </c>
      <c r="G96" t="s">
        <v>5</v>
      </c>
      <c r="H96" t="s">
        <v>4</v>
      </c>
      <c r="I96" t="s">
        <v>139</v>
      </c>
      <c r="J96">
        <v>60008447</v>
      </c>
      <c r="K96" t="s">
        <v>196</v>
      </c>
      <c r="L96" t="s">
        <v>195</v>
      </c>
      <c r="M96" t="s">
        <v>32</v>
      </c>
      <c r="N96">
        <v>2</v>
      </c>
      <c r="O96" t="s">
        <v>194</v>
      </c>
      <c r="P96" t="s">
        <v>193</v>
      </c>
      <c r="Q96" t="s">
        <v>192</v>
      </c>
      <c r="R96" s="7">
        <v>30504</v>
      </c>
      <c r="S96" s="8">
        <f t="shared" si="8"/>
        <v>1983</v>
      </c>
      <c r="T96" s="8">
        <v>1983</v>
      </c>
      <c r="U96" s="8">
        <f t="shared" si="9"/>
        <v>39</v>
      </c>
      <c r="V96" s="7">
        <v>30504</v>
      </c>
      <c r="W96" t="s">
        <v>120</v>
      </c>
      <c r="X96" s="2">
        <v>0.375</v>
      </c>
      <c r="Y96" s="6">
        <f t="shared" si="10"/>
        <v>1.0010410827260351E-2</v>
      </c>
      <c r="AA96">
        <v>135194</v>
      </c>
      <c r="AB96">
        <v>24918</v>
      </c>
      <c r="AD96" t="s">
        <v>2</v>
      </c>
      <c r="AE96">
        <v>19</v>
      </c>
      <c r="AF96">
        <v>14</v>
      </c>
      <c r="AH96" t="s">
        <v>191</v>
      </c>
      <c r="AI96" t="s">
        <v>190</v>
      </c>
      <c r="AK96" t="s">
        <v>189</v>
      </c>
      <c r="AL96">
        <v>0</v>
      </c>
      <c r="AM96" s="5">
        <f t="shared" si="11"/>
        <v>0</v>
      </c>
      <c r="AN96" s="4">
        <f t="shared" si="12"/>
        <v>0</v>
      </c>
      <c r="AO96" s="3"/>
      <c r="AP96">
        <v>0</v>
      </c>
      <c r="AR96" t="s">
        <v>1</v>
      </c>
      <c r="AT96" s="2">
        <v>1.3140000000000001</v>
      </c>
      <c r="AU96" s="1">
        <f t="shared" si="13"/>
        <v>0.70072875790822453</v>
      </c>
      <c r="AV96" s="1">
        <f t="shared" si="14"/>
        <v>0.5005205413630176</v>
      </c>
      <c r="AW96" s="1">
        <f t="shared" si="15"/>
        <v>0.30031232481781051</v>
      </c>
    </row>
    <row r="97" spans="1:49" x14ac:dyDescent="0.2">
      <c r="A97">
        <v>95</v>
      </c>
      <c r="B97" t="s">
        <v>188</v>
      </c>
      <c r="C97" t="s">
        <v>187</v>
      </c>
      <c r="F97" t="s">
        <v>186</v>
      </c>
      <c r="G97" t="s">
        <v>5</v>
      </c>
      <c r="H97" t="s">
        <v>4</v>
      </c>
      <c r="I97" t="s">
        <v>78</v>
      </c>
      <c r="J97">
        <v>60030553</v>
      </c>
      <c r="K97" t="s">
        <v>185</v>
      </c>
      <c r="L97" t="s">
        <v>184</v>
      </c>
      <c r="M97" t="s">
        <v>32</v>
      </c>
      <c r="N97">
        <v>1</v>
      </c>
      <c r="O97" t="s">
        <v>183</v>
      </c>
      <c r="P97">
        <v>7006052449</v>
      </c>
      <c r="Q97">
        <v>60030553</v>
      </c>
      <c r="R97" s="7">
        <v>30504</v>
      </c>
      <c r="S97" s="8">
        <f t="shared" si="8"/>
        <v>1983</v>
      </c>
      <c r="T97" s="8">
        <v>1983</v>
      </c>
      <c r="U97" s="8">
        <f t="shared" si="9"/>
        <v>39</v>
      </c>
      <c r="V97" s="7">
        <v>30504</v>
      </c>
      <c r="W97" t="s">
        <v>120</v>
      </c>
      <c r="X97" s="2">
        <v>0.375</v>
      </c>
      <c r="Y97" s="6">
        <f t="shared" si="10"/>
        <v>1.0010410827260351E-2</v>
      </c>
      <c r="AA97">
        <v>135194</v>
      </c>
      <c r="AB97">
        <v>24918</v>
      </c>
      <c r="AD97" t="s">
        <v>2</v>
      </c>
      <c r="AE97">
        <v>19</v>
      </c>
      <c r="AF97">
        <v>14</v>
      </c>
      <c r="AH97" t="s">
        <v>182</v>
      </c>
      <c r="AI97" t="s">
        <v>181</v>
      </c>
      <c r="AJ97" t="s">
        <v>180</v>
      </c>
      <c r="AK97" t="s">
        <v>179</v>
      </c>
      <c r="AL97">
        <v>2</v>
      </c>
      <c r="AM97" s="5">
        <f t="shared" si="11"/>
        <v>5.128205128205128E-2</v>
      </c>
      <c r="AN97" s="4">
        <f t="shared" si="12"/>
        <v>7.767065699666987E-5</v>
      </c>
      <c r="AO97" s="3"/>
      <c r="AP97">
        <v>0</v>
      </c>
      <c r="AR97" t="s">
        <v>1</v>
      </c>
      <c r="AT97" s="2">
        <v>1.3140000000000001</v>
      </c>
      <c r="AU97" s="1">
        <f t="shared" si="13"/>
        <v>0.70305887761812469</v>
      </c>
      <c r="AV97" s="1">
        <f t="shared" si="14"/>
        <v>0.50440407421285105</v>
      </c>
      <c r="AW97" s="1">
        <f t="shared" si="15"/>
        <v>0.30574927080757741</v>
      </c>
    </row>
    <row r="98" spans="1:49" x14ac:dyDescent="0.2">
      <c r="A98">
        <v>96</v>
      </c>
      <c r="B98" t="s">
        <v>178</v>
      </c>
      <c r="C98" t="s">
        <v>177</v>
      </c>
      <c r="F98" t="s">
        <v>176</v>
      </c>
      <c r="G98" t="s">
        <v>5</v>
      </c>
      <c r="H98" t="s">
        <v>4</v>
      </c>
      <c r="I98" t="s">
        <v>175</v>
      </c>
      <c r="N98">
        <v>3</v>
      </c>
      <c r="O98" t="s">
        <v>174</v>
      </c>
      <c r="P98" t="s">
        <v>173</v>
      </c>
      <c r="Q98" t="s">
        <v>35</v>
      </c>
      <c r="R98" s="7">
        <v>30498</v>
      </c>
      <c r="S98" s="8">
        <f t="shared" si="8"/>
        <v>1983</v>
      </c>
      <c r="T98" s="8">
        <v>1983</v>
      </c>
      <c r="U98" s="8">
        <f t="shared" si="9"/>
        <v>39</v>
      </c>
      <c r="V98" s="7">
        <v>30498</v>
      </c>
      <c r="W98" t="s">
        <v>62</v>
      </c>
      <c r="X98" s="2">
        <v>0.318</v>
      </c>
      <c r="Y98" s="6">
        <f t="shared" si="10"/>
        <v>8.4888283815167786E-3</v>
      </c>
      <c r="AA98">
        <v>338443</v>
      </c>
      <c r="AB98">
        <v>27160</v>
      </c>
      <c r="AC98">
        <v>15739120</v>
      </c>
      <c r="AD98" t="s">
        <v>2</v>
      </c>
      <c r="AE98">
        <v>26</v>
      </c>
      <c r="AF98">
        <v>7</v>
      </c>
      <c r="AH98" t="s">
        <v>172</v>
      </c>
      <c r="AL98">
        <v>4</v>
      </c>
      <c r="AM98" s="5">
        <f t="shared" si="11"/>
        <v>0.10256410256410256</v>
      </c>
      <c r="AN98" s="4">
        <f t="shared" si="12"/>
        <v>1.5534131399333974E-4</v>
      </c>
      <c r="AO98" s="3"/>
      <c r="AP98">
        <v>0</v>
      </c>
      <c r="AR98" t="s">
        <v>1</v>
      </c>
      <c r="AT98" s="2">
        <v>0.77</v>
      </c>
      <c r="AU98" s="1">
        <f t="shared" si="13"/>
        <v>0.59887822612597474</v>
      </c>
      <c r="AV98" s="1">
        <f t="shared" si="14"/>
        <v>0.43220848477550594</v>
      </c>
      <c r="AW98" s="1">
        <f t="shared" si="15"/>
        <v>0.26553874342503714</v>
      </c>
    </row>
    <row r="99" spans="1:49" x14ac:dyDescent="0.2">
      <c r="A99">
        <v>97</v>
      </c>
      <c r="B99" t="s">
        <v>171</v>
      </c>
      <c r="C99" t="s">
        <v>170</v>
      </c>
      <c r="E99">
        <v>6411344</v>
      </c>
      <c r="F99" t="s">
        <v>169</v>
      </c>
      <c r="G99" t="s">
        <v>5</v>
      </c>
      <c r="H99" t="s">
        <v>4</v>
      </c>
      <c r="I99" t="s">
        <v>168</v>
      </c>
      <c r="J99" t="s">
        <v>167</v>
      </c>
      <c r="K99" t="s">
        <v>166</v>
      </c>
      <c r="L99" t="s">
        <v>165</v>
      </c>
      <c r="M99" t="s">
        <v>164</v>
      </c>
      <c r="N99">
        <v>4</v>
      </c>
      <c r="O99" t="s">
        <v>163</v>
      </c>
      <c r="P99" t="s">
        <v>162</v>
      </c>
      <c r="Q99" t="s">
        <v>161</v>
      </c>
      <c r="R99" s="7">
        <v>30498</v>
      </c>
      <c r="S99" s="8">
        <f t="shared" si="8"/>
        <v>1983</v>
      </c>
      <c r="T99" s="8">
        <v>1983</v>
      </c>
      <c r="U99" s="8">
        <f t="shared" si="9"/>
        <v>39</v>
      </c>
      <c r="V99" s="7">
        <v>30498</v>
      </c>
      <c r="W99" t="s">
        <v>64</v>
      </c>
      <c r="X99" s="2">
        <v>1.64</v>
      </c>
      <c r="Y99" s="6">
        <f t="shared" si="10"/>
        <v>4.3778863351218597E-2</v>
      </c>
      <c r="AA99" t="s">
        <v>63</v>
      </c>
      <c r="AB99">
        <v>18446</v>
      </c>
      <c r="AC99">
        <v>14320878</v>
      </c>
      <c r="AD99" t="s">
        <v>2</v>
      </c>
      <c r="AE99">
        <v>232</v>
      </c>
      <c r="AF99">
        <v>2</v>
      </c>
      <c r="AH99" t="s">
        <v>160</v>
      </c>
      <c r="AI99" t="s">
        <v>159</v>
      </c>
      <c r="AJ99" t="s">
        <v>158</v>
      </c>
      <c r="AK99" t="s">
        <v>157</v>
      </c>
      <c r="AL99">
        <v>116</v>
      </c>
      <c r="AM99" s="5">
        <f t="shared" si="11"/>
        <v>2.9743589743589745</v>
      </c>
      <c r="AN99" s="4">
        <f t="shared" si="12"/>
        <v>4.5048981058068522E-3</v>
      </c>
      <c r="AO99" s="3"/>
      <c r="AP99">
        <v>0</v>
      </c>
      <c r="AR99" t="s">
        <v>1</v>
      </c>
      <c r="AT99" s="2">
        <v>5.2489999999999997</v>
      </c>
      <c r="AU99" s="1">
        <f t="shared" si="13"/>
        <v>3.1996673777595066</v>
      </c>
      <c r="AV99" s="1">
        <f t="shared" si="14"/>
        <v>2.4141880728512723</v>
      </c>
      <c r="AW99" s="1">
        <f t="shared" si="15"/>
        <v>1.6287087679430374</v>
      </c>
    </row>
    <row r="100" spans="1:49" x14ac:dyDescent="0.2">
      <c r="A100">
        <v>98</v>
      </c>
      <c r="B100" t="s">
        <v>156</v>
      </c>
      <c r="C100" t="s">
        <v>155</v>
      </c>
      <c r="F100" t="s">
        <v>154</v>
      </c>
      <c r="G100" t="s">
        <v>5</v>
      </c>
      <c r="H100" t="s">
        <v>4</v>
      </c>
      <c r="I100" t="s">
        <v>153</v>
      </c>
      <c r="J100">
        <v>60004811</v>
      </c>
      <c r="K100" t="s">
        <v>152</v>
      </c>
      <c r="L100" t="s">
        <v>151</v>
      </c>
      <c r="M100" t="s">
        <v>61</v>
      </c>
      <c r="N100">
        <v>3</v>
      </c>
      <c r="O100" t="s">
        <v>150</v>
      </c>
      <c r="P100" t="s">
        <v>149</v>
      </c>
      <c r="Q100" t="s">
        <v>148</v>
      </c>
      <c r="R100" s="7">
        <v>30498</v>
      </c>
      <c r="S100" s="8">
        <f t="shared" si="8"/>
        <v>1983</v>
      </c>
      <c r="T100" s="8">
        <v>1983</v>
      </c>
      <c r="U100" s="8">
        <f t="shared" si="9"/>
        <v>39</v>
      </c>
      <c r="V100" s="7">
        <v>30498</v>
      </c>
      <c r="W100" t="s">
        <v>130</v>
      </c>
      <c r="X100" s="2">
        <v>0.85499999999999998</v>
      </c>
      <c r="Y100" s="6">
        <f t="shared" si="10"/>
        <v>2.28237366861536E-2</v>
      </c>
      <c r="AA100">
        <v>980331</v>
      </c>
      <c r="AB100">
        <v>23342</v>
      </c>
      <c r="AC100">
        <v>15731561</v>
      </c>
      <c r="AD100" t="s">
        <v>2</v>
      </c>
      <c r="AE100">
        <v>9</v>
      </c>
      <c r="AF100">
        <v>7</v>
      </c>
      <c r="AH100" t="s">
        <v>147</v>
      </c>
      <c r="AI100" t="s">
        <v>146</v>
      </c>
      <c r="AJ100" t="s">
        <v>145</v>
      </c>
      <c r="AK100" t="s">
        <v>144</v>
      </c>
      <c r="AL100">
        <v>106</v>
      </c>
      <c r="AM100" s="5">
        <f t="shared" si="11"/>
        <v>2.7179487179487181</v>
      </c>
      <c r="AN100" s="4">
        <f t="shared" si="12"/>
        <v>4.1165448208235035E-3</v>
      </c>
      <c r="AO100" s="3"/>
      <c r="AP100">
        <v>0</v>
      </c>
      <c r="AR100" t="s">
        <v>1</v>
      </c>
      <c r="AT100" s="2">
        <v>2.6259999999999999</v>
      </c>
      <c r="AU100" s="1">
        <f t="shared" si="13"/>
        <v>1.721157912655457</v>
      </c>
      <c r="AV100" s="1">
        <f t="shared" si="14"/>
        <v>1.3470140753488551</v>
      </c>
      <c r="AW100" s="1">
        <f t="shared" si="15"/>
        <v>0.97287023804225325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1983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Young-Ok Cha</cp:lastModifiedBy>
  <dcterms:created xsi:type="dcterms:W3CDTF">2021-11-11T11:58:47Z</dcterms:created>
  <dcterms:modified xsi:type="dcterms:W3CDTF">2022-01-19T20:41:02Z</dcterms:modified>
</cp:coreProperties>
</file>