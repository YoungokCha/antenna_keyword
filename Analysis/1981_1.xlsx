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source_code/Analysis/"/>
    </mc:Choice>
  </mc:AlternateContent>
  <xr:revisionPtr revIDLastSave="14" documentId="8_{127CACFA-9842-3A41-91EE-106C73427F6A}" xr6:coauthVersionLast="47" xr6:coauthVersionMax="47" xr10:uidLastSave="{CB34A5AC-C551-8641-A09B-8EA28BCEBF44}"/>
  <bookViews>
    <workbookView xWindow="7720" yWindow="12020" windowWidth="35340" windowHeight="16780" xr2:uid="{54182A67-A48F-C14C-8BCC-0F0FE3CE8E32}"/>
  </bookViews>
  <sheets>
    <sheet name="198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2" i="1" l="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2" i="1"/>
  <c r="S2" i="1" l="1"/>
  <c r="U2" i="1"/>
  <c r="AM2" i="1"/>
  <c r="AU2" i="1"/>
  <c r="AV2" i="1"/>
  <c r="AW2" i="1"/>
  <c r="S3" i="1"/>
  <c r="U3" i="1"/>
  <c r="AM3" i="1"/>
  <c r="S4" i="1"/>
  <c r="U4" i="1"/>
  <c r="AM4" i="1" s="1"/>
  <c r="S5" i="1"/>
  <c r="U5" i="1"/>
  <c r="AV5" i="1"/>
  <c r="AM5" i="1"/>
  <c r="AU5" i="1"/>
  <c r="S6" i="1"/>
  <c r="U6" i="1"/>
  <c r="AM6" i="1"/>
  <c r="AU6" i="1"/>
  <c r="S7" i="1"/>
  <c r="U7" i="1"/>
  <c r="AM7" i="1"/>
  <c r="AU7" i="1"/>
  <c r="AW7" i="1"/>
  <c r="S8" i="1"/>
  <c r="U8" i="1"/>
  <c r="AM8" i="1"/>
  <c r="S9" i="1"/>
  <c r="U9" i="1"/>
  <c r="AM9" i="1" s="1"/>
  <c r="AU9" i="1"/>
  <c r="S10" i="1"/>
  <c r="U10" i="1"/>
  <c r="AM10" i="1"/>
  <c r="AU10" i="1"/>
  <c r="AV10" i="1"/>
  <c r="AW10" i="1"/>
  <c r="S11" i="1"/>
  <c r="U11" i="1"/>
  <c r="AM11" i="1"/>
  <c r="AU11" i="1"/>
  <c r="S12" i="1"/>
  <c r="U12" i="1"/>
  <c r="AV12" i="1"/>
  <c r="AM12" i="1"/>
  <c r="AU12" i="1"/>
  <c r="S13" i="1"/>
  <c r="U13" i="1"/>
  <c r="AM13" i="1"/>
  <c r="S14" i="1"/>
  <c r="U14" i="1"/>
  <c r="AM14" i="1" s="1"/>
  <c r="S15" i="1"/>
  <c r="U15" i="1"/>
  <c r="AM15" i="1"/>
  <c r="AU15" i="1"/>
  <c r="AV15" i="1"/>
  <c r="S16" i="1"/>
  <c r="U16" i="1"/>
  <c r="AM16" i="1"/>
  <c r="S17" i="1"/>
  <c r="U17" i="1"/>
  <c r="AM17" i="1"/>
  <c r="AU17" i="1"/>
  <c r="AV17" i="1"/>
  <c r="AW17" i="1"/>
  <c r="S18" i="1"/>
  <c r="U18" i="1"/>
  <c r="AM18" i="1"/>
  <c r="S19" i="1"/>
  <c r="U19" i="1"/>
  <c r="AM19" i="1" s="1"/>
  <c r="S20" i="1"/>
  <c r="U20" i="1"/>
  <c r="AM20" i="1" s="1"/>
  <c r="S21" i="1"/>
  <c r="U21" i="1"/>
  <c r="AM21" i="1" s="1"/>
  <c r="S22" i="1"/>
  <c r="U22" i="1"/>
  <c r="AM22" i="1"/>
  <c r="S23" i="1"/>
  <c r="U23" i="1"/>
  <c r="AM23" i="1"/>
  <c r="S24" i="1"/>
  <c r="U24" i="1"/>
  <c r="AM24" i="1" s="1"/>
  <c r="S25" i="1"/>
  <c r="U25" i="1"/>
  <c r="AM25" i="1" s="1"/>
  <c r="S26" i="1"/>
  <c r="U26" i="1"/>
  <c r="AM26" i="1"/>
  <c r="S27" i="1"/>
  <c r="U27" i="1"/>
  <c r="AM27" i="1"/>
  <c r="AU27" i="1"/>
  <c r="AV27" i="1"/>
  <c r="AW27" i="1"/>
  <c r="S28" i="1"/>
  <c r="U28" i="1"/>
  <c r="AM28" i="1"/>
  <c r="AW28" i="1" s="1"/>
  <c r="S29" i="1"/>
  <c r="U29" i="1"/>
  <c r="AM29" i="1"/>
  <c r="S30" i="1"/>
  <c r="U30" i="1"/>
  <c r="AM30" i="1" s="1"/>
  <c r="S31" i="1"/>
  <c r="U31" i="1"/>
  <c r="AM31" i="1"/>
  <c r="S32" i="1"/>
  <c r="U32" i="1"/>
  <c r="AU32" i="1"/>
  <c r="AM32" i="1"/>
  <c r="S33" i="1"/>
  <c r="U33" i="1"/>
  <c r="AM33" i="1"/>
  <c r="AV33" i="1" s="1"/>
  <c r="AW33" i="1"/>
  <c r="S34" i="1"/>
  <c r="U34" i="1"/>
  <c r="AM34" i="1" s="1"/>
  <c r="S35" i="1"/>
  <c r="U35" i="1"/>
  <c r="AM35" i="1" s="1"/>
  <c r="S36" i="1"/>
  <c r="U36" i="1"/>
  <c r="AV36" i="1"/>
  <c r="AM36" i="1"/>
  <c r="AU36" i="1"/>
  <c r="S37" i="1"/>
  <c r="U37" i="1"/>
  <c r="AM37" i="1"/>
  <c r="AU37" i="1"/>
  <c r="AV37" i="1"/>
  <c r="AW37" i="1"/>
  <c r="S38" i="1"/>
  <c r="U38" i="1"/>
  <c r="AM38" i="1"/>
  <c r="AV38" i="1" s="1"/>
  <c r="AW38" i="1"/>
  <c r="S39" i="1"/>
  <c r="U39" i="1"/>
  <c r="AM39" i="1"/>
  <c r="S40" i="1"/>
  <c r="U40" i="1"/>
  <c r="AM40" i="1" s="1"/>
  <c r="S41" i="1"/>
  <c r="U41" i="1"/>
  <c r="AM41" i="1"/>
  <c r="AU41" i="1"/>
  <c r="S42" i="1"/>
  <c r="U42" i="1"/>
  <c r="AM42" i="1" s="1"/>
  <c r="S43" i="1"/>
  <c r="U43" i="1"/>
  <c r="AM43" i="1" s="1"/>
  <c r="AV43" i="1" s="1"/>
  <c r="S44" i="1"/>
  <c r="U44" i="1"/>
  <c r="AM44" i="1"/>
  <c r="S45" i="1"/>
  <c r="U45" i="1"/>
  <c r="AM45" i="1" s="1"/>
  <c r="S46" i="1"/>
  <c r="U46" i="1"/>
  <c r="AM46" i="1" s="1"/>
  <c r="S47" i="1"/>
  <c r="U47" i="1"/>
  <c r="AM47" i="1" s="1"/>
  <c r="S48" i="1"/>
  <c r="U48" i="1"/>
  <c r="AU48" i="1"/>
  <c r="AM48" i="1"/>
  <c r="AW48" i="1"/>
  <c r="S49" i="1"/>
  <c r="U49" i="1"/>
  <c r="AM49" i="1"/>
  <c r="S50" i="1"/>
  <c r="U50" i="1"/>
  <c r="AM50" i="1" s="1"/>
  <c r="S51" i="1"/>
  <c r="U51" i="1"/>
  <c r="AM51" i="1" s="1"/>
  <c r="S52" i="1"/>
  <c r="U52" i="1"/>
  <c r="AM52" i="1"/>
  <c r="AU52" i="1"/>
  <c r="AV52" i="1"/>
  <c r="AW52" i="1"/>
  <c r="S53" i="1"/>
  <c r="U53" i="1"/>
  <c r="AM53" i="1"/>
  <c r="AV53" i="1" s="1"/>
  <c r="S54" i="1"/>
  <c r="U54" i="1"/>
  <c r="AM54" i="1"/>
  <c r="S55" i="1"/>
  <c r="U55" i="1"/>
  <c r="AM55" i="1" s="1"/>
  <c r="S56" i="1"/>
  <c r="U56" i="1"/>
  <c r="AM56" i="1"/>
  <c r="AU56" i="1"/>
  <c r="AW56" i="1"/>
  <c r="S57" i="1"/>
  <c r="U57" i="1"/>
  <c r="AM57" i="1" s="1"/>
  <c r="S58" i="1"/>
  <c r="U58" i="1"/>
  <c r="AM58" i="1"/>
  <c r="AV58" i="1"/>
  <c r="AW58" i="1"/>
  <c r="S59" i="1"/>
  <c r="U59" i="1"/>
  <c r="AM59" i="1"/>
  <c r="S60" i="1"/>
  <c r="U60" i="1"/>
  <c r="AM60" i="1" s="1"/>
  <c r="AV60" i="1"/>
  <c r="S61" i="1"/>
  <c r="U61" i="1"/>
  <c r="AM61" i="1"/>
  <c r="S62" i="1"/>
  <c r="U62" i="1"/>
  <c r="AM62" i="1" s="1"/>
  <c r="S63" i="1"/>
  <c r="U63" i="1"/>
  <c r="AM63" i="1"/>
  <c r="AV63" i="1"/>
  <c r="AW63" i="1"/>
  <c r="S64" i="1"/>
  <c r="U64" i="1"/>
  <c r="AM64" i="1" s="1"/>
  <c r="S65" i="1"/>
  <c r="U65" i="1"/>
  <c r="AM65" i="1" s="1"/>
  <c r="AU65" i="1"/>
  <c r="AV65" i="1"/>
  <c r="S66" i="1"/>
  <c r="U66" i="1"/>
  <c r="AM66" i="1"/>
  <c r="S67" i="1"/>
  <c r="U67" i="1"/>
  <c r="AM67" i="1" s="1"/>
  <c r="S68" i="1"/>
  <c r="U68" i="1"/>
  <c r="AM68" i="1" s="1"/>
  <c r="AU68" i="1"/>
  <c r="AV68" i="1"/>
  <c r="AW68" i="1"/>
  <c r="S69" i="1"/>
  <c r="U69" i="1"/>
  <c r="AM69" i="1"/>
  <c r="S70" i="1"/>
  <c r="U70" i="1"/>
  <c r="AM70" i="1" s="1"/>
  <c r="AU70" i="1"/>
  <c r="S71" i="1"/>
  <c r="U71" i="1"/>
  <c r="AM71" i="1"/>
  <c r="S72" i="1"/>
  <c r="U72" i="1"/>
  <c r="AM72" i="1" s="1"/>
  <c r="S73" i="1"/>
  <c r="U73" i="1"/>
  <c r="AM73" i="1"/>
  <c r="AV73" i="1" s="1"/>
  <c r="S74" i="1"/>
  <c r="U74" i="1"/>
  <c r="AM74" i="1" s="1"/>
  <c r="S75" i="1"/>
  <c r="U75" i="1"/>
  <c r="AM75" i="1" s="1"/>
  <c r="AU75" i="1"/>
  <c r="S76" i="1"/>
  <c r="U76" i="1"/>
  <c r="AM76" i="1" s="1"/>
  <c r="S77" i="1"/>
  <c r="U77" i="1"/>
  <c r="AM77" i="1" s="1"/>
  <c r="S78" i="1"/>
  <c r="U78" i="1"/>
  <c r="AM78" i="1" s="1"/>
  <c r="S79" i="1"/>
  <c r="U79" i="1"/>
  <c r="AM79" i="1" s="1"/>
  <c r="S80" i="1"/>
  <c r="U80" i="1"/>
  <c r="AM80" i="1" s="1"/>
  <c r="AU80" i="1"/>
  <c r="AV80" i="1"/>
  <c r="S81" i="1"/>
  <c r="U81" i="1"/>
  <c r="AV81" i="1"/>
  <c r="AM81" i="1"/>
  <c r="AU81" i="1"/>
  <c r="S82" i="1"/>
  <c r="U82" i="1"/>
  <c r="AM82" i="1" s="1"/>
  <c r="S83" i="1"/>
  <c r="U83" i="1"/>
  <c r="AM83" i="1" s="1"/>
  <c r="AU83" i="1"/>
  <c r="S84" i="1"/>
  <c r="U84" i="1"/>
  <c r="AM84" i="1"/>
  <c r="S85" i="1"/>
  <c r="U85" i="1"/>
  <c r="AM85" i="1" s="1"/>
  <c r="AU85" i="1"/>
  <c r="AV85" i="1"/>
  <c r="S86" i="1"/>
  <c r="U86" i="1"/>
  <c r="AM86" i="1" s="1"/>
  <c r="AU86" i="1" s="1"/>
  <c r="S87" i="1"/>
  <c r="U87" i="1"/>
  <c r="AM87" i="1" s="1"/>
  <c r="S88" i="1"/>
  <c r="U88" i="1"/>
  <c r="AM88" i="1" s="1"/>
  <c r="AV88" i="1"/>
  <c r="AW88" i="1"/>
  <c r="S89" i="1"/>
  <c r="U89" i="1"/>
  <c r="AM89" i="1" s="1"/>
  <c r="S90" i="1"/>
  <c r="U90" i="1"/>
  <c r="AM90" i="1" s="1"/>
  <c r="AV90" i="1"/>
  <c r="S91" i="1"/>
  <c r="U91" i="1"/>
  <c r="AM91" i="1"/>
  <c r="S92" i="1"/>
  <c r="U92" i="1"/>
  <c r="AM92" i="1"/>
  <c r="S93" i="1"/>
  <c r="U93" i="1"/>
  <c r="AM93" i="1" s="1"/>
  <c r="AW93" i="1" s="1"/>
  <c r="AV93" i="1"/>
  <c r="S94" i="1"/>
  <c r="U94" i="1"/>
  <c r="AM94" i="1" s="1"/>
  <c r="S95" i="1"/>
  <c r="U95" i="1"/>
  <c r="AM95" i="1" s="1"/>
  <c r="AV95" i="1"/>
  <c r="S96" i="1"/>
  <c r="U96" i="1"/>
  <c r="AM96" i="1"/>
  <c r="S97" i="1"/>
  <c r="U97" i="1"/>
  <c r="AM97" i="1" s="1"/>
  <c r="AU97" i="1"/>
  <c r="AV97" i="1"/>
  <c r="S98" i="1"/>
  <c r="U98" i="1"/>
  <c r="AM98" i="1"/>
  <c r="AV98" i="1"/>
  <c r="AW98" i="1"/>
  <c r="S99" i="1"/>
  <c r="U99" i="1"/>
  <c r="AM99" i="1"/>
  <c r="S100" i="1"/>
  <c r="U100" i="1"/>
  <c r="AM100" i="1" s="1"/>
  <c r="AV100" i="1"/>
  <c r="S101" i="1"/>
  <c r="U101" i="1"/>
  <c r="AM101" i="1"/>
  <c r="S102" i="1"/>
  <c r="U102" i="1"/>
  <c r="AM102" i="1" s="1"/>
  <c r="AU102" i="1"/>
  <c r="AV102" i="1"/>
  <c r="S103" i="1"/>
  <c r="U103" i="1"/>
  <c r="AM103" i="1" s="1"/>
  <c r="S104" i="1"/>
  <c r="U104" i="1"/>
  <c r="AM104" i="1"/>
  <c r="S105" i="1"/>
  <c r="U105" i="1"/>
  <c r="AM105" i="1" s="1"/>
  <c r="S106" i="1"/>
  <c r="U106" i="1"/>
  <c r="AM106" i="1" s="1"/>
  <c r="AW106" i="1" s="1"/>
  <c r="S107" i="1"/>
  <c r="U107" i="1"/>
  <c r="AM107" i="1" s="1"/>
  <c r="AW107" i="1" s="1"/>
  <c r="AU107" i="1"/>
  <c r="AV107" i="1"/>
  <c r="S108" i="1"/>
  <c r="U108" i="1"/>
  <c r="AM108" i="1"/>
  <c r="S109" i="1"/>
  <c r="U109" i="1"/>
  <c r="AM109" i="1"/>
  <c r="S110" i="1"/>
  <c r="U110" i="1"/>
  <c r="AM110" i="1" s="1"/>
  <c r="S111" i="1"/>
  <c r="U111" i="1"/>
  <c r="AM111" i="1" s="1"/>
  <c r="AU111" i="1" s="1"/>
  <c r="S112" i="1"/>
  <c r="U112" i="1"/>
  <c r="AM112" i="1" s="1"/>
  <c r="AW112" i="1" s="1"/>
  <c r="AU112" i="1"/>
  <c r="AV112" i="1"/>
  <c r="S113" i="1"/>
  <c r="U113" i="1"/>
  <c r="AV113" i="1"/>
  <c r="AM113" i="1"/>
  <c r="AW113" i="1"/>
  <c r="S114" i="1"/>
  <c r="U114" i="1"/>
  <c r="AM114" i="1" s="1"/>
  <c r="S115" i="1"/>
  <c r="U115" i="1"/>
  <c r="AM115" i="1" s="1"/>
  <c r="S116" i="1"/>
  <c r="U116" i="1"/>
  <c r="AM116" i="1"/>
  <c r="S117" i="1"/>
  <c r="U117" i="1"/>
  <c r="AM117" i="1" s="1"/>
  <c r="AW117" i="1" s="1"/>
  <c r="AV117" i="1"/>
  <c r="S118" i="1"/>
  <c r="U118" i="1"/>
  <c r="AM118" i="1"/>
  <c r="S119" i="1"/>
  <c r="U119" i="1"/>
  <c r="AM119" i="1" s="1"/>
  <c r="S120" i="1"/>
  <c r="U120" i="1"/>
  <c r="AM120" i="1" s="1"/>
  <c r="AU120" i="1"/>
  <c r="S121" i="1"/>
  <c r="U121" i="1"/>
  <c r="AM121" i="1"/>
  <c r="S122" i="1"/>
  <c r="U122" i="1"/>
  <c r="AM122" i="1" s="1"/>
  <c r="AV122" i="1"/>
  <c r="AU122" i="1"/>
  <c r="S123" i="1"/>
  <c r="U123" i="1"/>
  <c r="AM123" i="1" s="1"/>
  <c r="AV123" i="1"/>
  <c r="S124" i="1"/>
  <c r="U124" i="1"/>
  <c r="AM124" i="1" s="1"/>
  <c r="S125" i="1"/>
  <c r="U125" i="1"/>
  <c r="AM125" i="1" s="1"/>
  <c r="AU125" i="1"/>
  <c r="AV125" i="1"/>
  <c r="AW125" i="1"/>
  <c r="S126" i="1"/>
  <c r="U126" i="1"/>
  <c r="AM126" i="1" s="1"/>
  <c r="S127" i="1"/>
  <c r="U127" i="1"/>
  <c r="AM127" i="1" s="1"/>
  <c r="AW127" i="1" s="1"/>
  <c r="S128" i="1"/>
  <c r="U128" i="1"/>
  <c r="AM128" i="1" s="1"/>
  <c r="AU128" i="1"/>
  <c r="S129" i="1"/>
  <c r="U129" i="1"/>
  <c r="AM129" i="1" s="1"/>
  <c r="S130" i="1"/>
  <c r="U130" i="1"/>
  <c r="AM130" i="1" s="1"/>
  <c r="S131" i="1"/>
  <c r="U131" i="1"/>
  <c r="AM131" i="1" s="1"/>
  <c r="AW131" i="1" s="1"/>
  <c r="AU131" i="1"/>
  <c r="S132" i="1"/>
  <c r="U132" i="1"/>
  <c r="AM132" i="1"/>
  <c r="S133" i="1"/>
  <c r="U133" i="1"/>
  <c r="AM133" i="1" s="1"/>
  <c r="S134" i="1"/>
  <c r="U134" i="1"/>
  <c r="AM134" i="1"/>
  <c r="S135" i="1"/>
  <c r="U135" i="1"/>
  <c r="AM135" i="1" s="1"/>
  <c r="S136" i="1"/>
  <c r="U136" i="1"/>
  <c r="AM136" i="1" s="1"/>
  <c r="S137" i="1"/>
  <c r="U137" i="1"/>
  <c r="AM137" i="1" s="1"/>
  <c r="AU137" i="1"/>
  <c r="AV137" i="1"/>
  <c r="AW137" i="1"/>
  <c r="S138" i="1"/>
  <c r="U138" i="1"/>
  <c r="AM138" i="1" s="1"/>
  <c r="S139" i="1"/>
  <c r="U139" i="1"/>
  <c r="AM139" i="1" s="1"/>
  <c r="S140" i="1"/>
  <c r="U140" i="1"/>
  <c r="AM140" i="1"/>
  <c r="S141" i="1"/>
  <c r="U141" i="1"/>
  <c r="AM141" i="1"/>
  <c r="AU141" i="1" s="1"/>
  <c r="S142" i="1"/>
  <c r="U142" i="1"/>
  <c r="AM142" i="1" s="1"/>
  <c r="AV142" i="1"/>
  <c r="AU142" i="1"/>
  <c r="AW142" i="1"/>
  <c r="S143" i="1"/>
  <c r="U143" i="1"/>
  <c r="AM143" i="1"/>
  <c r="S144" i="1"/>
  <c r="U144" i="1"/>
  <c r="AM144" i="1"/>
  <c r="S145" i="1"/>
  <c r="U145" i="1"/>
  <c r="AM145" i="1" s="1"/>
  <c r="S146" i="1"/>
  <c r="U146" i="1"/>
  <c r="AM146" i="1"/>
  <c r="S147" i="1"/>
  <c r="U147" i="1"/>
  <c r="AM147" i="1" s="1"/>
  <c r="AU147" i="1"/>
  <c r="AV147" i="1"/>
  <c r="AW147" i="1"/>
  <c r="S148" i="1"/>
  <c r="U148" i="1"/>
  <c r="AM148" i="1"/>
  <c r="S149" i="1"/>
  <c r="U149" i="1"/>
  <c r="AM149" i="1"/>
  <c r="S150" i="1"/>
  <c r="U150" i="1"/>
  <c r="AM150" i="1" s="1"/>
  <c r="S151" i="1"/>
  <c r="U151" i="1"/>
  <c r="AV151" i="1"/>
  <c r="AM151" i="1"/>
  <c r="AU151" i="1"/>
  <c r="S152" i="1"/>
  <c r="U152" i="1"/>
  <c r="AM152" i="1" s="1"/>
  <c r="AU152" i="1"/>
  <c r="S153" i="1"/>
  <c r="U153" i="1"/>
  <c r="AM153" i="1" s="1"/>
  <c r="S154" i="1"/>
  <c r="U154" i="1"/>
  <c r="AM154" i="1"/>
  <c r="S155" i="1"/>
  <c r="U155" i="1"/>
  <c r="AM155" i="1" s="1"/>
  <c r="AW155" i="1" s="1"/>
  <c r="AU155" i="1"/>
  <c r="S156" i="1"/>
  <c r="U156" i="1"/>
  <c r="AM156" i="1"/>
  <c r="AV156" i="1" s="1"/>
  <c r="S157" i="1"/>
  <c r="U157" i="1"/>
  <c r="AM157" i="1" s="1"/>
  <c r="AU157" i="1"/>
  <c r="S158" i="1"/>
  <c r="U158" i="1"/>
  <c r="AM158" i="1" s="1"/>
  <c r="S159" i="1"/>
  <c r="U159" i="1"/>
  <c r="AM159" i="1"/>
  <c r="S160" i="1"/>
  <c r="U160" i="1"/>
  <c r="AM160" i="1"/>
  <c r="S161" i="1"/>
  <c r="U161" i="1"/>
  <c r="AM161" i="1"/>
  <c r="S162" i="1"/>
  <c r="U162" i="1"/>
  <c r="AM162" i="1" s="1"/>
  <c r="AW162" i="1" s="1"/>
  <c r="AU162" i="1"/>
  <c r="AV162" i="1"/>
  <c r="S163" i="1"/>
  <c r="U163" i="1"/>
  <c r="AM163" i="1" s="1"/>
  <c r="S164" i="1"/>
  <c r="U164" i="1"/>
  <c r="AM164" i="1"/>
  <c r="S165" i="1"/>
  <c r="U165" i="1"/>
  <c r="AM165" i="1" s="1"/>
  <c r="S166" i="1"/>
  <c r="U166" i="1"/>
  <c r="AM166" i="1"/>
  <c r="AU166" i="1"/>
  <c r="AW166" i="1"/>
  <c r="S167" i="1"/>
  <c r="U167" i="1"/>
  <c r="AM167" i="1" s="1"/>
  <c r="AU167" i="1"/>
  <c r="S168" i="1"/>
  <c r="U168" i="1"/>
  <c r="AM168" i="1" s="1"/>
  <c r="S169" i="1"/>
  <c r="U169" i="1"/>
  <c r="AM169" i="1"/>
  <c r="S170" i="1"/>
  <c r="U170" i="1"/>
  <c r="AM170" i="1"/>
  <c r="AV170" i="1" s="1"/>
  <c r="S171" i="1"/>
  <c r="U171" i="1"/>
  <c r="AM171" i="1" s="1"/>
  <c r="S172" i="1"/>
  <c r="U172" i="1"/>
  <c r="AM172" i="1" s="1"/>
  <c r="AU172" i="1"/>
  <c r="AV172" i="1"/>
  <c r="AW172" i="1"/>
  <c r="S173" i="1"/>
  <c r="U173" i="1"/>
  <c r="AM173" i="1" s="1"/>
  <c r="S174" i="1"/>
  <c r="U174" i="1"/>
  <c r="AM174" i="1" s="1"/>
  <c r="S175" i="1"/>
  <c r="U175" i="1"/>
  <c r="AM175" i="1" s="1"/>
  <c r="S176" i="1"/>
  <c r="U176" i="1"/>
  <c r="AM176" i="1"/>
  <c r="S177" i="1"/>
  <c r="U177" i="1"/>
  <c r="AM177" i="1" s="1"/>
  <c r="S178" i="1"/>
  <c r="U178" i="1"/>
  <c r="AM178" i="1"/>
  <c r="AU178" i="1"/>
  <c r="AV178" i="1"/>
  <c r="AW178" i="1"/>
  <c r="S179" i="1"/>
  <c r="U179" i="1"/>
  <c r="AM179" i="1"/>
  <c r="S180" i="1"/>
  <c r="U180" i="1"/>
  <c r="AM180" i="1" s="1"/>
  <c r="S181" i="1"/>
  <c r="U181" i="1"/>
  <c r="AM181" i="1" s="1"/>
  <c r="AU181" i="1" s="1"/>
  <c r="S182" i="1"/>
  <c r="U182" i="1"/>
  <c r="AM182" i="1" s="1"/>
  <c r="AU182" i="1"/>
  <c r="AV182" i="1"/>
  <c r="AW182" i="1"/>
  <c r="S183" i="1"/>
  <c r="U183" i="1"/>
  <c r="AM183" i="1" s="1"/>
  <c r="S184" i="1"/>
  <c r="U184" i="1"/>
  <c r="AM184" i="1" s="1"/>
  <c r="S185" i="1"/>
  <c r="U185" i="1"/>
  <c r="AM185" i="1"/>
  <c r="S186" i="1"/>
  <c r="U186" i="1"/>
  <c r="AM186" i="1" s="1"/>
  <c r="S187" i="1"/>
  <c r="U187" i="1"/>
  <c r="AM187" i="1"/>
  <c r="AV187" i="1"/>
  <c r="AU187" i="1"/>
  <c r="S188" i="1"/>
  <c r="U188" i="1"/>
  <c r="AM188" i="1"/>
  <c r="S189" i="1"/>
  <c r="U189" i="1"/>
  <c r="AM189" i="1"/>
  <c r="S190" i="1"/>
  <c r="U190" i="1"/>
  <c r="AM190" i="1"/>
  <c r="S191" i="1"/>
  <c r="U191" i="1"/>
  <c r="AM191" i="1"/>
  <c r="AU191" i="1"/>
  <c r="S192" i="1"/>
  <c r="U192" i="1"/>
  <c r="AM192" i="1" s="1"/>
  <c r="AW192" i="1" s="1"/>
  <c r="AU192" i="1"/>
  <c r="S193" i="1"/>
  <c r="U193" i="1"/>
  <c r="AM193" i="1" s="1"/>
  <c r="AV193" i="1" s="1"/>
  <c r="AU193" i="1"/>
  <c r="S194" i="1"/>
  <c r="U194" i="1"/>
  <c r="AM194" i="1" s="1"/>
  <c r="S195" i="1"/>
  <c r="U195" i="1"/>
  <c r="AM195" i="1" s="1"/>
  <c r="S196" i="1"/>
  <c r="U196" i="1"/>
  <c r="AM196" i="1" s="1"/>
  <c r="S197" i="1"/>
  <c r="U197" i="1"/>
  <c r="AM197" i="1" s="1"/>
  <c r="S198" i="1"/>
  <c r="U198" i="1"/>
  <c r="AM198" i="1"/>
  <c r="AU198" i="1"/>
  <c r="AW198" i="1"/>
  <c r="S199" i="1"/>
  <c r="U199" i="1"/>
  <c r="AM199" i="1"/>
  <c r="S200" i="1"/>
  <c r="U200" i="1"/>
  <c r="AM200" i="1" s="1"/>
  <c r="S201" i="1"/>
  <c r="U201" i="1"/>
  <c r="AM201" i="1"/>
  <c r="S202" i="1"/>
  <c r="U202" i="1"/>
  <c r="AM202" i="1" s="1"/>
  <c r="AV202" i="1" s="1"/>
  <c r="AU202" i="1"/>
  <c r="S203" i="1"/>
  <c r="U203" i="1"/>
  <c r="AM203" i="1" s="1"/>
  <c r="S204" i="1"/>
  <c r="U204" i="1"/>
  <c r="AM204" i="1" s="1"/>
  <c r="AV204" i="1" s="1"/>
  <c r="S205" i="1"/>
  <c r="U205" i="1"/>
  <c r="AM205" i="1" s="1"/>
  <c r="S206" i="1"/>
  <c r="U206" i="1"/>
  <c r="AM206" i="1"/>
  <c r="AU206" i="1"/>
  <c r="AV206" i="1"/>
  <c r="AW206" i="1"/>
  <c r="S207" i="1"/>
  <c r="U207" i="1"/>
  <c r="AM207" i="1" s="1"/>
  <c r="AU207" i="1"/>
  <c r="S208" i="1"/>
  <c r="U208" i="1"/>
  <c r="AM208" i="1"/>
  <c r="S209" i="1"/>
  <c r="U209" i="1"/>
  <c r="AM209" i="1" s="1"/>
  <c r="AV209" i="1" s="1"/>
  <c r="S210" i="1"/>
  <c r="U210" i="1"/>
  <c r="AM210" i="1"/>
  <c r="S211" i="1"/>
  <c r="U211" i="1"/>
  <c r="AM211" i="1" s="1"/>
  <c r="S212" i="1"/>
  <c r="U212" i="1"/>
  <c r="AM212" i="1" s="1"/>
  <c r="AV212" i="1"/>
  <c r="AU212" i="1"/>
  <c r="S213" i="1"/>
  <c r="U213" i="1"/>
  <c r="AM213" i="1"/>
  <c r="S214" i="1"/>
  <c r="U214" i="1"/>
  <c r="AM214" i="1" s="1"/>
  <c r="S215" i="1"/>
  <c r="U215" i="1"/>
  <c r="AM215" i="1" s="1"/>
  <c r="AU215" i="1"/>
  <c r="S216" i="1"/>
  <c r="U216" i="1"/>
  <c r="AM216" i="1" s="1"/>
  <c r="S217" i="1"/>
  <c r="U217" i="1"/>
  <c r="AM217" i="1" s="1"/>
  <c r="AW217" i="1" s="1"/>
  <c r="AU217" i="1"/>
  <c r="S218" i="1"/>
  <c r="U218" i="1"/>
  <c r="AM218" i="1" s="1"/>
  <c r="S219" i="1"/>
  <c r="U219" i="1"/>
  <c r="AM219" i="1"/>
  <c r="AV219" i="1" s="1"/>
  <c r="S220" i="1"/>
  <c r="U220" i="1"/>
  <c r="AM220" i="1" s="1"/>
  <c r="S221" i="1"/>
  <c r="U221" i="1"/>
  <c r="AM221" i="1"/>
  <c r="S222" i="1"/>
  <c r="U222" i="1"/>
  <c r="AM222" i="1" s="1"/>
  <c r="AU222" i="1"/>
  <c r="S223" i="1"/>
  <c r="U223" i="1"/>
  <c r="AW223" i="1"/>
  <c r="AM223" i="1"/>
  <c r="AV223" i="1"/>
  <c r="AU223" i="1"/>
  <c r="S224" i="1"/>
  <c r="U224" i="1"/>
  <c r="AM224" i="1" s="1"/>
  <c r="AV224" i="1" s="1"/>
  <c r="S225" i="1"/>
  <c r="U225" i="1"/>
  <c r="AM225" i="1" s="1"/>
  <c r="S226" i="1"/>
  <c r="U226" i="1"/>
  <c r="AM226" i="1"/>
  <c r="S227" i="1"/>
  <c r="U227" i="1"/>
  <c r="AM227" i="1" s="1"/>
  <c r="AU227" i="1"/>
  <c r="AW227" i="1"/>
  <c r="S228" i="1"/>
  <c r="U228" i="1"/>
  <c r="AM228" i="1" s="1"/>
  <c r="S229" i="1"/>
  <c r="U229" i="1"/>
  <c r="AM229" i="1" s="1"/>
  <c r="S230" i="1"/>
  <c r="U230" i="1"/>
  <c r="AM230" i="1"/>
  <c r="S231" i="1"/>
  <c r="U231" i="1"/>
  <c r="AM231" i="1"/>
  <c r="S232" i="1"/>
  <c r="U232" i="1"/>
  <c r="AM232" i="1" s="1"/>
  <c r="S233" i="1"/>
  <c r="U233" i="1"/>
  <c r="AM233" i="1" s="1"/>
  <c r="AU233" i="1" s="1"/>
  <c r="S234" i="1"/>
  <c r="U234" i="1"/>
  <c r="AM234" i="1" s="1"/>
  <c r="AV234" i="1" s="1"/>
  <c r="S235" i="1"/>
  <c r="U235" i="1"/>
  <c r="AM235" i="1"/>
  <c r="AU235" i="1"/>
  <c r="S236" i="1"/>
  <c r="U236" i="1"/>
  <c r="AM236" i="1" s="1"/>
  <c r="S237" i="1"/>
  <c r="U237" i="1"/>
  <c r="AM237" i="1" s="1"/>
  <c r="AU237" i="1"/>
  <c r="AV237" i="1"/>
  <c r="AW237" i="1"/>
  <c r="S238" i="1"/>
  <c r="U238" i="1"/>
  <c r="AM238" i="1"/>
  <c r="AU238" i="1"/>
  <c r="S239" i="1"/>
  <c r="U239" i="1"/>
  <c r="AM239" i="1" s="1"/>
  <c r="AV239" i="1" s="1"/>
  <c r="S240" i="1"/>
  <c r="U240" i="1"/>
  <c r="AM240" i="1" s="1"/>
  <c r="AV240" i="1" s="1"/>
  <c r="AU240" i="1"/>
  <c r="S241" i="1"/>
  <c r="U241" i="1"/>
  <c r="AM241" i="1" s="1"/>
  <c r="AW241" i="1"/>
  <c r="S242" i="1"/>
  <c r="U242" i="1"/>
  <c r="AM242" i="1" s="1"/>
  <c r="AU242" i="1"/>
  <c r="AV242" i="1"/>
  <c r="AW242" i="1"/>
  <c r="S243" i="1"/>
  <c r="U243" i="1"/>
  <c r="AM243" i="1" s="1"/>
  <c r="S244" i="1"/>
  <c r="U244" i="1"/>
  <c r="AM244" i="1" s="1"/>
  <c r="S245" i="1"/>
  <c r="U245" i="1"/>
  <c r="AM245" i="1"/>
  <c r="AU245" i="1"/>
  <c r="AV245" i="1"/>
  <c r="AW245" i="1"/>
  <c r="S246" i="1"/>
  <c r="U246" i="1"/>
  <c r="AM246" i="1" s="1"/>
  <c r="S247" i="1"/>
  <c r="U247" i="1"/>
  <c r="AM247" i="1" s="1"/>
  <c r="S248" i="1"/>
  <c r="U248" i="1"/>
  <c r="AM248" i="1"/>
  <c r="AU248" i="1"/>
  <c r="AV248" i="1"/>
  <c r="S249" i="1"/>
  <c r="U249" i="1"/>
  <c r="AM249" i="1"/>
  <c r="AV249" i="1"/>
  <c r="S250" i="1"/>
  <c r="U250" i="1"/>
  <c r="AM250" i="1" s="1"/>
  <c r="S251" i="1"/>
  <c r="U251" i="1"/>
  <c r="AM251" i="1" s="1"/>
  <c r="S252" i="1"/>
  <c r="U252" i="1"/>
  <c r="AM252" i="1"/>
  <c r="S253" i="1"/>
  <c r="U253" i="1"/>
  <c r="AM253" i="1" s="1"/>
  <c r="AV253" i="1"/>
  <c r="S254" i="1"/>
  <c r="U254" i="1"/>
  <c r="AM254" i="1" s="1"/>
  <c r="AV254" i="1"/>
  <c r="S255" i="1"/>
  <c r="U255" i="1"/>
  <c r="AM255" i="1"/>
  <c r="S256" i="1"/>
  <c r="U256" i="1"/>
  <c r="AM256" i="1" s="1"/>
  <c r="S257" i="1"/>
  <c r="U257" i="1"/>
  <c r="AM257" i="1" s="1"/>
  <c r="AV257" i="1"/>
  <c r="AU257" i="1"/>
  <c r="S258" i="1"/>
  <c r="U258" i="1"/>
  <c r="AM258" i="1"/>
  <c r="S259" i="1"/>
  <c r="U259" i="1"/>
  <c r="AW259" i="1"/>
  <c r="AM259" i="1"/>
  <c r="AV259" i="1"/>
  <c r="S260" i="1"/>
  <c r="U260" i="1"/>
  <c r="AM260" i="1" s="1"/>
  <c r="S261" i="1"/>
  <c r="U261" i="1"/>
  <c r="AM261" i="1" s="1"/>
  <c r="S262" i="1"/>
  <c r="U262" i="1"/>
  <c r="AM262" i="1"/>
  <c r="AW262" i="1" s="1"/>
  <c r="S263" i="1"/>
  <c r="U263" i="1"/>
  <c r="AM263" i="1" s="1"/>
  <c r="S264" i="1"/>
  <c r="U264" i="1"/>
  <c r="AV264" i="1"/>
  <c r="AM264" i="1"/>
  <c r="AU264" i="1"/>
  <c r="S265" i="1"/>
  <c r="U265" i="1"/>
  <c r="AM265" i="1"/>
  <c r="AU265" i="1"/>
  <c r="S266" i="1"/>
  <c r="U266" i="1"/>
  <c r="AM266" i="1" s="1"/>
  <c r="S267" i="1"/>
  <c r="U267" i="1"/>
  <c r="AM267" i="1" s="1"/>
  <c r="AU267" i="1"/>
  <c r="S268" i="1"/>
  <c r="U268" i="1"/>
  <c r="AM268" i="1" s="1"/>
  <c r="S269" i="1"/>
  <c r="U269" i="1"/>
  <c r="AM269" i="1"/>
  <c r="AV269" i="1"/>
  <c r="AU269" i="1"/>
  <c r="S270" i="1"/>
  <c r="U270" i="1"/>
  <c r="AM270" i="1"/>
  <c r="S271" i="1"/>
  <c r="U271" i="1"/>
  <c r="AM271" i="1" s="1"/>
  <c r="S272" i="1"/>
  <c r="U272" i="1"/>
  <c r="AM272" i="1" s="1"/>
  <c r="S273" i="1"/>
  <c r="U273" i="1"/>
  <c r="AU273" i="1"/>
  <c r="AM273" i="1"/>
  <c r="AV273" i="1" s="1"/>
  <c r="S274" i="1"/>
  <c r="U274" i="1"/>
  <c r="AM274" i="1" s="1"/>
  <c r="AV274" i="1" s="1"/>
  <c r="AU274" i="1"/>
  <c r="S275" i="1"/>
  <c r="U275" i="1"/>
  <c r="AM275" i="1" s="1"/>
  <c r="AU275" i="1"/>
  <c r="S276" i="1"/>
  <c r="U276" i="1"/>
  <c r="AM276" i="1" s="1"/>
  <c r="S277" i="1"/>
  <c r="U277" i="1"/>
  <c r="AM277" i="1" s="1"/>
  <c r="AW277" i="1"/>
  <c r="S278" i="1"/>
  <c r="U278" i="1"/>
  <c r="AM278" i="1" s="1"/>
  <c r="AV278" i="1" s="1"/>
  <c r="AU278" i="1"/>
  <c r="S279" i="1"/>
  <c r="U279" i="1"/>
  <c r="AM279" i="1" s="1"/>
  <c r="S280" i="1"/>
  <c r="U280" i="1"/>
  <c r="AM280" i="1" s="1"/>
  <c r="S281" i="1"/>
  <c r="U281" i="1"/>
  <c r="AM281" i="1" s="1"/>
  <c r="S282" i="1"/>
  <c r="U282" i="1"/>
  <c r="AW282" i="1"/>
  <c r="AM282" i="1"/>
  <c r="AU282" i="1"/>
  <c r="AV282" i="1"/>
  <c r="S283" i="1"/>
  <c r="U283" i="1"/>
  <c r="AM283" i="1"/>
  <c r="S284" i="1"/>
  <c r="U284" i="1"/>
  <c r="AM284" i="1" s="1"/>
  <c r="S285" i="1"/>
  <c r="U285" i="1"/>
  <c r="AM285" i="1"/>
  <c r="S286" i="1"/>
  <c r="U286" i="1"/>
  <c r="AM286" i="1" s="1"/>
  <c r="S287" i="1"/>
  <c r="U287" i="1"/>
  <c r="AM287" i="1"/>
  <c r="S288" i="1"/>
  <c r="U288" i="1"/>
  <c r="AM288" i="1" s="1"/>
  <c r="AU288" i="1" s="1"/>
  <c r="S289" i="1"/>
  <c r="U289" i="1"/>
  <c r="AM289" i="1"/>
  <c r="S290" i="1"/>
  <c r="U290" i="1"/>
  <c r="AM290" i="1"/>
  <c r="S291" i="1"/>
  <c r="U291" i="1"/>
  <c r="AM291" i="1" s="1"/>
  <c r="AV291" i="1" s="1"/>
  <c r="S292" i="1"/>
  <c r="U292" i="1"/>
  <c r="AM292" i="1"/>
  <c r="S293" i="1"/>
  <c r="U293" i="1"/>
  <c r="AV293" i="1"/>
  <c r="AM293" i="1"/>
  <c r="AU293" i="1"/>
  <c r="S294" i="1"/>
  <c r="U294" i="1"/>
  <c r="AM294" i="1"/>
  <c r="AW294" i="1" s="1"/>
  <c r="S295" i="1"/>
  <c r="U295" i="1"/>
  <c r="AM295" i="1" s="1"/>
  <c r="S296" i="1"/>
  <c r="U296" i="1"/>
  <c r="AM296" i="1" s="1"/>
  <c r="AV296" i="1"/>
  <c r="S297" i="1"/>
  <c r="U297" i="1"/>
  <c r="AM297" i="1"/>
  <c r="AW297" i="1"/>
  <c r="S298" i="1"/>
  <c r="U298" i="1"/>
  <c r="AM298" i="1" s="1"/>
  <c r="AU298" i="1"/>
  <c r="S299" i="1"/>
  <c r="U299" i="1"/>
  <c r="AM299" i="1"/>
  <c r="AU299" i="1"/>
  <c r="AW299" i="1"/>
  <c r="S300" i="1"/>
  <c r="U300" i="1"/>
  <c r="AM300" i="1" s="1"/>
  <c r="S301" i="1"/>
  <c r="U301" i="1"/>
  <c r="AM301" i="1" s="1"/>
  <c r="AV301" i="1"/>
  <c r="S302" i="1"/>
  <c r="U302" i="1"/>
  <c r="AM302" i="1" s="1"/>
  <c r="AU302" i="1"/>
  <c r="S303" i="1"/>
  <c r="U303" i="1"/>
  <c r="AM303" i="1" s="1"/>
  <c r="AU303" i="1" s="1"/>
  <c r="S304" i="1"/>
  <c r="U304" i="1"/>
  <c r="AU304" i="1"/>
  <c r="AM304" i="1"/>
  <c r="AW304" i="1"/>
  <c r="S305" i="1"/>
  <c r="U305" i="1"/>
  <c r="AM305" i="1" s="1"/>
  <c r="AU305" i="1" s="1"/>
  <c r="S306" i="1"/>
  <c r="U306" i="1"/>
  <c r="AM306" i="1" s="1"/>
  <c r="S307" i="1"/>
  <c r="U307" i="1"/>
  <c r="AM307" i="1"/>
  <c r="S308" i="1"/>
  <c r="U308" i="1"/>
  <c r="AM308" i="1"/>
  <c r="AU308" i="1"/>
  <c r="S309" i="1"/>
  <c r="U309" i="1"/>
  <c r="AM309" i="1" s="1"/>
  <c r="S310" i="1"/>
  <c r="U310" i="1"/>
  <c r="AV310" i="1"/>
  <c r="AM310" i="1"/>
  <c r="AU310" i="1"/>
  <c r="AW310" i="1"/>
  <c r="S311" i="1"/>
  <c r="U311" i="1"/>
  <c r="AM311" i="1" s="1"/>
  <c r="AV311" i="1"/>
  <c r="S312" i="1"/>
  <c r="U312" i="1"/>
  <c r="AM312" i="1"/>
  <c r="S313" i="1"/>
  <c r="U313" i="1"/>
  <c r="AM313" i="1" s="1"/>
  <c r="AV313" i="1" s="1"/>
  <c r="S314" i="1"/>
  <c r="U314" i="1"/>
  <c r="AM314" i="1"/>
  <c r="AW314" i="1" s="1"/>
  <c r="S315" i="1"/>
  <c r="U315" i="1"/>
  <c r="AM315" i="1" s="1"/>
  <c r="S316" i="1"/>
  <c r="U316" i="1"/>
  <c r="AM316" i="1" s="1"/>
  <c r="AU316" i="1"/>
  <c r="AV316" i="1"/>
  <c r="AW316" i="1"/>
  <c r="S317" i="1"/>
  <c r="U317" i="1"/>
  <c r="AM317" i="1" s="1"/>
  <c r="S318" i="1"/>
  <c r="U318" i="1"/>
  <c r="AM318" i="1" s="1"/>
  <c r="S319" i="1"/>
  <c r="U319" i="1"/>
  <c r="AM319" i="1"/>
  <c r="S320" i="1"/>
  <c r="U320" i="1"/>
  <c r="AM320" i="1"/>
  <c r="S321" i="1"/>
  <c r="U321" i="1"/>
  <c r="AM321" i="1" s="1"/>
  <c r="AW321" i="1" s="1"/>
  <c r="AV321" i="1"/>
  <c r="S322" i="1"/>
  <c r="U322" i="1"/>
  <c r="AV322" i="1"/>
  <c r="AM322" i="1"/>
  <c r="AU322" i="1"/>
  <c r="S323" i="1"/>
  <c r="U323" i="1"/>
  <c r="AM323" i="1" s="1"/>
  <c r="S324" i="1"/>
  <c r="U324" i="1"/>
  <c r="AM324" i="1"/>
  <c r="S325" i="1"/>
  <c r="U325" i="1"/>
  <c r="AM325" i="1"/>
  <c r="AW325" i="1" s="1"/>
  <c r="S326" i="1"/>
  <c r="U326" i="1"/>
  <c r="AM326" i="1" s="1"/>
  <c r="AU326" i="1"/>
  <c r="S327" i="1"/>
  <c r="U327" i="1"/>
  <c r="AM327" i="1"/>
  <c r="AU327" i="1" s="1"/>
  <c r="S328" i="1"/>
  <c r="U328" i="1"/>
  <c r="AM328" i="1" s="1"/>
  <c r="AU328" i="1"/>
  <c r="S329" i="1"/>
  <c r="U329" i="1"/>
  <c r="AM329" i="1"/>
  <c r="S330" i="1"/>
  <c r="U330" i="1"/>
  <c r="AM330" i="1"/>
  <c r="S331" i="1"/>
  <c r="U331" i="1"/>
  <c r="AM331" i="1" s="1"/>
  <c r="AV331" i="1" s="1"/>
  <c r="S332" i="1"/>
  <c r="U332" i="1"/>
  <c r="AM332" i="1" s="1"/>
  <c r="S333" i="1"/>
  <c r="U333" i="1"/>
  <c r="AM333" i="1" s="1"/>
  <c r="S334" i="1"/>
  <c r="U334" i="1"/>
  <c r="AM334" i="1"/>
  <c r="S335" i="1"/>
  <c r="U335" i="1"/>
  <c r="AM335" i="1" s="1"/>
  <c r="S336" i="1"/>
  <c r="U336" i="1"/>
  <c r="AM336" i="1" s="1"/>
  <c r="AU336" i="1"/>
  <c r="S337" i="1"/>
  <c r="U337" i="1"/>
  <c r="AM337" i="1"/>
  <c r="S338" i="1"/>
  <c r="U338" i="1"/>
  <c r="AV338" i="1"/>
  <c r="AM338" i="1"/>
  <c r="AU338" i="1"/>
  <c r="S339" i="1"/>
  <c r="U339" i="1"/>
  <c r="AM339" i="1"/>
  <c r="S340" i="1"/>
  <c r="U340" i="1"/>
  <c r="AM340" i="1" s="1"/>
  <c r="AU340" i="1"/>
  <c r="S341" i="1"/>
  <c r="U341" i="1"/>
  <c r="AM341" i="1" s="1"/>
  <c r="AV341" i="1"/>
  <c r="AW341" i="1"/>
  <c r="S342" i="1"/>
  <c r="U342" i="1"/>
  <c r="AM342" i="1" s="1"/>
  <c r="AW342" i="1"/>
  <c r="S343" i="1"/>
  <c r="U343" i="1"/>
  <c r="AM343" i="1"/>
  <c r="AU343" i="1" s="1"/>
  <c r="S344" i="1"/>
  <c r="U344" i="1"/>
  <c r="AU344" i="1"/>
  <c r="AM344" i="1"/>
  <c r="S345" i="1"/>
  <c r="U345" i="1"/>
  <c r="AM345" i="1"/>
  <c r="S346" i="1"/>
  <c r="U346" i="1"/>
  <c r="AM346" i="1" s="1"/>
  <c r="AU346" i="1"/>
  <c r="AV346" i="1"/>
  <c r="AW346" i="1"/>
  <c r="S347" i="1"/>
  <c r="U347" i="1"/>
  <c r="AM347" i="1"/>
  <c r="AW347" i="1"/>
  <c r="S348" i="1"/>
  <c r="U348" i="1"/>
  <c r="AM348" i="1" s="1"/>
  <c r="S349" i="1"/>
  <c r="U349" i="1"/>
  <c r="AW349" i="1"/>
  <c r="AM349" i="1"/>
  <c r="AU349" i="1"/>
  <c r="S350" i="1"/>
  <c r="U350" i="1"/>
  <c r="AM350" i="1" s="1"/>
  <c r="AU350" i="1" s="1"/>
  <c r="S351" i="1"/>
  <c r="U351" i="1"/>
  <c r="AM351" i="1" s="1"/>
  <c r="AU351" i="1"/>
  <c r="AV351" i="1"/>
  <c r="AW351" i="1"/>
  <c r="S352" i="1"/>
  <c r="U352" i="1"/>
  <c r="AM352" i="1" s="1"/>
  <c r="AU352" i="1" s="1"/>
  <c r="S353" i="1"/>
  <c r="U353" i="1"/>
  <c r="AM353" i="1" s="1"/>
  <c r="AV353" i="1"/>
  <c r="S354" i="1"/>
  <c r="U354" i="1"/>
  <c r="AM354" i="1"/>
  <c r="AU354" i="1" s="1"/>
  <c r="S355" i="1"/>
  <c r="U355" i="1"/>
  <c r="AM355" i="1" s="1"/>
  <c r="AU355" i="1"/>
  <c r="S356" i="1"/>
  <c r="U356" i="1"/>
  <c r="AM356" i="1" s="1"/>
  <c r="S357" i="1"/>
  <c r="U357" i="1"/>
  <c r="AM357" i="1"/>
  <c r="AW357" i="1"/>
  <c r="AU357" i="1"/>
  <c r="AV357" i="1"/>
  <c r="S358" i="1"/>
  <c r="U358" i="1"/>
  <c r="AM358" i="1"/>
  <c r="S359" i="1"/>
  <c r="U359" i="1"/>
  <c r="AV359" i="1"/>
  <c r="AM359" i="1"/>
  <c r="AU359" i="1"/>
  <c r="S360" i="1"/>
  <c r="U360" i="1"/>
  <c r="AM360" i="1"/>
  <c r="S361" i="1"/>
  <c r="U361" i="1"/>
  <c r="AM361" i="1" s="1"/>
  <c r="S362" i="1"/>
  <c r="U362" i="1"/>
  <c r="AV362" i="1"/>
  <c r="AM362" i="1"/>
  <c r="AU362" i="1"/>
  <c r="S363" i="1"/>
  <c r="U363" i="1"/>
  <c r="AM363" i="1" s="1"/>
  <c r="AV363" i="1"/>
  <c r="S364" i="1"/>
  <c r="U364" i="1"/>
  <c r="AM364" i="1"/>
  <c r="S365" i="1"/>
  <c r="U365" i="1"/>
  <c r="AM365" i="1" s="1"/>
  <c r="S366" i="1"/>
  <c r="U366" i="1"/>
  <c r="AM366" i="1" s="1"/>
  <c r="S367" i="1"/>
  <c r="U367" i="1"/>
  <c r="AM367" i="1"/>
  <c r="AU367" i="1"/>
  <c r="AV367" i="1"/>
  <c r="AW367" i="1"/>
  <c r="S368" i="1"/>
  <c r="U368" i="1"/>
  <c r="AM368" i="1" s="1"/>
  <c r="S369" i="1"/>
  <c r="U369" i="1"/>
  <c r="AW369" i="1"/>
  <c r="AM369" i="1"/>
  <c r="AU369" i="1"/>
  <c r="S370" i="1"/>
  <c r="U370" i="1"/>
  <c r="AM370" i="1"/>
  <c r="S371" i="1"/>
  <c r="U371" i="1"/>
  <c r="AM371" i="1" s="1"/>
  <c r="S372" i="1"/>
  <c r="U372" i="1"/>
  <c r="AM372" i="1" s="1"/>
  <c r="AU372" i="1" s="1"/>
  <c r="AV372" i="1"/>
  <c r="S373" i="1"/>
  <c r="U373" i="1"/>
  <c r="AM373" i="1" s="1"/>
  <c r="AV373" i="1"/>
  <c r="S374" i="1"/>
  <c r="U374" i="1"/>
  <c r="AM374" i="1"/>
  <c r="AU374" i="1"/>
  <c r="AW374" i="1"/>
  <c r="S375" i="1"/>
  <c r="U375" i="1"/>
  <c r="AM375" i="1"/>
  <c r="S376" i="1"/>
  <c r="U376" i="1"/>
  <c r="AM376" i="1" s="1"/>
  <c r="S377" i="1"/>
  <c r="U377" i="1"/>
  <c r="AM377" i="1"/>
  <c r="AU377" i="1"/>
  <c r="AV377" i="1"/>
  <c r="AW377" i="1"/>
  <c r="S378" i="1"/>
  <c r="U378" i="1"/>
  <c r="AM378" i="1" s="1"/>
  <c r="AV378" i="1"/>
  <c r="S379" i="1"/>
  <c r="U379" i="1"/>
  <c r="AM379" i="1" s="1"/>
  <c r="AV379" i="1"/>
  <c r="S380" i="1"/>
  <c r="U380" i="1"/>
  <c r="AM380" i="1" s="1"/>
  <c r="S381" i="1"/>
  <c r="U381" i="1"/>
  <c r="AM381" i="1" s="1"/>
  <c r="S382" i="1"/>
  <c r="U382" i="1"/>
  <c r="AM382" i="1"/>
  <c r="S383" i="1"/>
  <c r="U383" i="1"/>
  <c r="AM383" i="1" s="1"/>
  <c r="AU383" i="1" s="1"/>
  <c r="S384" i="1"/>
  <c r="U384" i="1"/>
  <c r="AV384" i="1"/>
  <c r="AM384" i="1"/>
  <c r="AU384" i="1"/>
  <c r="S385" i="1"/>
  <c r="U385" i="1"/>
  <c r="AM385" i="1"/>
  <c r="S386" i="1"/>
  <c r="U386" i="1"/>
  <c r="AM386" i="1" s="1"/>
  <c r="S387" i="1"/>
  <c r="U387" i="1"/>
  <c r="AV387" i="1"/>
  <c r="AM387" i="1"/>
  <c r="AU387" i="1"/>
  <c r="S388" i="1"/>
  <c r="U388" i="1"/>
  <c r="AM388" i="1" s="1"/>
  <c r="AV388" i="1"/>
  <c r="S389" i="1"/>
  <c r="U389" i="1"/>
  <c r="AM389" i="1"/>
  <c r="S390" i="1"/>
  <c r="U390" i="1"/>
  <c r="AM390" i="1" s="1"/>
  <c r="S391" i="1"/>
  <c r="U391" i="1"/>
  <c r="AM391" i="1" s="1"/>
  <c r="S392" i="1"/>
  <c r="U392" i="1"/>
  <c r="AM392" i="1"/>
  <c r="AU392" i="1"/>
  <c r="AV392" i="1"/>
  <c r="AW392" i="1"/>
  <c r="S393" i="1"/>
  <c r="U393" i="1"/>
  <c r="AM393" i="1" s="1"/>
  <c r="S394" i="1"/>
  <c r="U394" i="1"/>
  <c r="AM394" i="1"/>
  <c r="AU394" i="1"/>
  <c r="S395" i="1"/>
  <c r="U395" i="1"/>
  <c r="AM395" i="1"/>
  <c r="S396" i="1"/>
  <c r="U396" i="1"/>
  <c r="AM396" i="1" s="1"/>
  <c r="AU396" i="1"/>
  <c r="S397" i="1"/>
  <c r="U397" i="1"/>
  <c r="AM397" i="1" s="1"/>
  <c r="AU397" i="1" s="1"/>
  <c r="S398" i="1"/>
  <c r="U398" i="1"/>
  <c r="AM398" i="1" s="1"/>
  <c r="AV398" i="1"/>
  <c r="S399" i="1"/>
  <c r="U399" i="1"/>
  <c r="AM399" i="1"/>
  <c r="AU399" i="1"/>
  <c r="AV399" i="1"/>
  <c r="AW399" i="1"/>
  <c r="S400" i="1"/>
  <c r="U400" i="1"/>
  <c r="AM400" i="1"/>
  <c r="S401" i="1"/>
  <c r="U401" i="1"/>
  <c r="AM401" i="1" s="1"/>
  <c r="AW401" i="1" s="1"/>
  <c r="S402" i="1"/>
  <c r="U402" i="1"/>
  <c r="AM402" i="1"/>
  <c r="AU402" i="1"/>
  <c r="AV402" i="1"/>
  <c r="AW402" i="1"/>
  <c r="S403" i="1"/>
  <c r="U403" i="1"/>
  <c r="AM403" i="1" s="1"/>
  <c r="S404" i="1"/>
  <c r="U404" i="1"/>
  <c r="AM404" i="1" s="1"/>
  <c r="S405" i="1"/>
  <c r="U405" i="1"/>
  <c r="AM405" i="1" s="1"/>
  <c r="S406" i="1"/>
  <c r="U406" i="1"/>
  <c r="AM406" i="1" s="1"/>
  <c r="S407" i="1"/>
  <c r="U407" i="1"/>
  <c r="AM407" i="1"/>
  <c r="S408" i="1"/>
  <c r="U408" i="1"/>
  <c r="AM408" i="1" s="1"/>
  <c r="AV408" i="1"/>
  <c r="S409" i="1"/>
  <c r="U409" i="1"/>
  <c r="AW409" i="1"/>
  <c r="AM409" i="1"/>
  <c r="AU409" i="1"/>
  <c r="AV409" i="1"/>
  <c r="S410" i="1"/>
  <c r="U410" i="1"/>
  <c r="AM410" i="1"/>
  <c r="S411" i="1"/>
  <c r="U411" i="1"/>
  <c r="AM411" i="1" s="1"/>
  <c r="AU411" i="1"/>
  <c r="S412" i="1"/>
  <c r="U412" i="1"/>
  <c r="AW412" i="1"/>
  <c r="AM412" i="1"/>
  <c r="AU412" i="1"/>
  <c r="AV412" i="1"/>
  <c r="S413" i="1"/>
  <c r="U413" i="1"/>
  <c r="AM413" i="1" s="1"/>
  <c r="AV413" i="1"/>
  <c r="S414" i="1"/>
  <c r="U414" i="1"/>
  <c r="AM414" i="1" s="1"/>
  <c r="AV414" i="1"/>
  <c r="S415" i="1"/>
  <c r="U415" i="1"/>
  <c r="AM415" i="1"/>
  <c r="S416" i="1"/>
  <c r="U416" i="1"/>
  <c r="AM416" i="1" s="1"/>
  <c r="AU416" i="1"/>
  <c r="S417" i="1"/>
  <c r="U417" i="1"/>
  <c r="AM417" i="1" s="1"/>
  <c r="S418" i="1"/>
  <c r="U418" i="1"/>
  <c r="AM418" i="1" s="1"/>
  <c r="AU418" i="1" s="1"/>
  <c r="S419" i="1"/>
  <c r="U419" i="1"/>
  <c r="AM419" i="1"/>
  <c r="AU419" i="1"/>
  <c r="AV419" i="1"/>
  <c r="AW419" i="1"/>
  <c r="S420" i="1"/>
  <c r="U420" i="1"/>
  <c r="AM420" i="1"/>
  <c r="S421" i="1"/>
  <c r="U421" i="1"/>
  <c r="AM421" i="1" s="1"/>
  <c r="AU421" i="1"/>
  <c r="S422" i="1"/>
  <c r="U422" i="1"/>
  <c r="AM422" i="1"/>
  <c r="AU422" i="1" s="1"/>
  <c r="S423" i="1"/>
  <c r="U423" i="1"/>
  <c r="AM423" i="1" s="1"/>
  <c r="AV423" i="1"/>
  <c r="S424" i="1"/>
  <c r="U424" i="1"/>
  <c r="AM424" i="1" s="1"/>
  <c r="S425" i="1"/>
  <c r="U425" i="1"/>
  <c r="AM425" i="1"/>
  <c r="S426" i="1"/>
  <c r="U426" i="1"/>
  <c r="AM426" i="1" s="1"/>
  <c r="AU426" i="1"/>
  <c r="S427" i="1"/>
  <c r="U427" i="1"/>
  <c r="AM427" i="1" s="1"/>
  <c r="S428" i="1"/>
  <c r="U428" i="1"/>
  <c r="AM428" i="1" s="1"/>
  <c r="AU428" i="1" s="1"/>
  <c r="S429" i="1"/>
  <c r="U429" i="1"/>
  <c r="AM429" i="1"/>
  <c r="S430" i="1"/>
  <c r="U430" i="1"/>
  <c r="AM430" i="1" s="1"/>
  <c r="S431" i="1"/>
  <c r="U431" i="1"/>
  <c r="AM431" i="1" s="1"/>
  <c r="AW431" i="1" s="1"/>
  <c r="S432" i="1"/>
  <c r="U432" i="1"/>
  <c r="AU432" i="1"/>
  <c r="AM432" i="1"/>
  <c r="AV432" i="1"/>
  <c r="AW432" i="1"/>
  <c r="S433" i="1"/>
  <c r="U433" i="1"/>
  <c r="AM433" i="1" s="1"/>
  <c r="AU433" i="1" s="1"/>
  <c r="S434" i="1"/>
  <c r="U434" i="1"/>
  <c r="AV434" i="1"/>
  <c r="AM434" i="1"/>
  <c r="AU434" i="1"/>
  <c r="S435" i="1"/>
  <c r="U435" i="1"/>
  <c r="AM435" i="1"/>
  <c r="AW435" i="1"/>
  <c r="AU435" i="1"/>
  <c r="AV435" i="1"/>
  <c r="S436" i="1"/>
  <c r="U436" i="1"/>
  <c r="AM436" i="1" s="1"/>
  <c r="S437" i="1"/>
  <c r="U437" i="1"/>
  <c r="AM437" i="1" s="1"/>
  <c r="S438" i="1"/>
  <c r="U438" i="1"/>
  <c r="AM438" i="1" s="1"/>
  <c r="S439" i="1"/>
  <c r="U439" i="1"/>
  <c r="AM439" i="1"/>
  <c r="AU439" i="1"/>
  <c r="S440" i="1"/>
  <c r="U440" i="1"/>
  <c r="AM440" i="1"/>
  <c r="AV270" i="1" l="1"/>
  <c r="AW270" i="1"/>
  <c r="AU170" i="1"/>
  <c r="AU26" i="1"/>
  <c r="AW26" i="1"/>
  <c r="AU22" i="1"/>
  <c r="AV22" i="1"/>
  <c r="AW22" i="1"/>
  <c r="AW339" i="1"/>
  <c r="AU407" i="1"/>
  <c r="AW407" i="1"/>
  <c r="AV397" i="1"/>
  <c r="AV343" i="1"/>
  <c r="AU106" i="1"/>
  <c r="AU230" i="1"/>
  <c r="AV230" i="1"/>
  <c r="AU429" i="1"/>
  <c r="AW429" i="1"/>
  <c r="AV429" i="1"/>
  <c r="AU175" i="1"/>
  <c r="AV175" i="1"/>
  <c r="AW175" i="1"/>
  <c r="AU116" i="1"/>
  <c r="AV116" i="1"/>
  <c r="AW116" i="1"/>
  <c r="AU220" i="1"/>
  <c r="AV220" i="1"/>
  <c r="AW220" i="1"/>
  <c r="AU255" i="1"/>
  <c r="AV255" i="1"/>
  <c r="AW255" i="1"/>
  <c r="AV76" i="1"/>
  <c r="AW76" i="1"/>
  <c r="AU76" i="1"/>
  <c r="AU382" i="1"/>
  <c r="AW382" i="1"/>
  <c r="AV382" i="1"/>
  <c r="AU148" i="1"/>
  <c r="AV148" i="1"/>
  <c r="AW148" i="1"/>
  <c r="AU253" i="1"/>
  <c r="AW253" i="1"/>
  <c r="AU440" i="1"/>
  <c r="AU270" i="1"/>
  <c r="AU195" i="1"/>
  <c r="AV195" i="1"/>
  <c r="AW195" i="1"/>
  <c r="AU153" i="1"/>
  <c r="AV153" i="1"/>
  <c r="AU138" i="1"/>
  <c r="AW138" i="1"/>
  <c r="AU132" i="1"/>
  <c r="AV132" i="1"/>
  <c r="AW132" i="1"/>
  <c r="AW43" i="1"/>
  <c r="AW141" i="1"/>
  <c r="AU287" i="1"/>
  <c r="AV287" i="1"/>
  <c r="AW287" i="1"/>
  <c r="AU333" i="1"/>
  <c r="AV333" i="1"/>
  <c r="AU252" i="1"/>
  <c r="AV252" i="1"/>
  <c r="AW252" i="1"/>
  <c r="AU110" i="1"/>
  <c r="AV110" i="1"/>
  <c r="AW110" i="1"/>
  <c r="AU46" i="1"/>
  <c r="AV46" i="1"/>
  <c r="AW46" i="1"/>
  <c r="AU140" i="1"/>
  <c r="AU284" i="1"/>
  <c r="AV284" i="1"/>
  <c r="AW284" i="1"/>
  <c r="AU279" i="1"/>
  <c r="AU163" i="1"/>
  <c r="AV163" i="1"/>
  <c r="AW163" i="1"/>
  <c r="AW440" i="1"/>
  <c r="AV440" i="1"/>
  <c r="AU156" i="1"/>
  <c r="AU417" i="1"/>
  <c r="AV417" i="1"/>
  <c r="AW417" i="1"/>
  <c r="AV279" i="1"/>
  <c r="AW279" i="1"/>
  <c r="AV327" i="1"/>
  <c r="AU290" i="1"/>
  <c r="AV290" i="1"/>
  <c r="AW290" i="1"/>
  <c r="AW437" i="1"/>
  <c r="AU437" i="1"/>
  <c r="AV437" i="1"/>
  <c r="AU42" i="1"/>
  <c r="AV42" i="1"/>
  <c r="AW42" i="1"/>
  <c r="AV256" i="1"/>
  <c r="AU256" i="1"/>
  <c r="AU307" i="1"/>
  <c r="AV307" i="1"/>
  <c r="AW307" i="1"/>
  <c r="AW230" i="1"/>
  <c r="AU427" i="1"/>
  <c r="AW427" i="1"/>
  <c r="AV427" i="1"/>
  <c r="AV267" i="1"/>
  <c r="AW267" i="1"/>
  <c r="AV62" i="1"/>
  <c r="AW62" i="1"/>
  <c r="AU62" i="1"/>
  <c r="AU319" i="1"/>
  <c r="AV319" i="1"/>
  <c r="AW319" i="1"/>
  <c r="AU414" i="1"/>
  <c r="AW414" i="1"/>
  <c r="AV302" i="1"/>
  <c r="AW302" i="1"/>
  <c r="AU92" i="1"/>
  <c r="AV92" i="1"/>
  <c r="AW92" i="1"/>
  <c r="AU160" i="1"/>
  <c r="AV160" i="1"/>
  <c r="AW160" i="1"/>
  <c r="AU21" i="1"/>
  <c r="AV21" i="1"/>
  <c r="AV330" i="1"/>
  <c r="AW330" i="1"/>
  <c r="AU364" i="1"/>
  <c r="AW364" i="1"/>
  <c r="AV364" i="1"/>
  <c r="AU330" i="1"/>
  <c r="AV354" i="1"/>
  <c r="AU231" i="1"/>
  <c r="AV231" i="1"/>
  <c r="AW231" i="1"/>
  <c r="AV146" i="1"/>
  <c r="AU146" i="1"/>
  <c r="AU424" i="1"/>
  <c r="AW424" i="1"/>
  <c r="AV424" i="1"/>
  <c r="AV422" i="1"/>
  <c r="AU379" i="1"/>
  <c r="AW379" i="1"/>
  <c r="AU404" i="1"/>
  <c r="AW404" i="1"/>
  <c r="AV404" i="1"/>
  <c r="AU389" i="1"/>
  <c r="AW389" i="1"/>
  <c r="AV389" i="1"/>
  <c r="AU313" i="1"/>
  <c r="AV103" i="1"/>
  <c r="AW103" i="1"/>
  <c r="AU47" i="1"/>
  <c r="AU363" i="1"/>
  <c r="AV328" i="1"/>
  <c r="AV161" i="1"/>
  <c r="AV131" i="1"/>
  <c r="AV106" i="1"/>
  <c r="AU347" i="1"/>
  <c r="AW331" i="1"/>
  <c r="AU297" i="1"/>
  <c r="AU289" i="1"/>
  <c r="AW167" i="1"/>
  <c r="AW157" i="1"/>
  <c r="AV127" i="1"/>
  <c r="AU123" i="1"/>
  <c r="AW396" i="1"/>
  <c r="AW387" i="1"/>
  <c r="AW362" i="1"/>
  <c r="AW354" i="1"/>
  <c r="AW327" i="1"/>
  <c r="AU320" i="1"/>
  <c r="AV304" i="1"/>
  <c r="AW240" i="1"/>
  <c r="AV217" i="1"/>
  <c r="AV192" i="1"/>
  <c r="AV167" i="1"/>
  <c r="AV157" i="1"/>
  <c r="AU127" i="1"/>
  <c r="AW53" i="1"/>
  <c r="AU23" i="1"/>
  <c r="AV433" i="1"/>
  <c r="AW421" i="1"/>
  <c r="AV383" i="1"/>
  <c r="AU331" i="1"/>
  <c r="AW248" i="1"/>
  <c r="AW102" i="1"/>
  <c r="AU93" i="1"/>
  <c r="AV7" i="1"/>
  <c r="AV374" i="1"/>
  <c r="AV350" i="1"/>
  <c r="AU339" i="1"/>
  <c r="AU300" i="1"/>
  <c r="AU117" i="1"/>
  <c r="AV70" i="1"/>
  <c r="AU53" i="1"/>
  <c r="AU38" i="1"/>
  <c r="AW122" i="1"/>
  <c r="AV75" i="1"/>
  <c r="AW18" i="1"/>
  <c r="AW322" i="1"/>
  <c r="AU232" i="1"/>
  <c r="AW439" i="1"/>
  <c r="AV428" i="1"/>
  <c r="AU403" i="1"/>
  <c r="AW394" i="1"/>
  <c r="AU378" i="1"/>
  <c r="AU334" i="1"/>
  <c r="AV299" i="1"/>
  <c r="AW269" i="1"/>
  <c r="AW257" i="1"/>
  <c r="AW212" i="1"/>
  <c r="AV199" i="1"/>
  <c r="AW187" i="1"/>
  <c r="AV166" i="1"/>
  <c r="AV105" i="1"/>
  <c r="AW97" i="1"/>
  <c r="AU88" i="1"/>
  <c r="AW83" i="1"/>
  <c r="AV56" i="1"/>
  <c r="AV48" i="1"/>
  <c r="AV394" i="1"/>
  <c r="AV369" i="1"/>
  <c r="AV349" i="1"/>
  <c r="AV83" i="1"/>
  <c r="AU14" i="1"/>
  <c r="AU314" i="1"/>
  <c r="AU251" i="1"/>
  <c r="AW426" i="1"/>
  <c r="AW208" i="1"/>
  <c r="AV26" i="1"/>
  <c r="AV235" i="1"/>
  <c r="AV198" i="1"/>
  <c r="AV158" i="1"/>
  <c r="AU388" i="1"/>
  <c r="AV265" i="1"/>
  <c r="AW215" i="1"/>
  <c r="AW128" i="1"/>
  <c r="AW47" i="1"/>
  <c r="AV439" i="1"/>
  <c r="AW411" i="1"/>
  <c r="AU398" i="1"/>
  <c r="AU373" i="1"/>
  <c r="AW275" i="1"/>
  <c r="AU431" i="1"/>
  <c r="AW406" i="1"/>
  <c r="AW397" i="1"/>
  <c r="AW372" i="1"/>
  <c r="AU294" i="1"/>
  <c r="AV275" i="1"/>
  <c r="AU272" i="1"/>
  <c r="AV227" i="1"/>
  <c r="AV215" i="1"/>
  <c r="AW207" i="1"/>
  <c r="AW202" i="1"/>
  <c r="AV155" i="1"/>
  <c r="AV152" i="1"/>
  <c r="AW140" i="1"/>
  <c r="AV128" i="1"/>
  <c r="AV47" i="1"/>
  <c r="AV28" i="1"/>
  <c r="AW436" i="1"/>
  <c r="AU423" i="1"/>
  <c r="AW422" i="1"/>
  <c r="AW344" i="1"/>
  <c r="AV238" i="1"/>
  <c r="AU158" i="1"/>
  <c r="AV140" i="1"/>
  <c r="AW32" i="1"/>
  <c r="AW416" i="1"/>
  <c r="AU438" i="1"/>
  <c r="AW434" i="1"/>
  <c r="AV418" i="1"/>
  <c r="AU393" i="1"/>
  <c r="AW384" i="1"/>
  <c r="AU368" i="1"/>
  <c r="AW359" i="1"/>
  <c r="AV344" i="1"/>
  <c r="AU337" i="1"/>
  <c r="AU329" i="1"/>
  <c r="AU325" i="1"/>
  <c r="AU317" i="1"/>
  <c r="AW264" i="1"/>
  <c r="AV207" i="1"/>
  <c r="AW151" i="1"/>
  <c r="AW81" i="1"/>
  <c r="AW36" i="1"/>
  <c r="AV32" i="1"/>
  <c r="AW12" i="1"/>
  <c r="AW5" i="1"/>
  <c r="AU413" i="1"/>
  <c r="AU408" i="1"/>
  <c r="AU321" i="1"/>
  <c r="AU309" i="1"/>
  <c r="AU211" i="1"/>
  <c r="AW165" i="1"/>
  <c r="AU161" i="1"/>
  <c r="AU395" i="1"/>
  <c r="AV395" i="1"/>
  <c r="AW395" i="1"/>
  <c r="AU370" i="1"/>
  <c r="AV370" i="1"/>
  <c r="AW370" i="1"/>
  <c r="AU315" i="1"/>
  <c r="AV300" i="1"/>
  <c r="AU263" i="1"/>
  <c r="AU213" i="1"/>
  <c r="AV213" i="1"/>
  <c r="AW213" i="1"/>
  <c r="AU210" i="1"/>
  <c r="AU292" i="1"/>
  <c r="AU150" i="1"/>
  <c r="AV150" i="1"/>
  <c r="AW150" i="1"/>
  <c r="AU185" i="1"/>
  <c r="AU135" i="1"/>
  <c r="AV135" i="1"/>
  <c r="AW135" i="1"/>
  <c r="AU436" i="1"/>
  <c r="AU391" i="1"/>
  <c r="AV391" i="1"/>
  <c r="AW391" i="1"/>
  <c r="AU366" i="1"/>
  <c r="AV366" i="1"/>
  <c r="AW366" i="1"/>
  <c r="AU205" i="1"/>
  <c r="AV205" i="1"/>
  <c r="AW205" i="1"/>
  <c r="AW126" i="1"/>
  <c r="AV403" i="1"/>
  <c r="AU126" i="1"/>
  <c r="AV126" i="1"/>
  <c r="AU376" i="1"/>
  <c r="AV376" i="1"/>
  <c r="AW376" i="1"/>
  <c r="AU390" i="1"/>
  <c r="AV390" i="1"/>
  <c r="AW390" i="1"/>
  <c r="AU365" i="1"/>
  <c r="AV365" i="1"/>
  <c r="AW365" i="1"/>
  <c r="AU295" i="1"/>
  <c r="AV277" i="1"/>
  <c r="AU277" i="1"/>
  <c r="AU262" i="1"/>
  <c r="AU130" i="1"/>
  <c r="AV130" i="1"/>
  <c r="AU143" i="1"/>
  <c r="AV143" i="1"/>
  <c r="AW143" i="1"/>
  <c r="AU324" i="1"/>
  <c r="AV324" i="1"/>
  <c r="AW324" i="1"/>
  <c r="AU400" i="1"/>
  <c r="AV400" i="1"/>
  <c r="AW400" i="1"/>
  <c r="AU335" i="1"/>
  <c r="AV335" i="1"/>
  <c r="AW335" i="1"/>
  <c r="AU420" i="1"/>
  <c r="AV420" i="1"/>
  <c r="AW420" i="1"/>
  <c r="AU280" i="1"/>
  <c r="AV216" i="1"/>
  <c r="AW216" i="1"/>
  <c r="AU176" i="1"/>
  <c r="AV176" i="1"/>
  <c r="AW176" i="1"/>
  <c r="AU361" i="1"/>
  <c r="AV361" i="1"/>
  <c r="AW361" i="1"/>
  <c r="AU243" i="1"/>
  <c r="AV243" i="1"/>
  <c r="AW243" i="1"/>
  <c r="AU216" i="1"/>
  <c r="AV96" i="1"/>
  <c r="AW96" i="1"/>
  <c r="AV342" i="1"/>
  <c r="AU342" i="1"/>
  <c r="AU96" i="1"/>
  <c r="AU425" i="1"/>
  <c r="AV425" i="1"/>
  <c r="AW425" i="1"/>
  <c r="AU221" i="1"/>
  <c r="AV221" i="1"/>
  <c r="AW221" i="1"/>
  <c r="AU385" i="1"/>
  <c r="AV385" i="1"/>
  <c r="AW385" i="1"/>
  <c r="AU360" i="1"/>
  <c r="AV360" i="1"/>
  <c r="AW360" i="1"/>
  <c r="AU345" i="1"/>
  <c r="AW355" i="1"/>
  <c r="AV355" i="1"/>
  <c r="AV241" i="1"/>
  <c r="AU241" i="1"/>
  <c r="AU196" i="1"/>
  <c r="AV196" i="1"/>
  <c r="AW196" i="1"/>
  <c r="AU386" i="1"/>
  <c r="AV386" i="1"/>
  <c r="AW386" i="1"/>
  <c r="AU410" i="1"/>
  <c r="AV410" i="1"/>
  <c r="AW410" i="1"/>
  <c r="AU406" i="1"/>
  <c r="AU201" i="1"/>
  <c r="AV201" i="1"/>
  <c r="AW201" i="1"/>
  <c r="AU381" i="1"/>
  <c r="AV381" i="1"/>
  <c r="AW381" i="1"/>
  <c r="AU318" i="1"/>
  <c r="AV318" i="1"/>
  <c r="AU226" i="1"/>
  <c r="AV226" i="1"/>
  <c r="AW226" i="1"/>
  <c r="AU285" i="1"/>
  <c r="AV285" i="1"/>
  <c r="AW285" i="1"/>
  <c r="AU371" i="1"/>
  <c r="AV371" i="1"/>
  <c r="AW371" i="1"/>
  <c r="AV438" i="1"/>
  <c r="AV393" i="1"/>
  <c r="AV368" i="1"/>
  <c r="AU348" i="1"/>
  <c r="AU260" i="1"/>
  <c r="AV260" i="1"/>
  <c r="AW260" i="1"/>
  <c r="AU190" i="1"/>
  <c r="AV190" i="1"/>
  <c r="AW190" i="1"/>
  <c r="AU375" i="1"/>
  <c r="AV375" i="1"/>
  <c r="AW375" i="1"/>
  <c r="AU312" i="1"/>
  <c r="AU415" i="1"/>
  <c r="AV415" i="1"/>
  <c r="AW415" i="1"/>
  <c r="AU405" i="1"/>
  <c r="AV405" i="1"/>
  <c r="AW405" i="1"/>
  <c r="AU380" i="1"/>
  <c r="AV380" i="1"/>
  <c r="AW380" i="1"/>
  <c r="AU246" i="1"/>
  <c r="AV246" i="1"/>
  <c r="AW246" i="1"/>
  <c r="AU51" i="1"/>
  <c r="AV51" i="1"/>
  <c r="AW51" i="1"/>
  <c r="AU332" i="1"/>
  <c r="AV332" i="1"/>
  <c r="AW332" i="1"/>
  <c r="AV210" i="1"/>
  <c r="AW210" i="1"/>
  <c r="AU430" i="1"/>
  <c r="AV430" i="1"/>
  <c r="AW430" i="1"/>
  <c r="AU401" i="1"/>
  <c r="AU356" i="1"/>
  <c r="AV356" i="1"/>
  <c r="AW356" i="1"/>
  <c r="AV317" i="1"/>
  <c r="AW317" i="1"/>
  <c r="AV268" i="1"/>
  <c r="AU268" i="1"/>
  <c r="AU218" i="1"/>
  <c r="AV218" i="1"/>
  <c r="AW218" i="1"/>
  <c r="AU173" i="1"/>
  <c r="AV173" i="1"/>
  <c r="AW173" i="1"/>
  <c r="AU306" i="1"/>
  <c r="AW306" i="1"/>
  <c r="AU194" i="1"/>
  <c r="AV194" i="1"/>
  <c r="AW194" i="1"/>
  <c r="AU171" i="1"/>
  <c r="AV171" i="1"/>
  <c r="AW171" i="1"/>
  <c r="AU16" i="1"/>
  <c r="AV16" i="1"/>
  <c r="AW323" i="1"/>
  <c r="AU271" i="1"/>
  <c r="AV271" i="1"/>
  <c r="AW271" i="1"/>
  <c r="AV247" i="1"/>
  <c r="AW247" i="1"/>
  <c r="AU244" i="1"/>
  <c r="AW244" i="1"/>
  <c r="AU229" i="1"/>
  <c r="AW229" i="1"/>
  <c r="AU174" i="1"/>
  <c r="AV174" i="1"/>
  <c r="AW174" i="1"/>
  <c r="AU149" i="1"/>
  <c r="AV149" i="1"/>
  <c r="AW149" i="1"/>
  <c r="AU136" i="1"/>
  <c r="AV136" i="1"/>
  <c r="AW136" i="1"/>
  <c r="AV8" i="1"/>
  <c r="AW8" i="1"/>
  <c r="AW358" i="1"/>
  <c r="AV347" i="1"/>
  <c r="AV339" i="1"/>
  <c r="AV325" i="1"/>
  <c r="AV314" i="1"/>
  <c r="AV297" i="1"/>
  <c r="AV294" i="1"/>
  <c r="AW283" i="1"/>
  <c r="AV262" i="1"/>
  <c r="AV222" i="1"/>
  <c r="AW222" i="1"/>
  <c r="AU219" i="1"/>
  <c r="AW219" i="1"/>
  <c r="AU197" i="1"/>
  <c r="AV197" i="1"/>
  <c r="AW197" i="1"/>
  <c r="AW188" i="1"/>
  <c r="AU164" i="1"/>
  <c r="AV164" i="1"/>
  <c r="AW164" i="1"/>
  <c r="AU108" i="1"/>
  <c r="AV108" i="1"/>
  <c r="AW108" i="1"/>
  <c r="AU104" i="1"/>
  <c r="AV104" i="1"/>
  <c r="AW104" i="1"/>
  <c r="AW16" i="1"/>
  <c r="AU8" i="1"/>
  <c r="AW352" i="1"/>
  <c r="AW305" i="1"/>
  <c r="AW303" i="1"/>
  <c r="AU259" i="1"/>
  <c r="AU250" i="1"/>
  <c r="AV250" i="1"/>
  <c r="AW250" i="1"/>
  <c r="AW193" i="1"/>
  <c r="AW191" i="1"/>
  <c r="AU177" i="1"/>
  <c r="AV177" i="1"/>
  <c r="AW177" i="1"/>
  <c r="AW170" i="1"/>
  <c r="AU129" i="1"/>
  <c r="AV129" i="1"/>
  <c r="AW129" i="1"/>
  <c r="AV111" i="1"/>
  <c r="AU100" i="1"/>
  <c r="AW100" i="1"/>
  <c r="AU61" i="1"/>
  <c r="AV61" i="1"/>
  <c r="AW61" i="1"/>
  <c r="AW23" i="1"/>
  <c r="AV23" i="1"/>
  <c r="AU20" i="1"/>
  <c r="AV20" i="1"/>
  <c r="AW20" i="1"/>
  <c r="AV352" i="1"/>
  <c r="AW336" i="1"/>
  <c r="AV308" i="1"/>
  <c r="AV305" i="1"/>
  <c r="AV288" i="1"/>
  <c r="AW268" i="1"/>
  <c r="AU225" i="1"/>
  <c r="AV225" i="1"/>
  <c r="AW225" i="1"/>
  <c r="AU204" i="1"/>
  <c r="AW204" i="1"/>
  <c r="AV336" i="1"/>
  <c r="AW328" i="1"/>
  <c r="AU311" i="1"/>
  <c r="AW311" i="1"/>
  <c r="AU291" i="1"/>
  <c r="AW291" i="1"/>
  <c r="AU228" i="1"/>
  <c r="AV228" i="1"/>
  <c r="AW228" i="1"/>
  <c r="AU200" i="1"/>
  <c r="AV200" i="1"/>
  <c r="AW200" i="1"/>
  <c r="AU184" i="1"/>
  <c r="AV184" i="1"/>
  <c r="AW184" i="1"/>
  <c r="AU115" i="1"/>
  <c r="AV115" i="1"/>
  <c r="AW115" i="1"/>
  <c r="AU69" i="1"/>
  <c r="AV69" i="1"/>
  <c r="AW69" i="1"/>
  <c r="AU19" i="1"/>
  <c r="AV19" i="1"/>
  <c r="AW19" i="1"/>
  <c r="AU145" i="1"/>
  <c r="AV145" i="1"/>
  <c r="AW145" i="1"/>
  <c r="AU31" i="1"/>
  <c r="AV31" i="1"/>
  <c r="AW31" i="1"/>
  <c r="AV407" i="1"/>
  <c r="AU276" i="1"/>
  <c r="AV276" i="1"/>
  <c r="AW276" i="1"/>
  <c r="AU180" i="1"/>
  <c r="AV180" i="1"/>
  <c r="AW180" i="1"/>
  <c r="AW111" i="1"/>
  <c r="AU78" i="1"/>
  <c r="AV78" i="1"/>
  <c r="AW78" i="1"/>
  <c r="AW308" i="1"/>
  <c r="AW288" i="1"/>
  <c r="AU258" i="1"/>
  <c r="AV258" i="1"/>
  <c r="AW258" i="1"/>
  <c r="AU249" i="1"/>
  <c r="AW249" i="1"/>
  <c r="AU203" i="1"/>
  <c r="AV203" i="1"/>
  <c r="AW203" i="1"/>
  <c r="AU183" i="1"/>
  <c r="AV183" i="1"/>
  <c r="AW183" i="1"/>
  <c r="AV141" i="1"/>
  <c r="AV138" i="1"/>
  <c r="AU118" i="1"/>
  <c r="AV118" i="1"/>
  <c r="AW118" i="1"/>
  <c r="AU103" i="1"/>
  <c r="AW73" i="1"/>
  <c r="AW333" i="1"/>
  <c r="AU261" i="1"/>
  <c r="AV261" i="1"/>
  <c r="AW261" i="1"/>
  <c r="AU224" i="1"/>
  <c r="AW224" i="1"/>
  <c r="AU114" i="1"/>
  <c r="AV114" i="1"/>
  <c r="AW114" i="1"/>
  <c r="AU91" i="1"/>
  <c r="AV91" i="1"/>
  <c r="AW91" i="1"/>
  <c r="AU82" i="1"/>
  <c r="AV82" i="1"/>
  <c r="AW82" i="1"/>
  <c r="AU341" i="1"/>
  <c r="AU296" i="1"/>
  <c r="AW296" i="1"/>
  <c r="AW273" i="1"/>
  <c r="AU199" i="1"/>
  <c r="AW199" i="1"/>
  <c r="AU144" i="1"/>
  <c r="AV144" i="1"/>
  <c r="AW144" i="1"/>
  <c r="AU179" i="1"/>
  <c r="AV179" i="1"/>
  <c r="AW179" i="1"/>
  <c r="AU77" i="1"/>
  <c r="AV77" i="1"/>
  <c r="AW77" i="1"/>
  <c r="AU73" i="1"/>
  <c r="AV86" i="1"/>
  <c r="AW86" i="1"/>
  <c r="AW340" i="1"/>
  <c r="AW338" i="1"/>
  <c r="AW329" i="1"/>
  <c r="AW315" i="1"/>
  <c r="AW313" i="1"/>
  <c r="AW295" i="1"/>
  <c r="AW293" i="1"/>
  <c r="AU281" i="1"/>
  <c r="AV281" i="1"/>
  <c r="AW281" i="1"/>
  <c r="AW272" i="1"/>
  <c r="AW251" i="1"/>
  <c r="AU186" i="1"/>
  <c r="AV186" i="1"/>
  <c r="AW186" i="1"/>
  <c r="AU121" i="1"/>
  <c r="AV121" i="1"/>
  <c r="AW121" i="1"/>
  <c r="AU55" i="1"/>
  <c r="AW55" i="1"/>
  <c r="AV55" i="1"/>
  <c r="AV41" i="1"/>
  <c r="AW41" i="1"/>
  <c r="AV348" i="1"/>
  <c r="AV340" i="1"/>
  <c r="AV329" i="1"/>
  <c r="AV315" i="1"/>
  <c r="AV298" i="1"/>
  <c r="AV295" i="1"/>
  <c r="AV272" i="1"/>
  <c r="AV263" i="1"/>
  <c r="AV251" i="1"/>
  <c r="AV233" i="1"/>
  <c r="AW233" i="1"/>
  <c r="AV208" i="1"/>
  <c r="AV165" i="1"/>
  <c r="AU90" i="1"/>
  <c r="AW90" i="1"/>
  <c r="AU44" i="1"/>
  <c r="AV44" i="1"/>
  <c r="AW44" i="1"/>
  <c r="AV436" i="1"/>
  <c r="AV431" i="1"/>
  <c r="AV426" i="1"/>
  <c r="AV421" i="1"/>
  <c r="AV416" i="1"/>
  <c r="AV411" i="1"/>
  <c r="AV406" i="1"/>
  <c r="AV401" i="1"/>
  <c r="AV396" i="1"/>
  <c r="AU301" i="1"/>
  <c r="AW301" i="1"/>
  <c r="AU266" i="1"/>
  <c r="AV266" i="1"/>
  <c r="AW266" i="1"/>
  <c r="AU254" i="1"/>
  <c r="AW254" i="1"/>
  <c r="AU236" i="1"/>
  <c r="AV236" i="1"/>
  <c r="AW236" i="1"/>
  <c r="AU208" i="1"/>
  <c r="AU165" i="1"/>
  <c r="AU159" i="1"/>
  <c r="AV159" i="1"/>
  <c r="AW159" i="1"/>
  <c r="AW153" i="1"/>
  <c r="AU124" i="1"/>
  <c r="AV124" i="1"/>
  <c r="AW124" i="1"/>
  <c r="AU113" i="1"/>
  <c r="AU72" i="1"/>
  <c r="AV72" i="1"/>
  <c r="AW72" i="1"/>
  <c r="AW345" i="1"/>
  <c r="AW343" i="1"/>
  <c r="AW337" i="1"/>
  <c r="AW326" i="1"/>
  <c r="AW312" i="1"/>
  <c r="AW309" i="1"/>
  <c r="AW292" i="1"/>
  <c r="AW289" i="1"/>
  <c r="AW280" i="1"/>
  <c r="AW278" i="1"/>
  <c r="AW185" i="1"/>
  <c r="AW156" i="1"/>
  <c r="AU133" i="1"/>
  <c r="AV133" i="1"/>
  <c r="AW133" i="1"/>
  <c r="AW120" i="1"/>
  <c r="AU54" i="1"/>
  <c r="AV54" i="1"/>
  <c r="AW54" i="1"/>
  <c r="AW353" i="1"/>
  <c r="AU353" i="1"/>
  <c r="AV345" i="1"/>
  <c r="AV337" i="1"/>
  <c r="AW334" i="1"/>
  <c r="AV326" i="1"/>
  <c r="AV323" i="1"/>
  <c r="AW320" i="1"/>
  <c r="AW318" i="1"/>
  <c r="AV312" i="1"/>
  <c r="AV309" i="1"/>
  <c r="AV292" i="1"/>
  <c r="AV289" i="1"/>
  <c r="AV280" i="1"/>
  <c r="AW232" i="1"/>
  <c r="AU214" i="1"/>
  <c r="AW214" i="1"/>
  <c r="AV214" i="1"/>
  <c r="AV185" i="1"/>
  <c r="AW181" i="1"/>
  <c r="AU168" i="1"/>
  <c r="AV168" i="1"/>
  <c r="AW168" i="1"/>
  <c r="AV120" i="1"/>
  <c r="AU71" i="1"/>
  <c r="AV71" i="1"/>
  <c r="AW71" i="1"/>
  <c r="AW438" i="1"/>
  <c r="AW433" i="1"/>
  <c r="AW428" i="1"/>
  <c r="AW423" i="1"/>
  <c r="AW418" i="1"/>
  <c r="AW413" i="1"/>
  <c r="AW408" i="1"/>
  <c r="AW403" i="1"/>
  <c r="AW398" i="1"/>
  <c r="AW393" i="1"/>
  <c r="AW388" i="1"/>
  <c r="AW383" i="1"/>
  <c r="AW378" i="1"/>
  <c r="AW373" i="1"/>
  <c r="AW368" i="1"/>
  <c r="AW363" i="1"/>
  <c r="AV358" i="1"/>
  <c r="AW350" i="1"/>
  <c r="AW348" i="1"/>
  <c r="AV334" i="1"/>
  <c r="AU323" i="1"/>
  <c r="AV320" i="1"/>
  <c r="AW300" i="1"/>
  <c r="AW298" i="1"/>
  <c r="AV283" i="1"/>
  <c r="AW274" i="1"/>
  <c r="AW265" i="1"/>
  <c r="AW263" i="1"/>
  <c r="AW256" i="1"/>
  <c r="AW238" i="1"/>
  <c r="AW235" i="1"/>
  <c r="AV232" i="1"/>
  <c r="AV211" i="1"/>
  <c r="AW211" i="1"/>
  <c r="AV188" i="1"/>
  <c r="AV181" i="1"/>
  <c r="AW161" i="1"/>
  <c r="AW158" i="1"/>
  <c r="AW152" i="1"/>
  <c r="AW146" i="1"/>
  <c r="AW123" i="1"/>
  <c r="AU101" i="1"/>
  <c r="AV101" i="1"/>
  <c r="AW101" i="1"/>
  <c r="AU89" i="1"/>
  <c r="AV89" i="1"/>
  <c r="AW89" i="1"/>
  <c r="AU66" i="1"/>
  <c r="AV66" i="1"/>
  <c r="AW66" i="1"/>
  <c r="AU58" i="1"/>
  <c r="AU358" i="1"/>
  <c r="AV306" i="1"/>
  <c r="AV303" i="1"/>
  <c r="AU286" i="1"/>
  <c r="AV286" i="1"/>
  <c r="AW286" i="1"/>
  <c r="AU283" i="1"/>
  <c r="AU247" i="1"/>
  <c r="AV244" i="1"/>
  <c r="AV229" i="1"/>
  <c r="AV191" i="1"/>
  <c r="AU188" i="1"/>
  <c r="AW130" i="1"/>
  <c r="AU33" i="1"/>
  <c r="AU30" i="1"/>
  <c r="AV30" i="1"/>
  <c r="AW30" i="1"/>
  <c r="AV18" i="1"/>
  <c r="AU4" i="1"/>
  <c r="AU43" i="1"/>
  <c r="AU40" i="1"/>
  <c r="AV40" i="1"/>
  <c r="AW40" i="1"/>
  <c r="AU18" i="1"/>
  <c r="AU64" i="1"/>
  <c r="AV64" i="1"/>
  <c r="AW64" i="1"/>
  <c r="AU57" i="1"/>
  <c r="AV57" i="1"/>
  <c r="AW57" i="1"/>
  <c r="AU29" i="1"/>
  <c r="AV29" i="1"/>
  <c r="AW29" i="1"/>
  <c r="AV3" i="1"/>
  <c r="AW3" i="1"/>
  <c r="AU50" i="1"/>
  <c r="AV50" i="1"/>
  <c r="AW50" i="1"/>
  <c r="AU3" i="1"/>
  <c r="AU39" i="1"/>
  <c r="AV39" i="1"/>
  <c r="AW39" i="1"/>
  <c r="AU99" i="1"/>
  <c r="AV99" i="1"/>
  <c r="AW99" i="1"/>
  <c r="AU84" i="1"/>
  <c r="AV84" i="1"/>
  <c r="AW84" i="1"/>
  <c r="AU134" i="1"/>
  <c r="AV134" i="1"/>
  <c r="AW134" i="1"/>
  <c r="AU49" i="1"/>
  <c r="AV49" i="1"/>
  <c r="AW49" i="1"/>
  <c r="AU119" i="1"/>
  <c r="AV119" i="1"/>
  <c r="AW119" i="1"/>
  <c r="AU67" i="1"/>
  <c r="AV67" i="1"/>
  <c r="AW67" i="1"/>
  <c r="AU28" i="1"/>
  <c r="AU25" i="1"/>
  <c r="AV25" i="1"/>
  <c r="AW25" i="1"/>
  <c r="AU169" i="1"/>
  <c r="AV169" i="1"/>
  <c r="AW169" i="1"/>
  <c r="AU95" i="1"/>
  <c r="AW95" i="1"/>
  <c r="AU63" i="1"/>
  <c r="AV13" i="1"/>
  <c r="AW13" i="1"/>
  <c r="AU234" i="1"/>
  <c r="AW234" i="1"/>
  <c r="AU109" i="1"/>
  <c r="AV109" i="1"/>
  <c r="AW109" i="1"/>
  <c r="AU79" i="1"/>
  <c r="AV79" i="1"/>
  <c r="AW79" i="1"/>
  <c r="AU60" i="1"/>
  <c r="AW60" i="1"/>
  <c r="AU13" i="1"/>
  <c r="AU209" i="1"/>
  <c r="AW209" i="1"/>
  <c r="AU189" i="1"/>
  <c r="AV189" i="1"/>
  <c r="AW189" i="1"/>
  <c r="AU154" i="1"/>
  <c r="AV154" i="1"/>
  <c r="AW154" i="1"/>
  <c r="AU87" i="1"/>
  <c r="AV87" i="1"/>
  <c r="AW87" i="1"/>
  <c r="AU35" i="1"/>
  <c r="AV35" i="1"/>
  <c r="AW35" i="1"/>
  <c r="AU24" i="1"/>
  <c r="AV24" i="1"/>
  <c r="AW24" i="1"/>
  <c r="AW21" i="1"/>
  <c r="AU98" i="1"/>
  <c r="AU139" i="1"/>
  <c r="AV139" i="1"/>
  <c r="AW139" i="1"/>
  <c r="AU94" i="1"/>
  <c r="AV94" i="1"/>
  <c r="AW94" i="1"/>
  <c r="AU59" i="1"/>
  <c r="AV59" i="1"/>
  <c r="AW59" i="1"/>
  <c r="AU45" i="1"/>
  <c r="AV45" i="1"/>
  <c r="AW45" i="1"/>
  <c r="AU239" i="1"/>
  <c r="AW239" i="1"/>
  <c r="AU105" i="1"/>
  <c r="AW105" i="1"/>
  <c r="AU74" i="1"/>
  <c r="AV74" i="1"/>
  <c r="AW74" i="1"/>
  <c r="AU34" i="1"/>
  <c r="AV34" i="1"/>
  <c r="AW34" i="1"/>
  <c r="AW11" i="1"/>
  <c r="AW6" i="1"/>
  <c r="AV11" i="1"/>
  <c r="AV6" i="1"/>
  <c r="AW85" i="1"/>
  <c r="AW80" i="1"/>
  <c r="AW75" i="1"/>
  <c r="AW70" i="1"/>
  <c r="AW65" i="1"/>
  <c r="AW15" i="1"/>
  <c r="AW14" i="1"/>
  <c r="AW9" i="1"/>
  <c r="AW4" i="1"/>
  <c r="AV14" i="1"/>
  <c r="AV9" i="1"/>
  <c r="AV4" i="1"/>
</calcChain>
</file>

<file path=xl/sharedStrings.xml><?xml version="1.0" encoding="utf-8"?>
<sst xmlns="http://schemas.openxmlformats.org/spreadsheetml/2006/main" count="8086" uniqueCount="4786">
  <si>
    <t>n</t>
  </si>
  <si>
    <t>undefined</t>
  </si>
  <si>
    <t>['¬© 1981', 'sensillar length', 'rights reserved', 'ratio increased', 'potential use', 'porous plate', 'numerous neurons', 'longitudinal axis', 'hymenopterous parasitoids', 'entomological society', 'electron microscopy', 'derived species', 'cuticular septum', 'cellular ultrastructure', 'aperture length', '32 species']</t>
  </si>
  <si>
    <t>The multiporous plate sensillum occurs on the antennae of Hymenoptera. The internal and external cuticular surfaces of these sensilla, as well as the cellular ultrastructure, were examined in the Braconidae by electron microscopy. The sensillum has an elongated, external, porous plate and an inner, cuticular septum in which there is an aperture. It is innervated by numerous neurons, the dendrites of which pass through the aperture, branch and traverse the longitudinal axis of the sensillum. The ratio of aperture length to sensillar length was measured on the internal cuticular surface in 32 species. This ratio increased from the ancestral to the derived species. This sensillar character may be useful in elucidating braconid systematics. It also has potential use in the systematics of other hymenopterous parasitoids. ¬© 1981, Entomological Society of Canada. All rights reserved.</t>
  </si>
  <si>
    <t>931-938</t>
  </si>
  <si>
    <t>Journal</t>
  </si>
  <si>
    <t>0008347X</t>
  </si>
  <si>
    <t>The Canadian Entomologist</t>
  </si>
  <si>
    <t>60020547;60020547;60020547</t>
  </si>
  <si>
    <t>57189678743;57189680081;7006727340</t>
  </si>
  <si>
    <t>Margaret, R.;Barlin, B.;Vinson, S. Bradleigh</t>
  </si>
  <si>
    <t>United States</t>
  </si>
  <si>
    <t>College Station</t>
  </si>
  <si>
    <t>Texas A&amp;M University</t>
  </si>
  <si>
    <t>Margaret R.</t>
  </si>
  <si>
    <t>Article</t>
  </si>
  <si>
    <t>ar</t>
  </si>
  <si>
    <t>The multiporous plate sensillum and its potential use in braconid systematics (hymenoptera: Braconidae)</t>
  </si>
  <si>
    <t>10.4039/Ent113931-10</t>
  </si>
  <si>
    <t>2-s2.0-0000003787</t>
  </si>
  <si>
    <t>['¬© 1981', 'z )-', 'unique spread', 'tetradecenyl acetates', 'proximal direction', 'possible mechanism', 'ostrinia nubilalis', 'obtained along', 'multiple electrodes', 'male moths', 'eag summation', 'eag response', 'eag amplitude', 'approximately proportional', 'antennal length']</t>
  </si>
  <si>
    <t>electroantennogram | electrophysiology | European corn borer | olfaction | pheromones | receptors</t>
  </si>
  <si>
    <t>The electroantennogram (EAG) response of male moths of the European corn borer (Ostrinia nubilalis) to their two pheromone components, (Z)- and (E)-11-tetradecenyl acetates, were studied. The EAG amplitude of the fast initial phase was approximately proportional to the antennal length. Local EAG responses were obtained along the length of the antenna with multiple electrodes. Response-interaction studies indicated a unique spread of the EAG response in a proximal direction in the antenna. A possible mechanism of the EAG summation was considered. The EAG response characteristic was similar for both (Z)- and (E)-11-tetradecenyl acetate along the length of the antenna. ¬© 1981.</t>
  </si>
  <si>
    <t>889-894</t>
  </si>
  <si>
    <t>Journal of Insect Physiology</t>
  </si>
  <si>
    <t>Nagai, Toshio</t>
  </si>
  <si>
    <t>Canada</t>
  </si>
  <si>
    <t>Ottawa</t>
  </si>
  <si>
    <t>Agriculture et Agroalimentaire Canada</t>
  </si>
  <si>
    <t>Nagai T.</t>
  </si>
  <si>
    <t>Electroantennogram response gradient on the antenna of the European corn borer, Ostrinia nubilalis</t>
  </si>
  <si>
    <t>0022-1910(81)90090-1</t>
  </si>
  <si>
    <t>10.1016/0022-1910(81)90090-1</t>
  </si>
  <si>
    <t>2-s2.0-0000348896</t>
  </si>
  <si>
    <t>['¬© 1981', 'wing development', 'whilst reluctant', 'viviparous intermorphs', 'viable progeny', 'topically applied', 'terminal batch', 'similar effects', 'secondary rhinaria', 'scent plaques', 'presumptive oviparae', 'postnatal rearing', 'oviparous embryos', 'order jh', 'occasional presence', 'obtained even', 'normal gynoparae', 'morphogenetic response', 'metathoracic tibiae', 'lower doses', 'long day', 'jh treatment', 'jh induced', 'jh iii', 'jh ii', 'jh doses', 'jh caused', 'germaria differentiate', 'gamic polymorphism', 'aphis fabae', 'alate virginoparae']</t>
  </si>
  <si>
    <t>aphid polymorphism | Juvenile hormone</t>
  </si>
  <si>
    <t>All three naturally occurring juvenile hormones (JH's) were shown to have effects on the parthenogenetic/gamic polymorphism of Aphis fabae; they mimicked long day conditions by inducing parthenogenetic forms. When topically applied to fourth instar gynoparae, JH caused the appearance of oviparous/viviparous intermediate morphs in the progeny. JH induced both wing development and embryogenesis in embryonic, presumptive oviparae. Embryogenesis was induced by lower doses of JH. Adult, embryo-containing alatae produced by treatment with high JH doses were capable of flight, and whilst reluctant to reproduce, their few viable progeny were oviparae. They did, however, differ from normal gynoparae in size, occasional presence of scent plaques on the metathoracic tibiae, numbers of secondary rhinaria on the antennae and morphogenetic response to postnatal rearing in long day conditions. The presumptive, oviparous embryos most sensitive to JH treatment were shown to be ca 323 Œºm in length, close to the stage where their germaria differentiate as parthenogenetic or gamic. Similar effects were observed in the progeny of JH-treated, teneral adult gynoparae but there was no effect on the morph of progeny of long day, alate virginoparae. The JH's differed in potency in the order JH I &gt; JH II &gt; JH III. The treatment of fourth instar gynoparae also induced a terminal batch of apparently normal viviparous progeny in a number of aphids. This result was obtained even at JH doses below threshold for the appearance of oviparous/viviparous intermorphs. ¬© 1981.</t>
  </si>
  <si>
    <t>257-265</t>
  </si>
  <si>
    <t>Hardie, Jim</t>
  </si>
  <si>
    <t>United Kingdom</t>
  </si>
  <si>
    <t>London</t>
  </si>
  <si>
    <t>Imperial College London</t>
  </si>
  <si>
    <t>Hardie J.</t>
  </si>
  <si>
    <t>Juvenile hormone and photoperiodically controlled polymorphism in Aphis fabae: Prenatal effects on presumptive oviparae</t>
  </si>
  <si>
    <t>0022-1910(81)90059-7</t>
  </si>
  <si>
    <t>10.1016/0022-1910(81)90059-7</t>
  </si>
  <si>
    <t>2-s2.0-0000513733</t>
  </si>
  <si>
    <t>['œºm long', 'type ii', 'trifurcated types', 'short pegs', 'sensilla trichodea', 'sensilla structure', 'sensilla basiconica', 'rugose surface', 'possible chemo', 'mechanoreceptive functions', 'length 35', 'hypera postica', 'gyllenhal ),', 'food detection', 'five types', 'encircling ledges', 'b .)', 'also occur', '3 apical']</t>
  </si>
  <si>
    <t>Chemoreceptors | mechanoreceptors | scanning electron microscope | sensilla basiconica | sensilla styloconica | sensilla trichodea | transmission electron microscope</t>
  </si>
  <si>
    <t>Sensilla on the antennae of adult alfalfa weevils, Hypera postica (Gyllenhal),were studied with scanning and transmission electron microscopes to determine the sensilla structure and possible chemo- and mechanoreceptive functions for food detection. Five types of sensilla trichodea (s.t.) occur (length 35 - 135 Œºm); s.t. I (71 - 135-Œºm long)are thick-walled without radial pores and s.t. II (50 - 75-Œºm long), the most abundant s.t., are multiporous. Bifurcated and trifurcated types (75 -85 -Œºm long) also occur. Five types of sensilla basiconica (s.b.) are present and include s.b. I (26 - 50-Œºm long), a fluted uniporous type with a rugose surface and encircling ledges; s.b. II (15 - 35-gm long), a common multiporous type with many longitudinal grooves; and s.b. IV (4 - 7-Œºm long), which are 3 apical, short pegs. Sensilla styloconica occur in a small band among the s.b. type II. One or 2 epidermal gland ducts are adjacent to most s.t. and some s.b. ¬© 1981 Pergamon Press Ltd.</t>
  </si>
  <si>
    <t>265-274</t>
  </si>
  <si>
    <t>International Journal of Insect Morphology and Embryology</t>
  </si>
  <si>
    <t>Bland, R. G.</t>
  </si>
  <si>
    <t>Mount Pleasant</t>
  </si>
  <si>
    <t>Central Michigan University</t>
  </si>
  <si>
    <t>Bland R.</t>
  </si>
  <si>
    <t>Antennal sensilla of the adult alfalfa weevil, Hypera postica (Gyllenhal) (Coleoptera : Curculionidae)</t>
  </si>
  <si>
    <t>S0020-7322(81)80013-X</t>
  </si>
  <si>
    <t>10.1016/S0020-7322(81)80013-X</t>
  </si>
  <si>
    <t>2-s2.0-0000705102</t>
  </si>
  <si>
    <t>['surface features', 'surface area', 'morphological comparisons', 'mathematical representation', 'antennal surface', 'antennal sensilla', 'antennal flagellum', 'adult moth']</t>
  </si>
  <si>
    <t>numbers | pore-surface area | pores | proportions | Sensilla | trichodea</t>
  </si>
  <si>
    <t>A detailed morphometric analysis of the antennae of male and female Trichoplusia ni (H√ºbner) is presented, based on light and scanning electron microscopic observations. These measurements of general antennal dimensions and the number, distribution, dimensions, and surface features of the antennal sensilla are applied in the consideration of olfactory transduction processes and in the derivation of a mathematical representation of the antennal surface. The surface area and the number of sensilla on the antennal flagellum are found to vary with the weight of the pupa and adult moth. The long Type 1 sensilla trichodea are hypothesized to be innervated by pheromone-sensitive olfactory cells on the basis of morphological comparisons with sensilla of other insects. ¬© 1981 Pergamon Press Ltd.</t>
  </si>
  <si>
    <t>185-201</t>
  </si>
  <si>
    <t>60032280;60032280;60032280</t>
  </si>
  <si>
    <t>7402465354;7004006558;24529562600</t>
  </si>
  <si>
    <t>Mayer, M. S.;Mankin, R. W.;Carlysle, T. C.</t>
  </si>
  <si>
    <t>Washington, D.C.</t>
  </si>
  <si>
    <t>United States Department of Agriculture</t>
  </si>
  <si>
    <t>Mayer M.</t>
  </si>
  <si>
    <t>External antennal morphometry of Trichoplusia Ni (H√ºbner) (Lepidoptera: Noctuidae)</t>
  </si>
  <si>
    <t>S0020732281800086</t>
  </si>
  <si>
    <t>10.1016/S0020-7322(81)80008-6</t>
  </si>
  <si>
    <t>2-s2.0-0000791831</t>
  </si>
  <si>
    <t>National Science Foundation</t>
  </si>
  <si>
    <t>NSF</t>
  </si>
  <si>
    <t>['¬© 1981', 'two compartments', 'segment development', 'right halves', 'proboscis develops', 'precise homology', 'posterior compartments', 'imaginal discs', 'genetic techniques', 'drosophila proboscis', 'distal proboscis', 'adult organ']</t>
  </si>
  <si>
    <t>Genetic techniques for marking single cells and their descendents are used to study the development of the Drosophila proboscis. The proboscis develops from a pair of imaginal discs which form the left and right halves of the adult organ. Each half of the proboscis is subdivided into two compartments, one positioned anterior to the other. The homeotic mutation proboscipedia transforms the distal proboscis into a pair of distal first legs or antennae. Clones of this mutation are restricted to one or the other of the two proboscis compartments and reveal a precise homology between these compartments and the anterior and posterior compartments of the thorax and eye-antenna. These results provide strong support for the hypothesis that anterior and posterior compartments reflect basic subunits of segment development in Drosophila. ¬© 1981.</t>
  </si>
  <si>
    <t>372-385</t>
  </si>
  <si>
    <t>Developmental Biology</t>
  </si>
  <si>
    <t>Struhl, Gary</t>
  </si>
  <si>
    <t>Cambridge</t>
  </si>
  <si>
    <t>The Medical Research Council Laboratory of Molecular Biology</t>
  </si>
  <si>
    <t>Struhl G.</t>
  </si>
  <si>
    <t>Anterior and posterior compartments in the proboscis of Drosophila</t>
  </si>
  <si>
    <t>10.1016/0012-1606(81)90406-1</t>
  </si>
  <si>
    <t>2-s2.0-0000836134</t>
  </si>
  <si>
    <t>['¬© 1981', 'wind profiles', 'vhp ),', 'temporal variation', 'stratospheric winds', 'spatial variation', 'radiosonde measurements', 'middle stratosphere', 'middle atmosphere', 'high frequencies', 'good agreement', 'essentially result', 'diffuse reflection']</t>
  </si>
  <si>
    <t>Spaced antenna drifts (S.A.D.) experiments with the SOUSY-VHF-Radar are described. Wind profiles have been measured up to the middle stratosphere and at some heights in the mesosphere. Good agreement is found between the radar and radiosonde measurements of tropospheric and stratospheric winds. Similarities and differences between the S.A.D. method and the conventional Doppler beam swinging (D.B.S.) method are discussed. It is concluded that the S.A.D. method has some obvious advantages compared with the D.B.S. method. These essentially result from two fundamental features: (1) diffuse reflection from horizontally stratified turbulence structures is manifest at very high frequencies (VHP), (2) the S.A.D. method yields information on the spatial variation in addition to the temporal variation. Finally, the requirements for an operational radar system to investigate the lower and middle atmosphere with the S.A.D. method are summarized. ¬© 1981.</t>
  </si>
  <si>
    <t>277-292</t>
  </si>
  <si>
    <t>Journal of Atmospheric and Terrestrial Physics</t>
  </si>
  <si>
    <t>R√∂ttger, J.</t>
  </si>
  <si>
    <t>Germany</t>
  </si>
  <si>
    <t>Gottingen</t>
  </si>
  <si>
    <t>Max Planck Institute for Solar System Research</t>
  </si>
  <si>
    <t>R√∂ttger J.</t>
  </si>
  <si>
    <t>Investigations of lower and middle atmosphere dynamics with spaced antenna drifts radars</t>
  </si>
  <si>
    <t>10.1016/0021-9169(81)90090-8</t>
  </si>
  <si>
    <t>2-s2.0-0000869132</t>
  </si>
  <si>
    <t>['¬© 1981', 'two antennae', 'turning rate', 'significant differences', 'results indicate', 'pheromone source', 'orientation pathways', 'one antenna', 'indirect components', 'fixed position', 'facilitate localization', 'direct components', 'crossed antennae', 'antennectomized males', 'antennae interfered']</t>
  </si>
  <si>
    <t>Male Periplaneta americana were photographed in a 2.4 m diameter arena containing a female sex pheromone source in the centre. Orientation pathways were digitized and analysed with regard to chemo-orientation mechanisms employed. Indirect components of chemo-orientation include arrestment near the pheromone source owing to an increase in turning rate and decrease in rate of locomotion, and zig-zag motor patterns that facilitate localization of the source. Most males were successful in locating the source if they moved to within 30 cm. Direct components of chemo-orientation include looping and relatively sharp correcting turns. No significant differences in orientation were observed between intact and unilaterally-antennectomized males, except that correcting turns close to the pheromone source were significantly less precise in males with one antenna. These results indicate that males with two antennae have an advantage over males with one antenna in being able to employ simultaneous information processing close to the pheromone source. Males with crossed antennae were unable to locate the pheromone source, suggesting that the fixed position of their antennae interfered with sensory information input. ¬© 1981.</t>
  </si>
  <si>
    <t>501-508</t>
  </si>
  <si>
    <t>60015457;60015457</t>
  </si>
  <si>
    <t>7202733086;35850079600</t>
  </si>
  <si>
    <t>Bell, William J.;Tobin, Thomas R.</t>
  </si>
  <si>
    <t>Lawrence</t>
  </si>
  <si>
    <t>University of Kansas</t>
  </si>
  <si>
    <t>Bell W.</t>
  </si>
  <si>
    <t>Orientation to sex pheromone in the American cockroach: Analysis of chemo-orientation mechanisms</t>
  </si>
  <si>
    <t>0022-1910(81)90036-6</t>
  </si>
  <si>
    <t>10.1016/0022-1910(81)90036-6</t>
  </si>
  <si>
    <t>2-s2.0-0001018198</t>
  </si>
  <si>
    <t>['thunderstorm circuit', 'substantial enhancement', 'simple antenna', 'middle atmosphere', 'mesospheric field', 'magnetospheric fields', 'lower stratosphere', 'low latitudes', 'layered peaks', 'geophysical conditions', 'first nine', 'data generally', 'copyright 1981']</t>
  </si>
  <si>
    <t>A simple antenna for measuring the vertical electric field in the "middle atmosphere" has been flown on a number of rocket‚Äêlaunched parachute‚Äêborne payloads. We present here the data from the first nine such flights, launched under a variety of geophysical conditions, along with electrical conductivities measured simultaneously. The data include indications of layered peaks of several volts per meter in the mesospheric field at high and low latitudes in situations of relatively low conductivity. During an auroral "REP" event the electric field reversed direction in the lower stratosphere, accompanied by a substantial enhancement in conductivity. The data generally do not confirm speculations based only on the extension of the thunderstorm circuit from below or the mapping of ionospheric and magnetospheric fields from above, but seem to require, in addition, internal generation processes in the middle atmosphere. Copyright 1981 by the American Geophysical Union.</t>
  </si>
  <si>
    <t>927-930</t>
  </si>
  <si>
    <t>Geophysical Research Letters</t>
  </si>
  <si>
    <t>;;</t>
  </si>
  <si>
    <t>7103043384;7003817768;55478378000</t>
  </si>
  <si>
    <t>Hale, L. C.;Croskey, C. L.;Mitchell, J. D.</t>
  </si>
  <si>
    <t>Hale L.</t>
  </si>
  <si>
    <t>Measurements of middle‚Äêatmosphere electric fields and associated electrical conductivities</t>
  </si>
  <si>
    <t>10.1029/GL008i008p00927</t>
  </si>
  <si>
    <t>2-s2.0-0001480727</t>
  </si>
  <si>
    <t>['rhynchaenus quercus', 'possible function', 'marked differences', 'host plants', 'distinctly slower', 'cut leaves', 'corresponding concentrations', 'also observed']</t>
  </si>
  <si>
    <t>electroantennograms | host plant selection | insect‚Äêplant relationships | leaf vapours | oak flea weevil | olfaction | plant volatiles | Rhynchaenus quercus</t>
  </si>
  <si>
    <t>Electroantennogram (EAG) recordings from the antennae of a highly specialized phytophagous species ‚Äî the oak flea weevil, Rhynchaenus quercus L. ‚Äî revealed two general properties of its antennal olfactory system: (1) a high and to some extent selective sensitivity to chemotaxonomically nonspecific compounds, namely the so‚Äêcalled ‚Äúgeneral green leaf volatiles‚Äù as well as to geraniol and linalool, (2) a lack of marked differences in the general excitation level caused by stimulation with vapours from leaves of both host plants and non‚Äêhost plants. It was also observed, that the shapes of EAG's evoked by vapours from cut leaves and general green leaf volatiles differed from those elicited by corresponding concentrations of geraniol and linalool, where recovery was distinctly slower. The results of EAG tests suggest that the general green leaf volatile complex is important in host‚Äêodour perception by the oak flea weevil. A possible function of these compounds in host‚Äêplant odour discrimination is discussed. Wirtspflanzenabh√§ngige Eigenschaften des Geruchsystems der F√ºhler des Eichenblattflohs, Rhynchaenus quercus. Elektroantennographische Studie Elektroantennographische Aufzeichnungen an F√ºhlern einer hochspezialisierten phytophagen Art, des Eichenblattflohs Rhynchaenus quercus L. zeigten zwei allgemeine Eigenschaften des Geruchsystems der Antennen: Erstens ist eine hohe und teilweise selektive Empfindlichkeit auf chemotaxonomisch nicht spezifische Verbindungen, besonders auf die ‚Äúallgemeinen Blattgr√ºnd√§mpfe‚Äù wie auch auf Geraniol und Linalool vorhanden. Zweitens fehlen ausgepr√§gte Unterschiede im allgemeinen Erregungsniveau hervorgerufen durch fl√ºchtige Stoffe von Wirtspflanzen einerseits und Nichtwirtspflanzen andererseits. Es wurde auch beobachtet, dass die Form der EAGs hervorgerufen durch zerschnittene Bl√§tter oder ‚Äûallgemeine Blattgr√ºnd√§mpfe‚Äù verschieden war von denjenigen verursacht durch Geraniol und Linalool, wo die Erholung eindeutig langsamer war. Die Resultate der EAG deuten darauf hin, dass der Komplex der ‚Äúallgemeinen Blattgr√ºnd√§mpfe‚Äù wichtig ist bei der Wahrnehmung der Wirtspflanzenger√ºche durch Rhynchaenus quercus. Eine m√∂gliche Funktion dieser Verbindungen bei der Erkennung der Wirtspflanzen wird diskutiert. 1981 The Netherlands Entomological Society</t>
  </si>
  <si>
    <t>169-175</t>
  </si>
  <si>
    <t>Entomologia Experimentalis et Applicata</t>
  </si>
  <si>
    <t>60004156;60004156</t>
  </si>
  <si>
    <t>7102544583;7202086436</t>
  </si>
  <si>
    <t>KOZLOWSKI, M. W.;VISSER, J. H.</t>
  </si>
  <si>
    <t>Netherlands</t>
  </si>
  <si>
    <t>Wageningen</t>
  </si>
  <si>
    <t>Wageningen University &amp; Research</t>
  </si>
  <si>
    <t>KOZLOWSKI M.</t>
  </si>
  <si>
    <t>HOST PLANT RELATED PROPERTIES OF THE ANTENNAL OLFACTORY SYSTEM IN THE OAK FLEA WEEVIL, RHYNCHAENUS QUERCUS. ELECTROANTENNOGRAM STUDY</t>
  </si>
  <si>
    <t>10.1111/j.1570-7458.1981.tb03092.x</t>
  </si>
  <si>
    <t>2-s2.0-0001527997</t>
  </si>
  <si>
    <t>['unusual setae', 'male antennae', 'harpocera thoracica', 'francis group', 'female pronotum', 'adhesive function']</t>
  </si>
  <si>
    <t>S.E.M. micrographs of unusual setae on the male antennae, and of the female pronotum in Harpocera thoracica (Fallen) (Miridae; Hemiptera) are presented. The adhesive function and positioning of the male antennae on the female‚Äôs pronotum during pairing is discussed. ¬© 1981 Taylor &amp; Francis Group, LLC.</t>
  </si>
  <si>
    <t>639-644</t>
  </si>
  <si>
    <t>Journal of Natural History</t>
  </si>
  <si>
    <t>July-August 1981</t>
  </si>
  <si>
    <t>Stork, N. E.</t>
  </si>
  <si>
    <t>The Natural History Museum, London</t>
  </si>
  <si>
    <t>Stork N.</t>
  </si>
  <si>
    <t>The structure and function of the adhesive organs on the antennae of male harpocera thoracica (Fallen) (miridae; hemiptera)</t>
  </si>
  <si>
    <t>10.1080/00222938100770451</t>
  </si>
  <si>
    <t>2-s2.0-0001686747</t>
  </si>
  <si>
    <t>Environmental Protection Agency</t>
  </si>
  <si>
    <t>EPA</t>
  </si>
  <si>
    <t>['¬© 1981', 'turn towards', 'similar structures', 'proximal end', 'pore tubules', 'pore chambers', 'one group', 'numerous neurons', 'mps consists', 'median channel', 'longitudinal axis', 'insects might', 'functional significance', 'distal end', 'different groups', 'dendritic branches', 'dendrites reach', 'antennal surface', '7 families', '2 types', '13 species']</t>
  </si>
  <si>
    <t>Anagyrus pseudococci (Gir) | Aphytis melinus DeBach | Cecidiostiba dendroctoni Ashm | Coccophagus pulvinariae Comp | Comperiella bifasciata How | Elasmus polistis Burks | Invreia sp | L Spalangia drosophilae Ashm | Leptomastix dactylopii How | Muscidifurax zaraptor K | Parasitic Hymenoptera | sense organs | Tetrastichus hagenowii (Ratz) | Torymus warreni (Cock) | Trichogramma evanescens Westw</t>
  </si>
  <si>
    <t>The ultrastructure of one sensillar type in one group of insects is described so that comparisons of this structure with similar structures in different groups of insects might be made. The ultrastructure of multiporous plate sensilla (MPS) in antennae was studied in 13 species from 7 families of Chalcidoidea. The cuticle of the MPS consists of an elongated, porous plate elevated above the antennal surface. Two cuticular invaginations form 3 channels, a median channel and 2 lateral channels that extend through the length of the sensillum. The MPS are innervated by numerous neurons, more than 50 in some species. The dendrites extend towards the median channel at the proximal end of the sensillum. When the dendrites reach the median channel, they branch and turn towards the distal end of the sensillum, traversing its longitudinal axis. Pore tubules, which occur in the pore chambers, come in contact with the membranes of the dendritic branches. There are 2 types of MPS: (1) with a relatively thin porous plate and many pores occurring in females and males; (2) with a thicker porous plate and fewer pores occurring in females only. The MPS in the Chalcidoidea are compared with the MPS in other Hymenoptera and the functional significance of the 2 types of MPS in the Chalcidoidea is discussed. ¬© 1981.</t>
  </si>
  <si>
    <t>29-42</t>
  </si>
  <si>
    <t>60020547;60020547</t>
  </si>
  <si>
    <t>6507480475;7006727340</t>
  </si>
  <si>
    <t>Barlin, Margaret R.;Bradleigh Vinson, S.</t>
  </si>
  <si>
    <t>Barlin M.</t>
  </si>
  <si>
    <t>Multiporous plate sensilla in antennae of the chalcidoidea (Hymenoptera)</t>
  </si>
  <si>
    <t>0020-7322(81)90011-8</t>
  </si>
  <si>
    <t>10.1016/0020-7322(81)90011-8</t>
  </si>
  <si>
    <t>2-s2.0-0002175561</t>
  </si>
  <si>
    <t>['¬© 1981', 'used subsequently', 'sommerfeld integrals', 'rigorous sommer', 'radiation patterns', 'method solution', 'integral equation', 'free space', 'four times', 'feld theory', 'dimensional interpolation', 'computation time', 'complex plane', '6 wavelengths']</t>
  </si>
  <si>
    <t>An accurate and efficient numerical method based on the rigorous Sommer-feld theory is described for modeling antennas near an interface such as the ground. The Sommerfeld integrals are evaluated by numerical integration along contours in the complex plane and two-dimensional interpolation is used subsequently to obtain the many Sommerfeld integral values needed for the moment-method solution of an integral equation. These methods permit modeling an antenna within 10-6 wavelengths of the ground for about two to four times the computation time for the same antenna in free space. Results showing currents and radiation patterns are included. ¬© 1981 by Hemisphere Publishing Corporation.</t>
  </si>
  <si>
    <t>29-49</t>
  </si>
  <si>
    <t>1532527X</t>
  </si>
  <si>
    <t>Electromagnetics</t>
  </si>
  <si>
    <t>60026175;60026175;60026175;60026175;60026175;60026175</t>
  </si>
  <si>
    <t>7203060346;7404492537;6602867702;7004364150;7005921176;36799127300</t>
  </si>
  <si>
    <t>Burke, G. J.;Miller, E. K.;Brittingham, J. N.;Lager, D. L.;Lytle, R. J.;Okada, J. T.</t>
  </si>
  <si>
    <t>Livermore</t>
  </si>
  <si>
    <t>Lawrence Livermore National Laboratory</t>
  </si>
  <si>
    <t>Burke G.J.</t>
  </si>
  <si>
    <t>Computer modeling of antennas near the ground</t>
  </si>
  <si>
    <t>10.1080/02726348108915123</t>
  </si>
  <si>
    <t>2-s2.0-0002302046</t>
  </si>
  <si>
    <t>['yponomeutes et', 'yponomeuta species', 'yponomeuta et', 'taxonomic relationships', 'response spectra', 'response profiles', 'plant volatiles', 'olfactory cells', 'leaf extracts', 'il n', 'grouping occurred', 'food plants', 'equally able', 'electroantennogram responses', 'eag responses', 'differ essentially', 'determine whether', 'conclusions could', 'cluster analysis', 'adoxophyes orana']</t>
  </si>
  <si>
    <t>Electroantennogram responses (EAGs) from seven Yponomeuta species and from Adoxophyes orana were recorded during stimulation with 57 plant volatiles and leaf extracts from six host plants. Cluster analysis was applied to determine whether any grouping occurred of the response spectra of the antennae and of the response profiles to the plant volatiles. In the dendrogram of the response spectra four clusters of species groups could be distinguished. No conclusions about the taxonomic relationships were drawn from this dendrogram because of the relatively high similarity between the response spectra of the Yponomeuta species and A. orana. This similarity can be explained by these moths having food plants in common. From the response profile dendrogram no conclusions could be drawn about the number and nature of physiologically different types of olfactory cells. The leaf extracts did not evoke significantly different responses among the Yponomeuta species and A. orana. Obviously, differences in the composition of the extracts were not expressed in the EAG. The EAG responses to plant volatiles did not differ essentially between male and female moths suggesting that both sexes were equally able in detecting host plants. Comparaison des √©lectroantennogrammes de sept esp√®ces d'Yponomeutes et d'Adoxophyes orana √† des substances volatiles v√©g√©tales Les √©lectroantennogrammes d'Yponomeuta (7 esp√®ces) et d'Adoxophyes orana ont √©t√© enregistr√©s pendant la stimulation avec 57 substances volatiles et extraits foliaires de 6 plantes‚Äêh√¥tes. L'analyse de la distribution a √©t√© utilis√©e pour d√©terminer si les spectres de r√©ponses de l'antenne et les r√©ponses aux substances volatiles pr√©sentaient un aspect contagieux. On peut distinguer 4 groupes d'esp√®ces dans le dendrogramma des r√©ponses. Aucune relation taxonomique ne peut √™tre tir√©e de ce dendrogramme par suite de la relativement haute similarit√© entre les spectres des r√©ponses des Yponomeuta et de A. orana. Cette similarit√© peut s'expliquer par l'identit√© des plantes h√¥tes de ces esp√®ces. Aucune conclusion ne peut √™tre tir√©e du profil des dendrogrammes sur le nombre et la nature des diff√©rents types de cellules olfactives. Les extraits de feuiles ne provoquent pas de diff√©rences significatives dans les r√©ponses d'Yponomeuta et A. orana, les diff√©rences dans la composition des extraits n'apparaissent pas dans les AEG. Il n'y a pas de diff√©rences entre les AEG des deux sexes aux substances volatiles, ce qui laisse supposer qu'ils sont capables, tous les deux, de d√©tecter les plantes‚Äêh√¥tes. 1981 The Netherlands Entomological Society</t>
  </si>
  <si>
    <t>181-192</t>
  </si>
  <si>
    <t>VAN DER PERS, J. N.C.</t>
  </si>
  <si>
    <t>Groningen</t>
  </si>
  <si>
    <t>University of Groningen</t>
  </si>
  <si>
    <t>VAN DER PERS J.</t>
  </si>
  <si>
    <t>COMPARISON OF ELECTROANTENNOGRAM RESPONSE SPECTRA TO PLANT VOLATILES IN SEVEN SPECIES OF YPONOMEUTA AND IN THE TORTRICID ADOXOPHYES ORANA</t>
  </si>
  <si>
    <t>10.1111/j.1570-7458.1981.tb03094.x</t>
  </si>
  <si>
    <t>2-s2.0-0002309197</t>
  </si>
  <si>
    <t>['¬© 1981', 'two types', 'specific examples', 'several hours', 'often observed', 'morning hours', 'high spectral', 'geos 2', 'geos 1', 'field line', 'emissions near', 'electrostatic emission', 'bursts lasting', '9 lt', '450 hz']</t>
  </si>
  <si>
    <t>Specific examples are presented for two types of electrostatic emission which have been studied on GEOS 1 and GEOS 2 with high spectral and fast temporal resolution. 1. (A) In the mid-morning hours (6 - 9 LT) the strongest electrostatic emissions are often observed as bursts lasting from less than a second to several hours. Simultaneously rapid changes are observed in the warm electron distribution and at ELF (15 - 450 Hz) only on the large electric antenna. High spectral resolution (Œîf ‚àº 11 Hz) shows that these emissions near the plasma frequency (‚àº 30 KHz) sometimes display spectral features whose separation in frequency is equal to the frequency of the electrostatic ELF emission in the region of the lower hybrid frequency. 2. (B)Around local midnight following a substrom rapid step like changes occur in the intensity of electromagnetic ELF emission. Simultaneously the normal structured electrostatic (n + 1 2 fce emission features are replaced by an intense broad spectrum. Relations between these variations and auroral pulsations Observed at the foot of the field line are presented. ¬© 1981.</t>
  </si>
  <si>
    <t>345-351</t>
  </si>
  <si>
    <t>Advances in Space Research</t>
  </si>
  <si>
    <t>60017317;60017317;60025225</t>
  </si>
  <si>
    <t>7102607511;16498231400;55481768800</t>
  </si>
  <si>
    <t>Gough, M. P.;Christiansen, P. J.;Thomas, R.</t>
  </si>
  <si>
    <t>United Kingdom;United Kingdom</t>
  </si>
  <si>
    <t>Southampton;Brighton</t>
  </si>
  <si>
    <t>University of Southampton;University of Sussex</t>
  </si>
  <si>
    <t>60025225;60017317</t>
  </si>
  <si>
    <t>Gough M.</t>
  </si>
  <si>
    <t>Electrostatic emissions studied in high resolution</t>
  </si>
  <si>
    <t>10.1016/0273-1177(81)90132-0</t>
  </si>
  <si>
    <t>2-s2.0-0008533222</t>
  </si>
  <si>
    <t>['waves excited', 'striking fact', 'signals received', 'preliminary results', 'potential created', 'porcupine campaign', 'peculiar frequencies', 'maxwellian plasma', 'good agreement', 'fine structure', 'even stronger', 'electron gyrofrequency', 'dipole antenna', 'complicated pattern', 'characteristic resonances', 'also observed']</t>
  </si>
  <si>
    <t>Preliminary results are presented from an active wave experiment performed with a double-dipole probe aboard the F4 rocket launched during the PORCUPINE campaign. They show that electrostatic cyclotron waves can be excited linearly around the half-harmonics of the electron gyrofrequency. The most striking fact is that, under certain plasma conditions, the amplitude of waves excited at these peculiar frequencies can be even stronger than those observed at the characteristic resonances of the magnetoplasma. The fine structure of the signals received is also observed and interpreted. Theoretical numerical calculations of the potential created by a dipole antenna in a Maxwellian plasma are presented; good agreement is obtained with the complicated pattern of the various experimental results. ¬© 1981 American Institute of Physics.</t>
  </si>
  <si>
    <t>1517-1526</t>
  </si>
  <si>
    <t>Physics of Fluids</t>
  </si>
  <si>
    <t>60008134;60008134;60008134;60104081</t>
  </si>
  <si>
    <t>56242089800;7006487515;6505914455;6602351867</t>
  </si>
  <si>
    <t>Pottelette, R.;Hamelin, M.;Illiano, J. M.;Lemb√®ge, B.</t>
  </si>
  <si>
    <t>France;France</t>
  </si>
  <si>
    <t>Issy-les-Moulineaux;Paris</t>
  </si>
  <si>
    <t>Orange Labs;CNRS Centre National de la Recherche Scientifique</t>
  </si>
  <si>
    <t>60104081;60008134</t>
  </si>
  <si>
    <t>Pottelette R.</t>
  </si>
  <si>
    <t>Interpretation of the fine structure of electrostatic waves excited in space</t>
  </si>
  <si>
    <t>10.1063/1.863556</t>
  </si>
  <si>
    <t>2-s2.0-0008567251</t>
  </si>
  <si>
    <t>['¬© 1981', 'whistlers observed', 'whistler signal', 'whistler analyzer', 'vertical incidence', 'two frequencies', 'three cases', 'switching circuit', 'sonagraphic display', 'six combinations', 'signals yielding', 'signal analyzer', 'receiver system', 'real time', 'present paper', 'point frequency', 'overall system', 'occurrence rate', 'oblique incidence', 'long period', 'horizontal incidence', 'highly simplified', 'filter frequency', 'equation suitable', 'elliptical polarization', 'eight detectors', 'distinguished among', 'directional measurement', 'directional data', 'direction finding', 'corresponding phase', 'auxiliary equipment']</t>
  </si>
  <si>
    <t>A new whistler direction finder is developed and described and it has the following essential features; 1. (1) The wave incidence situation is distinguished among the three cases, 1.1. (i) vertical incidence with nearly circular polarization, 1.2. (ii) oblique incidence with elliptical polarization, or 1.3. (iii) horizontal incidence with nearly linear polarization. 2. (2) The direction of arrival and polarization are deduced by the equation suitable for each wave incidence situation and yielding reduced polarization error. 3. (3) The directional measurement is done at two frequencies for each whistler signal. 4. (4) A method of recording and displaying the directional data is highly simplified so that it enables the measurement for a long period. 5. (5) A real time whistler analyzer providing the occurrence rate and dispersion in real time is used, as an auxiliary equipment, to choose the times when to start and end the measurement. The classification of the wave incidence situation is based on the outputs from eight detectors; six combinations of correlation among two horizontal magnetic field components at a point frequency, the corresponding phase-lagged (90¬∞) components and the vertical electric field components, and two other signals yielding the nature of the polarization ellipse projected onto the ground. The overall system is described in detail in the present paper, which includes the principle of the direction finding measurement, antenna-receiver system, signal analyzer, data recording system, switching circuit of the filter frequency, sonagraphic display of the directional data and finally a real-time-whistler analyzer. Some results on the direction finding for whistlers observed at Moshiri (geomag. lat. 34.5¬∞N) are presented to demonstrate the effectiveness of the present direction finder. ¬© 1981.</t>
  </si>
  <si>
    <t>679-691</t>
  </si>
  <si>
    <t>60000264;60000264;60008134</t>
  </si>
  <si>
    <t>7403893404;7005448456;55145417300</t>
  </si>
  <si>
    <t>Okada, T.;Iwai, A.;Hayakawa, M.</t>
  </si>
  <si>
    <t>France;Japan</t>
  </si>
  <si>
    <t>Paris;Nagoya</t>
  </si>
  <si>
    <t>CNRS Centre National de la Recherche Scientifique;Nagoya University</t>
  </si>
  <si>
    <t>60008134;60000264</t>
  </si>
  <si>
    <t>Okada T.</t>
  </si>
  <si>
    <t>A new whistler direction finder</t>
  </si>
  <si>
    <t>10.1016/0021-9169(81)90140-9</t>
  </si>
  <si>
    <t>2-s2.0-0009247846</t>
  </si>
  <si>
    <t>['tested horn', 'tested experimentally', 'higher frequencies', 'geometrical theory', 'full aperture', 'electronics engineers', '50 œª']</t>
  </si>
  <si>
    <t>A circular horn antenna flared like a trumpet has been analyzed with the geometrical theory of diffraction and tested experimentally. Sidelobes are extremely low (-75 dB) and agree with theory. Low sidelobe performance is predicted to be broad-band and to improve with higher frequencies. The full aperture of the tested horn is about 50 Œª. Suggestions are made for even better low sidelobe antennas. Copyright ¬© 1981 by The Institute of Electrical and Electronics Engineers, Inc.</t>
  </si>
  <si>
    <t>967-969</t>
  </si>
  <si>
    <t>0018926X</t>
  </si>
  <si>
    <t>IEEE Transactions on Antennas and Propagation</t>
  </si>
  <si>
    <t>Mather, John C.</t>
  </si>
  <si>
    <t>Greenbelt</t>
  </si>
  <si>
    <t>NASA Goddard Space Flight Center</t>
  </si>
  <si>
    <t>Mather J.</t>
  </si>
  <si>
    <t>Broad-Band Flared Horn with Low Sidelobes</t>
  </si>
  <si>
    <t>10.1109/TAP.1981.1142687</t>
  </si>
  <si>
    <t>2-s2.0-0010560676</t>
  </si>
  <si>
    <t>['¬© 1981', 'vision plays', 'results show', 'resulting adults', 'produce pheromone', 'precopulatory behaviour', 'possible causes', 'maxillary palps', 'maxillary palpectomy', 'labial palpectomy', 'juvenile hormone', 'head appendages', 'either antennectomy', 'compound eyes', 'complete suppression']</t>
  </si>
  <si>
    <t>antenna | Blattella germanica | juvenile hormone | labial and maxillary palps | mating behaviour | pheromone perception | pheromone production | sense organs</t>
  </si>
  <si>
    <t>Possible causes of the suppression of mating in juvenile hormone-treated Blattella germanica females, including the roles of the compound eyes and antennal, labial and maxillary palp sensilla in mating, were studied. Either antennectomy or labial palpectomy, but not maxillary palpectomy, leads to complete suppression of mating in females. Vision plays no role in mating. These results show that all the head appendages (antennae and labial and maxillary palps) are important in precopulatory behaviour, individually and collectively. Juvenile hormone treatment of the sixth (last) instar female nymphs leads to retention of nymphal sensillar characteristics on both the antennae and the palps of the resulting adults, with a reduced electroantennogram response. Thus the animal behaves like a nymph and does not mate in spite of its ability to produce pheromone. ¬© 1981.</t>
  </si>
  <si>
    <t>601-608</t>
  </si>
  <si>
    <t>60015669;60015669</t>
  </si>
  <si>
    <t>7201359331;7410387581</t>
  </si>
  <si>
    <t>Ramaswamy, S. B.;Gupta, A. P.</t>
  </si>
  <si>
    <t>New Brunswick</t>
  </si>
  <si>
    <t>Rutgers New Jersey Agricultural Experiment Station</t>
  </si>
  <si>
    <t>Ramaswamy S.</t>
  </si>
  <si>
    <t>Effects of juvenile hormone on sense organs involved in mating behaviour of Blattella germanica (L.) (Dictyoptera: Blattellidae)</t>
  </si>
  <si>
    <t>0022-1910(81)90107-4</t>
  </si>
  <si>
    <t>10.1016/0022-1910(81)90107-4</t>
  </si>
  <si>
    <t>2-s2.0-0010752827</t>
  </si>
  <si>
    <t>['¬© 1981', 'uhf range', 'time delay', 'sequential pattern', 'ringing fading', 'reflection model', 'recorded using', 'random scintillations', 'radio signals', 'qp scintillations', 'n respectively', 'large fluctuations', 'irregularities responsible', 'electron density', 'drifting disturbance', 'drift velocities', 'disturbances responsible']</t>
  </si>
  <si>
    <t>Radio signals in the VHF/UHF range from the geostationary satellite ATS-6 were recorded using a system of three spaced antennas at Slough. Simultaneously, the integrated electron content (TEC) was monitored between the satellite and ground. Full correlation analysis and similar fade techniques were used to deduce the drift velocities of irregularities responsible for random and quasiperiodic (QP) 'ringing' scintillations. Similar drift velocities were found for the disturbances responsible for both types of scintillations at the times when QP and random scintillations occurred in a sequential pattern. A southward-drifting disturbance was responsible for rare, multiple QP scintillations which were followed by large scale fluctuations in electron density. In general, QP-scintillation-producing irregularities drifted southward, with velocities whose median magnitude and azimuth were 64 m s-1 and 178¬∞E of N respectively. The sequential occurrence pattern of QP-random scintillations as well as the time delay between occurrences of large fluctuations in TEC and QP scintillations, appear to be consistent with a reflection model of generation of the ringing fading of the signal. ¬© 1981.</t>
  </si>
  <si>
    <t>723-733</t>
  </si>
  <si>
    <t>60023254;60023254;60023254</t>
  </si>
  <si>
    <t>6602324385;23062622600;57196530086</t>
  </si>
  <si>
    <t>Hajkowicz, L. A.;Bramley, E. N.;Browning, R.</t>
  </si>
  <si>
    <t>Didcot</t>
  </si>
  <si>
    <t>Rutherford Appleton Laboratory</t>
  </si>
  <si>
    <t>Hajkowicz L.A.</t>
  </si>
  <si>
    <t>Drift analysis of random and quasiperiodic scintillations in the ionosphere</t>
  </si>
  <si>
    <t>0021-9169(81)90143-4</t>
  </si>
  <si>
    <t>10.1016/0021-9169(81)90143-4</t>
  </si>
  <si>
    <t>2-s2.0-0011809584</t>
  </si>
  <si>
    <t>['users everywhere', 'type transmitters', 'tv broadcast', 'transmitters operating', 'transmitters feed', 'ssb ),', 'spurious emissions', 'special exception', 'space services', 'single sideband', 'significantly redefined', 'shown generally', 'rr 139', 'pulse modulation', 'mean power', 'hf broadcasting', 'frequency tolerances', 'first time', 'final acts', 'electronics engineers', 'decisions taken', 'common antenna', 'article 1', 'appendices 7', 'although radiodetermination', '7 ghz', '40 ghz', '4 mhz', '2450 mhz', '235 mhz', '10 ghz']</t>
  </si>
  <si>
    <t>Appendices 7 and 8 of the WARC-79 Final Acts contain, respectively; the Table of Transmitter Frequency Tolerances and the Table of Maximum Permitted Spurious Emission Power Levels. Decisions taken at that Conference on these two new Tables will eventually touch transmitter manufacturers and users everywhere. Frequency tolerances in most bands are tightened for new equipment effective January 2, 1985. TV broadcast for system M (NTSC) from 29.7 to 2450 MHz and broadcasting in the 535 to 1606.5-kHz bands remain the same. Earth and space services were introduced in the Table for the first time with impact from 4 MHz on up to 40 GHz after 1985. Relatively tight frequency tolerances are those for HF broadcasting, single sideband (SSB), and pulse modulation above 10 GHz. Peak envelope power rather than mean power is shown generally for SSB transmitters limits. The frequency tolerance limits, again, did not reach beyond 40 GHz. New spurious emission limits come into effect on that same date for new transmitters operating between 235 MHz and 17.7 GHz, although radiodetermination and emergency-type transmitters are excluded. There is also a special exception for spurious emissions of transmitters operating above 235 MHz where transmitters feed a common antenna or where an antenna farm exists [see Note 10 of Appendix 8]. Spurious emissions have been significantly redefined. It is suggested those concerned with such limits be familiar with the new definition contained in RR 139 of Article 1 of the Final Acts. Copyright ¬© 1981 by The Institute of Electrical and Electronics Engineers, Inc.</t>
  </si>
  <si>
    <t>1130-1136</t>
  </si>
  <si>
    <t>IEEE Transactions on Communications</t>
  </si>
  <si>
    <t>60028358;60010003</t>
  </si>
  <si>
    <t>55456703900;6603970816</t>
  </si>
  <si>
    <t>Watson, Robert T.;Luther, William A.</t>
  </si>
  <si>
    <t>United States;United States</t>
  </si>
  <si>
    <t>Washington, D.C.;Washington, D.C.</t>
  </si>
  <si>
    <t>National Telecommunications and Information Administration;Federal Communications Commission</t>
  </si>
  <si>
    <t>Watson R.</t>
  </si>
  <si>
    <t>Frequency Tolerances and Spurious Emission Limitations</t>
  </si>
  <si>
    <t>10.1109/TCOM.1981.1095112</t>
  </si>
  <si>
    <t>2-s2.0-0018501206</t>
  </si>
  <si>
    <t>['used alone', 'titanium diboride', 'superconducting motors', 'suitable metals', 'suitable diluent', 'substrate wires', 'standing wave', 'rocket motors', 'power transmission', 'melting point', 'making wires', 'high strength', 'drawn continuously', 'desired range', 'conveniently fabricated', 'controlled diameter', 'continuous wire', 'ablative liners', '800 ¬∞', '5 mils']</t>
  </si>
  <si>
    <t>A method is described for making continuous lengths of superconducting wires using chemical vapor plating techniques and employing a radio-frequency standing wave for heating the substrate. This method was developed for making continuous wires of titanium diboride of high strength and melting point for ablative liners of rocket motors but is adaptable for making wires of niobium-germanium, niobium-gallium, niobium-tin or other similar superconducting materials. A unique feature involves controlled heating of substrate wires of about 0.5 mil diameter of zirconium, niobium, tungsten or other suitable metals by radio-frequency. This is accomplished by using an appropriate antenna arrangement which creates a standing wave to attain wire temperatures in a desired range of 800¬∞ to 1300¬∞C. Ordinary resistive heating cannot be used alone but may be used to augment the r.f. heating. Vaporized halide salts containing the substances to be plated are introduced into the plating chamber along with hydrogen and a suitable diluent such as argon. The substrate, drawn continuously through the chamber, and heated to the proper temperature receives the depositing superconducting material which builds up to a controlled diameter of 2 to 5 mils as desired. The continuous wire can be conveniently fabricated into superconducting motors, magnets, cables for power transmission, or other devices. ¬© 1981 IEEE</t>
  </si>
  <si>
    <t>1032-1035</t>
  </si>
  <si>
    <t>IEEE Transactions on Magnetics</t>
  </si>
  <si>
    <t>Miller, Gordon H.</t>
  </si>
  <si>
    <t>Denver</t>
  </si>
  <si>
    <t>Texaco U.S.A.</t>
  </si>
  <si>
    <t>Miller G.H.</t>
  </si>
  <si>
    <t>Method of making continuous length superconducting wires using chemical vapor plating</t>
  </si>
  <si>
    <t>10.1109/TMAG.1981.1061047</t>
  </si>
  <si>
    <t>2-s2.0-0018916566</t>
  </si>
  <si>
    <t>690-693</t>
  </si>
  <si>
    <t>60000990;60000990;60000990;60000990</t>
  </si>
  <si>
    <t>6701356056;55432134800;7005304586;56772060700</t>
  </si>
  <si>
    <t>Rudner, S.;Feldman, M. J.;Kollberg, E.;Claesoti, T.</t>
  </si>
  <si>
    <t>Sweden</t>
  </si>
  <si>
    <t>Gothenburg</t>
  </si>
  <si>
    <t>Chalmers University of Technology</t>
  </si>
  <si>
    <t>Rudner S.</t>
  </si>
  <si>
    <t>The antenna-coupled SIS quasiparticle array mixer</t>
  </si>
  <si>
    <t>10.1109/TMAG.1981.1061162</t>
  </si>
  <si>
    <t>2-s2.0-0018920429</t>
  </si>
  <si>
    <t>['¬© 1981', 'stresses caused', 'spherical membrane', 'gravity forces', 'antenna reflector', 'analytically obtained']</t>
  </si>
  <si>
    <t>A very large Earth oriented antenna structure which is stabilized by the gravity gradient force is analyzed and its feasibility is discussed. Stresses caused by gravity forces are analytically obtained by assuming that the antenna reflector is a spherical membrane. It is shown that a compression membered flexible reflector maintains its contour by adjusting the length of tethers which connect the reflector and the spacecraft main body. ¬© 1981.</t>
  </si>
  <si>
    <t>689-701</t>
  </si>
  <si>
    <t>Acta Astronautica</t>
  </si>
  <si>
    <t>May 1981/June 1981</t>
  </si>
  <si>
    <t>Yasaka, Tetsuo</t>
  </si>
  <si>
    <t>Japan</t>
  </si>
  <si>
    <t>Tokyo</t>
  </si>
  <si>
    <t>Nippon Telegraph and Telephone Corporation</t>
  </si>
  <si>
    <t>Yasaka T.</t>
  </si>
  <si>
    <t>The structural feasibility of a gravity stabilized antenna</t>
  </si>
  <si>
    <t>10.1016/0094-5765(81)90113-2</t>
  </si>
  <si>
    <t>2-s2.0-0019010166</t>
  </si>
  <si>
    <t>['submerged locations', 'practical communications', 'points directly', 'normally expressed', 'known solutions', 'integral equations', 'conductive medium', 'accurate solution']</t>
  </si>
  <si>
    <t>A radiating loop antenna located at the earth or ocean surface produces a magnetic field within the conductive medium. The strength of this field is normally expressed by a set of integral equations for which there are no known solutions. The author develops approximations within the integrand that allow a closed form solution to be found for all points directly below the antenna. This accurate solution is valid for all combinations of frequencies and ranges at which practical communications between surface and submerged locations are possible. This paper is not subject to U.S. copyright. Published in 1981 by the American Geophysical Union.</t>
  </si>
  <si>
    <t>871-876</t>
  </si>
  <si>
    <t>1944799X</t>
  </si>
  <si>
    <t>Radio Science</t>
  </si>
  <si>
    <t>September-October 1981</t>
  </si>
  <si>
    <t>Layman, Gene E.</t>
  </si>
  <si>
    <t>Layman G.</t>
  </si>
  <si>
    <t>Magnetic field strength below a horizontal magnetic dipole located at the earth or ocean surface</t>
  </si>
  <si>
    <t>10.1029/RS016i005p00871</t>
  </si>
  <si>
    <t>2-s2.0-0019053781</t>
  </si>
  <si>
    <t>['united states', 'theoretical research', 'theoretical models', 'statistical predictions', 'relative importance', 'precipitation conditions', 'particular attention', 'new insight', 'models developed', 'digital systems', 'design applications', 'cross polarization', 'copyright 1981', 'briefly considered']</t>
  </si>
  <si>
    <t>This paper reviews experimental and theoretical research on cross polarization that occurs during clear‚Äêair conditions on terrestrial microwave links. After consideration of the various clear‚Äêair mechanisms that have been suggested, the conclusion is drawn that multipath mechanisms interacting with the cross‚Äêpolarized patterns of the antennas are the most important. Theoretical models that explain these mechanisms and semi‚Äêempirical models that characterize the cross‚Äêpolarized signal statistics are then discussed. Particular attention is given to the semi‚Äêempirical models since they can be used most readily for statistical predictions in design applications. Some new insight into the similarities and differences between models developed in France, Japan, and the United States is provided. Finally, application of the semi‚Äêempirical models in the design of digital systems is briefly considered, and the relative importance of cross polarization during clear‚Äêair and precipitation conditions is discussed. Copyright 1981 by the American Geophysical Union.</t>
  </si>
  <si>
    <t>631-647</t>
  </si>
  <si>
    <t>Olsen, R. L.</t>
  </si>
  <si>
    <t>Olsen R.</t>
  </si>
  <si>
    <t>Cross polarization during clear‚Äêair conditions on terrestrial links: A review</t>
  </si>
  <si>
    <t>10.1029/RS016i005p00631</t>
  </si>
  <si>
    <t>2-s2.0-0019053984</t>
  </si>
  <si>
    <t>['∆ í7', 'scintillation process', 'scintillation intensity', 'radio path', 'new jersey', 'mean duration', 'intense scintillation', 'fades greater', 'cutoff frequency', 'crawford hill', 'copyright 1981', '3 hz', '28 ghz', '2 times', '19 ghz', '1000 fades', '1 db']</t>
  </si>
  <si>
    <t>The amplitudes of satellite signals sometimes scintillate ¬± several decibels when heavy cumulus clouds pass through the radio path on hot summer days. These scintillations have been measured on a 19‚ÄêGHz and 28‚ÄêGHz earth‚Äêspace path using 7‚Äêm and 0.6‚Äêm antennas at Crawford Hill, New Jersey. Scintillation intensity at 28 GHz is 1.2 times that at 19 GHz, consistent with the ∆í7/12 frequency dependence produced by a thin turbulent layer. The scintillation process is polarization‚Äêindependent and has a low‚Äêpass power spectrum with a cutoff frequency of about 0.3 Hz. Rain attenuation often accompanies the more intense scintillation. The mean duration of scintillation‚Äêproduced fades is short (about 1.3 s for fades greater than 1 dB), but over 1000 fades of over 1 dB at 28 GHz were observed in two summer months. Because of their weak frequency dependence these short but frequent events could produce repeated outages on 4‚Äê and 6‚ÄêGHz earth‚Äêspace links having low attenuation margins. Copyright 1981 by the American Geophysical Union.</t>
  </si>
  <si>
    <t>885-907</t>
  </si>
  <si>
    <t>7403241218;7202379465;7201677618</t>
  </si>
  <si>
    <t>Cox, D. C.;Arnold, H. W.;Hoffman, H. H.</t>
  </si>
  <si>
    <t>Cox D.</t>
  </si>
  <si>
    <t>Observations of cloud‚Äêproduced amplitude scintillation on 19‚Äê and 28‚ÄêGHz earth‚Äêspace paths</t>
  </si>
  <si>
    <t>10.1029/RS016i005p00885</t>
  </si>
  <si>
    <t>2-s2.0-0019054285</t>
  </si>
  <si>
    <t>['various orientations', 'two dipoles', 'thereby demonstrating', 'mutual coupling', 'infinitely long', 'independent theory', 'geometrical theory', 'formally combined', 'experimental data', 'excellent agreement', 'copyright 1981']</t>
  </si>
  <si>
    <t>The method of moments ((MM) and the geometrical theory of diffraction (GTD) are formally combined into a hybrid MM‚ÄêGTD technique. Wire type antennas are treated by the method of moments and their interaction with a large curved surface is accounted for through the GTD. Thus the mutual coupling between two dipoles in the presence of an infinitely long, perfectly conducting elliptic cylinder is analyzed for various orientations of the dipoles with respect to each other and with respect to the cylinder. Results are compared with an independent theory and with experimental data. Excellent agreement is shown, thereby demonstrating the accuracy of the hybrid MM‚ÄêGTD technique. Copyright 1981 by the American Geophysical Union.</t>
  </si>
  <si>
    <t>1125-1130</t>
  </si>
  <si>
    <t>November-December 1981</t>
  </si>
  <si>
    <t>;</t>
  </si>
  <si>
    <t>7202442110;7102201391</t>
  </si>
  <si>
    <t>Henderson, L. W.;Thiele, G. A.</t>
  </si>
  <si>
    <t>Henderson L.</t>
  </si>
  <si>
    <t>A hybrid MM‚ÄêGTD technique for the treatment of wire antennas near a curved surface</t>
  </si>
  <si>
    <t>10.1029/RS016i006p01125</t>
  </si>
  <si>
    <t>2-s2.0-0019078020</t>
  </si>
  <si>
    <t>['vswr less', 'upper edge', 'two octaves', 'radiated field', 'one end', 'obtained experimentally', 'mounted close', 'mathematical model', 'ground plane', 'frequency range', 'experimental model', 'direction exists', 'copyright 1981', 'coaxial line', 'also developed']</t>
  </si>
  <si>
    <t>A novel broadband antenna is described, in the form of a comblike trapezoidal anisotropic structure above a ground plane. The base of the comb is mounted close to the ground plane, parallel to it, and is fed at one end by a coaxial line. Such an antenna has uniquely defined polarization of the radiated field and very good aerodynamic properties. An experimental model of the antenna was made using printed‚Äêcircuit technique. By trimming the upper edge of the comb, an antenna was obtained experimentally having VSWR less than 2.0 (with respect to 50 Œ©) in a frequency range of about two octaves. It was found that the antenna radiation pattern varies with frequency, but that a direction exists in which the antenna radiates well at all frequencies in the range. A mathematical model was also developed, permitting rather accurate numerical analysis of the antenna. Copyright 1981 by the American Geophysical Union.</t>
  </si>
  <si>
    <t>1131-1135</t>
  </si>
  <si>
    <t>7006225695;7005436133</t>
  </si>
  <si>
    <t>Popoviƒá, Branko D.;Djordjeviƒá, Antonije R.</t>
  </si>
  <si>
    <t>Popoviƒá B.</t>
  </si>
  <si>
    <t>Experimental and theoretical analysis of anisotropic trapezoidal antennas</t>
  </si>
  <si>
    <t>10.1029/RS016i006p01131</t>
  </si>
  <si>
    <t>2-s2.0-0019078030</t>
  </si>
  <si>
    <t>['‚ äêaxis', 'po integral', 'physical optics', 'paper summarizes', 'numerical results', 'main reflector', 'geometrical theory', 'equivalent paraboloid', 'copyright 1981', 'clear aperture', 'cassegrain antenna']</t>
  </si>
  <si>
    <t>This paper summarizes the basic numerical steps employed to analyze dual offset reflector antennas. The technique is based on the application of the geometrical theory of diffraction from the subreflector and physical optics (PO) scattering from the main reflector. The PO integral is evaluated by using the Jacobi‚ÄêBessel series expansion. Numerical results are presented for the off‚Äêaxis (scan) performance of an offset (clear aperture) Cassegrain antenna and comparison is made between a Cassegrain antenna and its equivalent paraboloid. Copyright 1981 by the American Geophysical Union.</t>
  </si>
  <si>
    <t>1093-1099</t>
  </si>
  <si>
    <t>7102110120;7003293983</t>
  </si>
  <si>
    <t>Rahmat‚ÄêSamii, Y.;Galindo‚ÄêIsrael, V.</t>
  </si>
  <si>
    <t>Rahmat‚ÄêSamii Y.</t>
  </si>
  <si>
    <t>Scan performance of dual offset reflector antennas for satellite communications</t>
  </si>
  <si>
    <t>10.1029/RS016i006p01093</t>
  </si>
  <si>
    <t>2-s2.0-0019078137</t>
  </si>
  <si>
    <t>['unitary transformation', 'rotational operator', 'radiation pattern', 'numerical solution', 'matrix equations', 'many dipoles', 'large matrices', 'dipole subdivisions', 'copyright 1981', 'computational difficulties', 'array matrix']</t>
  </si>
  <si>
    <t>In maximizing the directivity of large circular arrays with many parallel dipoles, it is necessary to consider the mutual coupling effects of the currents in the many dipoles. An application of the method of moments in the numerical solution will require the inversion of large matrices and lead to computational difficulties. In this paper these difficulties are alleviated by employing two techniques. First, the simultaneous integral equations are converted into matrix equations by the three‚Äêterm approximation. Dipole subdivisions are not required, thus greatly reducing the size of the matrices. Second, a rotational operator is defined, with which a unitary transformation is applied to the array matrix. The inversion of the array matrix can then be effected by a straightforward matrix‚Äêmultiplication process. Typical numerical results on maximum obtainable directivity and on the radiation pattern of an optimized circular array of 30 parallel dipoles are presented. Copyright 1981 by the American Geophysical Union.</t>
  </si>
  <si>
    <t>1071-1075</t>
  </si>
  <si>
    <t>55712837400;7501945236</t>
  </si>
  <si>
    <t>Cheng, David K.;Chen, C. A.</t>
  </si>
  <si>
    <t>Cheng D.</t>
  </si>
  <si>
    <t>Directivity optimization for large circular arrays with many parallel dipoles</t>
  </si>
  <si>
    <t>10.1029/RS016i006p01071</t>
  </si>
  <si>
    <t>2-s2.0-0019078152</t>
  </si>
  <si>
    <t>['two ways', 'two methods', 'time saving', 'thereby saving', 'spatial samples', 'slightly higher', 'second approach', 'sampling functions', 'reflector antennas', 'reconstructed using', 'radiation integral', 'quadratic type', 'parabolic reflectors', 'larger radius', 'infinite aperture', 'higher rate', 'ft relationship', 'fourier transform', 'field radiated', 'far field', 'extra term', 'explicitly takes', 'excellent performances', 'exactly reconstructed', 'equivalent aperture', 'e .,', 'copyright 1981', 'computed using', 'computations showing', 'basic idea', 'asymptotic techniques', 'assigned degree', 'aperture radius', 'aperture distributions']</t>
  </si>
  <si>
    <t>A new computational approach is presented, which allows fast analysis of radiation from reflector antennas. The basic idea is the Fourier transform (FT) relationship between far‚Äêfield and aperture distributions. Accordingly, the far field can be exactly reconstructed from the knowledge of spatial samples at angular rate ka sin Œ∏ cosœï = n œÄ ka sin Œ∏ sin œï = m œÄ, where a is the aperture radius (Shannon‚ÄêWhittaker theorem applied at Nyquist rate). The conclusion is that the aperture far field can be sampled at approximately one point per lobe. The finite reflector curvature introduces an extra term in the radiation integral which modifies the (finite) aperture/far‚Äêfield FT relationship. There are two ways to overcome this difficulty: (1) consider an infinite aperture, thereby saving the FT relationship, but losing the spatially band‚Äêlimited property and (2) reformulate the Shannon‚ÄêWhittaker theorem in such a way as to take into account the extra (curvature) term. The first approach requires truncation of the infinite aperture to an assigned degree of approximation in the far‚Äêfield computation. This states an equivalence between the field radiated by the reflector and the field radiated by an equivalent aperture of larger radius. Accordingly, the far field can still be reconstructed using the field radiated by the reflector, sampled at a higher rate (slightly higher for large dishes). These samples can be computed using physical optics or asymptotic techniques, whichever is appropriate. The second approach is based on a new sampling representation, which explicitly takes into account the extra term in the radiation integral. For a quadratic type of term, i.e., for parabolic reflectors, the sampling functions are the complementary error functions, and the far field can be exactly reconstructed in terms of the far field of an equivalent aperture. These samples can be computed using the fast Fourier transform, therefore further gaining in time saving. Computations showing the excellent performances of the two methods have been made, indicating the significant advantages provided in reflector antenna analysis. Copyright 1981 by the American Geophysical Union.</t>
  </si>
  <si>
    <t>1101-1104</t>
  </si>
  <si>
    <t>7006499276;7006413404</t>
  </si>
  <si>
    <t>Bucci, O. M.;Franceschetti, G.</t>
  </si>
  <si>
    <t>Bucci O.</t>
  </si>
  <si>
    <t>Radiation from reflector antennas: Exact aperture and aperture‚Äêlike approaches</t>
  </si>
  <si>
    <t>10.1029/RS016i006p01101</t>
  </si>
  <si>
    <t>2-s2.0-0019078161</t>
  </si>
  <si>
    <t>['wire structures', 'time sequences', 'time domain', 'studies show', 'spheres centered', 'spatially limited', 'radiation coincide', 'radial dimension', 'providing insight', 'numerical procedure', 'numerical experiments', 'made clearly', 'lumped loading', 'energy flow', 'driving points', 'always defined']</t>
  </si>
  <si>
    <t>Under the premise that ‚Äòaccelerated charge radiates,‚Äô one would expect radiation on wire structures to occur from driving points, ends of wires, bends in wires, or locations of lumped loading. Here, this premise is investigated in a series of numerical experiments. The numerical procedure is based on a moment‚Äêmethod solution of a thin‚Äêwire time‚Äêdomain electric‚Äêfield integral equation. The fields in the vicinity of wire structures are calculated for short impulsive‚Äêtype excitations, and are viewed in a series of time sequences or snapshots. For these excitations, the fields are spatially limited in the radial dimension, and expand in spheres centered about points of radiation. These centers of radiation coincide with the above list of possible source regions. Time retardation permits these observations to be made clearly in the time domain, similar to time‚Äêrange gating. In addition to providing insight into transient radiation processes, these studies show that the direction of energy flow is not always defined by Poynting's vector near wire structures. This paper not subject to U.S. copyright.</t>
  </si>
  <si>
    <t>1087-1091</t>
  </si>
  <si>
    <t>Landt, J. A.</t>
  </si>
  <si>
    <t>Landt J.</t>
  </si>
  <si>
    <t>Numerical analysis of transient fields near thin‚Äêwire antennas and scatterers</t>
  </si>
  <si>
    <t>10.1029/RS016i006p01087</t>
  </si>
  <si>
    <t>2-s2.0-0019078440</t>
  </si>
  <si>
    <t>['solved satisfactorily', 'sensitivity reasons', 'receiving side', 'passtive antennas', 'optimum solution', 'optimum sensitivity', 'nonlinear effects', 'minimum height', 'main problems', 'low frequency', 'linearity characterized', 'inductive means', 'external noise', 'dynamic range', 'different systems', 'copyright 1981', 'antenna heights']</t>
  </si>
  <si>
    <t>With mobile RF communication systems, sensitivity and linearity characterized by the dynamic are the main important qualities of the system on the receiving side. Up to now, especially in the low frequency and the short wave frequency range this problem has not been solved satisfactorily with professional passive antenna systems even though heavy filters are used. Considering nonlinear effects and taking the electromagnetic pulse problem (emp) into account, the short selective active receiving antenna is the optimum solution to this problem. A formula is derived for the field strength sensitivity of the selective active rod antenna. Taking the external noise into account, the minimum height of the antenna is evaluated with respect to optimum sensitivity as well as with respect to minimum nonlinear distortion of the amplifier, which means optimum dynamic range. Antenna heights and dynamic range of the selective active antenna are compared to different systems such as active broadband antennas and standard receiving systems with passtive antennas. For sensitivity reasons, capacitive antenna elements must be tuned by inductive means. In combination with a special switching strategy, premagnetized ferrite inductances are appropriate tuning elements. Nonlinear effects in the ferrites, however, are one of the main problems with electrically tuned antennas, which therefore are taken into account as well. Copyright 1981 by the American Geophysical Union.</t>
  </si>
  <si>
    <t>1143-1147</t>
  </si>
  <si>
    <t>7004522558;7004170397</t>
  </si>
  <si>
    <t>Hopf, J. F.;Lindenmeier, H. K.</t>
  </si>
  <si>
    <t>Hopf J.</t>
  </si>
  <si>
    <t>Fast tunable active receiving antennas</t>
  </si>
  <si>
    <t>10.1029/RS016i006p01143</t>
  </si>
  <si>
    <t>2-s2.0-0019078531</t>
  </si>
  <si>
    <t>['variational method', 'two types', 'severe constraint', 'rapidly establishing', 'radiation associated', 'obtain estimates', 'microwave feeds', 'microstrip substrates', 'limited amount', 'extraneous radiation', 'estimations endorsed', 'copyright 1981', 'computed results', 'analyzed using', 'alumina substrates']</t>
  </si>
  <si>
    <t>The concept of creating thin planar microwave antennas from microstrip substrates is rapidly establishing itself as an important new antenna design technique, but the extraneous radiation that is emitted from the antenna/feed transition region is now recognized as a severe constraint on the achievable side‚Äêlobe level performance of these antennas. Consideration is now given to the determination of the extent of this limitation and to how the extraneous radiation loss can be reduced. Two types of microwave feeds, the coax/microstrip and the triplate/microstrip, are analyzed using a variational method, and approximate field representations are introduced to obtain estimates of the radiation associated with these feeds. The computed results for polyguide and alumina substrates are examined in the light of the limited amount of independent experimental evidence available and the usefulness of the estimations endorsed. Copyright 1981 by the American Geophysical Union.</t>
  </si>
  <si>
    <t>1119-1123</t>
  </si>
  <si>
    <t>7403098104;7403018268</t>
  </si>
  <si>
    <t>Henderson, A.;James, J. R.</t>
  </si>
  <si>
    <t>Henderson A.</t>
  </si>
  <si>
    <t>Estimation of the radiation loss from microstrip antenna feed transitions</t>
  </si>
  <si>
    <t>10.1029/RS016i006p01119</t>
  </si>
  <si>
    <t>2-s2.0-0019078752</t>
  </si>
  <si>
    <t>['return loss', 'reflection coefficient', 'radiation pattern', 'predicted using', 'predicted theoretically', 'paraboloidal radome', 'investigated using', 'good approximation', 'good agreement', 'copyright 1981', 'computed values', 'asymptotic form']</t>
  </si>
  <si>
    <t>The return loss (reflection coefficient) of a paraboloidal reflector antenna covered by a paraboloidal radome is predicted using a physical‚Äêoptics method based on the power‚Äêcoupling theorem. An asymptotic form of the expression is found to be a good approximation. The performance of the antenna has been measured and results are in good agreement with those predicted theoretically. A method for reducing the return loss is investigated using a hemispherical iris‚Äêloaded sandwich section at the center of the radome. An improvement in return loss of approximately 5 dB is observed over a useful frequency bandwidth. Contributions of the radome to the radiation pattern of the antenna have been identified and those near to boresight have been predicted. Computed values in that region agree well with measurements. Copyright 1981 by the American Geophysical Union.</t>
  </si>
  <si>
    <t>1105-1110</t>
  </si>
  <si>
    <t>7006192058;7005244140;7103296730</t>
  </si>
  <si>
    <t>Clarricoats, P. J.B.;Parini, C. G.;Rizk, M. S.A.S.</t>
  </si>
  <si>
    <t>Clarricoats P.</t>
  </si>
  <si>
    <t>Prediction and performance of radome‚Äêcovered reflector antennas</t>
  </si>
  <si>
    <t>10.1029/RS016i006p01105</t>
  </si>
  <si>
    <t>2-s2.0-0019078871</t>
  </si>
  <si>
    <t>['vertical lpda', 'transient behavior', 'time domain', 'resonance migration', 'paper presents', 'natural resonances', 'mutual coupling', 'lossy ground', 'laplace domain', 'ground parameters', 'free space', 'feeding network', 'element thickness', 'copyright 1981', 'appropriate modes', 'antenna heights', 'antenna height', 'antenna elements']</t>
  </si>
  <si>
    <t>This paper presents an insight into the transient behavior of a vertical log‚Äêperiodic dipole antenna (LPDA) above a lossy ground and over a perfectly conducting half space. Mathematically, the problem is formulated in the Laplace domain by a singularity expansion representation of the solution of an electric field integral equation using a Sommerfeld integral kernel. The influence of the feeding network and of the mutual coupling of the elements as well as the influence of the element thickness on the natural resonances of the LPDA is studied. The modes of the antenna elements are presented and the current in frequency and time domain is computed for free space. Dependent on the ground parameters and the antenna height, we show the resonance migration in the complex frequency plane and determine the appropriate modes. Starting with the free space current distribution, we compute the transient far fields of the vertical LPDA over ground for various ground parameters and antenna heights. Copyright 1981 by the American Geophysical Union.</t>
  </si>
  <si>
    <t>1081-1086</t>
  </si>
  <si>
    <t>6506264114;7401803301;7004416021</t>
  </si>
  <si>
    <t>Rech, K. D.;Becker, K. ‚ÄêD;Langenberg, K. J.</t>
  </si>
  <si>
    <t>Rech K.</t>
  </si>
  <si>
    <t>Effects of lossy and perfectly conducting ground on the time and frequency behavior of a log‚Äêperiodic antenna using the singularity expansion method</t>
  </si>
  <si>
    <t>10.1029/RS016i006p01081</t>
  </si>
  <si>
    <t>2-s2.0-0019078920</t>
  </si>
  <si>
    <t>['loop antenna', 'iterative method', 'impressed along', 'ground reaction', 'finally gives', 'current density', 'copyright 1981', 'antenna current']</t>
  </si>
  <si>
    <t>Ground reaction on an active or passive torus antenna whose plane is parallel to the ground, is treated by an iterative method. At first the unperturbed antenna current is impressed along the circle of centers of the torus; then the ground reaction field induced by this loop antenna is computed; this is then inserted into an integro‚Äêdifferential equation for the current density which finally gives the antenna current as modified by the ground reaction. Copyright 1981 by the American Geophysical Union.</t>
  </si>
  <si>
    <t>1137-1142</t>
  </si>
  <si>
    <t>Ledinegg, E.</t>
  </si>
  <si>
    <t>Ledinegg E.</t>
  </si>
  <si>
    <t>The torus antenna over a conducting plane</t>
  </si>
  <si>
    <t>10.1029/RS016i006p01137</t>
  </si>
  <si>
    <t>2-s2.0-0019078921</t>
  </si>
  <si>
    <t>['real axis', 'parasitic elements', 'integral equations', 'integral equation', 'galerkin method', 'current distribution', 'copyright 1981']</t>
  </si>
  <si>
    <t>In this paper the theory of microstrip Yagi‚ÄêUda arrays is considered. An integral equation is derived for the current distribution on the exciter, reflector, and parasitic elements of the array which is printed on a grounded dielectric substrate. The integrand involves improper Sommerfeld type integrals which are solved by analytic‚Äênumeric techniques via a principal value integration along the real axis. In this manner the integral equations can be solved for the current distribution by the Galerkin method. Some results for the design of printed Yagi‚ÄêUda arrays are discussed. Copyright 1981 by the American Geophysical Union.</t>
  </si>
  <si>
    <t>1077-1079</t>
  </si>
  <si>
    <t>6603732777;7004468161;57225226726</t>
  </si>
  <si>
    <t>Rana, I. E.;Alexopoulos, N. G.;Katehi, P. L.</t>
  </si>
  <si>
    <t>Rana I.E.</t>
  </si>
  <si>
    <t>Theory of microstrip Yagi‚ÄêUda arrays</t>
  </si>
  <si>
    <t>10.1029/RS016i006p01077</t>
  </si>
  <si>
    <t>2-s2.0-0019079003</t>
  </si>
  <si>
    <t>['waveguide aperture', 'radiate patterns', 'experimental investigations', 'dielectric feeds', 'cross section', 'copyright 1981', 'calculated approximately', 'applying twice']</t>
  </si>
  <si>
    <t>Dielectric feeds, consisting of a specially shaped dielectric inserted into a waveguide aperture, can radiate patterns which are circular or elliptical in cross section and provide suitable cross‚Äêpolar performance. The patterns have been calculated approximately by applying twice the Kirchhoff‚ÄêHuygens principle. Results of theoretical and experimental investigations are presented for several dielectric feeds with good cross‚Äêpolarization behavior. Copyright 1981 by the American Geophysical Union.</t>
  </si>
  <si>
    <t>1111-1114</t>
  </si>
  <si>
    <t>Hombach, Volker</t>
  </si>
  <si>
    <t>Hombach V.</t>
  </si>
  <si>
    <t>Dielectric feeds with low cross polarization</t>
  </si>
  <si>
    <t>10.1029/RS016i006p01111</t>
  </si>
  <si>
    <t>2-s2.0-0019079004</t>
  </si>
  <si>
    <t>['wiley company', 'slot contributes', 'shot radiator', 'primary radiator', 'presents qualitatively', 'practical antenna', 'parabolic antenna', 'paper establishes', 'magnetic current', 'integral equation', 'inc .,', 'diameter loaded', 'choke function', 'antenna loaded', 'also shown', '12 ghz', '1 db']</t>
  </si>
  <si>
    <t>When the parabolic antenna is loaded in its periphery with a choke, the electric current inside the reflector can be suppressed so as to improve the front‚Äêto‚Äêback ratio. This paper establishes the function of the choke and presents qualitatively its effect. A primary radiator used is a shot radiator and the practical antenna is represented by a two‚Äêdimensional model to simplify the treatment in which the function of the choke can be represented by a single integral equation. After solving the integral equation, the choke function and its equivalent magnetic current are obtained, the pattern of the antenna loaded with choke can be calculated from the combined fields due to the magnetic current and the primary radiator, and the results are compared with the measurement. For example, for the case of an antenna 40 cm in diameter loaded by a 3 mm choke at 12 GHz, 5 dB improvement in front‚Äêto‚Äêback ratio can be achieved. Also shown is that the magnetic field component of the slot contributes about 1 dB to the effect. Copyright ¬© 1981 Wiley Periodicals, Inc., A Wiley Company</t>
  </si>
  <si>
    <t>84-91</t>
  </si>
  <si>
    <t>Electronics and Communications in Japan (Part I: Communications)</t>
  </si>
  <si>
    <t>Kaneki, Toshiyuki</t>
  </si>
  <si>
    <t>Hachioji</t>
  </si>
  <si>
    <t>Tokyo Metropolitan University</t>
  </si>
  <si>
    <t>Kaneki T.</t>
  </si>
  <si>
    <t>Improvement of front‚Äêto‚Äêback ratio by choke loaded at edge of parabolic antenna</t>
  </si>
  <si>
    <t>10.1002/ecja.4410640111</t>
  </si>
  <si>
    <t>2-s2.0-0019344506</t>
  </si>
  <si>
    <t>['viz .,', 'transmission mode', 'theoretical possibility', 'sensivity decreases', 'scanning angle', 'radiator array', 'one parameter', 'noise characteristics', 'input stages', 'beam deflection', 'appreciable effect', 'antenna gain']</t>
  </si>
  <si>
    <t>1. Interaction of radiators has an appreciable effect on the noise characteristics of passive as well as active phased antenna arrays. This effect can be rather accurately accounted for with the aid of only one parameter of the radiator array, namely its effective reflection coefficient defined in the transmission mode with excitation of all channels. 2. The sensitivity of a phased antenna array depends on the effective reflection coefficient differently than does the antenna gain. In passive phased antenna arrays, moreover, the sensivity decreases with beam deflection more than does the gain. 3. In active phased antenna arrays there is a theoretical possibility to weaken the dependence of the sensitivity on the scanning angle, viz., by optimizing the parameters of the input stages. ¬© 1981 Plenum Publishing Corporation.</t>
  </si>
  <si>
    <t>48-54</t>
  </si>
  <si>
    <t>Radiophysics and Quantum Electronics</t>
  </si>
  <si>
    <t>55412285800;6603258865;7006520805</t>
  </si>
  <si>
    <t>Zaitsev, E. F.;Dikii, V. N.;Babenko, A. I.</t>
  </si>
  <si>
    <t>Zaitsev E.</t>
  </si>
  <si>
    <t>Noise in phased antenna arrays</t>
  </si>
  <si>
    <t>10.1007/BF01034353</t>
  </si>
  <si>
    <t>2-s2.0-0019344615</t>
  </si>
  <si>
    <t>['vertical velocity', 'time series', 'systematic fashion', 'specular echoes', 'spectral width', 'signal power', 'principal result', 'poker flat', 'paper presents', 'mst radar', 'large sample', 'gravity waves', 'gravity wave', 'doppler spectrum', 'doppler spectra', 'destroy specularity', 'data shows', 'changing appearance', 'certain phases']</t>
  </si>
  <si>
    <t>This paper presents an analysis of a gravity wave event near the tropopause as seen by the vertically looking antenna of the Poker Flat, Alaska, MST radar. The observations are presented as time series of vertical velocity, signal power and spectral width. These parameters are found to oscillate in a systematic fashion that illustrates the effect of gravity waves on the specular echoes. This is seen most clearly by examining the changing appearance of the Doppler spectrum with the phase of the gravity wave. The principal result is that specular echoes are observed only at certain phases of the wave. Examination of a large sample of data shows that more generally the occurrence of gravity waves tends to destroy specularity. The decrease in the magnitude of specular echoes can be parameterized by the width of their Doppler spectra. This paper is not subject to U.S. copyright.</t>
  </si>
  <si>
    <t>599-602</t>
  </si>
  <si>
    <t>7004884101;55675223053;7005490049</t>
  </si>
  <si>
    <t>Gage, K. S.;Carter, D. A.;Ecklund, W. L.</t>
  </si>
  <si>
    <t>Gage K.S.</t>
  </si>
  <si>
    <t>The effect of gravity waves on specular echoes observed by the Poker Flat MST Radar</t>
  </si>
  <si>
    <t>10.1029/GL008i006p00599</t>
  </si>
  <si>
    <t>2-s2.0-0019367820</t>
  </si>
  <si>
    <t>['¬© 1981', 'rhodopseudomonas sphaeroides', 'rather insensitive', 'protein complexes', 'low yield', 'isolated b', 'inefficient triplet', 'energy transfer', 'different strains', 'carotenoids tested', 'carotenoid type', 'carotenoid triplets', 'carotenoid present', '15 %)', '100 %)']</t>
  </si>
  <si>
    <t>(Rps. sphaeroides) | Bacteriochlorophyll | Carotenoid | Energy transfer | Light-harvesting complex | Pigment-protein complex</t>
  </si>
  <si>
    <t>Energy transfer between carotenoid and bacteriochlorophyll has been studied in isolated B-800-850 antenna pigment-protein complexes from different strains of Rhodopseudomonas sphaeroides which contain different types of carotenoid. Singlet-singlet energy transfer from the carotenoid to the bacteriochlorophyll is efficient (75-100%) and is rather insensitive to carotenoid type, over the range of carotenoids tested. The yield of carotenoid triplets is low (2-15%) but this arises from a low yield of bacteriochlorophyll triplet formation rather than from an inefficient triplet-triplet exchange reaction. The rate of the triplet-triplet exchange reaction between the bacteriochlorophyll and the carotenoid is fast (Ktt ‚â• 1.4 ¬∑ 108 s-1) and also relatively independent of the type of carotenoid present. ¬© 1981.</t>
  </si>
  <si>
    <t>191-202</t>
  </si>
  <si>
    <t>C</t>
  </si>
  <si>
    <t>BBA - Bioenergetics</t>
  </si>
  <si>
    <t>60001490;60001490;60001490;60097343</t>
  </si>
  <si>
    <t>7006465617;6507285696;7102751010;7006569268</t>
  </si>
  <si>
    <t>Cogdell, Richard J.;Hipkins, Michael F.;MacDonald, Wallace;Truscott, T. George</t>
  </si>
  <si>
    <t>Ayr;Glasgow</t>
  </si>
  <si>
    <t>University of the West of Scotland;University of Glasgow</t>
  </si>
  <si>
    <t>60097343;60001490</t>
  </si>
  <si>
    <t>Cogdell R.J.</t>
  </si>
  <si>
    <t>Energy transfer between the carotenoid and the bacteriochlorophyll within the B-800-850 light-harvesting pigment-protein complex of Rhodopseudomonas sphaeroides</t>
  </si>
  <si>
    <t>10.1016/0005-2728(81)90138-9</t>
  </si>
  <si>
    <t>2-s2.0-0019379536</t>
  </si>
  <si>
    <t>['shuttle era', 'potential use', 'orbiter crew', 'large antennas', 'experimental packages', '300m );', '1000 kg']</t>
  </si>
  <si>
    <t>With the Shuttle era at hand the ability to deliver large masses to low earth orbit at costs below $1000 kg-1, coupled with the potential use of the orbiter crew, suggests a whole new approach to applications in the 1980s - the use of large generic structures. The zero-g environment permits the deployment of large antennas (dia. of 100-300m); the consolidation of experimental packages, either on pallets or separately on platforms; and the assembly of large-area structures dedicated to single-purpose programs like the Solar Power Satellite. -from Author</t>
  </si>
  <si>
    <t>73-87</t>
  </si>
  <si>
    <t>0191538X</t>
  </si>
  <si>
    <t>Advances in Earth Oriented Applications of Space Technology</t>
  </si>
  <si>
    <t>Johnson, R. W.</t>
  </si>
  <si>
    <t>Los Angeles</t>
  </si>
  <si>
    <t>Northrop Grumman corporation</t>
  </si>
  <si>
    <t>Johnson R.</t>
  </si>
  <si>
    <t>New Space initiatives through large generic structures.</t>
  </si>
  <si>
    <t>2-s2.0-0019380427</t>
  </si>
  <si>
    <t>['tone signal', 'tone frequencies', 'spectral window', 'sidelobe level', 'several examples', 'perturbation procedure', 'paper presents', 'numerous examples', 'new window', 'iterative sampling', 'initially specifying', 'independently control', 'harmonic signals', 'electronics engineers', 'effectively improved', 'discrete weighting', 'deep dip', 'conventional approach', 'continuous weighting']</t>
  </si>
  <si>
    <t>This paper presents a new window design technique and discusses its effect on the detection of harmonic signals in the presence of nearby strong harmonic interference. Four design parameters are introduced to independently control the pattern falloff rate, the overall sidelobe level, the near-sidelobe level and the depth of a steerable wide dip. Since the deep dip can be steered to any frequency the new window has effectively improved the detectability of a small tone without degrading resolvability. Contrary to the conventional approach of initially specifying the continuous weighting, the new design technique starts with constructing the spectral window which meets the specifications and then employs the fast Fourier transform to compute the discrete weighting. No iterative sampling or perturbation procedure is required. Numerous examples are given to demonstrate the flexibility of the new window. Several examples of detecting a three-tone signal have demonstrated the superiority of the new window in its detectability, resolvability, and accuracy of measuring the tone frequencies and amplitudes. Copyright ¬© 1981 by The Institute of Electrical and Electronics Engineers, Inc.</t>
  </si>
  <si>
    <t>177-188</t>
  </si>
  <si>
    <t>IEEE Transactions on Acoustics, Speech, and Signal Processing</t>
  </si>
  <si>
    <t>60001777;60001777;60030551</t>
  </si>
  <si>
    <t>7005751138;55650323300;56823836200</t>
  </si>
  <si>
    <t>Tseng, Fung I.;Sarkaf, Tapan K.;Weiner, Donald D.</t>
  </si>
  <si>
    <t>Syracuse;Rochester</t>
  </si>
  <si>
    <t>Syracuse University;Rochester Institute of Technology</t>
  </si>
  <si>
    <t>60030551;60001777</t>
  </si>
  <si>
    <t>Tseng F.</t>
  </si>
  <si>
    <t>A Novel Window for Harmonic Analysis</t>
  </si>
  <si>
    <t>10.1109/TASSP.1981.1163534</t>
  </si>
  <si>
    <t>2-s2.0-0019393983</t>
  </si>
  <si>
    <t>['space paths', 'site could', 'radiometer measurements', 'radiometer estimates', 'radar records', 'path attenuation', 'palmer distribution', 'new application', 'induced interference', 'gives confidence', 'direct comparison', 'cumulative distribution', 'attenuation inferred', 'agree satisfactorily', 'adjacent earth', '5 deg', '18 km', '13 ghz']</t>
  </si>
  <si>
    <t>Centimetric wave | Experimental study | Radar | Radiometer | Rain | Wave attenuation | Wave propagation</t>
  </si>
  <si>
    <t>Approximately 40 h of data from the summer of 1976 were employed in a comparison of radar and radiometer estimates of slant-path attenuation due to rain. McGill Radar Weather Observatory is situated 20 km west of Montreal; the radiometers, separated by 18 km at two sites located about 90 km northwest of the radar, had fixed antennas pointed approximately southeast at an elevation of 18.5 deg. Values of radar reflectivity along the two radiometer paths were used to calculate the slant-path attenuation at 13 GHz as a function of time with a 1 min resolution for direct comparison with the radiometer measurements. It was found that the cumulative distribution of attenuation inferred by radar from each site could be made to agree satisfactorily with the radiometer distribution assuming that rain was present everywhere along the path with a Marshall-Palmer distribution and applying a 1 dB correction to the independently-determined radar calibration. This agreement, close to within a fraction of a decibel, gives confidence to the use of radar records in compiling attenuation statistics. An example is presented of a new application of such records, namely the assessment of rain-induced interference over adjacent earth-space paths. ¬© 1981 Springer-Verlag.</t>
  </si>
  <si>
    <t>40-47</t>
  </si>
  <si>
    <t>Annales Des T√©l√©communications</t>
  </si>
  <si>
    <t>60002494;60002494;60002494</t>
  </si>
  <si>
    <t>7403530920;57214634349;6602000628</t>
  </si>
  <si>
    <t>Rogers, R. R.;Radhakant, S.;Massambani, O.</t>
  </si>
  <si>
    <t>Montreal</t>
  </si>
  <si>
    <t>Universit√© McGill</t>
  </si>
  <si>
    <t>Rogers R.</t>
  </si>
  <si>
    <t>New radar studies of slant-path attenuation due to rain</t>
  </si>
  <si>
    <t>10.1007/BF02997002</t>
  </si>
  <si>
    <t>2-s2.0-0019397020</t>
  </si>
  <si>
    <t>['typical u', 'source even', 'reflector antenna', 'interference noise', 'geostationary orbit', 'electromcs engineers', 'downlink frequency', 'conservative since', 'causing interference']</t>
  </si>
  <si>
    <t>Geostationary communications satellites have a potential for causing interference into terrestrial radio relay systems since present INTELSAT satellites as well as a number of U.S. domestic satellites transmit a downlink frequency in the 4 GHz common carrier band. Use has been made of recently measured spatial antenna radiation patterns of the AT&amp;T KS15676 pyramidal horn-reflector antenna to calculate the interference noise into typical U.S: high density 4 GHz radio relay systems. The model employed uses the maximum allowed CCIR flux from the satellites so that the results are conservative since the flux from deployed satellite repeaters is normally below that level. Although certain cases such as east-west oriented existing systems with one or more direct exposures may experience noticeable interference, no significant noise problem is foreseen from this source even when the geostationary orbit is populated as heavily as one communications satellite every 3¬∞. Copyright ¬© 1981 by The Institute of Electrical and Electromcs Engineers, Inc.</t>
  </si>
  <si>
    <t>33-40</t>
  </si>
  <si>
    <t>Butzien, Paul E.</t>
  </si>
  <si>
    <t>Murray</t>
  </si>
  <si>
    <t>Nokia Bell Labs</t>
  </si>
  <si>
    <t>Butzien P.</t>
  </si>
  <si>
    <t>Radio System Interference from Geostationary Satellites</t>
  </si>
  <si>
    <t>10.1109/TCOM.1981.1094873</t>
  </si>
  <si>
    <t>2-s2.0-0019397848</t>
  </si>
  <si>
    <t>['surface currents', 'resonant frequency', 'nonrectangular shape', 'microstrip patch', 'impedance matrix', 'electronics engineers', 'dielectric slab']</t>
  </si>
  <si>
    <t>The method of moments is used to analyze microstrip antennas of rectangular and nonrectangular shape. Surface currents are used to model the microstrip patch and volume polarization currents for the dielectric slab. The method requires unusually precise computation of the impedance matrix but is capable of accurately predicting currents, impedance, and resonant frequency of the antenna. Copyright ¬© 1981 by The Institute of Electrical and Electronics Engineers, Inc.</t>
  </si>
  <si>
    <t>47-53</t>
  </si>
  <si>
    <t>60003500;60003500</t>
  </si>
  <si>
    <t>7203066664;6507477460</t>
  </si>
  <si>
    <t>Newman, Edward H.;Tulyathan, Pravit</t>
  </si>
  <si>
    <t>Columbus</t>
  </si>
  <si>
    <t>The Ohio State University</t>
  </si>
  <si>
    <t>Newman E.H.</t>
  </si>
  <si>
    <t>Analysis of Microstrip Antennas Using Moment Methods</t>
  </si>
  <si>
    <t>10.1109/TAP.1981.1142532</t>
  </si>
  <si>
    <t>2-s2.0-0019397925</t>
  </si>
  <si>
    <t>['microsnip antennas', 'electronics engineers', 'closed form', 'circular sector', 'annular ring']</t>
  </si>
  <si>
    <t>Green's functions for circular sector, annular ring, and annular sector shaped segments, in microwave planar circuits and microsnip antennas, have been derived In closed form. Copyright ¬© 1981 by The Institute of Electrical and Electronics Engineers, Inc.</t>
  </si>
  <si>
    <t>68-71</t>
  </si>
  <si>
    <t>IEEE Transactions on Microwave Theory and Techniques</t>
  </si>
  <si>
    <t>60021988;60021988</t>
  </si>
  <si>
    <t>7005388756;7402592343</t>
  </si>
  <si>
    <t>Chadha, Rakesh;Gupta, K. C.</t>
  </si>
  <si>
    <t>India</t>
  </si>
  <si>
    <t>Kanpur</t>
  </si>
  <si>
    <t>Indian Institute of Technology Kanpur</t>
  </si>
  <si>
    <t>Chadha R.</t>
  </si>
  <si>
    <t>Green's Functions for Circular Sectors, Annular Rings, and Annular Sectors in Planar Microwave Circuits</t>
  </si>
  <si>
    <t>10.1109/TMTT.1981.1130291</t>
  </si>
  <si>
    <t>2-s2.0-0019397933</t>
  </si>
  <si>
    <t>['typical implementation', 'sufficient bandwidth', 'quantitatively assessed', 'printed array', 'predict accurately', 'particular emphasis', 'measured results', 'low cost', 'line impedances', 'light weight', 'experimental findings', 'electronics engineers', 'antenna consisting', 'analytical model', 'amplitude control']</t>
  </si>
  <si>
    <t>A description is given of an antenna consisting of an interconnected wire grid formed by etching metallic lines on a dielectric sheet backed by a metallic ground plane. The theory of operation, analytical model, and experimental findings for this approach to a printed array are described. The device is low cost, light weight, and has sufficient bandwidth to be of use in a variety of applications. An analytical model is developed which establishes transmission line equivalent circuits for the wire grid elements. Current distributions determined from the model are shown to predict accurately the measured pattern performance of a typical implementation. The bandwidth as established by various pattern parameters is quantitatively assessed. Particular emphasis is given to methods of amplitude control through control of line impedances. A particular design implementation is presented for a five-wavelength circular array with independent quadrant control. Measured results from this configuration are compared to theory. Copyright ¬© 1981 by The Institute of Electrical and Electronics Engineers, Inc.</t>
  </si>
  <si>
    <t>157-166</t>
  </si>
  <si>
    <t>60005304;60005304;60005304</t>
  </si>
  <si>
    <t>7103373550;56782172900;57220893931</t>
  </si>
  <si>
    <t>Conti, R.;Dowling, J. Toth;Weiss, J.</t>
  </si>
  <si>
    <t>Waltham</t>
  </si>
  <si>
    <t>Raytheon</t>
  </si>
  <si>
    <t>Conti R.</t>
  </si>
  <si>
    <t>The Wire Grid Microstrip Antenna</t>
  </si>
  <si>
    <t>10.1109/TAP.1981.1142541</t>
  </si>
  <si>
    <t>2-s2.0-0019398215</t>
  </si>
  <si>
    <t>['significant distance', 'scan array', 'satellite communications', 'problem may', 'parabolic dish', 'many approaches', 'hemisphere coverage', 'gain full', 'ever increasing', 'electronics engineers', 'conformal hybrid', 'alternative solution', 'aircraft skin']</t>
  </si>
  <si>
    <t>The demand for high-gain full-hemisphere coverage for aircraft-to-satellite communications is ever increasing. Many approaches to this problem have been investigated, including a parabolic dish under a radome and the more conformal hybrid-scan array under a radome. Both are heavy and protrude a significant distance from the aircraft skin. An alternative solution to the problem may be a completely conformal lightweight microstrip phased array. Copyright ¬© 1981 by The Institute of Electrical and Electronics Engineers, Inc.</t>
  </si>
  <si>
    <t>166-171</t>
  </si>
  <si>
    <t>Cipolla, Frank W.</t>
  </si>
  <si>
    <t>Boulder</t>
  </si>
  <si>
    <t>Ball Aerospace</t>
  </si>
  <si>
    <t>Cipolla F.</t>
  </si>
  <si>
    <t>A 7.5-GHz Microstrip Phased Array for Aircraft-to-Satellite Communication</t>
  </si>
  <si>
    <t>10.1109/TAP.1981.1142542</t>
  </si>
  <si>
    <t>2-s2.0-0019398216</t>
  </si>
  <si>
    <t>['standard rectangular', 'reviewed along', 'resonant frequency', 'practical procedures', 'numerical methods', 'microstrip patches', 'microstrip dipole', 'including transmission', 'element techniques', 'electronics engineers', 'efficiency factors', 'critical needs', 'conformal antennas', 'circular patches']</t>
  </si>
  <si>
    <t>A survey of microstrip antenna elements is presented, with emphasis on theoretical and practical design techniques. Available substrate materials are reviewed along with the relation between dielectric constant tolerance and resonant frequency of microstrip patches. Several theoretical analysis techniques are summarized, including transmission-line and modal-expansion (cavity) techniques as well as numerical methods such as the method of moments and fmite-element techniques. Practical procedures are given for both standard rectangular and circular patches, as well as variations on those designs including circularly polarized microstrip patches. The quality, bandwidth, and efficiency factors of typical patch designs are discussed. Microstrip dipole and conformal antennas are summarized. Finally, critical needs for further research and development for this antenna are identified. Copyright ¬© 1981 by The Institute of Electrical and Electronics Engineers, Inc.</t>
  </si>
  <si>
    <t>60002162;60002059</t>
  </si>
  <si>
    <t>7004358469;7102090054</t>
  </si>
  <si>
    <t>Carver, Keith R.;Mink, James W.</t>
  </si>
  <si>
    <t>Las Cruces;Research Triangle Park</t>
  </si>
  <si>
    <t>New Mexico State University;U.S. Army Research Office</t>
  </si>
  <si>
    <t>Carver K.R.</t>
  </si>
  <si>
    <t>Microstrip Antenna Technology</t>
  </si>
  <si>
    <t>10.1109/TAP.1981.1142523</t>
  </si>
  <si>
    <t>2-s2.0-0019398547</t>
  </si>
  <si>
    <t>['electronics engineers', 'commercial applications', 'advanced military']</t>
  </si>
  <si>
    <t>Past and present technological developments in microstrip antenna arrays are summarized. Emphasis is on exploring the potential of such arrays for satisfying the requirements of advanced military and commercial applications. Copyright ¬© 1981 by The Institute of Electrical and Electronics Engineers, Inc.</t>
  </si>
  <si>
    <t>25-37</t>
  </si>
  <si>
    <t>60001247;60001247;60001247</t>
  </si>
  <si>
    <t>55951888900;6506826779;6506079646</t>
  </si>
  <si>
    <t>Mailloux, Robert J.;McIlvenna, John F.;Kernweis, Nicholas P.</t>
  </si>
  <si>
    <t>Hanscom AFB</t>
  </si>
  <si>
    <t>Mailloux R.J.</t>
  </si>
  <si>
    <t>Microstrip Array Technology</t>
  </si>
  <si>
    <t>10.1109/TAP.1981.1142525</t>
  </si>
  <si>
    <t>2-s2.0-0019398548</t>
  </si>
  <si>
    <t>['zero thickness', 'vector dual', 'unknown current', 'substrate layer', 'singular part', 'singular nature', 'singlemode approximation', 'removed since', 'radiation patterns', 'probe excitation', 'mode approximation', 'integral equations', 'input impedance', 'imaginary parts', 'experimental data', 'excellent agreement', 'electronics engineers', 'direct application', 'current distributions', 'computed real', 'analysis agrees']</t>
  </si>
  <si>
    <t>The problem of a circular microstrip disk excited by a probe is solved using rigorous analysis. The disk is assumed to have zero thickness, and the current on the probe is taken to be uniform. Using vector Hankel transforms the problem is formulated in terms of vector dual-integral equations, from which the unknown current can be solved for. Due to the singular nature of the current distribution arising from probe excitation, the direct application of Galerkin's basis function expansion method gives a slowly convergent result. Therefore the singular part of the current is removed since the singularity is known a priori. The unknown current to be solved for is then regular and tenable to Galerkin's method of analysis. It is shown that this analysis agrees with the single-mode approximation when the dielectric substrate layer is thin, and that it deviates from the singlemode approximation when the substrate layer is thick. Excellent agreement of both the computed real and imaginary parts of the input impedance with experimental data is noted. The radiation patterns and the current distributions on the disk are also-presented. Copyright ¬© 1981 by The Institute of Electrical and Electronics Engineers, Inc.</t>
  </si>
  <si>
    <t>68-76</t>
  </si>
  <si>
    <t>60022195;60022195</t>
  </si>
  <si>
    <t>26643168800;7202290923</t>
  </si>
  <si>
    <t>Chew, Weng Cho;Kong, Jin Au</t>
  </si>
  <si>
    <t>Massachusetts Institute of Technology</t>
  </si>
  <si>
    <t>Chew W.</t>
  </si>
  <si>
    <t>Analysis of a Circular Microstrip Disk Antenna with a Thick Dielectric Substrate</t>
  </si>
  <si>
    <t>10.1109/TAP.1981.1142534</t>
  </si>
  <si>
    <t>2-s2.0-0019398549</t>
  </si>
  <si>
    <t>['spatial separation', 'receiving antenna', 'much greater', 'individual ducts', 'effective area', 'duct formation', 'diameter compared', 'copyright 1981']</t>
  </si>
  <si>
    <t>The magnetic field‚Äêaligned ionization irregularities or ducts, in which the electrostatic waves exist that are responsible for the plasma lines induced by the HF heater wave, are small in diameter compared to the spatial separation of these ducts. There is reason to doubt that these ducts are formed by the thermal self‚Äêfocusing instability. A model is proposed for duct formation, in which a duct is analogous to a receiving antenna. Energy is extracted from the incident HF field over the ‚Äòeffective area‚Äô of the duct, which is much greater than the cross‚Äêsectional area of the duct itself. The separation of individual ducts is then determined by this effective area. Copyright 1981 by the American Geophysical Union.</t>
  </si>
  <si>
    <t>121-125</t>
  </si>
  <si>
    <t>January-February 1981</t>
  </si>
  <si>
    <t>Muldrew, D. B.</t>
  </si>
  <si>
    <t>Muldrew D.</t>
  </si>
  <si>
    <t>Generation of ionospheric irregularities associated with plasma lines induced by an HF wave</t>
  </si>
  <si>
    <t>10.1029/RS016i001p00121</t>
  </si>
  <si>
    <t>2-s2.0-0019399255</t>
  </si>
  <si>
    <t>['resulting expressions', 'radiative losses', 'proper shift', 'poles corresponding', 'multiport analysis', 'microstrip antennas', 'microstrip antenna', 'measured results', 'impedance variation', 'impedance loci', 'good agreement', 'feed locations', 'feed location', 'electronics engineers', 'discrete set', 'dielectric loss', 'copper loss']</t>
  </si>
  <si>
    <t>An improvement to a recently reported theory for the analysis of the pattern and impedance loci of microstrip antennas is developed. It yields a theory which is simple and inexpensive to apply. The fields in the interior of the antennas are characterized in terms of a discrete set of modes. The poles corresponding to these modes are complex and depend on the losses in the antenna. The representation of the fields in terms of these modes is rigorous only for a bona fide cavity with no copper loss. The proper shift in the complex poles due to the addition of copper and radiative losses is approximated by lumping the latter two together with the dielectric loss to form an effective loss tangent. By so doing, it is found that the resulting expressions for impedance of the microstrip antenna are in good agreement with measured results for all modes and feed locations. The theory is applied to the evaluation of impedance variation with feed location, to multiport analysis, and to the design of circularly polarized microstrip antennas. Copyright ¬© 1981 by The Institute of Electrical and Electronics Engineers, Inc.</t>
  </si>
  <si>
    <t>38-46</t>
  </si>
  <si>
    <t>60005837;60000745;105179521</t>
  </si>
  <si>
    <t>7202452162;7401934487;7403545523</t>
  </si>
  <si>
    <t>Richards, William F.;Lo, Yuen T.;Harrison, Daniel D.</t>
  </si>
  <si>
    <t>United States;United States;United States</t>
  </si>
  <si>
    <t>Houston;Urbana;Syracuse</t>
  </si>
  <si>
    <t>University of Houston;University of Illinois Urbana-Champaign;GE Electronics Lab</t>
  </si>
  <si>
    <t>Richards W.</t>
  </si>
  <si>
    <t>An Improved Theory for Microstrip Antennas and Applications</t>
  </si>
  <si>
    <t>10.1109/TAP.1981.1142524</t>
  </si>
  <si>
    <t>2-s2.0-0019399282</t>
  </si>
  <si>
    <t>['wavelength panel', 'wavelength dipole', 'wavelength diameter', 'various ports', 'superposition method', 'shuttle spacecraft', 'radiation patterns', 'point location', 'plane pattern', 'one radiating', 'least 0', 'impedance matching', 'electronics engineers', 'eight antennas', 'different numbers', 'different excitations', '4 db']</t>
  </si>
  <si>
    <t>An array of microstrip antenna panels was designed for use on a small instrumented satellite as part of a 400-MHz telemetry link between that satellite and NASA's shuttle spacecraft. A roughly omnidirectional 0-plane pattern was desired. The 1.4-wavelength diameter of the satellite and the various ports and structures on its surface presented strong constraints on the antenna array design. Eight antennas, each one a quarter-wavelength panel with one radiating and one shorted edge, were chosen. A 0-plane pattern ripple of 4.4 dB and a gain of at least 0.1 dB relative to a half-wavelength dipole were realized. The design technique used for the individual antenna panels included the study of feed-point location for impedance matching and the effect of losses in the dielectric. A superposition method was used to synthesize the radiation patterns for different numbers and different excitations of antennas on the satellite. Copyright ¬© 1981 by The Institute of Electrical and Electronics Engineers, Inc.</t>
  </si>
  <si>
    <t>129-134</t>
  </si>
  <si>
    <t>60004354;60004354</t>
  </si>
  <si>
    <t>7202218169;7202648480</t>
  </si>
  <si>
    <t>Post, Robert E.;Stephenson, David T.</t>
  </si>
  <si>
    <t>Ames</t>
  </si>
  <si>
    <t>Iowa State University</t>
  </si>
  <si>
    <t>Post R.</t>
  </si>
  <si>
    <t>The Design of a Microstrip Antenna Array for a UHF Space Telemetry Link</t>
  </si>
  <si>
    <t>10.1109/TAP.1981.1142539</t>
  </si>
  <si>
    <t>2-s2.0-0019399397</t>
  </si>
  <si>
    <t>377-382</t>
  </si>
  <si>
    <t>Reproduction Nutrition Developpement</t>
  </si>
  <si>
    <t>60104665;60104665</t>
  </si>
  <si>
    <t>7007123377;8692942600</t>
  </si>
  <si>
    <t>Joly, R.;Descamps, M.</t>
  </si>
  <si>
    <t>France</t>
  </si>
  <si>
    <t>Lille</t>
  </si>
  <si>
    <t>Universit√© de Lille</t>
  </si>
  <si>
    <t>Joly R.</t>
  </si>
  <si>
    <t>Effect of brain electrostimulation on antennal regeneration in Lithobius forficatus L. (Myriapoda: Chilopoda). Preliminary note</t>
  </si>
  <si>
    <t>10.1051/rnd:19810303</t>
  </si>
  <si>
    <t>2-s2.0-0019404147</t>
  </si>
  <si>
    <t>['specific emphasis', 'rights reserved', 'results presented', 'radiation characteristics', 'multibeam spectrum', 'contiguous coverage', 'beam topology', 'antenna circuits']</t>
  </si>
  <si>
    <t>The paper is concerned with the three central issues of multibeam spectrum-reuse satellite communication antennas with specific emphasis on the contiguous coverage of the U.S. in Ka-band. The issues are: 1) selection of beam topology, 2) determination of radiation characteristics, and 3) realization of antenna circuits. The results presented are based on detailed computer simulation. ¬© American Institute of Aeronautics and Astronautics, Inc., 1981, All rights reserved.</t>
  </si>
  <si>
    <t>44-51</t>
  </si>
  <si>
    <t>Journal of Spacecraft and Rockets</t>
  </si>
  <si>
    <t>Foldes, Peter</t>
  </si>
  <si>
    <t>Boston</t>
  </si>
  <si>
    <t>General Electric Company</t>
  </si>
  <si>
    <t>Foldes P.</t>
  </si>
  <si>
    <t>K&lt;inf&gt;a&lt;/inf&gt;-band, multibeam, contiguous-coverage satellite antennas for the u.s.</t>
  </si>
  <si>
    <t>10.2514/3.57785</t>
  </si>
  <si>
    <t>2-s2.0-0019436642</t>
  </si>
  <si>
    <t>['¬© 1981', 'toroidal plasmas', 'shaped antenna', 'pressure affected', 'power fed', 'japan society', 'electron heating', 'applied physics', 'also investigated']</t>
  </si>
  <si>
    <t>A T-shaped antenna loaded with alumina was designed and constructed for lower hybrid wave heating of toroidal plasmas. The theoretical power spectra showed that a T-shaped antenna can be used for both ion and electron heating, and the accuracy of the calculation was verified by measuring the antenna's impedance. The dependence of the impedance on the power fed to the antenna was also investigated, and it was found that the R.F. pressure affected the coupling between the antenna and the plasma. ¬© 1981 The Japan Society of Applied Physics.</t>
  </si>
  <si>
    <t>203-203</t>
  </si>
  <si>
    <t>Japanese Journal of Applied Physics</t>
  </si>
  <si>
    <t>60000264;60000264;60000264</t>
  </si>
  <si>
    <t>7203068293;7102111483;36057196100</t>
  </si>
  <si>
    <t>Ohshima, Shigeki;Takamura, Shuichi;Okuda, Takayoshi</t>
  </si>
  <si>
    <t>Nagoya</t>
  </si>
  <si>
    <t>Nagoya University</t>
  </si>
  <si>
    <t>Ohshima S.</t>
  </si>
  <si>
    <t>Compact antennas for lower hybrid wave heating</t>
  </si>
  <si>
    <t>10.1143/JJAP.20.203</t>
  </si>
  <si>
    <t>2-s2.0-0019437537</t>
  </si>
  <si>
    <t>['wide bandwidth', 'reveal limitations', 'resonator action', 'performance limitations', 'particular parameter', 'novel two', 'microstrip antennas', 'lower efficiency', 'frequency scanning', 'feed transitions', 'extraneous radiation', 'electronics engineers', 'common substrate', 'circuit discontinuity', 'also assessed']</t>
  </si>
  <si>
    <t>The fundamental radiation mechanism occurring at an open-circuit discontinuity is discussed to reveal limitations on bandwidth, efficiency, and sidelobe level control inherent in microstrip antennas, based on resonator action. Extraneous radiation from feed transitions is also assessed and shown to be a problem in some cases. Novel two-dimensional arrays using resonant elements are described which illustrate these performance limitations. In contrast, a nonresonant circularly polarized spiral element has a very wide bandwidth at the expense of lower efficiency. Other designs are then noted to show how a particular parameter or aspect can be optimized for antenna applications demanding choice of polarization, frequency scanning, log periodic behavior, low angle radiation, and integration with circuitry on a common substrate. Copyright ¬© 1981 by The Institute of Electrical and Electronics Engineers, Inc.</t>
  </si>
  <si>
    <t>124-128</t>
  </si>
  <si>
    <t>60009658;60009658;60009658;60009658</t>
  </si>
  <si>
    <t>7403018268;57213425197;7403539560;7403098104</t>
  </si>
  <si>
    <t>James, James R.;Hall, Peter S.;Wood, Colin;Henderson, Ann</t>
  </si>
  <si>
    <t>Swindon</t>
  </si>
  <si>
    <t>Defence College of Management and Technology</t>
  </si>
  <si>
    <t>James J.</t>
  </si>
  <si>
    <t>Some Recent Developments in Microstrip Antenna Design</t>
  </si>
  <si>
    <t>10.1109/TAP.1981.1142527</t>
  </si>
  <si>
    <t>2-s2.0-0019437571</t>
  </si>
  <si>
    <t>['wide bandwidth', 'transistor data', 'system designed', 'noise figure', 'frequency range', 'extensive measurements', 'electronics engineers', '10 khz']</t>
  </si>
  <si>
    <t>A technique is presented to calculate the noise figure and available power gain for electricially small antenna amplifier circuits over a wide bandwidth. The method permits reasonable predictions of circuit performance solely from the manufacturer's transistor data, i.e., without resorting to extensive measurements. Results for a system designed for 10 kHz to 500 MHz coverage are presented. The agreement between the calculated and measured noise figures and available power gain is within 3 dB over most of the frequency range. Copyright ¬© 1981 by The Institute of Electrical and Electronics Engineers, Inc.</t>
  </si>
  <si>
    <t>88-92</t>
  </si>
  <si>
    <t>AES-17</t>
  </si>
  <si>
    <t>IEEE Transactions on Aerospace and Electronic Systems</t>
  </si>
  <si>
    <t>60032995-115486601</t>
  </si>
  <si>
    <t>Sainati, R. A.</t>
  </si>
  <si>
    <t>United States;United Kingdom</t>
  </si>
  <si>
    <t>Morris Plains;London</t>
  </si>
  <si>
    <t>Honeywell International Inc.;Naval Underwater Systems Center</t>
  </si>
  <si>
    <t>60032995;115486601</t>
  </si>
  <si>
    <t>Sainati R.A.</t>
  </si>
  <si>
    <t>Performance of an Electrically Small Antenna Amplifier Circuit</t>
  </si>
  <si>
    <t>10.1109/TAES.1981.309040</t>
  </si>
  <si>
    <t>2-s2.0-0019438026</t>
  </si>
  <si>
    <t>['whose maxima', 'vertical displacement', 'system performance', 'separate main', 'phase centers', 'electronics engineers', 'design guidelines', 'control antenna', 'antenna configuration']</t>
  </si>
  <si>
    <t>The sidelobe suppression function in the secondary surveillance radar system is analyzed when separate main and control antenna are used. Their vertical lobing structures are not matched with each other, so a differential lobing pattern comes out whose maxima and minima are enveloped by smooth curves depending on vertical displacement of phase centers and horizon cutoff rates. The developed analysis provides a method for the evaluation of the system performance for any antenna configuration and for the determination of design guidelines. Copyright ¬© 1981 by The Institute of Electrical and Electronics Engineers, Inc.</t>
  </si>
  <si>
    <t>145-149</t>
  </si>
  <si>
    <t>60021199;60021199;60021199</t>
  </si>
  <si>
    <t>7102724070;7003687191;57190803929</t>
  </si>
  <si>
    <t>Marchetti, G.;Picchi, G.;Verrazzani, L.</t>
  </si>
  <si>
    <t>Italy</t>
  </si>
  <si>
    <t>Rome</t>
  </si>
  <si>
    <t>Consiglio Nazionale delle Ricerche</t>
  </si>
  <si>
    <t>Marchetti G.</t>
  </si>
  <si>
    <t>Differential Lobing in Sidelobe Suppression Systems</t>
  </si>
  <si>
    <t>10.1109/TAES.1981.309049</t>
  </si>
  <si>
    <t>2-s2.0-0019438027</t>
  </si>
  <si>
    <t>['wall thickness', 'two modes', 'top end', 'theoretical predictions', 'rigidly attached', 'rights reserved', 'peak amplitudes', 'opposite side', 'nonoptimal orientation', 'modal frequencies', 'mechanical q', 'frequency scan', 'electronic damping', 'damping transducers', 'damping loops', 'cylindrical mast', 'barely separable', 'accompanying paper', '500 ),', '4 g', '30 db', '28 mm', '23 cm', '12 hz']</t>
  </si>
  <si>
    <t>Electronic damping was applied to two orthogonal bending modes in a cylindrical mast. The mast was a 377-g hollow fiberglass cylinder 66 cm long with a 4.3 cm outer diameter and a wall thickness of 0.23 cm. The bottom of the mast was rigidly attached to a large shaker plate, while the top end had a 1500-g inertial mass attached. The two lowest modes of the structure were the two orthogonal first-order bending modes. They had closely spaced resonant frequencies of 33.85 and 34.12 Hz. Although the mechanical Q of each mode was high (500), the modes were just barely separable in a frequency scan. Two orthogonal damping loops were constructed using four small (25.4x6.35x0.28 mm) lightweight (0.4 g) piezoelectric ceramic strain transducers as sensors and drivers, the driver for each loop being on the opposite side of the mast from the sensor. The mast mode orientations were not aligned with the damping transducers. Despite the closeness of the modal frequencies and the nonoptimal orientation of the damping loops, a decrease of over 30 dB in the peak amplitudes of the two modes was demonstrated. The behavior of the experimental setup agrees remarkably well with the theoretical predictions of a mathematical model developed by C.J. Swigert in an accompanying paper. ¬© American Institute of Aeronautics and Astronautics, Inc., 1981, All rights reserved.</t>
  </si>
  <si>
    <t>Forward, Robert L.</t>
  </si>
  <si>
    <t>Malibu</t>
  </si>
  <si>
    <t>HRL Laboratories</t>
  </si>
  <si>
    <t>Forward R.</t>
  </si>
  <si>
    <t>Electronic damping of orthogonal bending modes in a cylindrical mast-experiment</t>
  </si>
  <si>
    <t>10.2514/3.28048</t>
  </si>
  <si>
    <t>2-s2.0-0019438034</t>
  </si>
  <si>
    <t>['theoretical study', 'radiated power', 'input impedance', 'good agreement', 'fringe capacitance', 'feed location', 'electronics engineers', 'disk size', 'disk cavity', 'dielectric constant', 'coaxial line', 'boundary admittance', 'analytical expression']</t>
  </si>
  <si>
    <t>A theoretical study is presented of the input impedance of a circular microstrip disk antenna excited by a coaxial line. The theory is based on Green's function technique applied to the disk cavity with the boundary admittance at the edge. Both the feed pin size and the boundary admittance are shown to be important in deriving the analytical expression for the input impedance. The boundary admittance is obtained by considering the radiated power and the electric and magnetic stored energies in the fringe capacitance. The analytical expression for the input impedance includes the feed location, the feed pin size, the disk size and thickness, and the dielectric constant of the material, and is useful for optimizing various parameters. The calculations are compared with experimental data showing a good agreement. Copyright ¬© 1981 by The Institute of Electrical and Electronics Engineers, Inc.</t>
  </si>
  <si>
    <t>77-83</t>
  </si>
  <si>
    <t>100816102;60015481</t>
  </si>
  <si>
    <t>7401828400;7005122046</t>
  </si>
  <si>
    <t>Yano, Sazanami;Ishimaru, Akira</t>
  </si>
  <si>
    <t>United States;Japan</t>
  </si>
  <si>
    <t>Seattle;Kochi</t>
  </si>
  <si>
    <t>University of Washington;Kochi National College Technology</t>
  </si>
  <si>
    <t>60015481;100816102</t>
  </si>
  <si>
    <t>Yano S.</t>
  </si>
  <si>
    <t>A Theoretical Study of the Input Impedance of a Circular Microstrip Disk Antenna</t>
  </si>
  <si>
    <t>10.1109/TAP.1981.1142535</t>
  </si>
  <si>
    <t>2-s2.0-0019438192</t>
  </si>
  <si>
    <t>['theoretical analysis', 'experimental data', 'electronics engineers']</t>
  </si>
  <si>
    <t>A theoretical analysis of an elliptical microstrip antenna is presented. It is shown that radiation from this antenna is left-hand or right-hand circularly polarized in a narrow frequency band when the eccentricity of the ellipse is small. The theoretical result agrees with the experimental data. Copyright ¬© 1981 by The Institute of Electrical and Electronics Engineers, Inc.</t>
  </si>
  <si>
    <t>90-94</t>
  </si>
  <si>
    <t>Shen, Liang C.</t>
  </si>
  <si>
    <t>Houston</t>
  </si>
  <si>
    <t>University of Houston</t>
  </si>
  <si>
    <t>Shen L.C.</t>
  </si>
  <si>
    <t>The Elliptical Microstrip Antenna with Circular Polarization</t>
  </si>
  <si>
    <t>10.1109/TAP.1981.1142545</t>
  </si>
  <si>
    <t>2-s2.0-0019438193</t>
  </si>
  <si>
    <t>['useful quantity', 'slotted parallel', 'scattering parameters', 'moment method', 'interior dielectric', 'integral equation', 'field pattern', 'electronics engineers']</t>
  </si>
  <si>
    <t>A slotted parallel-plate waveguide filled inside with a material which is truncated is analyzed. An integral equation is formulated for the slot electric field, and it is solved by the moment method. Data are presented for the slot electric field, a special aperture admittance, scattering parameters, and a far-field pattern. The special aperture admittance is a useful quantity in microstrip antenna design and is presented for various truncation lengths of the interior dielectric. Copyright ¬© 1981 by The Institute of Electrical and Electronics Engineers, Inc.</t>
  </si>
  <si>
    <t>112-117</t>
  </si>
  <si>
    <t>60021366;60010491</t>
  </si>
  <si>
    <t>6507079613;7201550943</t>
  </si>
  <si>
    <t>Keshavamurthy, Talya L.;Butler, Chalmers M.</t>
  </si>
  <si>
    <t>Lowell;University</t>
  </si>
  <si>
    <t>M/A-COM (MACOM);University of Mississippi</t>
  </si>
  <si>
    <t>Keshavamurthy T.L.</t>
  </si>
  <si>
    <t>Characteristics of a Slotted Parallel-Plate Waveguide Filled with a Truncated Dielectric</t>
  </si>
  <si>
    <t>10.1109/TAP.1981.1142548</t>
  </si>
  <si>
    <t>2-s2.0-0019438311</t>
  </si>
  <si>
    <t>['specified tolerance', 'operating frequency', 'microstrip antennas', 'interior fields', 'greatly simplified', 'exterior fields', 'electronics engineers', '5 percent']</t>
  </si>
  <si>
    <t>The analysis of microstrip antennas is greatly simplified by a technique which separates the interior fields of the antenna from its exterior fields through the application of an admittance boundary condition at the periphery of the antenna. The goal of this investigation is to determine the accuracy to which one must obtain this ‚Äúwall‚Äù admittance in order to predict operating parameters to a specified tolerance. For a typical microstrip antenna the ‚Äúwall‚Äù admittance must be known to within 4 percent to predict the operating frequency to 0.5 percent. Copyright ¬© 1981 by The Institute of Electrical and Electronics Engineers, Inc.</t>
  </si>
  <si>
    <t>142-144</t>
  </si>
  <si>
    <t>Mink, James W.</t>
  </si>
  <si>
    <t>Research Triangle Park</t>
  </si>
  <si>
    <t>U.S. Army Research Office</t>
  </si>
  <si>
    <t>Mink J.</t>
  </si>
  <si>
    <t>Sensitivity of Microstrip Antennas to Admittance Boundary Variations</t>
  </si>
  <si>
    <t>10.1109/TAP.1981.1142538</t>
  </si>
  <si>
    <t>2-s2.0-0019438312</t>
  </si>
  <si>
    <t>['statically hardware', 'results obtained', 'propagation measurements', 'propagation data', 'known prior', 'differential attenuation', 'circular polarization']</t>
  </si>
  <si>
    <t>Antenna | Centimetric wave | Experimental study | Isostatic compensation | Satellite communication | Wave propagation</t>
  </si>
  <si>
    <t>The performance of a statically hardware-compensated polarization measurement system is analysed, both, for linear and circular polarization. It is shown that such systems may affect the propagation measurements and hence their performance should be known prior to the evaluation of propagation data. With the results obtained, a propagation event recorded along the Ots propagation path is analysed in terms of the differential propagation parameters, i.e. differential attenuation and differential phase shift. ¬© 1981 Springer-Verlag.</t>
  </si>
  <si>
    <t>95-101</t>
  </si>
  <si>
    <t>Dintelmann, Fritz</t>
  </si>
  <si>
    <t>Darmstadt</t>
  </si>
  <si>
    <t>Research Inst of the Deutsche</t>
  </si>
  <si>
    <t>Dintelmann F.</t>
  </si>
  <si>
    <t>12-GHz slant-path propagation measurements</t>
  </si>
  <si>
    <t>10.1007/BF02997011</t>
  </si>
  <si>
    <t>2-s2.0-0019438598</t>
  </si>
  <si>
    <t>['slant path', 'segmented rain', 'rain event', 'made using', 'located radome', 'less antenna', 'ice path', 'fibre radorne', '786 ghz']</t>
  </si>
  <si>
    <t>Centimeter wave | Experimental study | Hydrometeor | Satellite communication | Wave attenuation | Wave depolarization | Wave propagation</t>
  </si>
  <si>
    <t>In this paper, we summarize propagation measurements along a slant path to the Orbital Test Satellite, OTS. Measurements were made using the circularly polarized beacon at 11.786 GHz. We present possible explanations for some of the measured propagation activity using a theoretical model incorporating rain, ice and a segmented rain and ice path. We also discuss measurements made with two electric field probes. Lastly the effect of a rain event on a glass-fibre radorne is illustrated and compared to the same event received via a co-located radome-less antenna. ¬© 1981 Springer-Verlag.</t>
  </si>
  <si>
    <t>126-132</t>
  </si>
  <si>
    <t>60001359;60001359</t>
  </si>
  <si>
    <t>6603784474;55806265000</t>
  </si>
  <si>
    <t>Dilworth, I. J.;Evans, B. G.</t>
  </si>
  <si>
    <t>Colchester</t>
  </si>
  <si>
    <t>University of Essex</t>
  </si>
  <si>
    <t>Dilworth I.</t>
  </si>
  <si>
    <t>Propagation measurements due to rain and ice using the OTS satellite over the period January 1979-May 1980</t>
  </si>
  <si>
    <t>10.1007/BF02997015</t>
  </si>
  <si>
    <t>2-s2.0-0019439558</t>
  </si>
  <si>
    <t>['varying eccentricities', 'special attention', 'shaped printed', 'radiation patterns', 'electronics engineers', 'design criteria', 'circuit antennas']</t>
  </si>
  <si>
    <t>Elliptical-shaped printed-circuit antennas were fabricated with varying eccentricities, and their impedance and radiation patterns were measured. Special attention was devoted to investigating the design criteria which produced the best circular polarization. Copyright ¬© 1981 by The Institute of Electrical and Electronics Engineers, Inc.</t>
  </si>
  <si>
    <t>95-99</t>
  </si>
  <si>
    <t>60005837;60005837-100355024;60033252</t>
  </si>
  <si>
    <t>7402507033;57216596359;6603573377</t>
  </si>
  <si>
    <t>Long, Stuart A.;Shen, Liang C.;Farrar, Frederick G.</t>
  </si>
  <si>
    <t>Adelphi;Houston;Rockville</t>
  </si>
  <si>
    <t>U.S. Army Research Laboratory;University of Houston;Bureau of Radiological Health</t>
  </si>
  <si>
    <t>60033252;60005837;100355024</t>
  </si>
  <si>
    <t>Long S.A.</t>
  </si>
  <si>
    <t>An Experimental Study of the Circular-Polarized Elliptical Printed-Circuit Antenna</t>
  </si>
  <si>
    <t>10.1109/TAP.1981.1142549</t>
  </si>
  <si>
    <t>2-s2.0-0019441590</t>
  </si>
  <si>
    <t>['type integrals', 'surface modes', 'solving pocklington', 'radiation pattern', 'numerical steps', 'moment methods', 'involves analytical', 'input impedance', 'function pertinent', 'electronics engineers', 'dielectric substrate', 'current distribution', 'carefully taken']</t>
  </si>
  <si>
    <t>Printed dipole antennas find increasing use in microwave as well as far infrared frequencies. The current distribution, input impedance, and radiation pattern are computed for wire antennas printed on a dielectric substrate. The current distribution is obtained by solving Pocklington's equation by moment methods. The Green's function pertinent to the problem involves improper Sommerfeld-type integrals. These integrals are computed by a real-axis integration technique which involves analytical and numerical steps. The effect of surface modes is carefully taken into account. Copyright ¬© 1981 by The Institute of Electrical and Electronics Engineers, Inc.</t>
  </si>
  <si>
    <t>99-105</t>
  </si>
  <si>
    <t>60063934;60027550</t>
  </si>
  <si>
    <t>6603732777;7004468161</t>
  </si>
  <si>
    <t>Rana, Inam E.;Alexopoulos, Nicolaos G.</t>
  </si>
  <si>
    <t>Pakistan;United States</t>
  </si>
  <si>
    <t>Karachi;Los Angeles</t>
  </si>
  <si>
    <t>Pakistan Space and Upper Atmosphere Research Commission;University of California, Los Angeles</t>
  </si>
  <si>
    <t>Rana I.</t>
  </si>
  <si>
    <t>Current Distribution and Input Impedance of Printed Dipoles</t>
  </si>
  <si>
    <t>10.1109/TAP.1981.1142536</t>
  </si>
  <si>
    <t>2-s2.0-0019441591</t>
  </si>
  <si>
    <t>['experimental results', 'electronics engineers']</t>
  </si>
  <si>
    <t>A traveling-wave design technique for microstrip series arrays is discussed. The technique is applicable to both resonant and nonresonant array configurations. Experimental results for both configurations are presented. Copyright ¬© 1981 by The Institute of Electrical and Electronics Engineers, Inc.</t>
  </si>
  <si>
    <t>174-178</t>
  </si>
  <si>
    <t>Metzler, Thomas</t>
  </si>
  <si>
    <t>Metzler T.</t>
  </si>
  <si>
    <t>Microstrip Series Arrays</t>
  </si>
  <si>
    <t>10.1109/TAP.1981.1142543</t>
  </si>
  <si>
    <t>2-s2.0-0019441592</t>
  </si>
  <si>
    <t>['scattering coefficients', 'radar systems', 'polarization errors', 'polarization base', 'general treatment', 'formulas developed', 'error parameters', 'copyright 1981', 'calibration procedures', 'ancillary devices']</t>
  </si>
  <si>
    <t>The two‚Äêchannel system includes a two‚Äêterminal antenna with ancillary devices. A general treatment of polarization errors in such a system is given, including the transformation of error parameters and scattering coefficients with a change of polarization base. Calibration procedures are discussed and formulas developed for the calculation of polarization‚Äêrelated quantities in the presence of errors. The effects of polarization errors in transmission and radar systems are outlined. Copyright 1981 by the American Geophysical Union.</t>
  </si>
  <si>
    <t>67-75</t>
  </si>
  <si>
    <t>McCormick, G. C.</t>
  </si>
  <si>
    <t>McCormick G.</t>
  </si>
  <si>
    <t>Polarization errors in a two‚Äêchannel system</t>
  </si>
  <si>
    <t>10.1029/RS016i001p00067</t>
  </si>
  <si>
    <t>2-s2.0-0019441702</t>
  </si>
  <si>
    <t>['numerical results', 'numerical phases', 'method provides', 'experimental data', 'electronics engineers', 'convenient features', 'analyzing characterisitcs']</t>
  </si>
  <si>
    <t>A method for analyzing characterisitcs of open microstrip disk structures is presented. The method is based on the spectral domain immittance matrix approach, and all the wave phenomena associated with the structures are incorporated. The method provides a number of unique and convenient features both in analytical and numerical phases. A numerical example illustrating the usefulness of the method is included. Some numerical results are compared with experimental data. Copyright ¬© 1981 by The Institute of Electrical and Electronics Engineers, Inc.</t>
  </si>
  <si>
    <t>63-68</t>
  </si>
  <si>
    <t>60013372;115567873</t>
  </si>
  <si>
    <t>36041035600;7102063968</t>
  </si>
  <si>
    <t>Itoh, Tatsuo;Menzel, Wolfgang</t>
  </si>
  <si>
    <t>United States;Germany</t>
  </si>
  <si>
    <t>Austin;Ulm</t>
  </si>
  <si>
    <t>The University of Texas at Austin;Hochfrequenztechnik</t>
  </si>
  <si>
    <t>Itoh T.</t>
  </si>
  <si>
    <t>A Full-Wave Analysis Method for Open Microstrip Structures</t>
  </si>
  <si>
    <t>10.1109/TAP.1981.1142520</t>
  </si>
  <si>
    <t>2-s2.0-0019441725</t>
  </si>
  <si>
    <t>['two losses', 'thin cavities', 'simple method', 'microwave frequencies', 'metal cladding', 'metal cannot', 'measured separately', 'losses must', 'electronics engineers', 'different dependence', 'dielectric thickness', 'analytical means']</t>
  </si>
  <si>
    <t>A simple method is presented for the computation of both the dielectric loss tangent and the conductivity of the metal cladding of printed circuit boards at microwave frequencies. Since the treatment of the cladding in the lamination process affects its conductivity, losses in the dielectric and the metal cannot be measured separately. Thus an analytical means for separating these losses must be employed. The method described accomplishes this by utilizing the different dependence of the two losses on dielectric thickness in thin cavities. Copyright ¬© 1981 by The Institute of Electrical and Electronics Engineers, Inc.</t>
  </si>
  <si>
    <t>150-151</t>
  </si>
  <si>
    <t>60000745;60000745;60000745</t>
  </si>
  <si>
    <t>7202452162;7401934487;57197420071</t>
  </si>
  <si>
    <t>Richards, W. F.;Lo, Y. T.;Brewer, J.</t>
  </si>
  <si>
    <t>Urbana</t>
  </si>
  <si>
    <t>University of Illinois Urbana-Champaign</t>
  </si>
  <si>
    <t>A Simple Experimental Method for Separating Loss Parameters of a Microstrip Antenna</t>
  </si>
  <si>
    <t>10.1109/TAP.1981.1142540</t>
  </si>
  <si>
    <t>2-s2.0-0019441726</t>
  </si>
  <si>
    <t>['¬© 1981', 'subsequent improvement', 'reproduction mechanism', 'reaction centers', 'primordial inorganic', 'primary photophosphorylation', 'primary located', 'primary event', 'perfect mechanism', 'organic photoreceptors', 'molecular organization', 'intermediate carriers', 'gradual improvement', 'energy storage', 'electron passed', 'cyclic pathways', 'charge separation', 'anisotropic arrangement']</t>
  </si>
  <si>
    <t>The evolution of photosynthetic energy storage is considered. The primary event in primordial inorganic or organic photoreceptors was charge separation at the expense of light quantum energy. The subsequent improvement of energy storage was attained by separately channeling electrons and "holes" to prevent back reactions. The anisotropic arrangement of photoreceptors in the primary membrane caused a coupling of photochemical charge separation to subsequent ion dislocation and was a prerequisite of primary photophosphorylation. The gradual improvement of the molecular organization of photoreceptor units resulted in antenna and reaction center development. The "hole" was primary located on a peculiar photoreceptor form and the electron passed by tunneling through the chain of intermediate carriers (chlorophylls and pheophytins); thus long-lived charge separation was achieved. The use of the electrons and the "holes" stored in reaction centers for the functioning of the photosynthetic electron transfer chain was realized by cyclic and non-cyclic pathways when the coupling of two photochemical events became the more perfect mechanism to use water molecule as an ultimate electron donor. The appearance of primitive cells inevitably required the coupling of the solar energy conversion mechanism to the reproduction mechanism which used stored solar energy. ¬© 1981.</t>
  </si>
  <si>
    <t>81-87</t>
  </si>
  <si>
    <t>BioSystems</t>
  </si>
  <si>
    <t>Krasnovsky, A. A.</t>
  </si>
  <si>
    <t>Russian Federation</t>
  </si>
  <si>
    <t>Moscow</t>
  </si>
  <si>
    <t>Bach Institute of Biochemistry</t>
  </si>
  <si>
    <t>Krasnovsky A.</t>
  </si>
  <si>
    <t>Evolution of uphill electron transfer</t>
  </si>
  <si>
    <t>030326478190023X</t>
  </si>
  <si>
    <t>10.1016/0303-2647(81)90023-X</t>
  </si>
  <si>
    <t>2-s2.0-0019445167</t>
  </si>
  <si>
    <t>['weakly damped', 'theoretical predictions', 'theoretical model', 'strongly damp', 'rights reserved', 'previous paper', 'phase response', 'model agree', 'low levels', 'feedback damping', 'different levels', 'cylindrical mast', 'computer predictions']</t>
  </si>
  <si>
    <t>We present a theoretical model that describes the effect of electronic damping applied to the first two orthogonal bending modes of a cylindrical mast. Computer predictions of the amplitude and phase response of the mast to excitation frequencies around the two closely spaced resonant modes for different levels of feedback damping are obtained. The analytical model predicts that, with only one damping circuit active and low levels of feedback, both modes are weakly damped. However, as the amount of feedback is increased, we find that we can strongly damp one and only one, of the modes. With two orthogonal electronic-damping circuits operating, we can strongly damp both modes. The theoretical predictions of the model agree in detail with the experimental results obtained in the previous paper. ¬© American Institute of Aeronautics and Astronautics, Inc., 1981, All rights reserved.</t>
  </si>
  <si>
    <t>60005304-117814144;60021939-117814455</t>
  </si>
  <si>
    <t>57124785700;7007100365</t>
  </si>
  <si>
    <t>Swigert, Charles J.;Forward, Robert L.</t>
  </si>
  <si>
    <t>United States;United States;United States;United States</t>
  </si>
  <si>
    <t>Malibu;Waltham;;</t>
  </si>
  <si>
    <t>HRL Laboratories;Raytheon;Exploratory Studies Department;Tactical Systems Division</t>
  </si>
  <si>
    <t>60021939;60005304;117814455;117814144</t>
  </si>
  <si>
    <t>Swigert C.</t>
  </si>
  <si>
    <t>Electronic damping of orthogonal bending modes in a cylindrical mast-theory</t>
  </si>
  <si>
    <t>10.2514/3.28047</t>
  </si>
  <si>
    <t>2-s2.0-0019476951</t>
  </si>
  <si>
    <t>['theoretical results', 'several configurations', 'radiation characteristics', 'new class', 'many applications', 'isolated elements', 'electronics engineers', 'construction simplicity']</t>
  </si>
  <si>
    <t>A new class of printed circuit radiator consisting of a microstrip dipole electromagnetically coupled to a microstrip feed line is described. Several configurations which differ in bandwidth, efficiency, and construction simplicity are presented. A geometry which has been found to be optimum for many applications is noted. Radiation characteristics of both isolated elements and arrays of elements are examined. Experimental and theoretical results are presented. Copyright ¬© 1981 by The Institute of Electrical and Electronics Engineers, Inc.</t>
  </si>
  <si>
    <t>151-157</t>
  </si>
  <si>
    <t>60005304;60022476</t>
  </si>
  <si>
    <t>6506015386;7003580687</t>
  </si>
  <si>
    <t>Oltman, H. George;Huebner, Donald A.</t>
  </si>
  <si>
    <t>Boulder;Waltham</t>
  </si>
  <si>
    <t>Ball Aerospace;Raytheon</t>
  </si>
  <si>
    <t>60022476;60005304</t>
  </si>
  <si>
    <t>Oltman H.</t>
  </si>
  <si>
    <t>Electromagnetically Coupled Microstrip Dipoles</t>
  </si>
  <si>
    <t>10.1109/TAP.1981.1142526</t>
  </si>
  <si>
    <t>2-s2.0-0019476962</t>
  </si>
  <si>
    <t>['‚ àán', 'waves reflected', 'study degradation', 'refraction including', 'reflected wave', 'realistic index', 'realistic discontinuity', 'polarization discrimination', 'multipath propagation', 'major influence', 'direct wave', 'computer program', 'antenna pattern', 'antenna effects', 'analytic index']</t>
  </si>
  <si>
    <t>Computer simulation | Microwaves | Multipath propagation | Wave propagation</t>
  </si>
  <si>
    <t>A computer program has been constructed to study degradation in Xpd (cross-polarization discrimination) due to multipath propagation. The geometric optics limit is used. The program will accept any analytic index of refraction including those with discontinuities in n or ‚àán. Antenna effects are included and all reflected, refracted, direct and ground reflected rays can be considered. Using a realistic index of refraction and realistic discontinuity, we have found that, after the antenna pattern, the major influence on Xpd is interference between the ground-reflected wave and the direct wave. There is also significant interference due to the waves reflected from the refractive index discontinuity which may arrive without ground reflection or may be reflected once or twice from the ground. ¬© 1981 Springer-Verlag.</t>
  </si>
  <si>
    <t>89-94</t>
  </si>
  <si>
    <t>60079059;60079059</t>
  </si>
  <si>
    <t>7006330973;7003786614</t>
  </si>
  <si>
    <t>Nickerson, S. Bruce;Shkarofsky, Issie P.</t>
  </si>
  <si>
    <t>Pointe-Claire</t>
  </si>
  <si>
    <t>MPB Technologies Inc.</t>
  </si>
  <si>
    <t>Nickerson S.</t>
  </si>
  <si>
    <t>A computer simulation of XPD degradation due to multipath propagation</t>
  </si>
  <si>
    <t>10.1007/BF02997010</t>
  </si>
  <si>
    <t>2-s2.0-0019477604</t>
  </si>
  <si>
    <t>['switching time', 'switching performance', 'phase shifter', 'electromcs engineers', 'driver make', 'compatible driver', 'compact module', 'airborne applications', '8 ns', '36 mw', '1 mhz']</t>
  </si>
  <si>
    <t>The design and implementation of a high-speed, low-power, and TTL-compatible driver for a 12 GHz digital p-i-n phase shifter are shown. The switching performance of the phase shifter, combined with its driver in a compact module, is presented. Measurements of 40 phase shifter/driver modules show that the longest time required to change phase states (switching time) is under 8 ns. The maximum driving power consumption is 36 mW at a phase switching repetition rate of 1 MHz. Each module can handle 800 mW of CW RF power. The performance and compactness of the phase shifter/driver make this module especially attractive for satellite and airborne applications. Copyright ¬© 1981 by The Institute of Electrical and Electromcs Engineers, Inc.</t>
  </si>
  <si>
    <t>46-50</t>
  </si>
  <si>
    <t>60021378;60021378</t>
  </si>
  <si>
    <t>7003808036;7005967210</t>
  </si>
  <si>
    <t>Amitay, N.;Glance, B.</t>
  </si>
  <si>
    <t>Amitay N.</t>
  </si>
  <si>
    <t>Switching Performance of a 12 GHz p-i-n Phase Shifter/Driver Module for Satellite Communication Phased Array</t>
  </si>
  <si>
    <t>10.1109/TCOM.1981.1094866</t>
  </si>
  <si>
    <t>2-s2.0-0019478120</t>
  </si>
  <si>
    <t>['weights set', 'wavelength spacing', 'sharp reduction', 'processing gain', 'one strong', 'mhz signal', 'mhz bandwidth', 'ground due', 'experimental results', 'electronics engineers', 'desired signal', 'complex shape', 'array antenna', 'angular separations', 'adaptive antenna', '5 db', '300 iterations', '10 ¬∞.']</t>
  </si>
  <si>
    <t>Experimental results from a four-element, linear, half-wavelength spacing, adaptive-array antenna under the control of the least mean square (LMS) algorithm are presented. The array is found to be capable of nulling a 70-MHz signal to ‚àí35 dB below a desired signal over a 5-MHz bandwidth. The antenna processing gain is constant over a desired signal-to-jammer signal power ratio range from ‚àí20 dB to 5 dB. A sharp reduction in processing gain is observed for angular separations between jammer and desired signal of less than 10¬∞. Antenna patterns taken with weights set in 300 iterations of the LMS algorithm show that the one strong, one weak jammer combination has a longer weight convergence time and reduced processing gain compared with a two strong jammers combination. Contours of constant desired signal-to-jammer signal power ratio, after adaptive antenna processing, reveal a complex shape for communication between air and ground due to the finite angular resolution of the adaptive antenna. Copyright ¬© 1981 by The Institute of Electrical and Electronics Engineers, Inc.</t>
  </si>
  <si>
    <t>35-47</t>
  </si>
  <si>
    <t>Rickman, James D.</t>
  </si>
  <si>
    <t>Burlington</t>
  </si>
  <si>
    <t>RCA Automated Systems</t>
  </si>
  <si>
    <t>Rickman J.D.</t>
  </si>
  <si>
    <t>Results from a Four-Element Adaptive Antenna Experiment</t>
  </si>
  <si>
    <t>10.1109/TAES.1981.309034</t>
  </si>
  <si>
    <t>2-s2.0-0019478186</t>
  </si>
  <si>
    <t>['surface wave', 'shown experimentally', 'plane coupling', 'nearly square', 'mutual coupling', 'investigated experimentally', 'increasing separation', 'electronics engineers', 'band rectangular', '25 db', '20 db']</t>
  </si>
  <si>
    <t>Mutual coupling between L-band rectangular, nearly square, and circular microstrip antennas has been investigated experimentally by a series of measurements of the S-parameters. The mutual coupling level decreases monotonically with increasing separation between elements with the E-plane coupling down 20 dB and the H-plane coupling down 25 dB for typical adjacent element spacings. For 1/16 in and 1/8 in substrates at L-band the predominant coupling mechanism is via the space wave since the surface wave is shown experimentally to be small. Copyright ¬© 1981 by The Institute of Electrical and Electronics Engineers, Inc.</t>
  </si>
  <si>
    <t>147-149</t>
  </si>
  <si>
    <t>60022476;60014582;60002162</t>
  </si>
  <si>
    <t>57205003059;7005779362;7004358469</t>
  </si>
  <si>
    <t>Jedlicka, R. P.;Poe, M. T.;Carver, K. R.</t>
  </si>
  <si>
    <t>Boulder;Rochester;Las Cruces</t>
  </si>
  <si>
    <t>Ball Aerospace;Eastman Kodak Company;New Mexico State University</t>
  </si>
  <si>
    <t>Jedlicka R.P.</t>
  </si>
  <si>
    <t>Measured Mutual Coupling Between Microstrip Antennas</t>
  </si>
  <si>
    <t>10.1109/TAP.1981.1142529</t>
  </si>
  <si>
    <t>2-s2.0-0019478205</t>
  </si>
  <si>
    <t>['electronics engineers', 'antenna height', 'also described', '15 percent']</t>
  </si>
  <si>
    <t>Foam-supported highly efficient microstrip antennas are described. Theoretical and experimental results show that bandwidths up to 15 percent can be obtained at the expense of an increase in the antenna height (to about 0.1 wavelength). The performance of an array of broadband elements fed by a microstrip corporate feed network is also described. Copyright ¬© 1981 by The Institute of Electrical and Electronics Engineers, Inc.</t>
  </si>
  <si>
    <t>140-141</t>
  </si>
  <si>
    <t>60004661;60004661</t>
  </si>
  <si>
    <t>55933044300;7005400394</t>
  </si>
  <si>
    <t>Derneryd, Anders G.;Karlsson, Ingmar</t>
  </si>
  <si>
    <t>Stockholm</t>
  </si>
  <si>
    <t>Telefonaktiebolaget LM Ericsson</t>
  </si>
  <si>
    <t>Derneryd A.</t>
  </si>
  <si>
    <t>Broadband Microstrip Antenna Element and Array</t>
  </si>
  <si>
    <t>10.1109/TAP.1981.1142530</t>
  </si>
  <si>
    <t>2-s2.0-0019478358</t>
  </si>
  <si>
    <t>['successful operation', 'subsequently designed', 'structural panel', 'small weight', 'scanning capabilities', 'rpv ).', 'radiating aperture', 'production quantities', 'plating equipment', 'operated successfully', 'line p', 'electronics engineers', 'electrical characteristics', 'demonstration array', 'array antenna', 'antenna range']</t>
  </si>
  <si>
    <t>A design of a lightweight low volume electronically scanned antenna is described. This antenna, besides being the radiating aperture, serves as a load-sharing fuselage panel in a small weight-sensitive remotely piloted vehicle (RPV). A demonstration array incorporating the microstrip radiating elements, stripline feed circuit, and microstrip-line p-i-n diode phase shifters was assembled to evaluate the electrical characteristics and scanning capabilities of the array. The demonstration array was tested on the antenna range and operated successfully as part of a radar/communication subsystem demonstration. An eight-element lightweight section of the demonstration array was subsequently designed and fabricated in a modern production facility utilizing numerically controlled machines and state-of-the-art printed circuit board etching and plating equipment. Successful operation of this lightweight section sufficiently demonstrated that a lightweight and low volume electronically steerable phase-array antenna can be fabricated and integrated into a structural panel in production quantities. Copyright ¬© 1981 by The Institute of Electrical and Electronics Engineers, Inc.</t>
  </si>
  <si>
    <t>178-182</t>
  </si>
  <si>
    <t>60030821;60030821</t>
  </si>
  <si>
    <t>7203044294;7004910336</t>
  </si>
  <si>
    <t>Yee, James S.;Furlong, William J.</t>
  </si>
  <si>
    <t>Chicago</t>
  </si>
  <si>
    <t>Boeing Corporation</t>
  </si>
  <si>
    <t>Yee J.S.</t>
  </si>
  <si>
    <t>An Extremely Lightweight Fuselage-Integrated Phased Array for Airborne Applications</t>
  </si>
  <si>
    <t>10.1109/TAP.1981.1142528</t>
  </si>
  <si>
    <t>2-s2.0-0019478359</t>
  </si>
  <si>
    <t>['total energy', 'three antennas', 'sharp gradient', 'plasma edge', 'plasma coupling', 'general pattern', 'four waveguides', 'formatted text', 'energy spectrum', 'appreciable fraction', 'accessibility condition']</t>
  </si>
  <si>
    <t>An extensive numerical investigation of the waveguide-plasma coupling, in the lower hybrid range of frequencies, is presented. The role of a sharp density gradient at the plasma edge is investigated. It is found that, in the case of a very sharp gradient, the accessibility condition [formatted text] is violated and an appreciable fraction of the total energy is launched in the range [formatted text]. The case of one, two and four waveguides is considered, and it is found that the general pattern of the energy spectrum is very similar for the three antennas. ¬© 1981 IOP Publishing Ltd.</t>
  </si>
  <si>
    <t>83-91</t>
  </si>
  <si>
    <t>Nuclear Fusion</t>
  </si>
  <si>
    <t>60009386;60009386</t>
  </si>
  <si>
    <t>6603622312;7004075494</t>
  </si>
  <si>
    <t>Fichet, M.;Fidone, I.</t>
  </si>
  <si>
    <t>Fontenay-aux-Roses</t>
  </si>
  <si>
    <t>CEA Fontenay aux Roses</t>
  </si>
  <si>
    <t>Fichet M.</t>
  </si>
  <si>
    <t>Density gradient effect on waveguide launching of lower hybrid waves</t>
  </si>
  <si>
    <t>10.1088/0029-5515/21/1/007</t>
  </si>
  <si>
    <t>2-s2.0-0019482165</t>
  </si>
  <si>
    <t>['strip conductor', 'microstrip problem', 'electronics engineers', 'certain fraction']</t>
  </si>
  <si>
    <t>It is shown how the two forms E √ó H* and E* √ó H should be used when extracting reactance information from the complex Poynting vector in a microstrip problem. When the strip is narrow it is necessary to distinguish between the actual and the effective dielectric constants of the substrate in the formulation of the fields, and this leads to a determination of an axial magnetic field component with a certain fraction of the axial current diverted to the top of the strip conductor. Copyright ¬© 1981 by The Institute of Electrical and Electronics Engineers, Inc.</t>
  </si>
  <si>
    <t>144-147</t>
  </si>
  <si>
    <t>60000221;60000221</t>
  </si>
  <si>
    <t>7007056438;6603495437</t>
  </si>
  <si>
    <t>Lewin, Leonard;Ruehle, T.</t>
  </si>
  <si>
    <t>University of Colorado Boulder</t>
  </si>
  <si>
    <t>Lewin L.</t>
  </si>
  <si>
    <t>A Note on the Complex Poynting Vector and on the Fractional Current on the Upper Surface of a Microstrip Line</t>
  </si>
  <si>
    <t>10.1109/TAP.1981.1142544</t>
  </si>
  <si>
    <t>2-s2.0-0019482191</t>
  </si>
  <si>
    <t>['purified acridine', 'increasing concentration', 'head structures', 'extra heads', 'extra antennae', 'cricket heads', 'branched antennae', 'acridine orange', 'abnormalities increase']</t>
  </si>
  <si>
    <t>A chemical impurity isolated from commercially purchased acridine causes cricket embryos to develop extra compound eyes, branched antennae, extra antennae, and extra heads. Purified acridine does not produce similar duplications of cricket heads or head structures nor do the substituted acridines proflavine, acriflavine, or acridine orange. A dose-response relation exists such that the number and severity of abnormalities increase with increasing concentration of the teratogen. Copyright ¬© 1981 AAAS.</t>
  </si>
  <si>
    <t>51-53</t>
  </si>
  <si>
    <t>Science</t>
  </si>
  <si>
    <t>Walton, Barbara T.</t>
  </si>
  <si>
    <t>Oak Ridge</t>
  </si>
  <si>
    <t>ORNL Environmental Sciences Division</t>
  </si>
  <si>
    <t>Walton B.</t>
  </si>
  <si>
    <t>Chemical impurity produces extra compound eyes and heads in crickets</t>
  </si>
  <si>
    <t>10.1126/science.6782672</t>
  </si>
  <si>
    <t>2-s2.0-0019486214</t>
  </si>
  <si>
    <t>National Cancer Institute</t>
  </si>
  <si>
    <t>R01CA023594</t>
  </si>
  <si>
    <t>NCI</t>
  </si>
  <si>
    <t>['¬© 1981', 'utilize hyperthermia', 'thermistor probes', 'thermal profiles', 'rights reserved', 'promising alternative', 'parameters studied', 'microwave probes', 'insertion depth', 'heating capabilities', 'gelatin technique', 'four methods', 'experimental approach', 'electromagnetic properties', 'dog brain', 'direct measurement', 'dielectric constant', 'cancer therapy', 'antenna insulation', 'antenna impedance', 'american association']</t>
  </si>
  <si>
    <t>ANTENNAS | HYPERTHERMIA | MICROWAVE EQUIPMENT | NEOPLASMS | OPTIMIZATION | TEMPERATURE DISTRIBUTION</t>
  </si>
  <si>
    <t>Hyperthermia has emerged as a promising alternative or adjunct to other forms of cancer therapy. In order to utilize hyperthermia in very localized volumes immersed in regions of vital normal tissue, an invasive microwave coaxial monopole antenna has been developed. An experimental approach has been taken to characterize and optimize the electromagnetic properties and heating capabilities of bare and insulated antennas imbedded in tissue equivalent phantoms and dog brain. Four methods have been used to visualize the thermal profiles of the microwave probes: the liquid crystal technique, the gelatin technique, and the direct measurement of temperature with thermistor probes in phantom and dog brain. Among the parameters studied are: antenna impedance, insertion depth, antenna insulation (dielectric constant and thickness), shaft insulation, and frequency. ¬© 1981, American Association of Physicists in Medicine. All rights reserved.</t>
  </si>
  <si>
    <t>174-183</t>
  </si>
  <si>
    <t>Medical Physics</t>
  </si>
  <si>
    <t>60030443;60030443;60030443;60030443</t>
  </si>
  <si>
    <t>57043197000;7003894176;7005534211;7003830659</t>
  </si>
  <si>
    <t>Sieyes, David C.;Douple, Evan B.;Strohbehn, John W.;Trembly, B. Stuart</t>
  </si>
  <si>
    <t>Hanover</t>
  </si>
  <si>
    <t>Thayer School of Engineering at Dartmouth</t>
  </si>
  <si>
    <t>Sieyes D.</t>
  </si>
  <si>
    <t>Some aspects of optimization of an invasive microwave antenna for local hyperthermia treatment of cancer</t>
  </si>
  <si>
    <t>10.1118/1.594930</t>
  </si>
  <si>
    <t>2-s2.0-0019486480</t>
  </si>
  <si>
    <t>['various conditions', 'tws radar', 'track file', 'relative superiority', 'readily demonstrate', 'initial range', 'electronics engineers', 'digital computer', 'computing time']</t>
  </si>
  <si>
    <t>The probability of maintaining the track file, after acquisition in a track-while-scan (TWS) radar, has been formulated and computed under various conditions of initial range, velocity, and track drop time. All calculations are based on a predetermined update probability versus range characteristic. Results, obtainable with a digital computer in just seconds of computing time, readily demonstrate the relative superiority of retention characteristics achievable for TWS radar with an electronically steerable array antenna. Copyright ¬© 1981 by The Institute of Electrical and Electronics Engineers, Inc.</t>
  </si>
  <si>
    <t>139-144</t>
  </si>
  <si>
    <t>Farrell, James L.</t>
  </si>
  <si>
    <t>Pittsburgh</t>
  </si>
  <si>
    <t>Westinghouse Electric Company</t>
  </si>
  <si>
    <t>Farrell J.</t>
  </si>
  <si>
    <t>Retention Probability In a Track-While-Scan Radar</t>
  </si>
  <si>
    <t>10.1109/TAES.1981.309047</t>
  </si>
  <si>
    <t>2-s2.0-0019488029</t>
  </si>
  <si>
    <t>['rays reflected', 'phase patterns', 'multipath propagation', 'linear polarization', 'give cross', 'first relates', 'cross polarization', 'circular polarization', 'becomes worse', 'antenna amplitude']</t>
  </si>
  <si>
    <t>Antenna | Atmospheric refraction | Depolarization | Isolation | Model | Multipath propagation | Wave propagation | Wave reflection</t>
  </si>
  <si>
    <t>A formulation combining three sources of cross polarization in multipath propagation is given. The first relates to finite antenna isolation which becomes worse for off-axis multipath reception. Antenna amplitude and phase patterns are most important. The second, associated with atmospheric refractive index variations, requires asymmetric gradients for both linear and circular polarization. This by itself is the least signifiant source of depolarization but these rays cause variable interference between themselves and with other rays. The third is due to rays reflected once or twice from the ground. For linear polarization, inclined ground reflectors are required, but for circular polarization, polarization-dependent reflection coefficients are sufficient to give cross-polarization. ¬© 1981 Springer-Verlag.</t>
  </si>
  <si>
    <t>83-88</t>
  </si>
  <si>
    <t>7003786614;7006330973</t>
  </si>
  <si>
    <t>Shkarofsky, Issie P.;Nickerson, S. Bruce</t>
  </si>
  <si>
    <t>Shkarofsky I.</t>
  </si>
  <si>
    <t>Multipath depolarization theory combining antenna with atmospheric and ground reflection effects</t>
  </si>
  <si>
    <t>10.1007/BF02997009</t>
  </si>
  <si>
    <t>2-s2.0-0019491070</t>
  </si>
  <si>
    <t>['without increasing', 'two feeds', 'thin frequency', 'shorting posts', 'scanned array', 'radiation patterns', 'operating frequency', 'operate simultaneously', 'microstrip antennas', 'input impedance', 'hand circular', 'electronics engineers', 'electronically controlled', 'circular polarization', '1 range']</t>
  </si>
  <si>
    <t>A technique is investigated for controlling the operating frequency and polarization of microstrip antennas. The control is achieved by placing shorting posts at appropriate locations within the antenna's boundaries. By changing the number and locations of the posts, the operating frequency can be tuned over a 1.5-to-1 range, and the polarization can be changed from horizontal to vertical, right-hand circular, or left-hand circular. All of these changes are obtained without significantly altering the input impedance or radiation patterns of the antena and without increasing the complexity of the external microwave feed network. The frequency and polarization can be electronically controlled by using microwave switching diodes for the shorting posts. Antennas that have two feeds and operate simultaneously in two orthogonal polarizations have been constructed with the capability to switch between linear and circular polarization. Also, a thin frequency-scanned array has been built with the frequency-agile microstrip elements. Copyright ¬© 1981 by The Institute of Electrical and Electronics Engineers, Inc.</t>
  </si>
  <si>
    <t>118-123</t>
  </si>
  <si>
    <t>100355024;60033252;60033252;60033252</t>
  </si>
  <si>
    <t>7006791463;6603573377;6508334849;7202407551</t>
  </si>
  <si>
    <t>Schaubert, Daniel H.;Farrar, Frederick G.;Sindoris, Arthur;Hayes, Scott T.</t>
  </si>
  <si>
    <t>Adelphi;Rockville</t>
  </si>
  <si>
    <t>U.S. Army Research Laboratory;Bureau of Radiological Health</t>
  </si>
  <si>
    <t>60033252;100355024</t>
  </si>
  <si>
    <t>Schaubert D.</t>
  </si>
  <si>
    <t>Microstrip Antennas with Frequency Agility and Polarization Diversity</t>
  </si>
  <si>
    <t>10.1109/TAP.1981.1142546</t>
  </si>
  <si>
    <t>2-s2.0-0019496606</t>
  </si>
  <si>
    <t>027-76-ESN</t>
  </si>
  <si>
    <t>['¬© 1981', 'triplet states', 'temperature dependence', 'somewhat larger', 'singlet yield', 'singlet ground', 'rights reserved', 'reaction center', 'rate constants', 'rate constant', 'particular choice', 'model predicts', 'magnetic field', 'kt ),', 'good fits', 'frequency factor', 'energy difference', 'dependent via', 'delta e', 'delayed fluorescence', 'charge separation', 'biophysical society', 'best fits', 'bacteriochlorophyll fluorescence', 'antenna system', '8 ns', '5 ns', '300 k', '12 ns']</t>
  </si>
  <si>
    <t>The temperature dependence of the bacteriochlorophyll fluorescence and reaction center triplet yield in while cells of Rhodopseudomonas sphaeroides strain 2.4.1 and of the magnetic field-induced fluorescence increase are calculated, taking into account rate constants of losses in the antenna system and of charge separation and recombination in the reaction center. Triplet and singlet yield after recombination in the reaction center are described by the radical pair mechanism. Good fits of the theoretically calculated temperature dependence with published experimental results could be obtained, assuming that ks, the rate constant for recombination of the charges on the primary donor P+ and the reduced intermediate acceptor I- to the lowest excited singlet state P*I of the reaction center bacteriochlorophyll, is temperature-dependent via the Boltzmann factor Kso exp(-delta E/kT), where delta E is the energy difference between P*I and P+I- and kso is the frequency factor. kg and/or kt, the rate constants for recombination to the singlet ground and triplet states, respectively, were assumed to be temperature-independent, or temperature-dependent via their exothermicity factors ki = CiT-1/2 exp(-Ei/kT) with i = g, t. Depending on the particular choice for the temperature dependence of kg and kt, best fits were obtained for delta E = 45‚Äì75 meV and recombination rate constants at 300 K of ks = 0.4‚Äì0.8 ns-1, kg = 0.08‚Äì0.12 ns-1, and kt = 0.3‚Äì0.5 ns-1. The model predicts a lifetime of the radical pair P+I- that is somewhat larger than that of delayed fluorescence; a magnetic field increases both. ¬© 1981, The Biophysical Society. All rights reserved.</t>
  </si>
  <si>
    <t>325-344</t>
  </si>
  <si>
    <t>Biophysical Journal</t>
  </si>
  <si>
    <t>6603349005;7103325525</t>
  </si>
  <si>
    <t>Rademaker, H.;Hoff, A. J.</t>
  </si>
  <si>
    <t>Rademaker H.</t>
  </si>
  <si>
    <t>The balance between primary forward and back reactions in bacterial photosynthesis</t>
  </si>
  <si>
    <t>S0006349581848527</t>
  </si>
  <si>
    <t>10.1016/S0006-3495(81)84852-7</t>
  </si>
  <si>
    <t>2-s2.0-0019498692</t>
  </si>
  <si>
    <t>['totally reabsorbed', 'tenebrio molitor', 'secretion rather', 'nervous tissue', 'later stages', 'extremely large', 'epidermal tissue', 'epidermal cells', 'embryonic development', 'early stages', 'cellular reorganization', 'cellular growth', 'antennal development']</t>
  </si>
  <si>
    <t>The post-embryonic development of the later stages of the antenna of Tenebrio molitor has been studied by SEM and correlative light microscopy. Development of the cuticle, epidermis, nervous tissue and tracheae are described. Exocuticle is shown to be the first cuticular layer deposited. Epidermal cells are shown to be extremely large and actively secreting cuticular material. A separation between epidermal tissue and nervous tissue is noted. A cotton-like material surrounds and, at times, adheres to the developing antennal structures. The pupal case endocuticle is not totally reabsorbed by the pupa at the early stages of antennal development. The later stages of development of the antenna of T. molitor are characterized by cellular growth and secretion rather than cellular reorganization and proliferation.</t>
  </si>
  <si>
    <t>177-182</t>
  </si>
  <si>
    <t>Scanning Electron Microscopy</t>
  </si>
  <si>
    <t>60025447;60025447</t>
  </si>
  <si>
    <t>7004868287;7103036951</t>
  </si>
  <si>
    <t>Trombetta, L. D.;Berman, E. L.</t>
  </si>
  <si>
    <t>Queens</t>
  </si>
  <si>
    <t>St. John's University</t>
  </si>
  <si>
    <t>Trombetta L.D.</t>
  </si>
  <si>
    <t>Cuticle deposition and post-embryonic development of the antenna of Tenebrio molitor L. (coleoptera:tenebrionidae)</t>
  </si>
  <si>
    <t>2-s2.0-0019502917</t>
  </si>
  <si>
    <t>['various types', 'usually close', 'thermal radiation', 'thermal noise', 'terrain exists', 'space administration', 'second harmonic', 'require development', 'radio telescopes', 'radio telescope', 'radio observatories', 'radio astronomy', 'radiating 6', 'radar astronomy', 'program initiated', 'present data', 'power signal', 'national aeronautics', 'main frequencies', 'ionospheric heating', 'interference thresholds', 'intensive studies', 'input stages', 'high sensitivity', 'fall close', 'declinations close', 'component failures', 'collecting stations', 'cause overloading', 'bands close', 'adequate shielding', '7 gw', '45 ghz', '38 ghz', '30 ¬∞']</t>
  </si>
  <si>
    <t>Intensive studies of the feasibility of a satellite power system (SPS) are currently being carried out under a program initiated by the U.S. Department of Energy and the National Aeronautics and Space Administration. In such a system, satellites in the geostationary orbit convert solar radiation to microwaves, which are beamed to collecting stations on earth in order to provide electric power. An envisioned reference system for such studies is composed of 60 satellites spaced at 1¬∞ intervals, each radiating 6.7 GW at 2.45 GHz. Such a system can interact with radio and radar astronomy systems in a number of ways. The power signal and its harmonics, which fall close to radio astronomy bands, can cause overloading of input stages, and mitigation will require development of cryogenically cooled filters. Radiation within radio astronomy bands can result from transmitter‚Äêgenerated noise, thermal noise from the large solar cell arrays, and possibly from intermodulation, component failures, and turn‚Äêon transients. Noise and harmonics can also be generated by the power‚Äêcollecting rectennas. There may be propagation effects resulting from ionospheric heating. For those effects for which the magnitude can be estimated from present data, comparison is made with the interference thresholds for various types of radio telescopes. It is concluded that for any radio telescope, a zone of sky will be centered on the arc of satellites, in which observations with high sensitivity are precluded. The width of this zone, as determined by thermal radiation, is estimated to vary from about 30¬∞ for single‚Äêantenna telescopes to a few degrees for high‚Äêresolution arrays and interferometers. There will be some degradation in performance in bands close to the power signal and its second harmonic, and it will be necessary to insure that adequate shielding by terrain exists between radio observatories and the power receiving sites. The interference thresholds are higher for radar astronomy than for radio astronomy, but one of the main frequencies, 2.38 GHz, is very close to the power transmission frequency, and targets are usually close to the ecliptic and therefore at declinations close to the arc of satellites. Coexistence of radio and radar astronomy with the SPS will be crucially dependent upon the quality of engineering and maintenance of the satellites. This paper not subject to U.S. copyright. Published in 1981 by the American Geophysical Union.</t>
  </si>
  <si>
    <t>35-45</t>
  </si>
  <si>
    <t>Thompson, A. R.</t>
  </si>
  <si>
    <t>Thompson A.</t>
  </si>
  <si>
    <t>Effects of a satellite power system on ground‚Äêbased radio and radar astronomy</t>
  </si>
  <si>
    <t>10.1029/RS016i001p00035</t>
  </si>
  <si>
    <t>2-s2.0-0019515973</t>
  </si>
  <si>
    <t>['seriously hindered', 'results obtained', 'microwave systems', 'ghz regions', 'field pattern', 'electronics engineers', 'distinct advantages', 'become apparent']</t>
  </si>
  <si>
    <t>Proof of the feasibility of low-cost conformal printed circuit board antenna arrays at millimeter wave frequencies is presented. It has become apparent that present day trends in microwave systems are indicating extensive design efforts in the millimeter wave region. Many proposed systems will be seriously hindered by a lack of readily available inexpensive components. Microstrip conformal antennas have distinct advantages in cost, variety of field pattern, and reproducibility for microwave system design. It is felt that similar advantages could be realized at millimeter wave frequencies. The results obtained with actual experimental hardware are described. Discussed are 4 √ó 4 element arrays operating in the 35- and 60-GHz regions and a 32 √ó 32 element array operating near 38 GHz. Copyright ¬© 1981 by The Institute of Electrical and Electronics Engineers, Inc.</t>
  </si>
  <si>
    <t>171-174</t>
  </si>
  <si>
    <t>Weiss, M. A.</t>
  </si>
  <si>
    <t>Weiss M.A.</t>
  </si>
  <si>
    <t>Microstrip Antennas for Millimeter Waves</t>
  </si>
  <si>
    <t>10.1109/TAP.1981.1142547</t>
  </si>
  <si>
    <t>2-s2.0-0019515997</t>
  </si>
  <si>
    <t>['waveguide cavity', 'transverse electromagnetic', 'surface waves', 'specified frequency', 'space waves', 'resonant path', 'resonant frequency', 'resonance condition', 'reflection coefficient', 'q factor', 'microstrip patches', 'manner analogous', 'graphical method', 'given mode', 'finite size', 'expression obtained', 'encountered frequently', 'electronics engineers', 'design curves', 'aspect ratio', 'analytical expressions', 'also possible']</t>
  </si>
  <si>
    <t>A graphical method for determining the size of a resonant rectangular microstrip patch for a specified frequency is given. Using an expression obtained from the reflection coefficient of a transverse electromagnetic (TEM) wave in a semi-infinite microstrip patch, the resonance condition of a given mode for a patch of finite size is derived in a manner analogous to that of a rectangular, waveguide cavity. Radiation is shown to be in the form of both surface waves and space waves and is dependent on the angles of incidence for waves impinging onto the edges of the patch. By varying the aspect ratio, it is also possible to modify the Q factor of a resonant path. Analytical expressions for the resonant frequency and the Q factor are then derived under the assumption of a very thin substrate slab, encountered frequently in the application. Design curves in the form of the ‚ÄúArgand diagram‚Äù are then presented for microstrip patches with fixed aspect ratios. Copyright ¬© 1981 by The Institute of Electrical and Electronics Engineers, Inc.</t>
  </si>
  <si>
    <t>54-62</t>
  </si>
  <si>
    <t>Chang, David C.</t>
  </si>
  <si>
    <t>Chang D.</t>
  </si>
  <si>
    <t>Analytical Theory of an Unloaded Rectangular Microstrip Patch</t>
  </si>
  <si>
    <t>10.1109/TAP.1981.1142533</t>
  </si>
  <si>
    <t>2-s2.0-0019517081</t>
  </si>
  <si>
    <t>['wave analysis', 'quite good', 'present method', 'method applied', 'ground plane', 'electronics engineers']</t>
  </si>
  <si>
    <t>A full-wave analysis of a circular disk conductor printed on a dielectric substrate backed by a ground plane is presented. The method is based on the Galerkin's method applied in the Hankel transform domain and is numerically quite efficient. Several numerical examples are compared with available experimental data. The agreement is found to be quite good and the validity of the present method is confirmed. Copyright ¬© 1981 by The Institute of Electrical and Electronics Engineers, Inc.</t>
  </si>
  <si>
    <t>84-89</t>
  </si>
  <si>
    <t>60031126;60013372</t>
  </si>
  <si>
    <t>7402551666;36041035600</t>
  </si>
  <si>
    <t>Araki, Kiyomichi;Itoh, Tatsuo</t>
  </si>
  <si>
    <t>Japan;United States</t>
  </si>
  <si>
    <t>Tokyo;Austin</t>
  </si>
  <si>
    <t>Tokyo Institute of Technology;The University of Texas at Austin</t>
  </si>
  <si>
    <t>Araki K.</t>
  </si>
  <si>
    <t>Hankel Transform Domain Analysis of Open Circular Microstrip Radiating Structures</t>
  </si>
  <si>
    <t>10.1109/TAP.1981.1142521</t>
  </si>
  <si>
    <t>2-s2.0-0019517082</t>
  </si>
  <si>
    <t>['surface waves', 'mutual impedance', 'mutual coupling', 'microstrip dipoles', 'grounded substrate', 'electronics engineers', 'echelon arrangements']</t>
  </si>
  <si>
    <t>The mutual impedance between microstrip dipoles printed on a grounded substrate is computed. Results for the microstrip dipoles in broadside, collinear, and echelon arrangements are presented. The significance of surface waves to mutual coupling is discussed. Copyright ¬© 1981 by The Institute of Electrical and Electronics Engineers, Inc.</t>
  </si>
  <si>
    <t>106-111</t>
  </si>
  <si>
    <t>60027550;60063934</t>
  </si>
  <si>
    <t>7004468161;6603732777</t>
  </si>
  <si>
    <t>Alexopoulos, Nicolaos G.;Rana, Inam E.</t>
  </si>
  <si>
    <t>Alexopoulos N.</t>
  </si>
  <si>
    <t>Mutual Impedance Computation Between Printed Dipoles</t>
  </si>
  <si>
    <t>10.1109/TAP.1981.1142531</t>
  </si>
  <si>
    <t>2-s2.0-0019517083</t>
  </si>
  <si>
    <t>['tilt angle', 'theory uses', 'strip relative', 'slot voltage', 'slot elements', 'practical values', 'novel method', 'input impedance', 'geometrical theory', 'external coupling', 'enables determination', 'electronics engineers', 'collinear array', 'boxed stripline', 'array constructed']</t>
  </si>
  <si>
    <t>An analytical design method is presented which enables determination of the length of each slot in a collinear array and the tilt angle of the strip relative to each slot for a specified aperture distribution and input impedance, in the presence of external mutual coupling. The theory uses an extension of Stevenson's approach to relate the TEM mode current in the boxed stripline to the slot voltage, and a geometrical theory of diffraction (GTD) expression for the external coupling between slot elements. A novel method is introduced to constrain resonant slot lengths to practical values. An array constructed to validate the theory has given good results. Copyright ¬© 1981 by The Institute of Electrical and Electronics Engineers, Inc.</t>
  </si>
  <si>
    <t>135-140</t>
  </si>
  <si>
    <t>60021392;60027550</t>
  </si>
  <si>
    <t>7202425073;57220065537</t>
  </si>
  <si>
    <t>Park, Pyong K.;Elliott, Robert S.</t>
  </si>
  <si>
    <t>Los Angeles;Tucson</t>
  </si>
  <si>
    <t>University of California, Los Angeles;Hughes Missile Systems Company</t>
  </si>
  <si>
    <t>60027550;60021392</t>
  </si>
  <si>
    <t>Park P.K.</t>
  </si>
  <si>
    <t>Design of Collinear Longitudinal Slot Arrays Fed by Boxed Stripline</t>
  </si>
  <si>
    <t>10.1109/TAP.1981.1142537</t>
  </si>
  <si>
    <t>2-s2.0-0019517085</t>
  </si>
  <si>
    <t>['mode launcher', 'launching efficiency', 'investigated using', 'ground plane', 'electronics engineers', 'also demonstrated']</t>
  </si>
  <si>
    <t>Slots in the ground plane of dielectric image lines are investigated using a planar resonator model. An equivalent circuit representation of die slot discontinuity is derived and the launching efficiency of the slot as a mode launcher is discussed. Slots are also demonstrated to be useful in the realization of dielectric image line array antennas. Copyright ¬© 1981 by The Institute of Electrical and Electronics Engineers, Inc.</t>
  </si>
  <si>
    <t>Solbach, Klaus</t>
  </si>
  <si>
    <t>Duisburg</t>
  </si>
  <si>
    <t>Universit√§t Duisburg-Essen</t>
  </si>
  <si>
    <t>Solbach K.</t>
  </si>
  <si>
    <t>Slots in Dielectric Image Line as Mode Launchers and Circuit Elements</t>
  </si>
  <si>
    <t>10.1109/TMTT.1981.1130279</t>
  </si>
  <si>
    <t>2-s2.0-0019517090</t>
  </si>
  <si>
    <t>['wiley company', 'time variation', 'system adopts', 'suppressed sufficiently', 'remaining computation', 'output minimization', 'interference wave', 'interference component', 'inc .,', 'frequency spectra', 'field experiment', 'directional constraint', 'digital portion', 'desired signal', 'antenna directivity', 'analog portion', '30 db']</t>
  </si>
  <si>
    <t>The VHF 2‚Äêchannel adaptive antenna system was constructed by means of the output minimization under directional constraint, and its performance was evaluated. In the field experiment, the preservation of the desired signal and elimination of the interference wave were confirmed. The system adopts a hybrid‚Äêtype implementation of the analog processing part and digital processing part. The correlation between the input and output is calculated by the analog portion and the remaining computation is made by the digital portion. The time variation of the desired signal and the interference component, the frequency spectra of the output and the antenna directivity were measured in the laboratory. When the desired signal and the interference wave have the common frequency band, the interference wave can be suppressed sufficiently by this system if their incoming directions differ. The signal‚Äêto‚Äêinterference ratio was above 30 dB. In the field experiment, we obtained 20 dB. Copyright ¬© 1981 Wiley Periodicals, Inc., A Wiley Company</t>
  </si>
  <si>
    <t>72-81</t>
  </si>
  <si>
    <t>60011001;60011001;60011001;60011001;60011001</t>
  </si>
  <si>
    <t>7102188996;36972333900;7101888809;55477155100;7402952086</t>
  </si>
  <si>
    <t>Takao, Kazuaki;Kawamura, Osamu;Komiyama, Koji;Hashimoto, Kozo;Kimura, Iwane</t>
  </si>
  <si>
    <t>Kyoto</t>
  </si>
  <si>
    <t>Kyoto University</t>
  </si>
  <si>
    <t>Takao K.</t>
  </si>
  <si>
    <t>Experiment of a hybrid‚Äêtype implementation of an adaptive array under directional constraint</t>
  </si>
  <si>
    <t>10.1002/ecja.4410640210</t>
  </si>
  <si>
    <t>2-s2.0-0019524476</t>
  </si>
  <si>
    <t>['wave oscillator', 'unshielded guide', 'surface radiation', 'sensitive self', 'producing millimeter', 'oscillating mixer', 'new method', 'metal coating', 'high rnecessary', 'hence avoids', 'electronics engineers', 'difficult machining', 'dielectric body']</t>
  </si>
  <si>
    <t>A new method of producing millimeter - wave oscillator/mixers and associated antenna horns has been developed. This uses the technique of metal coating of a dielectric body, and hence avoids the expensive and difficult machining of conventional metal cavities. A sensitive self-oscillating mixer has been tested in this structure and shown to be free from the unstable operation associated with surface radiation of unshielded dielectric waveguide. Low cr dielectric was used, thus facilitating ease of matching in contrast with the high rnecessary with unshielded guide. Copyright ¬© 1981 by The Institute of Electrical and Electronics Engineers, Inc.</t>
  </si>
  <si>
    <t>102-106</t>
  </si>
  <si>
    <t>60023643;60023643;60023643</t>
  </si>
  <si>
    <t>7006094772;6602372504;7005207264</t>
  </si>
  <si>
    <t>Lazarus, Max J.;Pantoja, F. R.;Somekh, M. G.</t>
  </si>
  <si>
    <t>Lancaster</t>
  </si>
  <si>
    <t>Lancaster University</t>
  </si>
  <si>
    <t>Lazarus M.</t>
  </si>
  <si>
    <t>Metallized Dielectric Horn and Waveguide Structures for Millimeter-Wave Oscillator/Mixer Systems</t>
  </si>
  <si>
    <t>10.1109/TMTT.1981.1130303</t>
  </si>
  <si>
    <t>2-s2.0-0019527698</t>
  </si>
  <si>
    <t>['zero functions', 'virtual sphere', 'upon signal', 'tolerance ratio', 'superresolution antennas', 'superdirective arrays', 'superdirective antennas', 'sphere radius', 'solution exists', 'small spacings', 'short samples', 'robust range', 'radian wavelengths', 'pole function', 'paper reviews', 'n ).', 'much less', 'modest increases', 'maximum gain', 'line sources', 'limit q', 'gain limitation', 'gain antennas', 'electronics engineers', 'dependent upon', 'cost factors', 'antennas nave', 'antenna enclosed', 'antenna diameter', 'achievable gain', 'achievable band', '1œé tolermce', '100 db']</t>
  </si>
  <si>
    <t>Four fundamental limitations in antennas nave been identified in the areas of: electrically small antennas, superdirective antennas, superresolution antennas, and high-gain antennas. All exhibit roughly exponential increase in cost factors with performance increase beyond. the robust range. This paper reviews these limitations. Electrically small antennas are analyzed via spherical mode theory, with the antenna enclosed in a virtual sphere. Minimum Q varies inversely as the cube of sphere radius in radian wavelengths when the radius is much less than the latter. This limits the achievable band-width. Superdirective apertures require a constraint; the optimization is generally intractable except for line sources. Superdirective arrays have spacing below half-wavelength, and for small spacings a constraint is desirable to limit Q, tolerances, efficiency, sidelobes, etc. This is accomplished by expressing constrained directivity as a ratio of two Hermitian quadratic forms, for which a solution exists. Array Q varies exponentially with directivity so only modest increases are practical. Superresolution arrays use maximum entropy processing to improve spatial frequency resolution for short samples (short arrays), analogous to spectral analysis processing. An amplitude-tapered autocorrelation function is extended by linear least square prediction and autoregression; the latter contributes filter poles. This extension is with minimum added information, hence maximum entropy. In contrast to superdirective arrays which are all zero functions, superresolution maximum entropy uses an all pole function. Results are dependent upon the sampling subarray size and upon signal/noise (S/N). Required S/N increases exponentially with inverse angular resolution. Achievable gain of high-gain reflector antennas is limited by cost of the structure. For random surface errors maximum gain is proportional to the mechanical tolerance ratio (antenna diameter/1œÉ tolermce) squared. Since cost increases rapidly with diameter and with tolerance ratio this comprises a gain limitation. Current best reflecton have maximum gain in the range of 90 to 100 dB. Copyright ¬© 1981 by The Institute of Electrical and Electronics Engineers. Inc.</t>
  </si>
  <si>
    <t>170-182</t>
  </si>
  <si>
    <t>Proceedings of the IEEE</t>
  </si>
  <si>
    <t>Hansen, R. C.</t>
  </si>
  <si>
    <t>Tarzana</t>
  </si>
  <si>
    <t>Consulting Engineer with R. C. Hansen Inc.</t>
  </si>
  <si>
    <t>Hansen R.</t>
  </si>
  <si>
    <t>Fundamental Limitations in Antennas</t>
  </si>
  <si>
    <t>10.1109/PROC.1981.11950</t>
  </si>
  <si>
    <t>2-s2.0-0019527773</t>
  </si>
  <si>
    <t>['¬© 1981', 'rights reserved', 'proposes solutions', 'paper discusses', 'mainly arise', 'increasing reliance', 'improved performance', 'electrical engineers']</t>
  </si>
  <si>
    <t>Aerospace facilities and techniques | Antennas | Direction-finding techniques | Interference | Multipath effects | Radar | Reflection | Secondary surveillance radar systems</t>
  </si>
  <si>
    <t>Secondary surveillance radar (SSR) offers many advantages for air traffic control (ATC) compared to normal (or primary) radar including substantially lower cost and improved performance. Because of the increasing reliance being placed on SSR by ATC a number of the system problems associated with SSR are becoming less easily tolerated. The paper discusses these problems, which mainly arise from multipath and mutual interference effects, and proposes solutions. ¬© 1981, The Institution of Electrical Engineers. All rights reserved.</t>
  </si>
  <si>
    <t>43-53</t>
  </si>
  <si>
    <t>IEE Proceedings F: Communications Radar and Signal Processing</t>
  </si>
  <si>
    <t>Stevens, M. C.</t>
  </si>
  <si>
    <t>Harlow</t>
  </si>
  <si>
    <t>Cossor Electronics Ltd</t>
  </si>
  <si>
    <t>Stevens M.</t>
  </si>
  <si>
    <t>Multipath and interference effects in secondary surveillance radar systems</t>
  </si>
  <si>
    <t>10.1049/ip-f-1.1981.0007</t>
  </si>
  <si>
    <t>2-s2.0-0019528463</t>
  </si>
  <si>
    <t>U.S. Department of Energy</t>
  </si>
  <si>
    <t>DE-AT03-76-ET51011</t>
  </si>
  <si>
    <t>USDOE</t>
  </si>
  <si>
    <t>['¬© 1981', 'rights reserved', 'relative simplicity', 'plasma temperature', 'physical model', 'paper describes', 'method stems', 'linear theory', 'hyperbolic axis', 'elliptic axes', 'doublet plasma', 'doublet equilibrium', 'concept depends', 'axisymmetric mode', 'auxiliary heating', 'attractive means']</t>
  </si>
  <si>
    <t>Heating of a doublet plasma by driving an axisymmetric mode at low frequency may be an attractive means for auxiliary heating. The attractiveness of the method stems from (1) the low technology required for low-frequency power sources, (2) the fact that the field-shaping coils required for doublets may also be used as the antennae for transmitting the power, (3) the possibility of transmitting the power through a resistive vacuum wall, (4) the insensitivity to the plasma temperature and density and (5) the relative simplicity of the physical model. The utility of the concept depends on the existence of a special axisymmetric eigenmode in the resistive MHD approximation which is used. This mode has nodes through the elliptic axes of the doublet equilibrium and an antinode at the hyperbolic axis. It is remarkable that the dissipation per cycle of this mode remains large at low plasma resistivity. This paper describes a linear theory for such heating. ¬© 1981, Cambridge University Press. All rights reserved.</t>
  </si>
  <si>
    <t>133-143</t>
  </si>
  <si>
    <t>Journal of Plasma Physics</t>
  </si>
  <si>
    <t>60013901;60013901;60003261</t>
  </si>
  <si>
    <t>7401539560;6602315642;6603824143</t>
  </si>
  <si>
    <t>Jensen, T. H.;McClain, F. W.;Grad, H.</t>
  </si>
  <si>
    <t>San Diego;New York</t>
  </si>
  <si>
    <t>General Atomics;Courant Institute of Mathematical Sciences</t>
  </si>
  <si>
    <t>60013901;60003261</t>
  </si>
  <si>
    <t>Jensen T.</t>
  </si>
  <si>
    <t>Low-frequency heating of doublets</t>
  </si>
  <si>
    <t>10.1017/S002237780002300X</t>
  </si>
  <si>
    <t>2-s2.0-0019528534</t>
  </si>
  <si>
    <t>['unavailability due', 'transmission capacity', 'transmission bandwidth', 'synchronous multiple', 'small 5', 'satellites operating', 'satellite system', 'satellite capacity', 'rain outage', 'rain attenuation', 'ghz system', 'geosynchronous arc', 'factors upon', 'factors peculiar', 'electronics engineers', 'efficient utilization', 'current trends', 'communication satellites', 'communication channels', 'channel nonlinearity', 'available power', 'also explored', '30 gbit', '10 gbit', '1 percent', '01 percent']</t>
  </si>
  <si>
    <t>The transmission capacity which can be provided by a geo- synchronous multiple-beam satellite employing frequency reuse is studied. Like all communication channels, satellite capacity is limited by available power, transmission bandwidth, and noise. In addition, factors peculiar to satellite links include cochannel interference among neighboring beams, channel nonlinearity, nonuniformly distributed traffic, and for satellites operating at frequencies above 10-GHz, rain attenuation. The effects of these factors upon the capacity of a satellite system are examined in detail. Results for a 12/14-GHz system with assumed satellite parameters compatible with a space shuttle launch and small 5 m earth station antennas show that a capacity of about 30 Gbit/s can be provided if the unavailability due to rain outage is no greater than 0.1 percent, and that about 10 Gbit/s can be provided for an unavailability no greater than 0.01 percent. Efficient utilization of the geosynchronous arc is also explored, and current trends in communication satellites are discussed. Copyright ¬© 1981 by The Institute of Electrical and Electronics Engineers. Inc.</t>
  </si>
  <si>
    <t>209-225</t>
  </si>
  <si>
    <t>60021378;60021378;60021378</t>
  </si>
  <si>
    <t>6701824497;7006070875;7202183081</t>
  </si>
  <si>
    <t>Reudink, Douglas O.;Acampora, Anthony S.;Yeh, Yu Shuan</t>
  </si>
  <si>
    <t>Reudink D.O.</t>
  </si>
  <si>
    <t>The Transmission Capacity of Multibeam Communication Satellites</t>
  </si>
  <si>
    <t>10.1109/PROC.1981.11953</t>
  </si>
  <si>
    <t>2-s2.0-0019532277</t>
  </si>
  <si>
    <t>['wave equation', 'radiation pattern', 'printed dipoles', 'input currents', 'hertz potential', 'experimental results', 'electronics engineers', 'current distribution', 'computed results', 'boundary conditions', 'antenna elements']</t>
  </si>
  <si>
    <t>An analysis of Log Periodic Antenna with Printed Dipoles is presented here. In this analysis, the wave equation for Hertz potential is solved in Cartesian coordinates applying the boundary conditions of a flat strip dipole. Using this model, the input currents to the antenna elements, the current distribution of the antenna elements, and the radiation pattern are computed. The computed results are compared with experimental results. Copyright ¬© 1981 by The Institute of Electrical and Electronics Engineers, Inc.</t>
  </si>
  <si>
    <t>114-117</t>
  </si>
  <si>
    <t>60028628-60021988;60003500</t>
  </si>
  <si>
    <t>57198009878;7102202358</t>
  </si>
  <si>
    <t>Paul, Alakananda;Gupta, Inderjeet</t>
  </si>
  <si>
    <t>United States;India;United States</t>
  </si>
  <si>
    <t>Boston;Kanpur;Columbus</t>
  </si>
  <si>
    <t>Northeastern University;Indian Institute of Technology Kanpur;The Ohio State University</t>
  </si>
  <si>
    <t>60028628;60021988;60003500</t>
  </si>
  <si>
    <t>Paul A.</t>
  </si>
  <si>
    <t>An Analysis of Log Periodic Antenna with Printed Dipoles</t>
  </si>
  <si>
    <t>10.1109/TMTT.1981.1130305</t>
  </si>
  <si>
    <t>2-s2.0-0019532334</t>
  </si>
  <si>
    <t>['‚ äòtargets', 'thereby providing', 'target height', 'target distance', 'target based', 'sufficient accuracy', 'ray path', 'range calibration', 'radio sources', 'precisely known', 'often referred', 'new systems', 'navigation systems', 'many applications', 'ionospheric effects', 'inversion layers', 'improved correction', 'first derived', 'calibration source', 'angular refraction', 'angular positions', 'angle error']</t>
  </si>
  <si>
    <t>Tropospheric refractive range and angle errors limit the performance of radar and navigation systems that operate at low elevation angles. For some locations and for many applications, antenna pointing corrections based on surface refractivity alone or, if necessary, a vertical refractivity profile are adequate. However, new systems that operate at very low elevation angles require improved accuracies. More accurate angle error corrections can be obtained by utilizing calibration sources (often referred to as ‚Äòtargets of opportunity‚Äô), such as the limb of the sun, radio sources, or satellites, the angular positions of which are precisely known. Since the angle error is dependent on the target distance, an expression for angle error as a function of target height is derived. Unfortunately, radio sources cannot be used for range calibration, and since the ranges of most satellites are not known to a sufficient accuracy, the range error correction is still a problem. It is shown in this paper that it is possible to develop a method for obtaining an improved range error correction by utilizing measured angle error data for the same ray path. An expression for the refractive angle error correction for a target based on the measured angle error of the calibration source is first derived; also the angular refraction is expressed as a function of the angle error. It is then shown that the range error correction for a target can be expressed as a function of the angular refraction and can thus be calculated from a set of angle error measurements, thereby providing an improved correction. In the formulation of this problem a time independent spherically stratified nonionized atmosphere with a monotonically decreasing index of refraction with altitude is adopted, so the solution is only valid at frequencies above which ionospheric effects are negligible and for atmospheres which do not have inversion layers in refractivity. Also, it is assumed that both the calibration source and target are above the troposphere. This paper not subject to U.S. copyright. Published in 1981 by the American Geophysical Union.</t>
  </si>
  <si>
    <t>191-195</t>
  </si>
  <si>
    <t>March-April 1981</t>
  </si>
  <si>
    <t>7005729666;7005725380</t>
  </si>
  <si>
    <t>Mano, K.;Altshuler, E. E.</t>
  </si>
  <si>
    <t>Mano K.</t>
  </si>
  <si>
    <t>Tropospheric refractive angle and range error corrections utilizing exoatmospheric sources</t>
  </si>
  <si>
    <t>10.1029/RS016i002p00191</t>
  </si>
  <si>
    <t>2-s2.0-0019539245</t>
  </si>
  <si>
    <t>['scattering contribution', 'physical interpretation', 'observation distance', 'impulse current', 'formally expressed', 'efficiently computed', 'earth surface', 'earth conductivity', 'copyright 1981']</t>
  </si>
  <si>
    <t>The problem of electromagnetic pulse propagation over a dissipative earth surface, excited by a vertical electric dipole located on the earth surface, is investigated. By deforming related integrals in the complex frequency domain it is shown that the scattering contribution of the earth, which is formally expressed in terms of several double infinite integrals, can be efficiently computed from some single finite integrals and is amenable to physical interpretation. Dispersion of electromagnetic waves eminating from an impulse current is presented as a function of both the observation distance and the earth conductivity. Copyright 1981 by the American Geophysical Union.</t>
  </si>
  <si>
    <t>169-177</t>
  </si>
  <si>
    <t>7004932193;7403319959</t>
  </si>
  <si>
    <t>Haddad, Hussain;Chang, David C.</t>
  </si>
  <si>
    <t>Haddad H.</t>
  </si>
  <si>
    <t>Transient electromagnetic field generated by a vertical electric dipole on the surface of a dissipative earth</t>
  </si>
  <si>
    <t>10.1029/RS016i002p00169</t>
  </si>
  <si>
    <t>2-s2.0-0019539246</t>
  </si>
  <si>
    <t>['vertical magnetic', 'simple formula', 'refractive index', 'published results', 'particular interest', 'numerical examples', 'input impedances', 'half space', 'exact solutions', 'exact solution', 'copyright 1981']</t>
  </si>
  <si>
    <t>Exact solutions are derived for the input impedances of vertical magnetic and electric short dipoles over a lossy half space. The exact solution is expressed as a simple formula and a remainder, which takes the form of a rapidly converging series. Reduction to available approximate solutions in the literature under conditions of large dipole heights, large refractive index of the half space, or both is demonstrated. The derivation of new simple formulae that tend to the exact solutions when the refractive index of the half space approaches both limits of infinity or unity is of particular interest. Numerical examples are presented and compared with published results. Copyright 1981 by the American Geophysical Union.</t>
  </si>
  <si>
    <t>179-189</t>
  </si>
  <si>
    <t>7004541711;35581830600</t>
  </si>
  <si>
    <t>Metwally, Ahmed D.M.;Mahmoud, Samir F.</t>
  </si>
  <si>
    <t>Metwally A.</t>
  </si>
  <si>
    <t>Input impedance of vertical dipoles near a lossy half space</t>
  </si>
  <si>
    <t>10.1029/RS016i002p00179</t>
  </si>
  <si>
    <t>2-s2.0-0019539251</t>
  </si>
  <si>
    <t>['uniquely summarized', 'three solutions', 'three methods', 'radar imaging', 'previously identified', 'present purposes', 'objects ranging', 'object dimension', 'new results', 'insight provided', 'fundamental importance', 'free responses', 'finite object', 'electronics engineers', 'complex geometries', 'additional insight']</t>
  </si>
  <si>
    <t>Three different solutions to problems in identification and inverse scattering using restricted far-zone scattering data are reviewed and illustrated. The data are restricted in the sense that the frequencies, aspects, and polarizations are limited. All three solutions are based in part on a fundamental time domain viewpoint whereby the far-zone scattering characteristics of any finite object are uniquely summarized by its impulse response waveforms. Insight provided by these waveforms is exploited via geometrical characteristics extracted from steady-state, forced, and free responses of the object. For the present purposes the fundamental importance of signaling waveforms whose wavelengths are within an order of magnitude of the object dimension is demonstrated. The basic methods discussed have been previously identified in the literature as natural resonance estimation, radar imaging from ramp response signatures, and low frequency classification. Related common features, additional insight, and some new results are given. Applications of all three methods to objects ranging from simple to complex geometries are described. Copyright ¬© 1981 by The Institute of Electrical and Electronics Engineers, Inc.</t>
  </si>
  <si>
    <t>192-205</t>
  </si>
  <si>
    <t>60003500;60003500-60025522;60003500;60003500</t>
  </si>
  <si>
    <t>7006756793;7408526953;6602247520;7003639970</t>
  </si>
  <si>
    <t>Moffatt, David L.;Young, Jonathan D.;Ksienski, Aharon A.;Rhoads, Charles M.</t>
  </si>
  <si>
    <t>Melbourne;Columbus</t>
  </si>
  <si>
    <t>Harris Corporation;The Ohio State University</t>
  </si>
  <si>
    <t>60025522;60003500</t>
  </si>
  <si>
    <t>Moffatt D.L.</t>
  </si>
  <si>
    <t>Transient Response Characteristics in Identification and Imaging</t>
  </si>
  <si>
    <t>10.1109/TAP.1981.1142584</t>
  </si>
  <si>
    <t>2-s2.0-0019539681</t>
  </si>
  <si>
    <t>['scatterer illuminated', 'representations provides', 'reflection coefficient', 'reflected field', 'practical interest', 'plane wave', 'permittivity profiles', 'next three', 'inverse problems', 'integral representations', 'guided modes', 'four methods', 'first method', 'electronics engineers', 'electromagnetic probing', 'electromagnetic fields', 'apparent diversity']</t>
  </si>
  <si>
    <t>Four methods of electromagnetic probing of an inhomogeneous plane stratified medium are presented. They differ by the nature of the incident wave used in the diagnostic. In the first method, the medium is considered as a structure propagating guided modes, and permittivity profiles are determined from the knowledge of one of the guided modes. In the next three, the medium is considered as a scatterer illuminated by a plane wave. Two of them are devoted to reconstruction of conductivity or permittivity profiles from time domain analysis of the reflected field. The last one allows one to obtain permittivity profiles from spectral domain analysis of the reflection coefficient. In spite of their apparent diversity, all these methods are issued from integral representations of the electromagnetic fields. These representations provides the simulated experimental data for the inverse problems. The behavior of these processes has been examined when parameters of practical interest are varied. Copyright ¬© 1981 by The Institute of Electrical and Electronics Engineers, Inc.</t>
  </si>
  <si>
    <t>206-212</t>
  </si>
  <si>
    <t>60007136;60007136;60007136</t>
  </si>
  <si>
    <t>56796502600;7003287869;7006771943</t>
  </si>
  <si>
    <t>Bolomey, Jean Charles;Lesselier, Dominique;Tabbara, Walid</t>
  </si>
  <si>
    <t>Gif-sur-Yvette</t>
  </si>
  <si>
    <t>Laboratoire des Signaux et Syst√®mes</t>
  </si>
  <si>
    <t>Bolomey J.C.</t>
  </si>
  <si>
    <t>Spectral and Time Domain Approaches to Some Inverse Scattering Problems</t>
  </si>
  <si>
    <t>10.1109/TAP.1981.1142552</t>
  </si>
  <si>
    <t>2-s2.0-0019539682</t>
  </si>
  <si>
    <t>['three levels', 'squares solutions', 'several results', 'robustness conditions', 'resolution processes', 'reproducing kernels', 'regularization algorithms', 'posed problems', 'posed problem', 'pattern synthesis', 'particular reference', 'numerical realization', 'numerical methods', 'numerical implementations', 'numerical analysis', 'norm least', 'method reduces', 'interdisciplinary character', 'generalized inverses', 'general framework', 'electronics engineers', 'common problem', 'approximation schema', 'approximation methods', 'applied specifically', 'antenna synthesis']</t>
  </si>
  <si>
    <t>A general framework for regularization and approximation methods for ill-posed problems is developed. Three levels in the resolution processes are distinguished and emphasized: philosophy of resolution, regularization-approximation schema, and regularization algorithms. Dilemmas and methodologies of resolution of ill-posed problem and their numerical implementations are examined in this framework with particular reference to the problem of finding numerically minimum weighted-norm least-squares solutions of first kind integral equations (and more generally of linear operator equations with nonclosed range). A common problem in all these methods is delineated: each method reduces the problem of resolution to a ‚Äúnonstandard‚Äù minimization problem involving an unknown critical ‚Äúparameter‚Äù whose ‚Äúoptimal‚Äù value is crucial to the numerical realization and amenability of the method. The ‚Äúnonstandardness‚Äù results from the fact that one does not have explicitly, or a priori, the function to be minimized; it has to built up using additional information, convergence rate estimates, and robustness conditions, etc. Several results are developed that complement recent advances in numerical analysis and regularization of inverse and ill-posed (identification and pattern synthesis) problems. An emphasis is placed on the role of constraints, function space methods, the role of generalized inverses, and reproducing kernels in the regularization and stable computational resolution of these problems. The results will be applied specifically to problems of antenna synthesis and identification. However the thrust of the paper is devoted to the interdisciplinary character of operator-theoretic and numerical methods for ill-posed problems. Copyright ¬© 1981 by The Institute of Electrical and Electronics Engineers, Inc.</t>
  </si>
  <si>
    <t>220-231</t>
  </si>
  <si>
    <t>Nashed, M. Zuhair</t>
  </si>
  <si>
    <t>Newark</t>
  </si>
  <si>
    <t>University of Delaware</t>
  </si>
  <si>
    <t>Nashed M.Z.</t>
  </si>
  <si>
    <t>Operator-Theoretic and Computational Approaches to Ill-Posed Problems with Applications to Antenna Theory</t>
  </si>
  <si>
    <t>10.1109/TAP.1981.1142564</t>
  </si>
  <si>
    <t>2-s2.0-0019539683</t>
  </si>
  <si>
    <t>['electronics engineers', 'broadside incidence', 'axial incidence', 'addressed directly']</t>
  </si>
  <si>
    <t>The inverse scattering problem is addressed directly in the time domain using an exact space‚Äîtime integral equation as the basis for solution. A time domain approach to the solution is presented and demonstrated for the case of conducting rotationally symmetric targets with both axial incidence and broadside incidence. Both an iterative and a direct solution technique are illustrated and compared. Copyright ¬© 1981 by The Institute of Electrical and Electronics Engineers, Inc.</t>
  </si>
  <si>
    <t>213-219</t>
  </si>
  <si>
    <t>Bennett, C. Leonard</t>
  </si>
  <si>
    <t>Blue Bell</t>
  </si>
  <si>
    <t>Unisys Corporation</t>
  </si>
  <si>
    <t>Bennett C.</t>
  </si>
  <si>
    <t>Time Domain Inverse Scattering</t>
  </si>
  <si>
    <t>10.1109/TAP.1981.1142556</t>
  </si>
  <si>
    <t>2-s2.0-0019539684</t>
  </si>
  <si>
    <t>['phase measurements', 'numerical examples', 'mathematical analysis', 'fundamental instability', 'electronics engineers', 'efficient algorithm', 'difficulties linked', 'algorithm applies']</t>
  </si>
  <si>
    <t>An efficient algorithm is presented to compute the shape of perfectly conducting cylinders via knowledge of scattering cross sections. This choice of scattering data avoids the difficulties linked with the phase measurements or reconstructions. The mathematical analysis is performed in terms of operator and functions, and the fundamental instability of the problem is demonstrated. Then the stability is restored by means of a Tikhonov‚ÄîMiller regularization. The efficiency of the method is outlined by numerical examples. References are given which show that the same algorithm applies to other electromagnetic inverse problems, especially to gratings. Copyright ¬© 1981 by The Institute of Electrical and Electronics Engineers, Inc.</t>
  </si>
  <si>
    <t>232-238</t>
  </si>
  <si>
    <t>Roger, Andr√©</t>
  </si>
  <si>
    <t>Marseille</t>
  </si>
  <si>
    <t>Aix Marseille Universit√©</t>
  </si>
  <si>
    <t>Roger A.</t>
  </si>
  <si>
    <t>Newton‚ÄîKantorovitch Algorithm Applied to an Electromagnetic Inverse Problem</t>
  </si>
  <si>
    <t>10.1109/TAP.1981.1142588</t>
  </si>
  <si>
    <t>2-s2.0-0019539685</t>
  </si>
  <si>
    <t>['various profiles', 'time points', 'time domain', 'time discretization', 'scattering problem', 'reflected field', 'reconstructed numerically', 'problems lead', 'numerical method', 'numerical computation', 'linear equations', 'integral equation', 'infinite system', 'general criteria', 'finite subsystem', 'field strength', 'electronics engineers', 'electric field', 'based upon', 'approximate inverse', 'approximate direct']</t>
  </si>
  <si>
    <t>A numerical method is presented to compute one un-known constitutive parameter of an inhomogeneous lossy dielectric slab from the reflected field in the time domain. The method is based upon a space-time discretization of the integral equation for the reflected field. In the inversion, especially those space-time points where the numerical computation of the electric-field strength in the slab is most accurate are taken into account. This is achieved by computing the unknown parameter iteratively. Alternately solving equations for an approximate direct-scattering problem and an approximate inverse-scattering problem yields successive approximations for the electric field in the slab and the unknown constitutive coefficient. Both problems lead to an infinite system of linear equations from which a finite subsystem is selected. General criteria for this selection are presented. Various profiles have been reconstructed numerically from the reflected field due to a sine-squared incident pulse. Copyright ¬© 1981 by The Institute of Electrical and Electronics Engineers, Inc.</t>
  </si>
  <si>
    <t>239-245</t>
  </si>
  <si>
    <t>Tijhuis, Anton G.</t>
  </si>
  <si>
    <t>Delft</t>
  </si>
  <si>
    <t>Delft University of Technology</t>
  </si>
  <si>
    <t>Tijhuis A.G.</t>
  </si>
  <si>
    <t>Iterative Determination of Permittivity and Conductivity Profiles of a Dielectric Slab in the Time Domain</t>
  </si>
  <si>
    <t>10.1109/TAP.1981.1142565</t>
  </si>
  <si>
    <t>2-s2.0-0019539686</t>
  </si>
  <si>
    <t>['transverse electric', 'transmitted transients', 'time domain', 'small changes', 'scattering operators', 'scattering data', 'resulting reflected', 'problem considered', 'plane wave', 'permittivity profiles', 'numerically generate', 'numerical technique', 'numerical solution', 'known scatterer', 'inversion process', 'inverse problem', 'incident field', 'electronics engineers', 'direct problem', 'data required', 'continuous functions', 'arbitrary shape']</t>
  </si>
  <si>
    <t>Two numerical aspects of the solution of a one-dimensional electromagnetic inverse problem are considered: the numerical solution of delay integral equations and the sensitivity of the solution of the inverse problem to small changes in the data. In addition a numerical technique is developed for the solution of the direct problem in the time domain. The problem considered is one in which the conductivity and permittivity of the scatterer are continuous functions of depth. The incident field is a transverse electric (TE) plane wave of arbitrary shape, and the inverse problem uses the resulting reflected and transmitted transients to reconstruct the scatterer. For the sake of simplicity, a known scatterer is used to numerically generate the data required for the inverse problem. This is done by using the scattering operators for the problem. The scattering data thus obtained is used to formulate a generalized Gelfand‚ÄîLevitan integral equation whose solution yields the conductivity and permittivity profiles of the scatterer. The sensitivity of this inversion process is investigated by altering the scattering data. Copyright ¬© 1981 by The Institute of Electrical and Electronics Engineers, Inc.</t>
  </si>
  <si>
    <t>253-261</t>
  </si>
  <si>
    <t>Krueger, Robert J.</t>
  </si>
  <si>
    <t>Lincoln</t>
  </si>
  <si>
    <t>University of Nebraska‚ÄìLincoln</t>
  </si>
  <si>
    <t>Krueger R.J.</t>
  </si>
  <si>
    <t>Numerical Aspects of a Dissipative Inverse Problem</t>
  </si>
  <si>
    <t>10.1109/TAP.1981.1142566</t>
  </si>
  <si>
    <t>2-s2.0-0019539687</t>
  </si>
  <si>
    <t>['wide scope', 'special issue', 'provide examples', 'practical problems', 'physical sciences', 'physical properties', 'methods used', 'inverse methods', 'fundamental tool', 'electronics engineers']</t>
  </si>
  <si>
    <t>Inverse methods have become a fundamental tool in the physical sciences for remotely sensing unknown objects and reconstructing their physical properties. The objective of this special issue is to present an overview of this important rapidly emerging discipline and to provide examples of the wide scope of methods used to investigate inverse problems in electromagnetics, ranging from purely theoretical considerations to some very practical problems. Copyright ¬© 1981 by The Institute of Electrical and Electronics Engineers, Inc.</t>
  </si>
  <si>
    <t>185-189</t>
  </si>
  <si>
    <t>60027561-60022889;60027271</t>
  </si>
  <si>
    <t>7006670998;7202511395</t>
  </si>
  <si>
    <t>Boerner, Wolfgang Martin;Jordan, Arthur K.</t>
  </si>
  <si>
    <t>Chicago;Washington, D.C.;Alexandria</t>
  </si>
  <si>
    <t>University of Illinois at Chicago;Naval Research Laboratory;Institute for Defense Analyses</t>
  </si>
  <si>
    <t>60027561;60027271;60022889</t>
  </si>
  <si>
    <t>Boerner W.</t>
  </si>
  <si>
    <t>Introduction to the Special Issue on Inverse Methods in Electromagnetics</t>
  </si>
  <si>
    <t>10.1109/TAP.1981.1142587</t>
  </si>
  <si>
    <t>2-s2.0-0019539688</t>
  </si>
  <si>
    <t>['wave interaction', 'vector nature', 'require incorporation', 'remarkable improvements', 'reconstructed profiles', 'polarization transformer', 'polarization information', 'pendent case', 'novel theories', 'main objective', 'example encountered', 'electronics engineers', 'electromagnetic waves', 'electromagnetic polarization', 'elastic media', 'developing methods', 'continuing efforts', 'complete description', 'applied rigorously', 'ample justification']</t>
  </si>
  <si>
    <t>The complete description of electromagnetic scattering processes implies polarization since an electromagnetic scatterer acts like a polarization transformer. The main objective is to show that due to the vector nature of electromagnetic waves, electromagnetic remote sensing and inverse scattering techniques, if applied rigorously, require incorporation of polarization information into their formulation. By applying this approach to existing and some novel theories, remarkable improvements in quality and fidelity of the reconstructed profiles and/or images can be obtained. Thus there is ample justification for continuing efforts in developing methods and theories of vector inverse scattering for the electromagnetic polarization-de-pendent case or in the even more complicated seismic case of p-and s-wave interaction in elastic media as for example encountered in vertical seismic profiling. Copyright ¬© 1981 by The Institute of Electrical and Electronics Engineers, Inc.</t>
  </si>
  <si>
    <t>262-271</t>
  </si>
  <si>
    <t>60027561;60027561;60027561;60027561</t>
  </si>
  <si>
    <t>7006670998;56917386100;7404813758;6507136578</t>
  </si>
  <si>
    <t>Boerner, Wolfgang Martin;El-Arini, Mohamed B.;Chan, Chung Yee;Mastoris, Panagiota M.</t>
  </si>
  <si>
    <t>University of Illinois at Chicago</t>
  </si>
  <si>
    <t>Polarization Dependence in Electromagnetic Inverse Problems</t>
  </si>
  <si>
    <t>10.1109/TAP.1981.1142585</t>
  </si>
  <si>
    <t>2-s2.0-0019539689</t>
  </si>
  <si>
    <t>['x ).', 'wavenumber k', 'thus obtained', 'reflection coefficient', 'reconstruct profiles', 'rational function', 'poles needed', 'pole approximation', 'physical interest', 'operator technique', 'k ),', 'integral equation', 'increased number', 'form expression', 'epstein theory', 'electronics engineers', 'electron layers', 'electron density', 'butterworth approximation', 'analytic representation']</t>
  </si>
  <si>
    <t>Inverse scattering theory is used to reconstruct profiles of electron density from the analytic representation of the reflection coefficient. The complex reflection coefficient r(k) is represented as a rational function of the wavenumber k. Using a three-pole approximation for r(k), the one-dimensional inverse scattering theory is applied to obtain a closed-form expression for the electron-density profile function q(x). The integral equation of the inverse scattering theory (Gelfand‚ÄîLevitan equation) is solved by a differential-operator technique, and several numerical examples are given. Three-pole reflection coefficients are found to be applicable to the reconstruction of relatively thin electron layers which might be generated in the laboratory. Rational reflection coefficients with an increased number of poles are found to be necessary to simulate other electron layers of physical interest. This is demonstrated by comparison of multipole reflection coefficients in the Butterworth approximation with reflection coefficients calculated from Epstein's direct scattering theory for electron layers. A parameter in the Epstein theory, which characterizes the total electron content of the layer, is related to the number of poles needed to reconstruct that layer. Estimates are thus obtained of the number of poles needed to reconstruct ionospheric layers and other plasmas of physical interest. Copyright ¬© 1981 by The Institute of Electrical and Electronics Engineers, Inc.</t>
  </si>
  <si>
    <t>245-252</t>
  </si>
  <si>
    <t>60027271;60027271</t>
  </si>
  <si>
    <t>7202322543;7202511395</t>
  </si>
  <si>
    <t>Reilly, Michael H.;Jordan, Arthur K.</t>
  </si>
  <si>
    <t>Naval Research Laboratory</t>
  </si>
  <si>
    <t>Reilly M.</t>
  </si>
  <si>
    <t>The Applicability of an Inverse Method for Reconstruction of Electron-Density Profiles</t>
  </si>
  <si>
    <t>10.1109/TAP.1981.1142579</t>
  </si>
  <si>
    <t>2-s2.0-0019539690</t>
  </si>
  <si>
    <t>['time operation', 'sensor noise', 'priori knowledge', 'position accuracy', 'novel method', 'measuring one', 'major classes', 'magnetometer sensors', 'magnetic field', 'magnetic dipole', 'fast minicomputer', 'experiments show', 'electronics engineers', 'dipole moment', 'dimensional grid', 'computer simulations', '700 cm']</t>
  </si>
  <si>
    <t>A novel method to determine the parameters (dipole moment, orientation, and location) of a magnetic dipole is discussed. The method, which requires no a priori knowledge of the parameters, consists of measuring one or more components of the magnetic field of the dipole in a two-dimensional grid and performing a two-dimensional multiparameter nonlinear least squares fit to the data. Results of computer simulations which include the effects of electronic and sensor noise and motion of sensors are presented to show that reliable and consistent parameter estimation is obtained and that pseudoreal-time operation is achievable on a fast minicomputer. The simulations are valid for all major classes of magnetometer sensors. Further, application of the method to experimentally obtained data is discussed. Simulation and experiments show that for objects situated 60‚Äì200 cm from the plane of sweep of the sensors, which yield peak field values ~ 10‚Äì1000 nT, magnetic data must be accurate to within a few nT which is easily achieved using fluxgate sensors, and position accuracy of ¬± 1 cm over a span of 700 cm is sufficient. Copyright ¬© 1981 by The Institute of Electrical and Electronics Engineers, Inc.</t>
  </si>
  <si>
    <t>282-287</t>
  </si>
  <si>
    <t>60017597;60017597</t>
  </si>
  <si>
    <t>7004515255;7006907185</t>
  </si>
  <si>
    <t>McFee, John E.;Das, Yogadhish</t>
  </si>
  <si>
    <t>Defence Research and Development Canada</t>
  </si>
  <si>
    <t>McFee J.</t>
  </si>
  <si>
    <t>Determination of the Parameters of a Dipole by Measurement of its Magnetic Field</t>
  </si>
  <si>
    <t>10.1109/TAP.1981.1142569</t>
  </si>
  <si>
    <t>2-s2.0-0019539692</t>
  </si>
  <si>
    <t>['wave polarization', 'wave dipole', 'vector fields', 'theoretical examples', 'scalar theory', 'reconstructed exactly', 'microwave holography', 'metal screen', 'mathematical formulation', 'line segments', 'infinitesimal dipole', 'inaccessible objects', 'improving resolution', 'imaging remote', 'image produced', 'experimental example', 'electronics engineers', 'curved holograms', 'conducting screen', 'boundary condition', 'better satisfied', 'analytic continuation', '6 wavelength']</t>
  </si>
  <si>
    <t>Microwave holography is a useful experimental technique for imaging remote or inaccessible objects and for diagnostics of antennas, radomes, and scatterers; however, diffraction restricts image resolution. A method is described for improving resolution in microwave holography. The holograms are spherical or circular. Porter's scalar theory of curved holograms is extended to vector fields by using rectangular components to treat the effects of wave polarization. The mathematical formulation is a Helmholtz diffraction integral. We show that this integral can be written as a convolution for currents on line segments. The convolution is applied to the spatial frequency spectra of images. Theoretical examples, an infinitesimal dipole and a half-wave dipole, are reconstructed exactly, by a theory of analytic continuation. An experimental example is described; it is diffraction of a half-wavelength wide slit in a conducting screen. The analytic continuation of the holographically reconstructed near-field produced images with resolution approximately one quarter wave-length. Before continuation, resolution was 0.6 wavelength. In addition, the boundary condition of the vanishing tangential field over the metal screen is better satisfied by the image produced by continuation. Copyright ¬© 1981 by The Institute of Electrical and Electronics Engineers, Inc.</t>
  </si>
  <si>
    <t>320-326</t>
  </si>
  <si>
    <t>60014169;60014169;60014169</t>
  </si>
  <si>
    <t>6701326528;6701343946;7202719729</t>
  </si>
  <si>
    <t>Tricoles, G.;Rope, E. L.;Hayward, Ruth A.</t>
  </si>
  <si>
    <t>Falls Church</t>
  </si>
  <si>
    <t>General Dynamics Corporation</t>
  </si>
  <si>
    <t>Tricoles G.</t>
  </si>
  <si>
    <t>Improved Resolution in Microwave Holographic Images</t>
  </si>
  <si>
    <t>10.1109/TAP.1981.1142570</t>
  </si>
  <si>
    <t>2-s2.0-0019539696</t>
  </si>
  <si>
    <t>['system bandwidth', 'significant improvement', 'received waveforms', 'predictor correlator', 'modified system', 'like targets', 'identification performance', 'electronics engineers', 'desired target', 'data prior', 'clutter ratio', 'better fitting']</t>
  </si>
  <si>
    <t>Improved identification performance of a video pulse subsurface radar system is reported. The video pulse system, which utilizes complex natural resonances of the target and a prediction correlation processing, is improved in comparison to the system reported previously by better fitting the system bandwidth to the bandwidth which contains the complex natural resonances of the desired target. The antenna and associated hardware modifications to achieve this are described. Identification performance of the modified system is given using actual buried land mine-like targets. Significant improvement of the quality of the received waveforms and hence the signal-to-clutter ratio is obtained. Potential further improvement is discussed. This may be achieved by removing the natural resonance associated with the antenna from the data prior to the application of the predictor correlator. Copyright ¬© 1981 by The Institute of Electrical and Electronics Engineers, Inc.</t>
  </si>
  <si>
    <t>307-311</t>
  </si>
  <si>
    <t>60025522;60003500;60003500</t>
  </si>
  <si>
    <t>7403540352;7202838408;7006756793</t>
  </si>
  <si>
    <t>Chan, Luen C.;Peters, Leon;Moffatt, David L.</t>
  </si>
  <si>
    <t>Chan L.</t>
  </si>
  <si>
    <t>Improved Performance of a Subsurface Radar Target Identification System Through Antenna Design</t>
  </si>
  <si>
    <t>10.1109/TAP.1981.1142580</t>
  </si>
  <si>
    <t>2-s2.0-0019539698</t>
  </si>
  <si>
    <t>['using results', 'univalent functions', 'transfinite diameter', 'small values', 'particular interest', 'laurent coefficient', 'incoming wave', 'fourier coefficients', 'fourier coefficient', 'finite number', 'field pattern', 'electronics engineers', 'cross section', 'coefficient estimates']</t>
  </si>
  <si>
    <t>The problem of determining the shape of the cross section of a simply connected perfectly conducting infinite cylinder from a knowledge of the far-field pattern for all angles of observation and small values of the wavenumber is considered. The method proposed relies heavily on conformal mapping techniques. In particular it is shown that if the transfinite diameter is known each Fourier coefficient of the far-field pattern of the electric field determines a Laurent coefficient of the conformal mapping taking the exterior of the unit disk onto the exterior of the unknown cross section. The transfinite diameter is determined by changing the polarization of the incoming wave and measuring the far-field pattern of the resulting magnetic field. Of particular interest is the case when only a finite number of the Fourier coefficients of the far-field pattern are known. In this situation error estimates are obtained by using results on coefficient estimates for univalent functions. Copyright ¬© 1981 by The Institute of Electrical and Electronics Engineers, Inc.</t>
  </si>
  <si>
    <t>364-368</t>
  </si>
  <si>
    <t>Colton, David</t>
  </si>
  <si>
    <t>Colton D.</t>
  </si>
  <si>
    <t>The Inverse Electromagnetic Scattering Problem for a Perfectly Conducting Cylinder</t>
  </si>
  <si>
    <t>10.1109/TAP.1981.1142574</t>
  </si>
  <si>
    <t>2-s2.0-0019539703</t>
  </si>
  <si>
    <t>['uniquely retrieved', 'special relation', 'scattered far', 'radii uniquely', 'phase information', 'numerical investigation', 'new concept', 'imaginary parts', 'functions determine', 'fourier representation', 'fourier coefficients', 'field irradiance', 'extremum properties', 'electronics engineers', 'characteristic functions', 'amplitude coefficients', 'amplitude coefficient']</t>
  </si>
  <si>
    <t>A solution of the inverse scattering problem for dielectric circular cylindrical scatterers has been presented on the basis of the exact electromagnetic theory of scattering. Two new contributions have been made. First, a new concept of characteristic functions has been introduced. It has been shown that the extremum properties of these functions determine the radii uniquely from the coefficients of the cylindrical wave expansion of the scattered field amplitude. Second, it has been shown that the complex amplitude coefficients can be uniquely retrieved from the measurement of the far-field irradiance alone and that no phase information is necessary. This has been achieved by giving a Fourier representation for the scattered far-field irradiance; the Fourier coefficients are obtained in terms of the amplitude coefficients. Determination of the amplitude coefficients from the Fourier coefficients is facilitated by a special relation that has been found to exist between the real and the imaginary parts of each amplitude coefficient. Some results of our numerical investigation have also been included. Copyright ¬© 1981 by The Institute of Electrical and Electronics Engineers, Inc.</t>
  </si>
  <si>
    <t>392-397</t>
  </si>
  <si>
    <t>60024232;60024232</t>
  </si>
  <si>
    <t>7402110531;7005914747</t>
  </si>
  <si>
    <t>Datta, Arup K.;Som, Subodh</t>
  </si>
  <si>
    <t>Kolkata</t>
  </si>
  <si>
    <t>University of Calcutta</t>
  </si>
  <si>
    <t>Datta A.K.</t>
  </si>
  <si>
    <t>On the Inverse Scattering Problem for Dielectric Cylindrical Scatterers</t>
  </si>
  <si>
    <t>10.1109/TAP.1981.1142576</t>
  </si>
  <si>
    <t>2-s2.0-0019539711</t>
  </si>
  <si>
    <t>['¬© 1981', 'power consumption', 'payload incl', 'payload compatible', 'ots spacecraft', 'multibeam array', 'following performance', 'deep fades', '7 yr', '334 w', '112 kg']</t>
  </si>
  <si>
    <t>The study, based on actual hardware specifically developed for a multibeam array, has been concerned with the definition of a payload compatible with the requirements of a second generation maritime system. The proposed payload designed to operate in an OTS spacecraft has the following performance. 19 beam global coverage, give 70 Maritime channels having 52.4 dB Hz quality in deep fades. Mass of payload incl. antenna, 112 kg; d.c. power consumption, 334 W; Operational life time, 7 yr. ¬© 1981.</t>
  </si>
  <si>
    <t>259-272</t>
  </si>
  <si>
    <t>Charas, P.</t>
  </si>
  <si>
    <t>Molndal</t>
  </si>
  <si>
    <t>Ericsson Microwave Systems AB</t>
  </si>
  <si>
    <t>Charas P.</t>
  </si>
  <si>
    <t>Multibeam array designed for use in a maritime system using an OTS platform</t>
  </si>
  <si>
    <t>10.1016/0094-5765(81)90035-7</t>
  </si>
  <si>
    <t>2-s2.0-0019541015</t>
  </si>
  <si>
    <t>['reflector surfaces', 'precise control', 'numerical synthesis', 'electronics engineers']</t>
  </si>
  <si>
    <t>Algorithms for shaping offset dual reflector antenna surfaces are presented which use small areas of optimally tilted conic sections reported by Y. Mizugutch for starting up a numerical synthesis of reflector surfaces. A new ray ratio squared method is described for the precise control of antenna aperture amplitude distributions. Copyright ¬© 1981 by The Institute of Electrical and Electronics Engineers, Inc.</t>
  </si>
  <si>
    <t>392-394</t>
  </si>
  <si>
    <t>Sletten, Carlyle J.</t>
  </si>
  <si>
    <t>Bedford</t>
  </si>
  <si>
    <t>Solar Energy Technology, Inc.</t>
  </si>
  <si>
    <t>Sletten C.</t>
  </si>
  <si>
    <t>Numerical Technique for Shaping Reflecting Surfaces to Synthesize Antenna Patterns</t>
  </si>
  <si>
    <t>10.1109/PROC.1981.11972</t>
  </si>
  <si>
    <t>2-s2.0-0019541381</t>
  </si>
  <si>
    <t>['six feet', 'potential needs', 'link performance', 'link operated', 'electronics engineers', 'eight feet', 'bpa installed', '4 mile', '4 meter', '1 km']</t>
  </si>
  <si>
    <t>Because of potential needs to broaden the utilization of available frequency spectra, BPA installed and tested a 38 GHz millimeter wave communications link during a period from 1977 through 1979. The link operated on a 15.1 km (9.4 mile) path which included one 1.8 √ó 2.4 meter (six feet by eight feet) passive elliptical reflector. Each end was monitored for rainfall and link performance. Copyright ¬© 1981 by The Institute of Electrical and Electronics Engineers, Inc.</t>
  </si>
  <si>
    <t>1198-1202</t>
  </si>
  <si>
    <t>PAS-100</t>
  </si>
  <si>
    <t>IEEE Transactions on Power Apparatus and Systems</t>
  </si>
  <si>
    <t>Erickson, D. C.</t>
  </si>
  <si>
    <t>Portland</t>
  </si>
  <si>
    <t>Bonneville Power Administration</t>
  </si>
  <si>
    <t>Erickson D.</t>
  </si>
  <si>
    <t>Bonneville power administration (BPA): Experience with millimeter (38 GHz) wave communications systems</t>
  </si>
  <si>
    <t>10.1109/TPAS.1981.316590</t>
  </si>
  <si>
    <t>2-s2.0-0019541789</t>
  </si>
  <si>
    <t>['two phenomena', 'therefore ease', 'subjective quality', 'stochastic nature', 'still covers', 'specified percentage', 'simple approach', 'service due', 'satellite eirp', 'required power', 'receiving locations', 'receiving location', 'received signal', 'rain attenuation', 'quality requirements', 'problem would', 'orbit resource', 'neighboring countries', 'much information', 'minimum beam', 'major factors', 'mainly related', 'international agreement', 'high enough', 'given percentage', 'give us', 'frequency sharing', 'flux density', 'elliptical beams', 'electronics engineers', 'convergence process', 'consistent set', 'computer program', 'automatically augment', 'antenna gain', 'american continent', 'also taken', 'also consistent', 'additional amount', '12 ghz']</t>
  </si>
  <si>
    <t>In view of the forthcoming ITU Regional Administrative Radio Conference for the planning of the Broadcasting Satellite Service at 12 GHz for the American Continent to be held in 1983, there is a need for a means to transfer the service quality requirements for a Broadcasting Satellite Service into a consistent set of satellite and receiving terminal parameters. The quality requirements for a Broadcasting Satellite Service are similar to those of the terrestrial broadcasting service: in short, the received signal should be better or equal to a specified subjective quality for a given percentage of time and at a given percentage of the receiving locations. Not considering the degradation of service due to interference, the subjective quality can be given in terms of video S/N, which in turn can be expressed as a required power-flux density at the receiving location if modulation and receiving terminal characteristics are known. A simple approach to that problem would be to state that the satellite EIRP needs to be high enough to produce the required power-flux density for the given percentage of the time, and that this satellite should be at a high enough elevation angle to provide the service for the given percentage of locations. This is basically what is required but it does not give us that much information on the spacecraft design requirements. Since the cost of the spacecraft is mainly related to the required transmit power, this parameter has to be minimized as much as possible. This is done by minimizing the beam coverage area thus raising the antenna gain. Another factor contributing to the cost of the spacecraft is the antenna system complexity which will be kept, in our case, to a minimum by exclusively using circular and elliptical beams. Minimizing satellite beams will automatically augment the discrimination between each of these beams, therefore ease the frequency sharing and raise the capacity of the spectrum-orbit resource. The optimization is done by finding the minimum beam that still covers the specified service area. This is also consistent with the international agreement on minimizing the spill-over to neighboring countries. However, two phenomena of stochastic nature have to be considered: rain attenuation and satellite attitude control errors. These are the major factors that contribute to the additional amount of satellite power necessary to provide the service for the specified percentage of time. A computer program that transfers these service quality requirements into satellite EIRP and elliptical beam parameters will be described. This computer program is interactive and uses a two-dimensional convergence process for the elliptical beam optimization. The limit to the convergence process, i.e. the accuracy of fitting is given by the user. The effects of rain attenuation and attitude control errors are also taken into account. Copyright ¬© 1981 by The Institute of Electrical and Electronics Engineers, Inc.</t>
  </si>
  <si>
    <t>BC-27</t>
  </si>
  <si>
    <t>IEEE Transactions on Broadcasting</t>
  </si>
  <si>
    <t>Chouinard, G√©rald</t>
  </si>
  <si>
    <t>Chouinard G.</t>
  </si>
  <si>
    <t>Satellite beam optimization for the broadcasting satellite service</t>
  </si>
  <si>
    <t>10.1109/TBC.1981.266393</t>
  </si>
  <si>
    <t>2-s2.0-0019541796</t>
  </si>
  <si>
    <t>3.541.0.79</t>
  </si>
  <si>
    <t>['¬© 1981', 'type brain', 'type antennae', 'type antenna', 'suboesophageal ganglion', 'ssa gene', 'ssa antenna', 'silver intensification', 'show precisely', 'sensory projection', 'sensory fibers', 'sensory axons', 'randomly distributed', 'projection pattern', 'posterior part', 'intrinsic properties', 'homoeotic tarsi', 'homoeotic pattern', 'extrinsic factors']</t>
  </si>
  <si>
    <t>The sensory projection of homoeotic tarsal neurons in the antennal mutant spineless-aristapedia (ssa) is compared with the projections of wild-type antennae and tarsi. The projection pattern was identified by diffusion of cobalt into the cut peripheral nerves followed by Timm's silver intensification. No sensory fibers of the homoeotic tarsus extend into the thoracic leg centers; instead they project into normal antennal centers of the brain. In the posterior antennal center and the posterior part of the suboesophageal ganglion (SOG) they show precisely the same pattern as do those from the wild-type antenna. In other regions this is not the case: in the antennal glomeruli homoeotic terminals are randomly distributed, and in the anterior SOG fibers form a tract which is not present in antennal cobalt fills. We have not found any correspondence between thoracic and homoeotic tarsal projections. The projection of homoeotic tarsi in mosaic flies exhibiting an ssa antenna and a wild-type brain is similar to the "normal" homoeotic pattern. This suggests that the central nervous system (cns) is not transformed by the ssa gene. The behavior of normal and ectopic sensory fibers in the cns is explained in terms of both intrinsic properties of the sensory axons and extrinsic factors in the surrounding nervous tissue. ¬© 1981.</t>
  </si>
  <si>
    <t>224-237</t>
  </si>
  <si>
    <t>60024631;60010269</t>
  </si>
  <si>
    <t>7103138484;26643129900</t>
  </si>
  <si>
    <t>Stocker, Reinhard F.;Lawrence, Peter A.</t>
  </si>
  <si>
    <t>Switzerland;United Kingdom</t>
  </si>
  <si>
    <t>Fribourg;Cambridge</t>
  </si>
  <si>
    <t>University of Fribourg;The Medical Research Council Laboratory of Molecular Biology</t>
  </si>
  <si>
    <t>Stocker R.</t>
  </si>
  <si>
    <t>Sensory projections from normal and homoeotically transformed antennae in Drosophila</t>
  </si>
  <si>
    <t>10.1016/0012-1606(81)90448-6</t>
  </si>
  <si>
    <t>2-s2.0-0019542442</t>
  </si>
  <si>
    <t>['¬© 1981', 'structural elements', 'paper deals', 'mechanical tolerances', 'deployable configuration']</t>
  </si>
  <si>
    <t>This paper deals with the design of a Synthetic Aperture Radar (SAR)-antenna for the proposed European Remote Sensing Satellite. Electrical performance requirements and geometric constraints impose stringent conditions upon structural configuration and mechanical tolerances. A slotted waveguide array antenna is presented in a deployable configuration. It is composed of 5 radiating panels, and a foldable truss structure. Carbon fibre reinforced plastic material is used for structural elements and waveguides. ¬© 1981.</t>
  </si>
  <si>
    <t>273-282</t>
  </si>
  <si>
    <t>60002286;60002286</t>
  </si>
  <si>
    <t>57193424308;57214274481</t>
  </si>
  <si>
    <t>Wagner, R.;Braun, H. M.</t>
  </si>
  <si>
    <t>Leiden</t>
  </si>
  <si>
    <t>Airbus Group SE</t>
  </si>
  <si>
    <t>Wagner R.</t>
  </si>
  <si>
    <t>A slotted waveguide array antenna from carbon fibre reinforced plastics for the European space SAR</t>
  </si>
  <si>
    <t>10.1016/0094-5765(81)90036-9</t>
  </si>
  <si>
    <t>2-s2.0-0019543472</t>
  </si>
  <si>
    <t>['weight transients', 'two effects', 'signal bandwidth', 'phase shifts', 'output signal', 'noise ratio', 'lms loop', 'feedback loops', 'electronics engineers', 'array performance']</t>
  </si>
  <si>
    <t>The effect of differential time delay in the feedback loops of an LMS adaptive array is examined. Differential time delay is shown to have two effects on array performance. First, it causes the weights to oscillate during weight transients. Second, it degrades the output signal-to-interference-plus-noise ratio (SINR) from the array. Weight oscillation occurs when the phase shifts in the LMS loop are not matched at the signal carrier frequency. SINR degradation depends on signal bandwidth: the wider the bandwidth, the larger the degradation. Copyright ¬© 1981 by The Institute of Electrical and Electronics Engineers, Inc.</t>
  </si>
  <si>
    <t>222-228</t>
  </si>
  <si>
    <t>Compton, R. T.</t>
  </si>
  <si>
    <t>Compton R.T.</t>
  </si>
  <si>
    <t>The Effect of Differential Time Delays in the LMS Feedback Loop</t>
  </si>
  <si>
    <t>10.1109/TAES.1981.309149</t>
  </si>
  <si>
    <t>2-s2.0-0019544110</t>
  </si>
  <si>
    <t>['uplink e', 'typical characteristics', 'transponder capacity', 'traffic requirement', 'total carrier', 'substantially higher', 'scpc network', 'satellite e', 'reference station', 'reasonably control', 'optimized capacities', 'noise ratios', 'multilevel plans', 'main approach', 'link performance', 'link destinations', 'level system', 'fairly simple', 'carriers based', 'basic two']</t>
  </si>
  <si>
    <t>An investigation of ways to improve the capacity in a dedicated SCPC transponder has resulted in the development of a method for optimizing the transponder capacity and link performance in preassigned multilevel SCPC systems. The main approach is to form different groups of carriers based on the traffic requirement, and on typical characteristics of the link destinations such as variations in the satellite e.i.r.p. and downlink path loss, and differences in the receive earth station antenna size. The Fletcher-Powell optimization technique is used to determine the set of optimum carrier levels at the transponder TWTA input. Application of the method to a number of preassigned multilevel frequency plans in a global transponder environment clearly indicates that the total carrier-to-noise ratios for all the links can be optimized at any specified CNR value, and that the optimized capacities are substantially higher than that of the basic two-level system. The implementation of multilevel plans is fairly simple if all downlink carrier levels can be monitored at some reference station in the SCPC network to reasonably control the uplink e.i.r.p. levels. ¬© 1981 IEEE</t>
  </si>
  <si>
    <t>314-328</t>
  </si>
  <si>
    <t>60004541;60004541</t>
  </si>
  <si>
    <t>7202156820;6601922356</t>
  </si>
  <si>
    <t>Nguyen, Lan N.;Shimbo, Osamu</t>
  </si>
  <si>
    <t>INTELSAT</t>
  </si>
  <si>
    <t>Nguyen L.</t>
  </si>
  <si>
    <t>A Method for Transponder Capacity and Link Performance Optimization in Preassigned Multilevel SCPC Systems</t>
  </si>
  <si>
    <t>10.1109/TCOM.1981.1094987</t>
  </si>
  <si>
    <t>2-s2.0-0019544253</t>
  </si>
  <si>
    <t>['major advantages', 'electronics engineers', 'broad bandwidth']</t>
  </si>
  <si>
    <t>A coaxial waveguide amplitude commutation feed system has been developed for application to the scanning circular array antenna problem. A dominant TEM mode and a pair of orthogonal TE11modes suitably excited at the input of a coaxial waveguide feed are employed to generate a simply commutatable low-sidelobe discrete amplitude distribution at the peripheral output ports of the coaxial circular array feed. The major advantages of the coaxial commutator feed compared to other circular array feed types are the broad bandwidth and small insertion loss simultaneously achieved with a simple feed geometry. The design and measured performance capability of a 30-percent RF bandwidth low-sidelobe coaxial commutator feed are described in detail. Copyright ¬© 1981 by The Institute of Electrical and Electronics Engineers, Inc.</t>
  </si>
  <si>
    <t>266-270</t>
  </si>
  <si>
    <t>Irzinski, E. P.</t>
  </si>
  <si>
    <t>Baltimore</t>
  </si>
  <si>
    <t>Johns Hopkins University</t>
  </si>
  <si>
    <t>Irzinski E.P.</t>
  </si>
  <si>
    <t>A Coaxial Waveguide Commutator Feed for a Scanning Circular Phased Array Antenna</t>
  </si>
  <si>
    <t>10.1109/TMTT.1981.1130340</t>
  </si>
  <si>
    <t>2-s2.0-0019544895</t>
  </si>
  <si>
    <t>['using eigentheory', 'results show', 'output channel', 'n channels', 'interference ratio', 'electronics engineers', 'different directions', 'determined analytically', '10 db', '0 db']</t>
  </si>
  <si>
    <t>Using eigentheory, it is shown how up to n unknown independent narrowband signals arriving from different directions at an array of n antenna elements can be separated into n channels where each channel contains primarily one signal. An expression for the signal-to-interference ratio (SIR) on each output channel is determined analytically and evaluated for many illustrative cases. The results show that in most cases the SIR is + 10 dB or greater; only when two signals arrive within a few degrees of each other does the SIR fall substantially below 0 dB. Copyright ¬© 1981 by The Institute of Electrical and Electronics Engineers, Inc.</t>
  </si>
  <si>
    <t>234-247</t>
  </si>
  <si>
    <t>Hackett, Charles M.</t>
  </si>
  <si>
    <t>Canoga Park</t>
  </si>
  <si>
    <t>Rockwell International</t>
  </si>
  <si>
    <t>Hackett C.</t>
  </si>
  <si>
    <t>Adaptive Arrays Can Be Used to Separate Communication Signals</t>
  </si>
  <si>
    <t>10.1109/TAES.1981.309151</t>
  </si>
  <si>
    <t>2-s2.0-0019545782</t>
  </si>
  <si>
    <t>Siukola, M. S.</t>
  </si>
  <si>
    <t>Siukola M.</t>
  </si>
  <si>
    <t>Design considerations and performance of circularly polarized tv antennas</t>
  </si>
  <si>
    <t>10.1109/TBC.1981.266392</t>
  </si>
  <si>
    <t>2-s2.0-0019545788</t>
  </si>
  <si>
    <t>DASG60-77-C-0078</t>
  </si>
  <si>
    <t>286-290</t>
  </si>
  <si>
    <t>European Journal of Operational Research</t>
  </si>
  <si>
    <t>Ignizio, James P.</t>
  </si>
  <si>
    <t>University Park</t>
  </si>
  <si>
    <t>Pennsylvania State University</t>
  </si>
  <si>
    <t>Ignizio J.</t>
  </si>
  <si>
    <t>Antenna array beam pattern synthesis via goal programming</t>
  </si>
  <si>
    <t>10.1016/0377-2217(81)90231-9</t>
  </si>
  <si>
    <t>2-s2.0-0019546319</t>
  </si>
  <si>
    <t>['value problem', 'radiation impedances', 'measured impedances', 'frequency region', 'electronics engineers', 'electron plasma']</t>
  </si>
  <si>
    <t>The radiation impedances of disc and circular mesh antennas in the high-frequency region were measured. As a result, it is shown that measured impedances in the frequency region of distinct the electron plasma-wave propagation agree with the theoretically predicted ones, which are obtained by solving a boundary-value problem. Copyright ¬© 1981 by The Institute of Electrical and Electronics Engineers, Inc.</t>
  </si>
  <si>
    <t>16-18</t>
  </si>
  <si>
    <t>IEEE Transactions on Plasma Science</t>
  </si>
  <si>
    <t>60008435;60008435</t>
  </si>
  <si>
    <t>7006605111;56779495700</t>
  </si>
  <si>
    <t>Ohnuki, Shigeo;Adachi, Saburo</t>
  </si>
  <si>
    <t>Sendai</t>
  </si>
  <si>
    <t>Tohoku University</t>
  </si>
  <si>
    <t>Ohnuki S.</t>
  </si>
  <si>
    <t>Radiation Impedances of Disc-Shaped Antennas for an Electron Plasma Wave</t>
  </si>
  <si>
    <t>10.1109/TPS.1981.4317373</t>
  </si>
  <si>
    <t>2-s2.0-0019546432</t>
  </si>
  <si>
    <t>['wire segments', 'simple method', 'relative permittivity', 'potential integro', 'polynomial approximation', 'partially covered', 'numerical results', 'good agreement', 'dielectric coating', 'called two']</t>
  </si>
  <si>
    <t>A simple method is presented for analysis of wire antennas assembled from arbitrarily interconnected straight-wire segments, which are completely or partially covered with a dielectric coating. The thickness of the coating is assumed to be not larger than about the radius of the wire, and its relative permittivity not larger than 10. The method is based on the so-called two-potential integro-differential equation combined with polynomial approximation of current. Numerical results are found to be in very good agreement with experiments.</t>
  </si>
  <si>
    <t>141-145</t>
  </si>
  <si>
    <t>Radio and Electronic Engineer</t>
  </si>
  <si>
    <t>Mar</t>
  </si>
  <si>
    <t>60068815;60068815;60068815</t>
  </si>
  <si>
    <t>7006225695;7005436133;7004724957</t>
  </si>
  <si>
    <t>Popovic, B. D.;Djordjevic, A. R.;Kircanski, N. M.</t>
  </si>
  <si>
    <t>Serbia</t>
  </si>
  <si>
    <t>Belgrade</t>
  </si>
  <si>
    <t>University of Belgrade</t>
  </si>
  <si>
    <t>Popovic B.</t>
  </si>
  <si>
    <t>Simple method for analysis of dielectric-coated wire antennas</t>
  </si>
  <si>
    <t>10.1049/ree.1981.0017</t>
  </si>
  <si>
    <t>2-s2.0-0019547979</t>
  </si>
  <si>
    <t>['wiley company', 'wide bandwidth', 'uh ).', 'simplified kernel', 'reflected current', 'radiation characteristics', 'open ends', 'integral equation', 'inc .,', 'high frequencies', 'frequency characteristics', 'evaluated numerically', 'current distributions', 'axial ratio', 'almost equal', '5 ghz', '10 turns']</t>
  </si>
  <si>
    <t>Radiation characteristics of a balanced helical antenna with tapered open ends operating in both polarizations are described and compared with those of a balanced uniform helical antenna (UH). The effect of the taper which heretofore has been treated only experimentally, is evaluated numerically in detail. First, using an integral equation with a simplified kernel, we derive the current distributions on an arm with 4 to 10 turns of windings. Next, we calculate the radiation characteristics from the current distributions thus obtained. We find that variations of the axial ratio are small when the gain is almost equal to that of the UH. From the frequency characteristics over 2.6 to 4.5 GHz, we find that the suppression of the reflected current at the tapers is maintained over a wide bandwidth. From the theory and experiment, the fluctuation of the input impedance vs. the frequency is smaller than that in the UH. Due to the taper at the open ends, degradation of the axial ratio in the UH at high frequencies is removed. Copyright ¬© 1981 Wiley Periodicals, Inc., A Wiley Company</t>
  </si>
  <si>
    <t>74-81</t>
  </si>
  <si>
    <t>60030526;60030526;60030526</t>
  </si>
  <si>
    <t>56405174700;55633340100;7003298527</t>
  </si>
  <si>
    <t>Yamauchi, Junji;Nakano, Hisamatsu;Mimaki, Hiroaki</t>
  </si>
  <si>
    <t>Hosei University</t>
  </si>
  <si>
    <t>Yamauchi J.</t>
  </si>
  <si>
    <t>Balanced helical antenna with tapered open ends</t>
  </si>
  <si>
    <t>10.1002/ecja.4410640410</t>
  </si>
  <si>
    <t>2-s2.0-0019548598</t>
  </si>
  <si>
    <t>['wiley company', 'variational method', 'radiation characteristics', 'paper describes', 'one point', 'inc .,', 'experimental viewpoints', 'equivalent circuit', 'back side', 'array elements']</t>
  </si>
  <si>
    <t>This paper describes a method for designing backfeed‚Äêtype one‚Äêpoint fed circularly polarized antennas. These antennas are fed at one point from the back side of the substrate and have degeneracy‚Äêresolving segments. Characteristics of the rectangular microstrip antennas with degeneracy‚Äêresolving segments are obtained by means of a variational method. The equivalent circuit at and near the resonance with perturbations is obtained and the condition for circularly polarized antennas is found from both theoretical and experimental viewpoints. Configurations and radiation characteristics of these antennas are discussed and it is shown that these antennas can be used as array elements. Copyright ¬© 1981 Wiley Periodicals, Inc., A Wiley Company</t>
  </si>
  <si>
    <t>46-54</t>
  </si>
  <si>
    <t>60028263;60028263</t>
  </si>
  <si>
    <t>6603687544;7406244797</t>
  </si>
  <si>
    <t>Haneishi, Misao;Yoshida, Shinichiro</t>
  </si>
  <si>
    <t>Saitama</t>
  </si>
  <si>
    <t>Saitama University</t>
  </si>
  <si>
    <t>Haneishi M.</t>
  </si>
  <si>
    <t>A design method of circularly polarized rectangular microstrip antenna by one‚Äêpoint feed</t>
  </si>
  <si>
    <t>10.1002/ecja.4410640407</t>
  </si>
  <si>
    <t>2-s2.0-0019548618</t>
  </si>
  <si>
    <t>['¬© 1981', 'vulnerability due', 'unimast concept', 'thus affording', 'single mast', 'sidelobes due', 'potential backfitting', 'paper discusses', 'one antenna', 'numerous antennas', 'necessary compromises', 'naval engineers', 'minimum interference', 'minimize blockage', 'lower part', 'lighter antennas', 'improved potential', 'highest mast', 'high power', 'herein described', 'g .,', 'existing ships', 'device known', 'degradation via', 'contrary approach', 'best site', 'american society', 'also described', 'adjacent structures']</t>
  </si>
  <si>
    <t>The best topside location for an antenna is on top of the highest mast on the ship, thus affording all‚Äêaround coverage and minimum interference. However, usually only one antenna can occupy that site. Modern naval combatants have numerous antennas, and the necessary compromises in mounting all of them means that even the best site is often electro‚Äêmagnetically compromised by adjacent structures and other antennas. A contrary approach is to mount larger antennas lower, and to design the ship to minimize blockage. This is ‚ÄúThe UNIMAST Concept,‚Äù which argues for a single mast on which are mounted all the ship's major rotating surveillance antennas. The larger antennas rotate around the lower part of the mast, while lighter antennas, e.g., surface search, are sited above. This paper discusses the degradation of sidelobes due to present topside design and numerically relates degradation to Electronic Counter‚ÄêCountermeasures (ECCM) performance. Removal of that degradation via the UNIMAST Concept requires that a device known as an Annular Rotary Coupler (ARC) be used. The development of just such a high power, wide‚Äêband ARC on a Navy‚Äêsponsored R&amp;D contract is herein described. Also described is the potential backfitting of the UNIMAST Concept to existing ships; e.g., the DDG‚Äê993. Battle damage vulnerability of the UNIMAST Concept with respect to a conventional two mast design is addressed. It is argued that the UNIMAST Concept affords no degradation in vulnerability due to improved potential for protecting vital antenna parts. ¬© 1981 by the American Society of Naval Engineers</t>
  </si>
  <si>
    <t>82-89</t>
  </si>
  <si>
    <t>Naval Engineers Journal</t>
  </si>
  <si>
    <t>7006517174;7006432931</t>
  </si>
  <si>
    <t>BIONDI, ROY J.;KRUGER, BRADFORD E.</t>
  </si>
  <si>
    <t>BIONDI R.</t>
  </si>
  <si>
    <t>THE UNIMAST CONCEPT ‚Äê A MAJOR DEPARTURE IN SHIPBOARD RADAR ANTENNA INSTALLATION PHILOSOPHY</t>
  </si>
  <si>
    <t>10.1111/j.1559-3584.1981.tb01606.x</t>
  </si>
  <si>
    <t>2-s2.0-0019550235</t>
  </si>
  <si>
    <t>['¬© 1981', 'wave version', 'technological errors', 'space antenna', 'resultant precision', 'reflecting surface', 'radioreflecting surface', 'promptly developed', 'mirror antennas', 'millimeter range', 'mathematical model', 'large diameters', 'frame manufacturing', 'force effects', 'designed using', 'design antennas', 'deformations due', 'basic possibility', 'base onto', 'automatic control', 'applied investigations', 'actual problems']</t>
  </si>
  <si>
    <t>Large space antennas can solve some actual problems of fundamental and applied investigations. Mirror antennas of large diameters (up to tens or hundreds of meters) are designed using an automatically deployed truss frame as a base onto which the radioreflecting surface is pulled (long-wave version) or precisely controllable panels are mounted (shortwave version). The reasons are discussed why antennas of millimeter range can be promptly developed. The factors are considered that influence on the resultant precision of the reflecting surface of the space antenna: technological errors in the process of frame manufacturing; technological errors during manufacturing of the reflecting surface; deformations due to thermal or force effects. To operate in the millimeter wavelength range, it is required to design antennas with automatic control of the reflecting surface. The analysis of the mathematical model of a modular mirror leads to the conclusion about the basic possibility of its adjustment. ¬© 1981.</t>
  </si>
  <si>
    <t>337-348</t>
  </si>
  <si>
    <t>60017989;60017989;60017989;60017989;60017989;60017989;60017989</t>
  </si>
  <si>
    <t>6508254846;6603372231;6701784575;24531252600;55424194700;6507219218;6507906743</t>
  </si>
  <si>
    <t>Gvamichava, A. S.;Buyakas, V. I.;Kardashev, N. S.;Melnikov, N. P.;Sokolov, A. S.;Tsarevsky, G. S.;Usyukin, V. I.</t>
  </si>
  <si>
    <t>Space Research Institute of the Russian Academy of Sciences</t>
  </si>
  <si>
    <t>Gvamichava A.</t>
  </si>
  <si>
    <t>Design problems of large space mirror radiotelescopes</t>
  </si>
  <si>
    <t>10.1016/0094-5765(81)90003-5</t>
  </si>
  <si>
    <t>2-s2.0-0019555225</t>
  </si>
  <si>
    <t>['¬© 1981', 'various gas', 'type attenuator', 'spark ignition', 'rights reserved', 'resistive l', 'radio frequency', 'radio engineers', 'powers required', 'output voltage', 'ignition chambers', 'f .)', 'connected sources', 'c .)', 'breakflash resulted', 'breakflash cell', 'break mechanisms', 'also made', 'air mixtures']</t>
  </si>
  <si>
    <t>Electromagnetic compatibility | ignition | r.f. Gases | R.f. hazards | Spark discharges</t>
  </si>
  <si>
    <t>Measurements have been made of the voltages and powers required for the radio frequency (r.f.) spark ignition of various gas/air mixtures. The spark-ignition chambers (s.i.c.) used were make-and-break mechanisms, hereafter called ‚Äòbreakflashes‚Äô, employing tungsten wires scraping over a grooved cadmium disk or rod. The breakflashes were connected to the r.f. sources by means of a resistive L-type attenuator which damped any overshoots in the output voltage and resulted in a resistive 50 Œ© source impedance being seen by the breakflash. Measurements were also made with a quarterwavelength long antenna between the r.f. source and the breakflash cell. The high impedance seen by the breakflash resulted in ignition at available power levels significantly lower than with the directly-connected sources. ¬© 1981, The Institution of Electronic and Radio Engineers. All rights reserved.</t>
  </si>
  <si>
    <t>170-174</t>
  </si>
  <si>
    <t>60008524;60008524;60008524</t>
  </si>
  <si>
    <t>7004502315;7006824457;7103233029</t>
  </si>
  <si>
    <t>Howson, D. P.;Excell, P. S.;Butcher, G. H.</t>
  </si>
  <si>
    <t>Bradford</t>
  </si>
  <si>
    <t>University of Bradford</t>
  </si>
  <si>
    <t>Howson D.</t>
  </si>
  <si>
    <t>Ignition of flammable gas/air mixtures by sparks from 2 MHz and 9 MHz sources</t>
  </si>
  <si>
    <t>10.1049/ree.1981.0022</t>
  </si>
  <si>
    <t>2-s2.0-0019557233</t>
  </si>
  <si>
    <t>['wide swath', 'swath width', 'radar wavelength', 'phased array', 'look 100', 'long antenna', 'feed reflector', 'far edge', 'elevation plane', 'electronics engineers', 'design meets', 'antenna pattern', 'antenna area', 'ambiguity constraints', '700 km']</t>
  </si>
  <si>
    <t>A satellite borne synthetic aperture radar can image a wide swath in the order of 700 km with one-look 100-m resolution. If the design meets the ambiguity constraints at the far edge of the swath, the maximum swath width is independent of both radar wavelength and shape of the physical antenna aperture. The antenna pattern can be a pencil beam scanned in the elevation plane, or a fan beam formed by a long antenna. The scanning pencil beam antenna may be a phased array or multiple-feed reflector which may be more practical than a long antenna to image a wide swath. Design performance tradecomputations are presented involving resolution, swath width, antenna area, average transmitter power and digital data rate. Copyright ¬© 1981 by The Institute of Electrical and Electronics Engineers, Inc.</t>
  </si>
  <si>
    <t>108-116</t>
  </si>
  <si>
    <t>GE-19</t>
  </si>
  <si>
    <t>IEEE Transactions on Geoscience and Remote Sensing</t>
  </si>
  <si>
    <t>Tomiyasu, Kiyo</t>
  </si>
  <si>
    <t>Philadelphia</t>
  </si>
  <si>
    <t>General Electric</t>
  </si>
  <si>
    <t>Tomiyasu K.</t>
  </si>
  <si>
    <t>Conceptual Performance of a Satellite Borne, Wide Swath Synthetic Aperture Radar</t>
  </si>
  <si>
    <t>10.1109/TGRS.1981.350361</t>
  </si>
  <si>
    <t>2-s2.0-0019558407</t>
  </si>
  <si>
    <t>['wiley company', 'two edges', 'tm modes', 'tm mode', 'several wavelengths', 'scattering angle', 'scattered field', 'paper presents', 'inc .,', 'exact solution', 'end caps', 'diffracted fields', 'cylinder length', 'almost independent']</t>
  </si>
  <si>
    <t>This paper presents an exact solution for scattering of a plane EM move (TM mode) by a perfect conducting circular hollow cylinder having no end caps. The scattered field is evaluated in the Fourier domain using the Wiener‚ÄêHopf technique. The scattered field is divided into the IPO (improved physical optics) field, TE and TM modes in the cylinder and the diffracted fields at two edges. The range of the scattering angle where the IPO field gives good approximation is almost independent of the cylinder length if the cylinder length is larger than several wavelengths. Copyright ¬© 1981 Wiley Periodicals, Inc., A Wiley Company</t>
  </si>
  <si>
    <t>80-88</t>
  </si>
  <si>
    <t>60031126;60031126</t>
  </si>
  <si>
    <t>7403391382;7202520219</t>
  </si>
  <si>
    <t>Kinoshita, Teruhiro;Sekiguchi, Toshio</t>
  </si>
  <si>
    <t>Tokyo Institute of Technology</t>
  </si>
  <si>
    <t>Kinoshita T.</t>
  </si>
  <si>
    <t>Scattering of a plane electromagnetic wave by a conducting circular cylinder of finite length</t>
  </si>
  <si>
    <t>10.1002/ecja.4410640510</t>
  </si>
  <si>
    <t>2-s2.0-0019559908</t>
  </si>
  <si>
    <t>['¬© 1981', 'te polarizations', 'tapered distribution', 'take account', 'scattering r', 'rights reserved', 'result modified', 'radio engineers', 'radiation performance', 'radiation efficiency', 'monopole antenna', 'layered coatings', 'incident waves', 'hexagonal ferrites', 'geometric parameters', 'finite length', 'computed results', 'communication bands', 'coated antenna', 'best applied', 'backscattering losses']</t>
  </si>
  <si>
    <t>Antennas | Ferrite devices | Radar accessories</t>
  </si>
  <si>
    <t>Coatings of hexagonal ferrites on a wire antenna reduce its back-scattering radar cross-sections (r.c.s.) at microwave frequencies without causing significant deterioration of its radiation efficiency at the h.f. and v.h.f. communication bands. The back-scattering r.c.s. of an infinitely long conducting cylinder coated with a multilayer of hexagonal ferrites is derived and the result modified to take account of the finite length of a monopole antenna. Computed results for layered coatings are presented to demonstrate the improvement in the microwave absorption bandwidth obtainable for a given coating thickness. It follows that the technique is best applied with all material and geometric parameters having a tapered distribution and the ferrimagnetic resonances staggered over the required frequency band. Finally, the theory is illustrated by the measurement of the backscattering losses of a v.h.f. ferrite-coated antenna in the microwave frequency band (for both TM and TE polarizations of the incident waves) and its radiation performance at the v.h.f. range. ¬© 1981, The Institution of Electronic and Radio Engineers. All rights reserved.</t>
  </si>
  <si>
    <t>219-225</t>
  </si>
  <si>
    <t>60009658;60009658</t>
  </si>
  <si>
    <t>7403018268;7403039886</t>
  </si>
  <si>
    <t>James, J. R.;Amin, M. B.</t>
  </si>
  <si>
    <t>Techniques for utilization of hexagonal ferrites in radar absorbers Part 2 Reduction of radar cross-section of h.f. and v.h.f. wire antennas</t>
  </si>
  <si>
    <t>10.1049/ree.1981.0033</t>
  </si>
  <si>
    <t>2-s2.0-0019562333</t>
  </si>
  <si>
    <t>['wiley company', 'simple structure', 'ray theory', 'new method', 'measured patterns', 'inc .,', 'good agreement', '12 wavelengths']</t>
  </si>
  <si>
    <t>A new method of analyzing and designing a nonplanar aperture‚Äêtype E‚Äêplane cosecant square beam horn antenna is proposed. This new method is based on the ray theory. The experimental results show that the computed radiation patterns are in good agreement with the measured patterns. This proposed method enables one to design a high‚Äêgain cosecant square beam horn antenna of simple structure with E‚Äêplane sectional horn whose aperture length is about 12 wavelengths. Copyright ¬© 1981 Wiley Periodicals, Inc., A Wiley Company</t>
  </si>
  <si>
    <t>100-107</t>
  </si>
  <si>
    <t>60016074;60016074;60016074;60008435</t>
  </si>
  <si>
    <t>35969741200;7408132858;56376663700;56779495700</t>
  </si>
  <si>
    <t>Sha, Kokusho;Suzuki, Michiya;Nakata, Waichi;Adachi, Saburo</t>
  </si>
  <si>
    <t>Japan;Japan</t>
  </si>
  <si>
    <t>Yamagata;Sendai</t>
  </si>
  <si>
    <t>Yamagata University;Tohoku University</t>
  </si>
  <si>
    <t>60016074;60008435</t>
  </si>
  <si>
    <t>Sha K.</t>
  </si>
  <si>
    <t>Design of E‚Äêplane cosecant square beam horn antennas based on ray theory and their radiation characteristics</t>
  </si>
  <si>
    <t>10.1002/ecja.4410640512</t>
  </si>
  <si>
    <t>2-s2.0-0019563789</t>
  </si>
  <si>
    <t>['two types', 'target search', 'target resolution', 'separate transmitting', 'saw filters', 'rms deviation', 'receiving array', 'quality mass', 'paper deals', 'one type', 'multifunction operation', 'matched filter', 'making use', 'lumped elements', 'incoherent signal', 'important merits', 'frequency responses', 'experimental 5', 'electronics engineers', 'datahandling techniques', 'conventional filters', 'center frequencies', 'band phased', 'amplifier channel', '1 khz']</t>
  </si>
  <si>
    <t>The electronically steerable radar (ELRA) at the Forschungsinstitut fur Funk und Mathematik is an experimental 5-band phased-array radar system consisting of separate transmitting and receiving arrays employing several coherent and incoherent signal-processing and datahandling techniques, incorporating multiple beam and multifunction operation for target search and tracking, adaptive interference suppression, and target resolution. This paper deals with the development and application of two types of SAW filters for the IF amplifier channel of the receiving array. Compared to conventional filters with lumped elements, these filters have some important merits. By making use of a special tuning technique, the center frequencies of all filters were adjusted, resulting in an rms deviation of less than 1 kHz. One type of the SAW filters represents an almost ideal approach of realizing a matched filter for rectangular shaped pulses. The conformity of the frequency responses of several hundred filters improved the noise suppression capability of the system. The use of the filters described represents one of the applications where high-quality mass-produced SAW devices have been applied to improve system reliability and performance. Copyright ¬© 1981 by The Institute of Electrical and Electronics Engineers, Inc.</t>
  </si>
  <si>
    <t>414-419</t>
  </si>
  <si>
    <t>60005811;</t>
  </si>
  <si>
    <t>7005966702;7103398926</t>
  </si>
  <si>
    <t>Haydl, William H.;Wirth, Wulf D.</t>
  </si>
  <si>
    <t>Munich</t>
  </si>
  <si>
    <t>Fraunhofer-Gesellschaft</t>
  </si>
  <si>
    <t>Haydl W.</t>
  </si>
  <si>
    <t>Precision SAW Filters for a Large Phased-Array Radar System</t>
  </si>
  <si>
    <t>10.1109/TMTT.1981.1130371</t>
  </si>
  <si>
    <t>2-s2.0-0019565986</t>
  </si>
  <si>
    <t>['two methods', 'ten degrees', 'stationary feeds', 'scanning beam', 'scan limits', 'reflector size', 'one degree', 'method employs', 'low sidelobes', 'high performance', 'high gain', 'focal plane', 'element feeds', 'electronics engineers', 'electronically scanning', 'conventional single', 'axis designs', 'array feeds', 'aperture blockage', 'antenna gain']</t>
  </si>
  <si>
    <t>Two methods of scanning large parabolic cylinder antennas are examined: one method moves a small array across the focal plane to form a scanning beam; the other method employs a larger stationary array which is capable of electronically scanning the beam. With conventional single-element feeds, the maximum possible scan angle decreases with increasing reflector size. With array feeds, however, the scan limits are shown to be independent of reflector size and antenna gain. Antennas with movable array feeds are found to have high performance (high gain and low sidelobes) even when scanned more than ten degrees off axis; antennas with stationary array feeds degrade rapidly beyond about one degree of scan because of aperture blockage. Off-axis designs which eliminate the aperture blockage are shown to extend the coverage of antennas with stationary feeds to about ¬±5 degrees. Copyright ¬© 1981 by The Institute of Electrical and Electronics Engineers, Inc.</t>
  </si>
  <si>
    <t>455-462</t>
  </si>
  <si>
    <t>60076690;60076690</t>
  </si>
  <si>
    <t>56772035000;56160772500</t>
  </si>
  <si>
    <t>Vincent Mrstik, A.;Smith, P. G.</t>
  </si>
  <si>
    <t>Santa Barbara</t>
  </si>
  <si>
    <t>General Research Corporation</t>
  </si>
  <si>
    <t>Vincent Mrstik A.</t>
  </si>
  <si>
    <t>Scanning Capabilities of Large Parabolic Cylinder Reflector Antennas with Phased-Array Feeds</t>
  </si>
  <si>
    <t>10.1109/TAP.1981.1142617</t>
  </si>
  <si>
    <t>2-s2.0-0019567703</t>
  </si>
  <si>
    <t>['phase functions', 'pattern functions', 'particular case', 'electronics engineers', 'dimensional form', 'circular aperture', 'aperture functions']</t>
  </si>
  <si>
    <t>A method of determination of phase functions required for the generation of sector and cosecant beams using a circular aperture is determined. In the particular case of one-dimensional pattern functions, the two-dimensional form of the relation between pattern functions and aperture functions is reduced to one-dimensional form. The stationary phase method is used to obtain possible solutions for the phase functions. Copyright ¬© 1981 by The Institute of Electrical and Electronics Engineers, Inc.</t>
  </si>
  <si>
    <t>502-506</t>
  </si>
  <si>
    <t>60004750;60004750;60004750</t>
  </si>
  <si>
    <t>57202662632;35753097600;7005282279</t>
  </si>
  <si>
    <t>Chakraborty, Ajoy;Das, B. N.;Sanyal, Gitindra S.</t>
  </si>
  <si>
    <t>Kharagpur</t>
  </si>
  <si>
    <t>Indian Institute of Technology Kharagpur</t>
  </si>
  <si>
    <t>Chakraborty A.</t>
  </si>
  <si>
    <t>Determination of Phase Functions for a Desired One-Dimensional Pattern</t>
  </si>
  <si>
    <t>10.1109/TAP.1981.1142602</t>
  </si>
  <si>
    <t>2-s2.0-0019567710</t>
  </si>
  <si>
    <t>['wave dipole', 'simple geometry', 'radiation characteristics', 'ground plane', 'electronics engineers', '10 db']</t>
  </si>
  <si>
    <t>The circuit and radiation characteristics of a circular loop antenna above a lossless ground plane are studied. It is shown that the gain of this antenna is higher than that of a half-wave dipole above the ground plane. A gain as high as 10 dB is obtainable with this simple geometry. Copyright ¬© 1981 by The Institute of Electrical and Electronics Engineers, Inc.</t>
  </si>
  <si>
    <t>528-529</t>
  </si>
  <si>
    <t>60079059;60009697</t>
  </si>
  <si>
    <t>57213482891;56772049800</t>
  </si>
  <si>
    <t>Shoamanesh, A.;Shafa, L.</t>
  </si>
  <si>
    <t>Canada;Canada</t>
  </si>
  <si>
    <t>Pointe-Claire;Winnipeg</t>
  </si>
  <si>
    <t>MPB Technologies Inc.;University of Manitoba</t>
  </si>
  <si>
    <t>Shoamanesh A.</t>
  </si>
  <si>
    <t>Characteristics of Circular Loop Antennas Above a Lossless Ground Plane</t>
  </si>
  <si>
    <t>10.1109/TAP.1981.1142607</t>
  </si>
  <si>
    <t>2-s2.0-0019567711</t>
  </si>
  <si>
    <t>['systematic analysis', 'square paraboloid', 'square aperture', 'rear boresight', 'radiation characteristics', 'method enunciated', 'electronics engineers', 'dish employing', 'circular apertures', 'also tabulated', '3 ],']</t>
  </si>
  <si>
    <t>Radiation characteristics of a paraboloid with a square aperture are described in this paper. A systematic analysis of the principal plane radiation patterns of the dish employing the uniform geometrical theory of diffraction (UGTD) [3], [4] reveals that for the square paraboloid the backlobes are weak because there is no caustic at the rear boresight as in the case of circular apertures. Based on the method enunciated in [7] the front-to-back (F/B) ratio for different square paraboloids are also tabulated. Copyright ¬© 1981 by The Institute of Electrical and Electronics Engineers, Inc.</t>
  </si>
  <si>
    <t>507-511</t>
  </si>
  <si>
    <t>60025757;60025757;60025757</t>
  </si>
  <si>
    <t>7006389495;15072911900;57206292316</t>
  </si>
  <si>
    <t>Narasimhan, M. S.;Raghavan, K.;Ramanujam, P.</t>
  </si>
  <si>
    <t>Chennai</t>
  </si>
  <si>
    <t>Indian Institute of Technology Madras</t>
  </si>
  <si>
    <t>Narasimhan M.S.</t>
  </si>
  <si>
    <t>Radiation Characteristics of Prime Focus Paraboloids with Square Aperture</t>
  </si>
  <si>
    <t>10.1109/TAP.1981.1142605</t>
  </si>
  <si>
    <t>2-s2.0-0019567720</t>
  </si>
  <si>
    <t>['wire size', 'strut formalism', 'paper describes', 'loop antenna', 'emp time', 'electronics engineers', 'domain finite', 'corresponding demand', 'cell size', 'cell removed', 'cell inductance', '7 percent']</t>
  </si>
  <si>
    <t>coupling | EMP | finite-difference analysis | thin struts | THREDE | wires</t>
  </si>
  <si>
    <t>This paper describes the implementation of the thin-strut formalism in the 3-D EMP time-domain finite-difference code THREDE. The thin-strut formalism permits inclusion of arbitrary fine wires in THREDE without imposing any corresponding demand to reduce the cell size to the wire size. The keystone of this techniqueis the so-called in-cell inductance-the inductance per unit lengtha thin wire would have with respect to an enclosing conductor half a cell removed. THREDE results using this formalism are compared with analytic EMP solutions for a linear dipole antenna and a loop antenna. Errors are around 10 percent for the loop and 7 percent for the dipole. The 10-percent loop error could probably be improved; the 7-percent dipole error seems to be fundamental to the basic THREDE approximations. Copyright ¬©1981 by The Institute of Electrical and Electronics Engineers, Inc.</t>
  </si>
  <si>
    <t>88-97</t>
  </si>
  <si>
    <t>EMC-23</t>
  </si>
  <si>
    <t>1558187X</t>
  </si>
  <si>
    <t>IEEE Transactions on Electromagnetic Compatibility</t>
  </si>
  <si>
    <t>60092996;60092996</t>
  </si>
  <si>
    <t>7202201010;7202707225</t>
  </si>
  <si>
    <t>Holland, Richard;Simpson, Larry</t>
  </si>
  <si>
    <t>Fort Collins</t>
  </si>
  <si>
    <t>Mission Research Corporation</t>
  </si>
  <si>
    <t>Holland R.</t>
  </si>
  <si>
    <t>Finite-Difference Analysis of EMP Coupling to Thin Struts and Wires</t>
  </si>
  <si>
    <t>10.1109/TEMC.1981.303899</t>
  </si>
  <si>
    <t>2-s2.0-0019567775</t>
  </si>
  <si>
    <t>['urban area', 'uhf data', 'suburban areas', 'received signal', 'range dependence', 'paper describes', 'multipath interference', 'models proposed', 'model describes', 'mobile hf', 'measurements indicate', 'electromagnetic field', 'copyright 1981', 'best described', '80 mhz', '450 mhz', '446 mhz', '3 mhz', '000 mhz']</t>
  </si>
  <si>
    <t>A number of models have been proposed in the literature to predict the propagation path loss in built‚Äêup areas (urban and suburban) at VHF and UHF. However, none of these models is applicable at frequencies below 80 MHz. Other models proposed for application at frequencies between 20 and 10,000 MHz are only accurate when propagation is over rural irregular terrain. This paper describes the development of a path loss model applicable to frequencies between 3 and 450 MHz and propagation in urban and suburban areas. The model has been developed from path loss measurements at 3.195, 4.44, 16.08, 26.63, 49.8, and 446 MHz, where little reported data is available. In addition, previously reported VHF and UHF data have also been used to complement these measurements in the development of the model. The measurements indicate that even at frequencies as low as 3 MHz the electromagnetic field in an urban area will exhibit random spatial variations caused by multipath interference. Thus the received signal is best described in terms of mean and median signal levels. The model describes the frequency and range dependence of the median path loss and should be useful in predicting the performance of point‚Äêto‚Äêpoint and mobile HF/VHF communications links located in built‚Äêup areas and employing low‚Äêelevation antennas. Copyright 1981 by the American Geophysical Union.</t>
  </si>
  <si>
    <t>355-364</t>
  </si>
  <si>
    <t>May-June 1981</t>
  </si>
  <si>
    <t>Malaga, Alfonso</t>
  </si>
  <si>
    <t>Malaga A.</t>
  </si>
  <si>
    <t>An empirical path loss model for HF/VHF propagation in urban areas</t>
  </si>
  <si>
    <t>10.1029/RS016i003p00355</t>
  </si>
  <si>
    <t>2-s2.0-0019567868</t>
  </si>
  <si>
    <t>['xpd values', 'widely used', 'variable systems', 'two methods', 'system availability', 'stability problems', 'simply rotates', 'satisfactory performance', 'rotational compensation', 'results indicate', 'receiving antenna', 'rameter methods', 'quadrature cancellation', 'proposed recently', 'possible tradeoff', 'parameter methods', 'paper studies', 'maximize xpd', 'many groups', 'ice particles', 'ground stations', 'faraday rotation', 'electronics engineers', 'efficient utilization', 'different methods', 'cost considerations', 'correlation approach', 'control errors', 'analyzed using', 'also discussed']</t>
  </si>
  <si>
    <t>The orthogonal polarization techniques will be widely used in satellite communications due to its efficient utilization of the spectrum, but the feasibility of different methods to compensate for the cross-polarization at ground stations will be essential for the applicability of the techniques. Although complicated four-variable systems have been designed by many groups, two simple one-pa-rameter methods have been proposed recently. The first, rotational compensation, simply rotates the linear polarization directions of the receiving antenna to maximize XPD; the second, quadrature cancellation, simply injects quadrature cancelling signals. This paper studies the feasibility of these two methods in terms of system designer‚Äôs viewpoints. A correlation approach is used to estimate the achievable XPD values for different situations including rain, ice particles, and Faraday rotation. The system availability and cost considerations are analyzed using a possible tradeoff between CNR and XPD values. The control errors and stability problems are also discussed. The results indicate that there exist many situations in which these one-parameter methods are feasible and attractive and provide possible solutions for designers desiring effective, low-cost receiving stations with satisfactory performance. Copyright ¬© 1981 by The Institute of Electrical and Electronics Engineers, Inc.</t>
  </si>
  <si>
    <t>735-743</t>
  </si>
  <si>
    <t>Lee, Lin Shan</t>
  </si>
  <si>
    <t>Taiwan</t>
  </si>
  <si>
    <t>Taipei</t>
  </si>
  <si>
    <t>National Taiwan University</t>
  </si>
  <si>
    <t>Lee L.S.</t>
  </si>
  <si>
    <t>The Feasibility of Two One-Parameter Polarization Control Methods in Satellite Communications</t>
  </si>
  <si>
    <t>10.1109/TCOM.1981.1095043</t>
  </si>
  <si>
    <t>2-s2.0-0019567932</t>
  </si>
  <si>
    <t>['two k', 'substantial communication', 'spacecraft attitude', 'rights reserved', 'present cs', 'operation experiments', 'one year', 'may 1978', 'maintained precisely', 'launched successfully', 'geostationary orbit', 'experiments due', 'despun antenna', 'december 1977', 'conducted starting', 'checkout period', 'band transponders', '6 ghz', '4 ghz', '30 ghz', '20 ghz']</t>
  </si>
  <si>
    <t>Japan‚Äôs CS spacecraft was launched successfully in December 1977 and positioned at 135 deg east longitude in a geostationary orbit. After an initial on-orbit performance checkout, substantial communication and operation experiments were conducted starting in May 1978 as scheduled. Spacecraft attitude and position are being maintained precisely, and onboard mission equipment including the despun antenna and C-band (6 GHz/4 GHz) and K-band (30 GHz/20 GHz) transponders are working well except for two K-band transponders that had been excluded from the objectives of the experiments due to malfunctions that had occurred during the checkout period. After one year of experiments, it was concluded that the present CS-like system would be suitable for a future operational domestic satellite system in Japan. This paper will present typical first-year experiment results. ¬© American Institute of Aeronautics and Astronautics, Inc., 1981, All rights reserved.</t>
  </si>
  <si>
    <t>259-267</t>
  </si>
  <si>
    <t>100323249;60025555;60022990</t>
  </si>
  <si>
    <t>7201953070;6603223337;7402588819</t>
  </si>
  <si>
    <t>Tsukamoto, Ken Ichi;Fuketa, Hiroaki;Ichikawa, Yoh</t>
  </si>
  <si>
    <t>Japan;Japan;Japan</t>
  </si>
  <si>
    <t>Tokyo;Chofu;Tokyo</t>
  </si>
  <si>
    <t>Nippon Telegraph and Telephone Corporation;Japan Aerospace Exploration Agency;Radio Research Lab</t>
  </si>
  <si>
    <t>60025555;60022990;100323249</t>
  </si>
  <si>
    <t>Tsukamoto K.</t>
  </si>
  <si>
    <t>Present and future aspects of japanese CS program</t>
  </si>
  <si>
    <t>10.2514/3.57813</t>
  </si>
  <si>
    <t>2-s2.0-0019568057</t>
  </si>
  <si>
    <t>['vertically scanned', 'track resolution', 'swath width', 'spaceborne scansars', 'severely constrained', 'scanning positions', 'real aperture', 'real antenna', 'potential length', 'poorer resolution', 'narrow swath', 'microwave radiometer', 'may also', 'inner angles', 'independently traded', 'finer resolution', 'electronics engineers', 'design curves', 'combined radiometer', 'beam positions', 'approximately square', 'ambiguity limitations', '400 ¬∞.', '20 ¬∞', '1400 km']</t>
  </si>
  <si>
    <t>Spaceborne synthetic aperture radar systems are severely constrained to a narrow swath by ambiguity limitations. Here a vertically scanned-beam synthetic aperture system (SCANSAR) is proposed as a solution to this problem. The potential length of synthetic aperture must be shared between beam positions, so the along-track resolution is poorer; a direct tradeoff exists between resolution and swath width. The length of the real aperture is independently traded against the number of scanning positions. Design curves and equations are presented for spaceborne SCANSARs for altitudes between 400 and 1400 km and inner angles of incidence between 20¬∞ and 400¬∞. When the real antenna is approximately square, it may also be used for a microwave radiometer. The combined radiometer and synthetic-aperture (RADISAR) should be useful for those applications where the poorer resolution of the radiometer is useful for some purposes, but the finer resolution of the radar is needed for others. Copyright ¬© 1981 by The Institute of Electrical and Electronics Engineers, Inc.</t>
  </si>
  <si>
    <t>410-421</t>
  </si>
  <si>
    <t>60015457;60007843;115568423</t>
  </si>
  <si>
    <t>35592956700;7005916464;7406582847</t>
  </si>
  <si>
    <t>Moore, Richard K.;Claassen, John P.;Lin, Y. H.</t>
  </si>
  <si>
    <t>Lawrence;Albuquerque;Van Nuys</t>
  </si>
  <si>
    <t>University of Kansas;Sandia National Laboratories, New Mexico;Data Systems Division of Litton Systems</t>
  </si>
  <si>
    <t>Moore R.K.</t>
  </si>
  <si>
    <t>Scanning Spaceborne Synthetic Aperture Radar with Integrated Radiometer</t>
  </si>
  <si>
    <t>10.1109/TAES.1981.309069</t>
  </si>
  <si>
    <t>2-s2.0-0019569016</t>
  </si>
  <si>
    <t>['tracking filter', 'tracking accuracies', 'rate measurements', 'rate data', 'radial component', 'obtains position', 'numerical results', 'normalized accuracies', 'electronics engineers', 'earlier attainment', 'dwell time', 'direct consequence']</t>
  </si>
  <si>
    <t>Tracking accuracies for the radial component of motion are computed for a track-while-scan radar system which obtains position and rate data during the dwell time on a target. These results will be of interest to persons developing trackers for pulse Doppler surveillance radars. The normalized accuracies, computed for a two state Kalman tracking filter with white noise maneuver capability, are shown to depend upon two parameters, r = 4œÉ0/œÉaT2 and s = œÉdT/œÉ0. The symbols œÉ0and œÉdare theposition and rate measurement accuracies, respectively, œÉais thestandard deviation of the white noise maneuver process and T is the antenna scan time. The scalar tracking filter equations are derived and numerical results are presented. Lower steady state tracking errors plus the earlier attainment of steady state accuracies are the direct consequence of incorporating the rate measurements into the tracking filter. Copyright ¬© 1981 by The Institute of Electrical and Electronics Engineers, Inc.</t>
  </si>
  <si>
    <t>433-437</t>
  </si>
  <si>
    <t>Castella, Frank R.</t>
  </si>
  <si>
    <t>Castella F.R.</t>
  </si>
  <si>
    <t>Tracking Accuracies with Position and Rate Measurements</t>
  </si>
  <si>
    <t>10.1109/TAES.1981.309071</t>
  </si>
  <si>
    <t>2-s2.0-0019569062</t>
  </si>
  <si>
    <t>['symmetry relations', 'symmetric targets', 'reflection asymmetry', 'obtaining data', 'minimum number', 'measurements needed', 'electronics engineers', 'electromagnetic reciprocity', 'computer calculations', 'also facilitate']</t>
  </si>
  <si>
    <t>Circularly polarized bistatic scattering from plane-symmetric targets with otherwise arbitrary electrical properties exhibits reflection asymmetries, polarization reversal asymmetries, and polarization reversal reflection symmetries which are useful for bistatic radar data interpretation. Familiarity with these bistatic scattering polarization properties will also facilitate the interpretation of depolarization and beam displacement phenomena in off-set reflector antenna characteristics. In addition, the symmetries can be used to reduce the time and expense in obtaining data from bistatic scattering range measurements, offset reflector antenna measurements, and theoretical or computer calculations. The reflection asymmetry, polarization reversal asymmetry, and polarization reversal reflection symmetry relations are derived. The symmetry relations are then combined with the principle of electromagnetic reciprocity to determine the minimum number of measurements needed to characterize target scattering. Copyright ¬© 1981 by The Institute of Electrical and Electronics Engineers, Inc.</t>
  </si>
  <si>
    <t>429-434</t>
  </si>
  <si>
    <t>Heath, Gregory E.</t>
  </si>
  <si>
    <t>Heath G.</t>
  </si>
  <si>
    <t>Bistatic Scattering Reflection Asymmetry, Polarization Reversal Asymmetry, and Polarization Reversal Reflection Symmetry</t>
  </si>
  <si>
    <t>10.1109/TAP.1981.1142598</t>
  </si>
  <si>
    <t>2-s2.0-0019569129</t>
  </si>
  <si>
    <t>['several modes', 'radiating sources', 'radiated energy', 'periodically loaded', 'measured patterns', 'matched loads', 'hole diameter', 'experimental results', 'excellent agreement', 'energy distribution', 'electronics engineers', 'different ways', 'coupled periodically']</t>
  </si>
  <si>
    <t>The electrical state along two matched transmission lines which are coupled periodically by means of holes is studied, and then identical radiating slots are taken into account, to make up an array. Theory and experimental results are compared for two nonradiating waveguides, especially the energy distribution into matched loads in terms of the hole diameter. Next when one of the waveguides is periodically loaded with radiating sources and fed in different ways, distinct radiating patterns which correspond to several modes are obtained: single, odd, even, sum, or difference. Radiated energy and efficiency are given in terms of frequency and hole diameter. Calculated and measured patterns are in excellent agreement. Copyright ¬© 1981 by The Institute of Electrical and Electronics Engineers, Inc.</t>
  </si>
  <si>
    <t>435-442</t>
  </si>
  <si>
    <t>115552814;115552775</t>
  </si>
  <si>
    <t>7006052449;6507405034</t>
  </si>
  <si>
    <t>Dubost, G.;Beguin, D.</t>
  </si>
  <si>
    <t>Rennes;Velizy-Villacoublay</t>
  </si>
  <si>
    <t>Laboratoire Antennes et Rayonnement Facult√© des Sciences de l'Universit√© de Rennes;Laboratoire Central de Te'l√©communications(L.C.T.)</t>
  </si>
  <si>
    <t>Dubost G.</t>
  </si>
  <si>
    <t>Propagation Along Two Radiating Coupled Waveguides: Applications to a Multimode Radiating Array</t>
  </si>
  <si>
    <t>10.1109/TAP.1981.1142599</t>
  </si>
  <si>
    <t>2-s2.0-0019569270</t>
  </si>
  <si>
    <t>['versus angle', 'solved using', 'simple expressions', 'results obtained', 'plane green', 'plane edge', 'mounted antenna', 'integral expression', 'input impedance', 'gtd method', 'finite plate', 'exact half', 'electronics engineers', 'attachment mode', 'also presented']</t>
  </si>
  <si>
    <t>The problem of a monopole antenna mounted near or at the edge of a half-plane is solved using a hybrid moment method solution with an integral expression for the exact half-plane Green's function. Results are presented for input impedance of a Œª/4 monopole versus distance from the half-plane edge and versus angle for an edge-mounted antenna. Simple expressions for the surface current density induced on the half-plane are derived, and an attachment mode is constructed for use with the author's previously developed surface patch moment method solution when a wire is attached at or near an edge of a finite plate. Results obtained from the MM/GTD method are also presented for comparison. Copyright ¬© 1981 by The Institute of Electrical and Electronics Engineers, Inc.</t>
  </si>
  <si>
    <t>488-495</t>
  </si>
  <si>
    <t>60014313;60003500</t>
  </si>
  <si>
    <t>7006061921;7203066664</t>
  </si>
  <si>
    <t>Pozar, David M.;Newman, Edward H.</t>
  </si>
  <si>
    <t>Amherst MA;Columbus</t>
  </si>
  <si>
    <t>University of Massachusetts Amherst;The Ohio State University</t>
  </si>
  <si>
    <t>Pozar D.</t>
  </si>
  <si>
    <t>Analysis of a Monopole Mounted near or at the Edge of a Half-Plane</t>
  </si>
  <si>
    <t>10.1109/TAP.1981.1142609</t>
  </si>
  <si>
    <t>2-s2.0-0019569271</t>
  </si>
  <si>
    <t>['physical currents', 'mm analysis', 'junction region', 'formulation builds', 'electronics engineers', 'continuous functions', 'computational economy', 'attached radiators']</t>
  </si>
  <si>
    <t>A method of moments (MM) formulation for multiple wires attached to biodes of revolution (BOR) is presented. This formulation builds on previous MM analyses for BOR's and wires. A special junction basis function is introduced to represent the physical currents in the BOR‚Äìwire attachment (junction) region. In the formulation, currents are represented by 1) mode-dependent and piecewise-continuous expansion functions on the BOR, 2) piecewise-continuous functions on the wires, and 3) a continuity-preserving basis function for the junction region. The block diagonal character of the MM/BOR matrix formulation and the computational economy of the MM analysis for wires are retained. The analysis is demonstrated for surface-attached radiators such as monopoles and loops as well as surface-attached passive elements. Copyright ¬© 1981 by The Institute of Electrical and Electronics Engineers, Inc.</t>
  </si>
  <si>
    <t>479-487</t>
  </si>
  <si>
    <t>60030821;60019647</t>
  </si>
  <si>
    <t>7006557059;7003286486</t>
  </si>
  <si>
    <t>Shaeffer, John F.;Medgyesi-Mitschang, Louis N.</t>
  </si>
  <si>
    <t>Chicago;Atlanta</t>
  </si>
  <si>
    <t>Boeing Corporation;Georgia Institute of Technology</t>
  </si>
  <si>
    <t>Shaeffer J.F.</t>
  </si>
  <si>
    <t>Radiation from Wire Antennas Attached to Bodies of Revolution: The Junction Problem</t>
  </si>
  <si>
    <t>10.1109/TAP.1981.1142600</t>
  </si>
  <si>
    <t>2-s2.0-0019569675</t>
  </si>
  <si>
    <t>['wire cross', 'vertical arms', 'unrestricted lengths', 'scattered fields', 'restricted conditions', 'order solution', 'nonnormal incidence', 'horizontal wire', 'four arms', 'electronics engineers', 'electric vector', 'earlier analyses', 'detailed graphs', 'critical effects', 'complete first', 'arm type', 'arm cross', '45 ¬∞']</t>
  </si>
  <si>
    <t>Earlier analyses of the wire cross under restricted conditions are generalized, and a complete first-order solution is provided for the currents and charges per unit length in all four arms. These may have different and unrestricted lengths. The angles of incidence and polarization of the exciting plane wave are arbitrary. Detailed graphs are provided for the currents in and scattered fields of an equi-arm cross with electrical arm lengths kh up to 3.5 when the angle of incidence is 45¬∞ and the electric vector is perpendicular to the horizontal wire. The included three resonances and the condition for a three-arm type of oscillation are treated. The critical effects of changes in the length of one of the vertical arms are examined for normal and nonnormal incidence. Copyright ¬© 1981 by The Institute of Electrical and Electronics Engineers, Inc.</t>
  </si>
  <si>
    <t>512-520</t>
  </si>
  <si>
    <t>60009982;60009982</t>
  </si>
  <si>
    <t>35586046100;57197969191</t>
  </si>
  <si>
    <t>King, Ronold W.P.;Sandler, Barbara H.</t>
  </si>
  <si>
    <t>Harvard University</t>
  </si>
  <si>
    <t>King R.</t>
  </si>
  <si>
    <t>Analysis of the Currents Induced in a General Wire Cross by a Plane Wave Incident at an Angle with Arbitrary Polarization</t>
  </si>
  <si>
    <t>10.1109/TAP.1981.1142596</t>
  </si>
  <si>
    <t>2-s2.0-0019570440</t>
  </si>
  <si>
    <t>['subarray patterns', 'several concepts', 'finite lens', 'far field', 'electronics engineers', 'diffraction effects', 'continuous apertures', 'array feed', 'array face']</t>
  </si>
  <si>
    <t>The features of a space-feed lens subarraying system with amplitude control circuits at the feed array face are outlined in this analysis. Several concepts to aid in producing low sidelobe subarray patterns and subarray patterns with relatively wide band null troughs are introduced. The analysis is presented for the purpose of comparing alternative approaches and includes the diffraction effects of finite lens and array feed. It treats the idealization of the lens and array face as continuous apertures, neglects mutual coupling effects, and includes the assumption that the cylindrical lens back face is in the far field of the array feed. Copyright ¬© 1981 by The Institute of Electrical and Electronics Engineers, Inc.</t>
  </si>
  <si>
    <t>538-544</t>
  </si>
  <si>
    <t>Mailloux, Robert J.</t>
  </si>
  <si>
    <t>Array and Subarray Pattern Control Features of Subarraying Feeds</t>
  </si>
  <si>
    <t>10.1109/TAP.1981.1142612</t>
  </si>
  <si>
    <t>2-s2.0-0019570441</t>
  </si>
  <si>
    <t>['whole array', 'structures composed', 'signals returned', 'several point', 'radio signals', 'part ix', 'paper shows', 'one sensor', 'noise ratio', 'making use', 'line array', 'like scatterers', 'electronics engineers', 'beam forming', 'array gain']</t>
  </si>
  <si>
    <t>beam forming | garray gain | nonsinusoidal waves | sequence theory | Synthetic-aperture radar | Walsh functions</t>
  </si>
  <si>
    <t>Beam forming based on a line array of sensors and radio signals with a triangular autocorrelation function was discussed in Part IX of this series. The resolution angle e was shown to vary like 1/VP/PN with the signal-to-noise ratio PIPN‚Äô which puts a premium on getting the best possible signal-to-noise ratio. This paper shows that the signal-to-noise ratio holding for one sensor can be replaced by the signal-to-noise ratio holding for the whole array, which usually is referred to as making use of the array gain. The result is generalized from the one-dimensional line array to the two-dimensional planar array. Furthermore, the method of beam forming is extended from signals returned by point-like scatterers or reflectors to structures composed of several point-like scatterers; the utilization of the array gain has not yet been investigated for this case. Copyright ¬©1981 by The Institute of Electrical and Electronics Engineers, Inc.</t>
  </si>
  <si>
    <t>72-79</t>
  </si>
  <si>
    <t>Harmuth, Henning F.</t>
  </si>
  <si>
    <t>Catholic University of America</t>
  </si>
  <si>
    <t>Harmuth H.F.</t>
  </si>
  <si>
    <t>Synthetic-Aperture Radar Based on Nonsinusoidal Functions: X-Array Gain, Planar Arrays, Multiple Signals</t>
  </si>
  <si>
    <t>10.1109/TEMC.1981.303897</t>
  </si>
  <si>
    <t>2-s2.0-0019570479</t>
  </si>
  <si>
    <t>['simple method', 'scale spectrum', 'power pattern', 'paper formalizes', 'often required', 'mutual interference', 'mainbeam gain', 'estimated patterns', 'emc analysis', 'electronics engineers', 'beam antennas']</t>
  </si>
  <si>
    <t>Antenna pattern | estimation procedure | narrow-beam</t>
  </si>
  <si>
    <t>In EMC analysis it is often required to assess the mutual interference between stations without detailedknowledge of the antenna patterns involved. Typically, only the mainbeam gain is available from large-scale spectrum-management data systems. This paper formalizes a simple method for estimating the power pattern of narrow-beam antennas from this admittedly insufficient information. Estimated patterns are compared with measured antenna patterns. Copyright ¬©1981 by The Institute of Electrical and Electronics Engineers, Inc.</t>
  </si>
  <si>
    <t>100-103</t>
  </si>
  <si>
    <t>Kuebler, Wolf</t>
  </si>
  <si>
    <t>McLean/Washington, D.C.</t>
  </si>
  <si>
    <t>Hydrotronics, Inc.</t>
  </si>
  <si>
    <t>Kuebler W.</t>
  </si>
  <si>
    <t>A Procedure for Estimating the Power Pattern of a Narrow-Beam Antenna</t>
  </si>
  <si>
    <t>10.1109/TEMC.1981.303901</t>
  </si>
  <si>
    <t>2-s2.0-0019570811</t>
  </si>
  <si>
    <t>['special properties', 'presented along', 'fire pattern', 'energy flow', 'electronics engineers', 'design examples', 'backside region']</t>
  </si>
  <si>
    <t>Use of interpolation processor coefficients as weights in a particular line array format leads to an end-fire pattern having special properties. A wide, nearly constant gain main beam results which is complemented by a backside region having uniformly low peak sidelobe levels. Changing the polarity of one element reverses the direction of energy flow. Use of these simple line arrays as elements of a planar array permits elimination of the back-screen and offers bidirectional coverage. An overview of the technique is presented along with some design examples. Copyright ¬© 1981 by The Institute of Electrical and Electronics Engineers, Inc.</t>
  </si>
  <si>
    <t>658-659</t>
  </si>
  <si>
    <t>Costas, John P.</t>
  </si>
  <si>
    <t>Costas J.P.</t>
  </si>
  <si>
    <t>Switchable End-Fire Element for Three-Dimensional Array Use</t>
  </si>
  <si>
    <t>10.1109/PROC.1981.12032</t>
  </si>
  <si>
    <t>2-s2.0-0019570814</t>
  </si>
  <si>
    <t>['topological properties', 'systematically formulated', 'scattering matrix', 'hybrid couplers', 'fundamental concepts', 'fft algorithm', 'electronics engineers', 'butler matrix', 'b matrix']</t>
  </si>
  <si>
    <t>A systematic general design formulation for a Butler matrix (B matrix) is described. The B matrix design problem discussed is used to determine phase shift location and value in a matrix, when the number of beam (elements of array) M = 2N and the scattering matrix for the hybrid couplers are specified. The design formulation presented is based on the fact that a B matrix design procedure and an FFT algorithm are equivalent in fundamental concepts. It is shown that the B matrix design procedure can be systematically formulated by the FFT algorithm modifications, which preserves the topological properties of the original signal flow diagram. A simple design formula has been established by this formulation. Copyright ¬© 1981 by The Institute of Electrical and Electronics Engineers, Inc.</t>
  </si>
  <si>
    <t>496-501</t>
  </si>
  <si>
    <t>Ueno, Motoharu</t>
  </si>
  <si>
    <t>Toshiba Corporation</t>
  </si>
  <si>
    <t>Ueno M.</t>
  </si>
  <si>
    <t>A Systematic Design Formulation for Butler Matrix Applied FFT Algorithm</t>
  </si>
  <si>
    <t>10.1109/TAP.1981.1142601</t>
  </si>
  <si>
    <t>2-s2.0-0019570894</t>
  </si>
  <si>
    <t>['wiley company', 'ssa40a larvae', 'presumptive time', 'leg structures', 'inc .,', 'convert parts']</t>
  </si>
  <si>
    <t>Nasobemia (Ns) and spineless‚Äêaristapedia (ssa40a) are dominant and recessive homeotic mutants of Drosophila which convert parts of the antenna to leg structures. Exposure of Ns and ssa40a larvae to half‚Äêlethal concentrations of 5‚Äêbromodeoxyuridine (BUdR) and flourouracil (FU) together or separately during the presumptive time of gene action suppresses the expressivity and penetrance of the mutants. Copyright ¬© 1981 Wiley‚ÄêLiss, Inc., A Wiley Company</t>
  </si>
  <si>
    <t>261-265</t>
  </si>
  <si>
    <t>1097010X</t>
  </si>
  <si>
    <t>0022104X</t>
  </si>
  <si>
    <t>Journal of Experimental Zoology</t>
  </si>
  <si>
    <t>60006297;60006297;60006297</t>
  </si>
  <si>
    <t>6506253013;6603111124;7006306030</t>
  </si>
  <si>
    <t>Ibars, George C.;Selick, Harold E.;Kauffman, Stuart A.</t>
  </si>
  <si>
    <t>University of Pennsylvania</t>
  </si>
  <si>
    <t>Ibars G.C.</t>
  </si>
  <si>
    <t>Inhibition of two homeotic mutants of Drosophila by 5‚Äêbromodeoxyuridine and fluorouracil</t>
  </si>
  <si>
    <t>10.1002/jez.1402160206</t>
  </si>
  <si>
    <t>2-s2.0-0019571403</t>
  </si>
  <si>
    <t>['two elements', 'phase difference', 'obtained explicitly', 'miss distance', 'interferometer antenna', 'expected distance', 'electronics engineers', 'doppler frequency', 'closest approach', 'arrival angle']</t>
  </si>
  <si>
    <t>Two fixed parameters define a two-dimensional projectile track relative to a radar: An arrival angle, and the expected distance of closest approach (miss distance). Both parameters can be obtained explicitly, the angle from the history of the phase difference between two elements of an interferometer antenna, and the miss distance from the history of the Doppler frequency. Copyright ¬© 1981 by The Institute of Electrical and Electronics Engineers, Inc.</t>
  </si>
  <si>
    <t>469-471</t>
  </si>
  <si>
    <t>Doppler Radar Tracking of Hostile Fire</t>
  </si>
  <si>
    <t>10.1109/TAES.1981.309079</t>
  </si>
  <si>
    <t>2-s2.0-0019571410</t>
  </si>
  <si>
    <t>['scan requirements', 'hand calculators', 'given beamwidth', 'electronics engineers', 'designing reflector']</t>
  </si>
  <si>
    <t>For given beamwidth, sidelobe, and scan requirements, simple analytical formulas are presented for designing reflector and feed array configurations. All calculations can be done with hand calculators. Copyright ¬© 1981 by The Institute of Electrical and Electronics Engineers, Inc.</t>
  </si>
  <si>
    <t>472-478</t>
  </si>
  <si>
    <t>60000745;60009037</t>
  </si>
  <si>
    <t>7601396617;7102110120</t>
  </si>
  <si>
    <t>Lee, Shung Wu;Rahmat-Samii, Yahya</t>
  </si>
  <si>
    <t>Pasadena;Urbana</t>
  </si>
  <si>
    <t>Jet Propulsion Laboratory;University of Illinois Urbana-Champaign</t>
  </si>
  <si>
    <t>60009037;60000745</t>
  </si>
  <si>
    <t>Lee S.</t>
  </si>
  <si>
    <t>Simple Formulas for Designing an Offset Multibeam Parabolic Reflector</t>
  </si>
  <si>
    <t>10.1109/TAP.1981.1142611</t>
  </si>
  <si>
    <t>2-s2.0-0019571510</t>
  </si>
  <si>
    <t>['yagi parasitically', 'excited array', 'electronics engineers', 'conventional yagi', 'antenna combines']</t>
  </si>
  <si>
    <t>A structurally simple antenna configuration which offers lower sidelobe levels than a conventional Yagi is described. The antenna combines a backward-wave excited array with a Yagi parasitically-excited array of dipoles. Copyright ¬© 1981 by The Institute of Electrical and Electronics Engineers, Inc.</t>
  </si>
  <si>
    <t>530-532</t>
  </si>
  <si>
    <t>Kahn, Walter K.</t>
  </si>
  <si>
    <t>The George Washington University</t>
  </si>
  <si>
    <t>Kahn W.</t>
  </si>
  <si>
    <t>Double-Ended Back-ward-Wave Yagi Hybrid Antenna</t>
  </si>
  <si>
    <t>10.1109/TAP.1981.1142614</t>
  </si>
  <si>
    <t>2-s2.0-0019571511</t>
  </si>
  <si>
    <t>['relationship involving', 'receiving antennas', 'input conductance', 'electronics engineers', 'current distribution']</t>
  </si>
  <si>
    <t>Based upon established theories and a relationship involving the principle of reciprocity between transmitting and receiving antennas, a simple approximate expression for the current distribution on an electrically short cylindrical receiving antenna is derived. Further manipulations also yield a simple approximate formula for the input conductance to an electrically short cylindrical antenna anywhere along its length. Copyright ¬© 1981 by The Institute of Electrical and Electronics Engineers, Inc.</t>
  </si>
  <si>
    <t>532-534</t>
  </si>
  <si>
    <t>57205523286;7403319959</t>
  </si>
  <si>
    <t>Rispin, Lawrence W.;Chang, David C.</t>
  </si>
  <si>
    <t>Rispin L.</t>
  </si>
  <si>
    <t>A Generalization of King's Short Antenna Theory</t>
  </si>
  <si>
    <t>10.1109/TAP.1981.1142616</t>
  </si>
  <si>
    <t>2-s2.0-0019571512</t>
  </si>
  <si>
    <t>['wiley company', 'truncated cone', 'radiation patterns', 'multiple diffraction', 'moment method', 'input impedance', 'inc .,', 'gtd ).', 'geometrical theory', 'eec method', 'current distribution', 'cone may', 'circular plane', 'circular cone']</t>
  </si>
  <si>
    <t>A vertical monopole antenna erected on the base of a circular cone is analyzed by the equivalent edge current (EEC) and the geometrical theory of diffraction (GTD). The cone may be converted into a disk, column or truncated cone. The current distribution and input impedance are calculated by the moment method. The multiple diffraction on the circular plane is considered in the calculation of radiation patterns by the EEC method (or GTD). The experimental results agree approximately with the calculation. Copyright ¬© 1981 Wiley Periodicals, Inc., A Wiley Company</t>
  </si>
  <si>
    <t>39-46</t>
  </si>
  <si>
    <t>Iwashige, Jiro</t>
  </si>
  <si>
    <t>Saga</t>
  </si>
  <si>
    <t>Saga University</t>
  </si>
  <si>
    <t>Iwashige J.</t>
  </si>
  <si>
    <t>Analysis of monopole antenna erected on circular conductor</t>
  </si>
  <si>
    <t>10.1002/ecja.4410640606</t>
  </si>
  <si>
    <t>2-s2.0-0019572357</t>
  </si>
  <si>
    <t>['two parts', 'smaller part', 'radiaton power', 'larger part', 'hyperbolic apertures', '10 wavelengths']</t>
  </si>
  <si>
    <t>An investigation of the experiments and design of a double-hyperbolic nonplanar aperture type cosec**2-beam horn antenna is described. The cosec**2-beam radiation pattern is synthesized by a combination of two parts of hyperbolic apertures. The larger part is used as a main-part to concentrate the radiaton power. The smaller part is used as a sub-part to fill in the electric field null due to the main-part. The experimental results show that it is possible to obtain the high-gain and broad-band cosec**2-beam horn antenna by using the E-plane sectoral horn whose aperture length is less than 10 wavelengths.</t>
  </si>
  <si>
    <t>483-488</t>
  </si>
  <si>
    <t>Terebijon Gakkaishi/Journal of the Institute of Television Engineers of Japan</t>
  </si>
  <si>
    <t>Jun</t>
  </si>
  <si>
    <t>35969741200;7408132858;56779495700</t>
  </si>
  <si>
    <t>Sha, Kokusho;Suzuki, Michiya;Adachi, Saburo</t>
  </si>
  <si>
    <t>COSEC&lt;sup&gt;2&lt;/sup&gt;-BEAM HORN ANTENNA WITH DOUBLE-HYPERBOLIC NON-PLANAR APERTURES.</t>
  </si>
  <si>
    <t>10.3169/itej1978.35.483</t>
  </si>
  <si>
    <t>2-s2.0-0019572987</t>
  </si>
  <si>
    <t>['tabular form', 'partial derivatives', 'paper summarizes', 'navigation variables', 'moving station', 'lockon variables', 'increasing number', 'frequently necessary', 'error sensitivities', 'communicate successfully', 'becoming one', 'allowable tolerance', '1981 institute']</t>
  </si>
  <si>
    <t>The task of communicating with a satellite from a fixed or moving station on or near the earth is becoming one that must be accomplished in an increasing number of applications. It is frequently necessary in these applications to point an antenna at the satellite, and to know the range and/or range‚Äêrate along the line‚Äêof‚Äêsight connecting station and satellite, within some allowable tolerance, in order to lock on and communicate successfully. Errors in the navigation variables of the station, that is, its three‚Äêdimensional position and velocity, and in the knowledge of position and velocity of the satellite, contribute to errors in ‚Äúlockon‚Äù variables, i.e., antenna‚Äêpositioning, range, and range‚Äêrate. This paper summarizes the formulas that allow the errors in lockon variables to be calculated, given the errors in satellite and station navigation variables. The error sensitivities, that is, the partial derivatives of the errors in lockon variables as functions of errors in navigation variables, are presented in tabular form. 1981 Institute of Navigation</t>
  </si>
  <si>
    <t>107-122</t>
  </si>
  <si>
    <t>Navigation</t>
  </si>
  <si>
    <t>Summer 1981</t>
  </si>
  <si>
    <t>7402385067;6507027981;7801488271</t>
  </si>
  <si>
    <t>SCHNEIDER, ALAN M.;ROTHMULLER, ILAN J.;ROSENLOF, JOHN R.</t>
  </si>
  <si>
    <t>SCHNEIDER A.</t>
  </si>
  <si>
    <t>Navigation Error Sensitivities for Communicating Between Fixed or Mobile Earth Stations and Satellites</t>
  </si>
  <si>
    <t>10.1002/j.2161-4296.1981.tb01453.x</t>
  </si>
  <si>
    <t>2-s2.0-0019573702</t>
  </si>
  <si>
    <t>['¬© 1981', 'user results', 'tests cubic', 'system accuracy', 'static conditions', 'stability tests', 'stability testing', 'smoothing functions', 'shore stations', 'september 1978', 'raydist systems', 'radiated signal', 'positioning systems', 'positioning system', 'position location', 'phase comparison', 'paper presents', 'operational conditions', 'oceanographic investigations', 'november 1979', 'nos inventory', 'nos input', 'north carolina', 'nigh range', 'new jersey', 'medium frequency', 'latest version', 'january 1980', 'initial phase', 'hydrographic surveys', 'expected performance', 'effective day', 'conducted using', 'concave coast', 'calibration errors', 'argo system', 'april 1979', '54 system', '440 km', '3 mhz', '2 mhz', '1977 ).']</t>
  </si>
  <si>
    <t>In 1978 NOAA procured the Cubic Western Data ARGO DM-54 system for use by the National Ocean Survey (NOS) for position location during hydrographic surveys and oceanographic investigations. The ARGO (Automatic Ranging Grid Overlay) positioning system is a pulsed phase comparison system operating in the medium frequency (MF) band (1.6-2 Mhz) using the ground wave component of the radiated signal. User results on the performance of medium range positioning systems vary widely (Munson, 1977). In NOS survey operations calibration errors or offsets have occurred when returning to fixed calibration points using medium-range positioning systems. To resolve the questions of calibration errors and system accuracy a program was initiated to measure the expected performance under operational conditions and to develop a standard field test procedure that could be used as an NOS input to the FIG Working Group 414b on positioning systems. In the initial phase of the program, stability tests under static conditions were conducted on the ARGO system in September 1978 and April 1979. These tests were conducted using the ARGO whip antenna at ranges of 18-440 km in a "test" range of the concave coast between New Jersey and North Carolina. As a result of these tests Cubic has developed phase stabilization circuitry for the ARGO system to minimize antenna detuning and subsequent lane jumps. This option was implemented and tested on the NOS ARGO system in January 1980. There are also a number of Raydist systems in the NOS inventory and the stability testing was extended to characterize the latest version of the Raydist DRS system. The Raydist system determines distance by means of phase comparison of continuous wave signals between 1.6-3.3 Mhz. The Raydist tests completed in November 1979 and the additional ARGO tests were conducted in the same "test" area at ranges of approximately 250 km using 100-ft antenna towers at the shore stations. The paper presents: (a) an analysis of long- and short-term stability results for the ARGO and Raydist systems; (b) system performance using different filtering or smoothing functions; and (c) an estimate of the effective day and nigh range of the ARGO system with a specified antenna configuration. ¬© 1981.</t>
  </si>
  <si>
    <t>41-70</t>
  </si>
  <si>
    <t>0302184X</t>
  </si>
  <si>
    <t>Ocean Management</t>
  </si>
  <si>
    <t>Berstis, Knute A.</t>
  </si>
  <si>
    <t>National Oceanic and Atmospheric Administration</t>
  </si>
  <si>
    <t>Berstis K.</t>
  </si>
  <si>
    <t>ARGO DM-54 and Raydist DRS positioning system stability</t>
  </si>
  <si>
    <t>0302184X81900056</t>
  </si>
  <si>
    <t>10.1016/0302-184X(81)90005-6</t>
  </si>
  <si>
    <t>2-s2.0-0019575385</t>
  </si>
  <si>
    <t>['upper bound', 'service area', 'rf currents', 'resonant behavior', 'reradiated field', 'omnidirectional antenna', 'many sizes', 'licensing provisions', 'inadequate coverage', 'highrise building', 'give rise', 'frequency dependence', 'field reradiated', 'electronics engineers', 'current distribution', 'could arise', 'computer model', 'complex site', 'broadcasting tower', 'broadcasting antenna', 'azimuth pattern']</t>
  </si>
  <si>
    <t>The encroachment of ‚Äúcivilization‚Äù on the site of a medium wave broadcasting array can give rise to distortions of its radiation pattern resulting in inadequate coverage of the service area, or even in the violation of licensing provisions. The radiation pattern distorts because RF currents are induced by the broadcasting antenna's field on any large metallic structures such as a highrise building or a high-tension power line. If the structure is resonant, these current can be large and the reradiated field can be strong. This paper uses modern digital computer techniques to calculate the field reradiated from a power line near an AM broadcasting tower. The current distribution on the towers and ‚Äúskywires‚Äù for a uniform power line is shown to exhibit distinct ‚Äúoff-resonance‚Äù and ‚Äúresonant‚Äù behavior. The frequency dependence of the reradiated field is found to be simple loop resonance for a uniformly spaced power line, and so is a superposition of the resonant behavior of loops of many sizes for a complex site. The computer model is applied to analyze the azimuth pattern for a complex site near Hornby, Ontario where two power lines come close to an omnidirectional antenna. The computations are compared with scale model measurements. Since a perfectly conducting ground was used in the computations, the method may help to estimate the upper bound on the distortions of the azimuth pattern which could arise from the construction of a proposed power line near an existing broadcasting antenna. Copyright ¬© 1981 by The Institute of Electrical and Electronics Engineers, Inc.</t>
  </si>
  <si>
    <t>39-45</t>
  </si>
  <si>
    <t>60033154;60033154</t>
  </si>
  <si>
    <t>7006097946;6701413096</t>
  </si>
  <si>
    <t>Trueman, C. W.;Kubina, S. J.</t>
  </si>
  <si>
    <t>Concordia University</t>
  </si>
  <si>
    <t>Trueman C.W.</t>
  </si>
  <si>
    <t>Numerical computation of the reradiation from power lines at mf frequencies</t>
  </si>
  <si>
    <t>10.1109/TBC.1981.266402</t>
  </si>
  <si>
    <t>2-s2.0-0019576439</t>
  </si>
  <si>
    <t>['total current', 'test source', 'strongly dependent', 'several applications', 'rfq injector', 'rf power', 'readily scaled', 'radius surface', 'power ac', 'neutral collisions', 'moderate temperature', 'mechanical design', 'ions extracted', 'interior surfaces', 'induction mode', 'immediate afterglow', 'gas pressure', 'extraction surface', 'extracted currents', 'experimental data', 'electronics engineers', 'electrical efficiency', 'delicate components', 'current density', 'cm2 across', 'afterglow mode', '8 mw', '3 torr', '3 mhz', '3 ev', '25 ka', '20 %,', '2 ev', '10 hz', '+, ne']</t>
  </si>
  <si>
    <t>The development of intense pulsed plasma ion sources for high current extraction of He+, Ne+ and Xe+ beams is motivated by several applications. Cold (Ti &lt; 0.2 eV) He+ ions extracted at current density of 1-1.5 A/cm2 across a 1 m radius surface for a total current of 25 kA in 0.5 ¬µs pulses are required for a Light Ion Fusion Experiment (LIFE) ICF driver1 based on the neutralized and ballistically focused propagation2 approach. Moderate temperature (Ti ~ 3 eV) Ne+ and Xe+ ions at 1-1.5 A/cm2 for 1‚Äì10 A extracted currents in ms long pulses are required in several recent low Œ≤ approaches based on multi-aperture quadrupole focused RF acceleration schemes such as the MEQALAC and the RFQ injector. In a test ion source, plasma is induced by ms time pulsing a 0.3 MHz, 0.1 MW RF oscillator with power AC-coupled to an antenna situated inside a 30 cm radius cylindrical vessel where the interior surfaces are lined with cusp-field permanent magnets except for the front extraction face. The plasma parameters Te, Ti, np are characterized by measurements as a function of time during ms long pulses and in the immediate afterglow, the neutral gas density, the RF power and location at the extraction surface, and data are compared with derived scaling relations. The test source is pulsed at 10 Hz, mechanical design is simple, electrical efficiency is 20%, the source is rugged and has no delicate components which could limit performance time, and can be readily scaled in size. The induced plasma densities are strongly dependent on gas pressure and antenna coupled RF power; in the range of 10-3-5x10-3 torr and 0.4 - 0.8 MW, experimental data and scaling relations show that 1 - 1.5 A/cm2 current densities can be extracted for He+, Ne+, Ar+ and Xe+ beams from comparable source geometries. Ion temperatures cool down rapidly by ion-neutral collisions to Ti &lt; 0.2 eV in 20 ¬µs time in the afterglow, producing a quiescent plasma sheath at extraction, while ion densities remain relatively unchanged. The source can be used in the afterglow mode for ¬µs beam pulse extraction or in the induction mode for long duration beams injected into low Œ≤ multi-aperture RF linacs. Copyright ¬© 1981 by The Institute of Electrical and Electronics Engineers, Inc.</t>
  </si>
  <si>
    <t>2666-2668</t>
  </si>
  <si>
    <t>IEEE Transactions on Nuclear Science</t>
  </si>
  <si>
    <t>60025209;60025209</t>
  </si>
  <si>
    <t>55160662000;22975119400</t>
  </si>
  <si>
    <t>Christensen, T. C.;Guiragossian, Z. G.T.</t>
  </si>
  <si>
    <t>Christensen T.C.</t>
  </si>
  <si>
    <t>Performance of intense pulsed ion source</t>
  </si>
  <si>
    <t>10.1109/TNS.1981.4331791</t>
  </si>
  <si>
    <t>2-s2.0-0019577428</t>
  </si>
  <si>
    <t>['surveyed values', 'range measurements', 'periodically moved', 'obtainable accuracy', 'observed change', 'location change', 'gps ).', 'experiment demonstrated', 'estimating changes', 'estimated results', 'calculated changes', 'calculated change', 'angular differences', '1981 institute']</t>
  </si>
  <si>
    <t>This experiment demonstrated the obtainable accuracy for estimating changes in a receiver antenna position using Doppler techniques and the NAVSTAR Global Positioning System (GPS). The antenna was periodically moved to three locations approximately 2 to 3 meters apart. The moves occurred within a one minute Doppler count interval every fifteenth interval until at least six Doppler measurements were made for each location change. These measurements were used to determine the observed change in range from the antenna to the GPS satellite due only to the movement of the antenna. The calculated change in range was computed from the surveyed distance moved and the angular differences in elevation and azimuth between the direction of the move and the direction of the satellite. The observed and calculated changes in range were compared. The three‚Äêdimensional antenna position changes were estimated using six observed change in range measurements for each location change. The estimated results were compared with surveyed values and demonstrated subdecimeter accuracy. 1981 Institute of Navigation</t>
  </si>
  <si>
    <t>77-84</t>
  </si>
  <si>
    <t>7404362180;7101833514;7004905256</t>
  </si>
  <si>
    <t>EVANS, ALAN G.;HERMANN, BRUCE R.;FELL, PATRICK J.</t>
  </si>
  <si>
    <t>EVANS A.</t>
  </si>
  <si>
    <t>Global Positioning System Sensitivity Experiment</t>
  </si>
  <si>
    <t>10.1002/j.2161-4296.1981.tb01449.x</t>
  </si>
  <si>
    <t>2-s2.0-0019577788</t>
  </si>
  <si>
    <t>['spheroid configurations', 'solved using', 'simple soures', 'separation distance', 'results obtained', 'qualitative understanding', 'power distribution', 'polarization case', 'oscillate around', 'near fields', 'major axis', 'magnetic dipole', 'loop results', 'integral equation', 'increase monotonically', 'incident radiation', 'fields radiated', 'electronics engineers', 'ebcm ).', 'complicated nature', 'building blocks', 'average sar', 'average man', 'also shown', 'aligned parallel', 'absorption characteristics', '2 ],', '1 ],']</t>
  </si>
  <si>
    <t>The power absorption characteristics of the prolate spheroidal model of an average man have been studied when the model is exposed to the near fields of an arbitrarily located small loop antenna. An integral equation is formulated and the fields radiated by the loop are expanded in terms of the vector spherical harmonics. This equation is then solved using the extended boundary condition method (EBCM). For three different loop-spheroid configurations, the power distribution and the average SAR have been calculated as a function of the frequency and the separation distance. It is shown that the results obtained for separation distances larger than Œª/2 agree well with those obtained from the plane wave exposure case. Furthermore, the average SAR values calculated as a function of separation distance for the case where the magnetic dipole moment is aligned parallel to the major axis of the spheroid are found to oscillate around the constant value obtained from the H-polarized plane wave exposure case. On the other hand, the average SAR values for the E-polarization case (magnetic dipole is parallel to the spheroidal minor axis) are found to increase monotonically with the decrease in separation distance. It is also shown that despite the complicated nature of the near fields, the absorption characteristics can still be explained in terms of the variations of the incident radiation. These loop results, together with those obtained from other simple soures [1], [2], can be used as building blocks in arriving at a qualitative understanding of the near-field absorption characteristics for more general exposure cases. Copyright ¬© 1981 The Institute of Electrical and Electronics Engineers, Inc.</t>
  </si>
  <si>
    <t>588-594</t>
  </si>
  <si>
    <t>60025488;60025488;60025488;60025488</t>
  </si>
  <si>
    <t>53877620200;34769915200;7006062328;6701787076</t>
  </si>
  <si>
    <t>Lakhtakia, Akhlesh;Iskander, Magdy F.;Durney, Carl H.;Massoudi, Habib</t>
  </si>
  <si>
    <t>Salt Lake City</t>
  </si>
  <si>
    <t>The University of Utah</t>
  </si>
  <si>
    <t>Lakhtakia A.</t>
  </si>
  <si>
    <t>Near-Field Absorption in Prolate Spheroidal Models of Humans Exposed to a Small Loop Antenna of Arbitrary Orientation</t>
  </si>
  <si>
    <t>10.1109/TMTT.1981.1130398</t>
  </si>
  <si>
    <t>2-s2.0-0019578949</t>
  </si>
  <si>
    <t>['underlying signal', 'system performance', 'signal distortion', 'output snr', 'output noise', 'noise ratios', 'makes use', 'large compared', 'excellent performance', 'electronics engineers', 'classic time', 'approximately equal', 'additive noise', 'adaptive technique']</t>
  </si>
  <si>
    <t>An adaptive technique for enhancing a signal against additive noise is described. It makes use of two or more input channels containing correlated signal components but uncorrelated noise components. The various input signals need not be of the same waveshape, since the adaptive enhancer filters the inputs before summing them. The output is a best least squares estimate of the underlying signal in a chosen input channel. Adaptivity allows optimal performance even though the signal and noise characteristics differ from channel to channel and are unknown a priori. Formulas for signal distortion and output noise power are developed. The more input channels available containing correlated signal components, the better will be the system performance. Excellent performance is obtained when the sum of the filter input signal-to-noise ratios (SNR‚Äòs), defined as functions of frequency, is large compared to unity at all frequencies of interest. In this case the output noise is small, the output signal distortion is small, and the output SNR is approximately equal to the sum of the filter input SNR's. As such, the multichannel adaptive signal enhancer is a generalization of the classic time-delay-and-sum beamforming antenna. Copyright ¬© 1981 by The Institute of Electrical and Electronics Engineers, Inc.</t>
  </si>
  <si>
    <t>606-610</t>
  </si>
  <si>
    <t>IEEE Transactions on Circuits and Systems</t>
  </si>
  <si>
    <t>60025209;60012708</t>
  </si>
  <si>
    <t>7005472135;7005244627</t>
  </si>
  <si>
    <t>Ferrara, Earl R.;Widrow, Bernard</t>
  </si>
  <si>
    <t>Los Angeles;Palo Alto</t>
  </si>
  <si>
    <t>Northrop Grumman corporation;Stanford University</t>
  </si>
  <si>
    <t>Ferrara E.</t>
  </si>
  <si>
    <t>Multichannel Adaptive Filtering for Signal Enhancement</t>
  </si>
  <si>
    <t>10.1109/TCS.1981.1085009</t>
  </si>
  <si>
    <t>2-s2.0-0019582132</t>
  </si>
  <si>
    <t>['¬© 1981', 'various parameters', 'various directions', 'variable weights', 'studied qualitatively', 'rights reserved', 'results obtained', 'electrical engineers', 'array elements']</t>
  </si>
  <si>
    <t>Adaptive arrays | Antennas and propagation | Frequency distortion | Transversal filters</t>
  </si>
  <si>
    <t>The jamming rejection capability of the broadband Frost power inversion array is investigated both theoretically in a qualitative manner assuming small bandwidth and experimentally using simulation as a function of the various parameters. The results obtained are used for designing the transversal filters behind the array elements as well as assessing, in terms of the number of variable weights, the alternative broadband system using several narrowband processors. The frequency distortion introduced by the jammers at various directions is then studied qualitatively. ¬© 1981, The Institution of Electrical Engineers. All rights reserved.</t>
  </si>
  <si>
    <t>140-151</t>
  </si>
  <si>
    <t>Ko, C. C.</t>
  </si>
  <si>
    <t>Loughborough</t>
  </si>
  <si>
    <t>Loughborough University</t>
  </si>
  <si>
    <t>Ko C.C.</t>
  </si>
  <si>
    <t>Jamming rejection capability of broadband frost power inversion array</t>
  </si>
  <si>
    <t>10.1049/ip-f-1.1981.0023</t>
  </si>
  <si>
    <t>2-s2.0-0019582147</t>
  </si>
  <si>
    <t>['zero phase', 'quadrature phase', 'phase shifters', 'one array', 'normally achieved', 'interleaved arrays', 'field pattern', 'fed entirely', 'electronics engineers', 'beam steering', 'alternate approach']</t>
  </si>
  <si>
    <t>Beam steering is normally achieved by the use of phase shifters at each element of an array. The phase taper thereby produced causes a shift of the far-field pattern in sin Œ∏ space. An alternate approach to beam steering is presented in which a pair of interleaved arrays are employed. One array of the pair is fed entirely by currents of zero phase, while the other array is fed entirely by currents of quadrature phase. Beam steering is done by control of amplitude at each element. An example of this technique is presented and discussed. Copyright ¬© 1981 by The Institute of Electrical and Electronics Engineers, Inc.</t>
  </si>
  <si>
    <t>745-747</t>
  </si>
  <si>
    <t>An Antenna Beam Steering Technique Comprised of Constant-Phase Array Elements</t>
  </si>
  <si>
    <t>10.1109/PROC.1981.12052</t>
  </si>
  <si>
    <t>2-s2.0-0019582940</t>
  </si>
  <si>
    <t>['transmitted information', 'transmission path', 'techniques used', 'space path', 'sky noise', 'signal characteristics', 'scientific purposes', 'satellite systems', 'reliable operation', 'recent information', 'recent data', 'radio waves', 'propagation characteristics', 'power margins', 'polarization factors', 'particular emphasis', 'particle depolarization', 'paper presents', 'noise contributions', 'many applications', 'elevation angle', 'electronics engineers', 'direct measurements', 'channel crosstalk', 'bandwidth limitations', 'bandwidth coherence', 'atmospheric gases', 'atmospheric effects', 'also discussed', '30 ghz']</t>
  </si>
  <si>
    <t>This paper presents a review of the most recent information on the effects of the earth's atmosphere on space communications systems. The design and reliable operation of satellite systems which provide the many applications in space and rely on the transmission of radio waves for communications and scientific purposes are dependent on the propagation characteristics of the transmission path. The presence of atmospheric gases, clouds, fog, precipitation, and turbulence cause uncontrolled variations in the signal characteristics which can result in a reduction of the quality and reliability of the transmitted information. Models and techniques used in the prediction of atmospheric effects as influenced by frequency, geography, elevation angle, and type of transmission are discussed. Recent data on performance characteristics obtained from direct measurements on satellite links operating to above 30 GHz are reviewed. Particular emphasis is placed on the effects of precipitation on the earth-space path, including rain attenuation, and rain and ice-particle depolarization. Sky noise, antenna gain degradation, scintillations, and bandwidth coherence are also discussed. The impact of the various propagation factors on communications system design criteria is presented. These criteria include link reliability, power margins, noise contributions, modulation and polarization factors, channel crosstalk, error-rate, and bandwidth limitations. Copyright ¬© 1981 by The Institute of Electrical and Electronics Engineers, Inc.</t>
  </si>
  <si>
    <t>697-727</t>
  </si>
  <si>
    <t>Ippolito, Louis J.</t>
  </si>
  <si>
    <t>National Aeronautics and Space Administration</t>
  </si>
  <si>
    <t>Ippolito L.J.</t>
  </si>
  <si>
    <t>Radio Propagation for Space Communications Systems</t>
  </si>
  <si>
    <t>10.1109/PROC.1981.12049</t>
  </si>
  <si>
    <t>2-s2.0-0019583126</t>
  </si>
  <si>
    <t>['regular grid', 'often defined', 'microwave antennas', 'electronics engineers', 'discrete points', 'computing aperture']</t>
  </si>
  <si>
    <t>Shaped reflector surfaces designed for microwave antennas are often defined by a regular grid of discrete points. A ray tracing procedure useful for computing aperture and power distributions produced by an arbitrarily shaped reflector surface is described. Copyright ¬© 1981 by The Institute of Electrical and Electronics Engineers, Inc.</t>
  </si>
  <si>
    <t>743-744</t>
  </si>
  <si>
    <t>Sletten C.J.</t>
  </si>
  <si>
    <t>Ray Tracing Method for Doubly Curved Reflector Surfaces</t>
  </si>
  <si>
    <t>10.1109/PROC.1981.12051</t>
  </si>
  <si>
    <t>2-s2.0-0019583127</t>
  </si>
  <si>
    <t>['w denote', 'sample calculations', 'radiation resistance', 'integral equation', 'fourier analysis', 'electronics engineers', 'different values', 'cylindrical surface', 'current distribution', 'cap effect', 'approximated solution', '1 denote']</t>
  </si>
  <si>
    <t>The current distribution of a center-fed dipole cylindrical antenna of arbitrary dimension immersed in unbounded lossless warm plasma is considered, taking into account the commonly neglected end-cap effect. The approximated solution of the integral equation for the current distribution is obtained with the aid of Fourier analysis, and the expression is derived for the current distribution I(z) as the function of position z along the cylindrical surface of the antenna. Sample calculations are made for a half-wavelength dipole antenna with different values of thickness parameter r = (a/l) &lt; 0.25 and of the normalized plasma density parameter p0= (œâp/œâ)2&lt; 1. Here a and 1 denote the radius and the half-length of the antenna, respectively. wp and w denote the plasma angular frequency and the radiation angular frequency. The variation of the amplitude and phase of the current with the position, and the variation of radiation resistance with po and r are examined and discussed in detail. Copyright ¬© 1981 by The Institute of Electrical and Electronics Engineers, Inc.</t>
  </si>
  <si>
    <t>52-57</t>
  </si>
  <si>
    <t>Hsieh, H. C.</t>
  </si>
  <si>
    <t>Hsieh H.</t>
  </si>
  <si>
    <t>Current Distribution of a Cylindrical Antenna in a Warm Plasma</t>
  </si>
  <si>
    <t>10.1109/TPS.1981.4317389</t>
  </si>
  <si>
    <t>2-s2.0-0019583657</t>
  </si>
  <si>
    <t>['¬© 1981', 'simple expression', 'rights reserved', 'reaction centers', 'qy dipoles', 'previously thought', 'orientation factor', 'orientation angles', 'local order', 'given also', 'excitation energy', 'different degrees', 'chlorophylls lie', 'biophysical society', 'antenna chlorophylls']</t>
  </si>
  <si>
    <t>Orientation angles of five emitting dipoles of chlorophyll a in thylakoids were estimated from low temperature fluorescence polarization ratio spectra of magnetically oriented chloroplasts. A simple expression is given also for the evaluation of data from linear dichroism measurements. It is shown that the Qy dipoles of chlorophylls lie more in the plane of the membranes and span a larger angular interval than was previously thought. Values for the orientation factor are calculated using various models corresponding to different degrees of local order of the Qy dipoles of chlorophylls in the thylakoid. We show that the characteristic orientation pattern of the Qy dipoles of chlorophylls in the membrane, i.e., increasing dichroism toward longer wavelengths, may favour energy transfer between the antenna chlorophylls as well as funnel the excitation energy into the reaction centers. ¬© 1981, The Biophysical Society. All rights reserved.</t>
  </si>
  <si>
    <t>423-437</t>
  </si>
  <si>
    <t>;;;</t>
  </si>
  <si>
    <t>35468058100;15754173500;57204301564;6602313457</t>
  </si>
  <si>
    <t>Garab, G. I.;Kiss, J. G.;Must√°rdy, L. A.;Michel-Villaz, M.</t>
  </si>
  <si>
    <t>Garab G.I.</t>
  </si>
  <si>
    <t>Orientation of emitting dipoles of chlorophyll A in thylakoids: considerations on the orientation factor in vivo</t>
  </si>
  <si>
    <t>S0006349581848606</t>
  </si>
  <si>
    <t>10.1016/S0006-3495(81)84860-6</t>
  </si>
  <si>
    <t>2-s2.0-0019583690</t>
  </si>
  <si>
    <t>['yielding convergence', 'subject published', 'squared error', 'square convergence', 'paper includes', 'method developed', 'lms loops', 'electronics engineers', 'comprehensive analysis', 'complete treatment', 'based upon', 'band adaptive', 'array applications', '1968 dissertation']</t>
  </si>
  <si>
    <t>In narrow-band adaptive-array applications, the mean-square convergence of the discrete-time real least mean-square (LMS) algorithm is slowed by image-frequency noises generated in the LMS loops. The complex LMS algorithm proposed by Widrow et al. is shown to eliminate these noises, yielding convergence of the mean-squared error (MSE) at slightly over twice the rate. This paper includes a comprehensive analysis of the MSE of adaptation for LMS. The analysis is based upon the method developed in the 1968 dissertation by K. D. Senne, and it represents the most complete treatment of the subject published to date. Copyright ¬© 1981 by The Institute of Electrical and Electronics Engineers, Inc.</t>
  </si>
  <si>
    <t>562-576</t>
  </si>
  <si>
    <t>7103206121;57200010665</t>
  </si>
  <si>
    <t>Horowitz, Larry L.;Senne, Kenneth D.</t>
  </si>
  <si>
    <t>Horowitz L.</t>
  </si>
  <si>
    <t>Performance Advantage of Complex LMS for Controlling Narrow-Band Adaptive Arrays</t>
  </si>
  <si>
    <t>10.1109/TCS.1981.1085024</t>
  </si>
  <si>
    <t>2-s2.0-0019583845</t>
  </si>
  <si>
    <t>['wiley company', 'useful form', 'radiation characteristics', 'operating condition', 'mutual coupling', 'inc .,', 'fundamental information', 'design procedure', 'design formulas', 'design aid', 'circular polarization', 'arrays consisting', 'array consisting', 'antenna elements', '5 db']</t>
  </si>
  <si>
    <t>A one‚Äêpoint back‚Äêfeed type circularly polarized microstrip disk antenna is investigated. To establish a design procedure, (1) the operating condition for circular polarization is studied and design formulas and data are presented and (2) the fabrication and radiation characteristics of arrays consisting of the present circularly polarized disk antenna element are discussed. It is demonstrated that this class of antennas can serve as a useful form of circularly polarized array element. Further, in order to analyze the mutual coupling of such antenna elements, the resonance and inter‚Äêelement mutual admittance of an array consisting of two disk antennas located on the same plane are determined. The fundamental information on the mutual coupling thus obtained is presented for a design aid. Using these results, a circularly polarized array is realized with good axial ratio and boresight ratio less than 0.5 dB. Copyright ¬© 1981 Wiley Periodicals, Inc., A Wiley Company</t>
  </si>
  <si>
    <t>52-60</t>
  </si>
  <si>
    <t>60028263;60028263;60028263</t>
  </si>
  <si>
    <t>6603687544;7406244797;6503996992</t>
  </si>
  <si>
    <t>Haneishi, Misao;Yoshida, Shinichiro;Tabeta, Masashi</t>
  </si>
  <si>
    <t>A design of back‚Äêfeed type circularly polarized microstrip disk antennas having symmetrical perturbation element by one‚Äêpoint feed</t>
  </si>
  <si>
    <t>10.1002/ecja.4410640708</t>
  </si>
  <si>
    <t>2-s2.0-0019584034</t>
  </si>
  <si>
    <t>['unified theory', 'thin rod', 'reception characteristics', 'receiving voltage', 'radiation impedance', 'ion sheath', 'directional properties', 'depending upon', 'copyright 1981', 'analytically obtained', 'absorptive surface']</t>
  </si>
  <si>
    <t>Unified theory on the radiation and reception characteristics of the oblate spheroidal antenna with an ion sheath or an absorptive surface for an electron plasma wave is presented. The analysis is carried out as a boundary‚Äêvalue problem by using oblate spheroidal functions. The formulas for the radiation and reception characteristics such as the radiation impedance, electron charge distributions, radiated wave potential, directional properties, and receiving voltage of the oblate spheroidal antenna are analytically obtained. It is shown that the theory is applicable to monopole‚Äêtype plasma wave antennas, such as disk, sphere or thin rod with sheaths in general, depending upon the applied d.c. bias. Copyright 1981 by the American Geophysical Union.</t>
  </si>
  <si>
    <t>569-578</t>
  </si>
  <si>
    <t>Radiation and reception characteristics of an oblate spheroidal antenna for electron plasma waves 1. Theory</t>
  </si>
  <si>
    <t>10.1029/RS016i004p00569</t>
  </si>
  <si>
    <t>2-s2.0-0019584752</t>
  </si>
  <si>
    <t>['reception patterns', 'reception characteristics', 'preceding paper', 'mesh antennas', 'investigated experimentally', 'dc potential', 'copyright 1981', 'circular plate', 'appropriately biased', 'also indicated']</t>
  </si>
  <si>
    <t>The radiation and reception characteristics of circular plate (disk) and mesh antennas for an electron plasma wave are investigated experimentally to verify the theoretical prediction given in the preceding paper. As a result, it is shown that the measured directional radiation and reception patterns, when the circular plate antenna is appropriately biased by a dc potential, agree fairly well with the theoretically predicted ones. It is also indicated that the measured radiation patterns and the radiated wave potential of the circular mesh agree with the theoretically predicted ones better than those for the circular plate. Copyright 1981 by the American Geophysical Union.</t>
  </si>
  <si>
    <t>579-585</t>
  </si>
  <si>
    <t>7006605111;56779495700;22976359800</t>
  </si>
  <si>
    <t>Ohnuki, Shigeo;Adachi, Saburo;Ohnuma, Toshiro</t>
  </si>
  <si>
    <t>Radiation and reception characteristics of an oblate spheroidal antenna for electron plasma waves 2. Experiment</t>
  </si>
  <si>
    <t>10.1029/RS016i004p00579</t>
  </si>
  <si>
    <t>2-s2.0-0019589212</t>
  </si>
  <si>
    <t>['sidelobe level', 'linear aperture', 'electronics engineers', 'difference excitation']</t>
  </si>
  <si>
    <t>A method is described for computing the difference excitation of a linear aperture that provides maximum slope ratio with a constraint on the sidelobe level. Elementary Bessel functions are used in the computations. Copyright ¬© 1981 by The Institute of Electrical and Electronics Engineers, Inc.</t>
  </si>
  <si>
    <t>671-673</t>
  </si>
  <si>
    <t>Lopez, Alfred R.</t>
  </si>
  <si>
    <t>Farnborough</t>
  </si>
  <si>
    <t>BAE Systems plc</t>
  </si>
  <si>
    <t>Lopez A.</t>
  </si>
  <si>
    <t>Line-Source Excitation for Maximum Difference Slope with Given Sidelobe Level</t>
  </si>
  <si>
    <t>10.1109/TAP.1981.1142640</t>
  </si>
  <si>
    <t>2-s2.0-0019595358</t>
  </si>
  <si>
    <t>['range coordinates', 'line aperture', 'image artifacts', 'first moment', 'electronics engineers', 'dominant role', 'distortion near', 'coordinate system', 'aperture excitation', 'aperture distribution']</t>
  </si>
  <si>
    <t>The two-dimensional diffraction pattern of a line aperture can exhibit certain asymmetries when the aperture excitation is asymmetric. The four lowest moments of the aperture distribution are responsible for the distortion near the focus. When the coordinate system is chosen so that the first moment is zero, the third central moment plays the dominant role. By coupling the angle and range coordinates, image artifacts, including shape distortion, can result. Copyright ¬© 1981 by The Institute of Electrical and Electronics Engineers, Inc.</t>
  </si>
  <si>
    <t>650-652</t>
  </si>
  <si>
    <t>60102562;60102562</t>
  </si>
  <si>
    <t>7102870158;57198005717</t>
  </si>
  <si>
    <t>Steinberg, Bernard;Luthra, Ajay</t>
  </si>
  <si>
    <t>School of Engineering and Applied Science</t>
  </si>
  <si>
    <t>Steinberg B.</t>
  </si>
  <si>
    <t>Asymmetries in the Diffraction Pattern of an Asymmetrical Aperture</t>
  </si>
  <si>
    <t>10.1109/TAP.1981.1142625</t>
  </si>
  <si>
    <t>2-s2.0-0019595377</t>
  </si>
  <si>
    <t>['water flights', 'various north', 'twenty occasions', 'regularly encountered', 'reflected signal', 'multipath fading', 'insignificant value', 'electronics engineers', 'coastal multipath', 'antenna discrimination', 'aircraft transitioned']</t>
  </si>
  <si>
    <t>While flight testing airborne satellite communication systems, two-ray multipath fading has been regularly encountered at low satellite elevation angles during over water flights. In addition, an untexpectedly fast multipath fading was experienced as the aircraft transitioned from over land to over water. This unusual multipath fading occurred at medium and high elevation angles where the antenna discrimination should have reduced the reflected signal to an insignificant value. The coastal multipath has been recorded on over twenty occasions by different aircraft using a variety of antennas and flying over various north and central American coastlines. The rate of the multipath fading and fading amplitude suggests that the ocean has a very high reflection coefficient near shore and that some other mechanism such as dielectric wedge diffraction may play a part in the unexplained multipath fading. Copyright ¬© 1981 by The Institute of Electrical and Electronics Engineers, Inc.</t>
  </si>
  <si>
    <t>665-668</t>
  </si>
  <si>
    <t>Johnson, Allen L.</t>
  </si>
  <si>
    <t>Dayton</t>
  </si>
  <si>
    <t>Wright-Patterson AFB</t>
  </si>
  <si>
    <t>Johnson A.</t>
  </si>
  <si>
    <t>Coastal Multipath Fading</t>
  </si>
  <si>
    <t>10.1109/TAP.1981.1142637</t>
  </si>
  <si>
    <t>2-s2.0-0019595398</t>
  </si>
  <si>
    <t>['sampling functions', 'radiation integral', 'parabolic reflector', 'numerical computations', 'fresnel integrals', 'fourier transform', 'field samples', 'field evaluation', 'fft ).', 'far field', 'extra factor', 'explicitly takes', 'excellent performance', 'exactly reconstructed', 'electronics engineers', 'computed using', 'aperture far', 'aperture distribution']</t>
  </si>
  <si>
    <t>A new computational approach is presented which allows fast analysis of radiation from large reflector antennas. For an aperture a Fourier transform (FT) relationship does exist between far-field and aperture distribution. Accordingly, the far field can be exactly reconstructed from the knowledge of approximately one sample per lobe (Shannon‚ÄîWhittaker theorem applied at Nyquist rate). The finite reflector curvature introduces an extra factor in the radiation integral so that the radiation integral is no longer a FT. In order to overcome this difficulty a new pseudosampling expansion, which explicitly takes into account the extra factor, is developed. For parabolic reflector the sampling functions are related to the Fresnel integrals, and the far field can be exactly reconstructed in terms of aperture far-field samples, which can be computed using the fast Fourier transform (FFT). Numerical computations and error analysis show the excellent performance of the method, which can be generalized to deal with arbitrary reflector surfaces and near-field evaluation. Copyright ¬© 1981 by The Institute of Electrical and Electronics Engineers, Inc.</t>
  </si>
  <si>
    <t>580-586</t>
  </si>
  <si>
    <t>60017293-60027550;60017293</t>
  </si>
  <si>
    <t>7006499276;57193642949</t>
  </si>
  <si>
    <t>Bucci, Ovidio M.;Pierri, Rocco</t>
  </si>
  <si>
    <t>United States;Italy</t>
  </si>
  <si>
    <t>Los Angeles;Naples</t>
  </si>
  <si>
    <t>University of California, Los Angeles;Universit√† degli Studi di Napoli Federico II</t>
  </si>
  <si>
    <t>60027550;60017293</t>
  </si>
  <si>
    <t>Bucci O.M.</t>
  </si>
  <si>
    <t>Reflector Antenna Fields‚ÄîAn Exact Aperture-Like Approach</t>
  </si>
  <si>
    <t>10.1109/TAP.1981.1142624</t>
  </si>
  <si>
    <t>2-s2.0-0019595406</t>
  </si>
  <si>
    <t>['typical results', 'signals incident', 'noise ratio', 'noise conditions', 'lossy components', 'given direction', 'electronics engineers', 'combining network', 'appropriate attenuators']</t>
  </si>
  <si>
    <t>A formulation of the signal-to-noise ratio (SNR) for a typical antenna array receiving system that is more complete than those now available in the literature is presented. In addition to the external noise accepted by the array, it includes all forms of internal noise generated by the lossy components of the system. Distinct measurable factors account for distinct noise sources. For the analysis, it is shown that the actual lossy system can be replaced by an equivalent lossless system with appropriate attenuators. The formulation is used to design the combining network that will optimize the receiving system SNR for signals incident from a given direction in the presence of a known external noise distribution. The theory is applied to a specific array antenna receiving system operating under a variety of noise conditions, internal as well as external. A discussion of some typical results is presented. Copyright ¬© 1981 by The Institute of Electrical and Electronics Engineers, Inc.</t>
  </si>
  <si>
    <t>600-608</t>
  </si>
  <si>
    <t>60032619;60032619;60032619</t>
  </si>
  <si>
    <t>7006002142;7102314753;7102212503</t>
  </si>
  <si>
    <t>Delisle, Gilles Y.;Pelletier, Marcel G.;Cummins, Jules A.</t>
  </si>
  <si>
    <t>Quebec</t>
  </si>
  <si>
    <t>Universit√© Laval</t>
  </si>
  <si>
    <t>Delisle G.</t>
  </si>
  <si>
    <t>Signal-to-Noise Ratios of Array Receiving Systems with Internal Losses</t>
  </si>
  <si>
    <t>10.1109/TAP.1981.1142634</t>
  </si>
  <si>
    <t>2-s2.0-0019595407</t>
  </si>
  <si>
    <t>['wave ratio', 'vswr ).', 'virtually independent', 'transverse electric', 'te jo', 'suppressed sidelobe', 'rectangular waveguide', 'radiation properties', 'radiation performances', 'plane excited', 'open end', 'medium performances', 'given experimentally', 'electronics engineers', 'double tapers', 'antenna consisting', 'also found', '10 ghz']</t>
  </si>
  <si>
    <t>An antenna consisting of the modified rhombic dielectric plate with double tapers in the H-plane excited by the open end of a transverse electric (TE Jo) rectangular waveguide is proposed, and some antenna geometrical factors and radiation properties are given experimentally. It is found that these types of antennas have relatively narrow beamwidth and suppressed sidelobe in the H-plane, fairly flat main lobe in the E-plane, and medium performances of about 11.5 dB gain and 1.25 voltage standing-wave ratio (VSWR). It is also found that the radiation performances are virtually independent of frequency over a ten percent bandwidth about 10 GHz. Copyright ¬© 1981 by The Institute of Electrical and Electronics Engineers, Inc.</t>
  </si>
  <si>
    <t>660-662</t>
  </si>
  <si>
    <t>60011107;60011107</t>
  </si>
  <si>
    <t>6602759661;36928799000</t>
  </si>
  <si>
    <t>Ohtera, Isao;Ujiie, Hiroshi</t>
  </si>
  <si>
    <t>Tohoku Institute of Technology</t>
  </si>
  <si>
    <t>Ohtera I.</t>
  </si>
  <si>
    <t>Radiation Performances of a Modified Rhombic Dielectric Plate Antenna</t>
  </si>
  <si>
    <t>10.1109/TAP.1981.1142635</t>
  </si>
  <si>
    <t>2-s2.0-0019595451</t>
  </si>
  <si>
    <t>['single pole', 'pole position', 'pass filter', 'output signal', 'ot exceeds', 'often replaced', 'noise ratio', 'loop gain', 'intermediate values', 'interference power', 'formula omitted', 'electronics engineers', 'e .,', 'array performance']</t>
  </si>
  <si>
    <t>The LMS adaptive array requires an integrator in each weight feedback control loop. In practice the integrator is often replaced by a low-pass filter, i.e., by a filter with a single pole at s [formula omitted] (where s is complex frequency). The effect of this pole position on array performance is examined. It is shown that to obtain optimal performance from the array, a must be less than [formula omitted], where k is the loop gain and [formula omitted] is the thermal noise power per element. When ot exceeds [formula omitted], the output signal-to-interference-plus-noise ratio from the array is degraded for intermediate values of interference power. Copyright ¬© 1981 by The Institute of Electrical and Electronics Engineers, Inc.</t>
  </si>
  <si>
    <t>598-602</t>
  </si>
  <si>
    <t>The Effect of Integrator Pole Position on the Performance of an Adaptive Array</t>
  </si>
  <si>
    <t>10.1109/TAES.1981.309192</t>
  </si>
  <si>
    <t>2-s2.0-0019595850</t>
  </si>
  <si>
    <t>['electronics engineers']</t>
  </si>
  <si>
    <t>A concept for approximating curved antenna surfaces using flat facets is discussed. A preliminary design technique for determining the size of the reflector surface facets necessary to meet antenna surface accuracy requirements is presented. A proposed large microwave radiometer satellite (MRS) is selected as an application, and the far-field electromagnetic response of a faceted reflector surface is compared with that from a spherical reflector surface. Copyright ¬© 1981 by The Institute of Electrical and Electronics Engineers, Inc.</t>
  </si>
  <si>
    <t>688-694</t>
  </si>
  <si>
    <t>60007716-60000854;60000854</t>
  </si>
  <si>
    <t>7201900347;6701322357</t>
  </si>
  <si>
    <t>Agrawal, Pradeep K.;Card, Michael F.</t>
  </si>
  <si>
    <t>France;United States</t>
  </si>
  <si>
    <t>Boulogne-Billancourt;Hampton</t>
  </si>
  <si>
    <t>Thomson, SA;NASA Langley Research Center</t>
  </si>
  <si>
    <t>60007716;60000854</t>
  </si>
  <si>
    <t>Agrawal P.</t>
  </si>
  <si>
    <t>Preliminary Design of Large Reflectors with Flat Facets</t>
  </si>
  <si>
    <t>10.1109/TAP.1981.1142631</t>
  </si>
  <si>
    <t>2-s2.0-0019595857</t>
  </si>
  <si>
    <t>['results obtained', 'published earlier', 'plane wave', 'phase patterns', 'paraboloid illuminated', 'numerical computations', 'gtd near', 'geometrical theory', 'field patterns', 'field amplitude', 'electronics engineers', 'drastically reduces', 'computation time', 'analysis presented']</t>
  </si>
  <si>
    <t>A geometrical theory of diffraction (GTD) analysis of the principal plane far-field and near-field patterns of a near-field Cassegrainian subreflector is presented. The uniform geometrical theory of diffraction (UGTD) [I] that drastically reduces the computation time has been utilized to analyze the subreflector in the form of a paraboloid illuminated by a plane wave. The numerical computations of the far-field amplitude and phase patterns of a typical paraboloidal subreflector based on the above technique correlate well with the results obtained by physical optics current integration, justifying the validity of the analysis presented. The GTD near-field analysis presented here is an improvement over that published earlier [2] and removes some of its limitations. Copyright ¬© 1981 by The Institute of Electrical and Electronics Engineers, Inc.</t>
  </si>
  <si>
    <t>654-660</t>
  </si>
  <si>
    <t>7006389495;57206292316;15072911900</t>
  </si>
  <si>
    <t>Narasimhan, M. S.;Ramanujam, P.;Raghavan, K.</t>
  </si>
  <si>
    <t>GTD Analysis of Near-Field and Far-Field Patterns of a Parabolic Subreflector Illuminated by a Plane Wave</t>
  </si>
  <si>
    <t>10.1109/TAP.1981.1142627</t>
  </si>
  <si>
    <t>2-s2.0-0019595892</t>
  </si>
  <si>
    <t>['¬© 1981', 'measurement method', 'db contours', 'calculated patterns', '4 ghz']</t>
  </si>
  <si>
    <t>A widely used Bell System pyramidal horn‚Äêreflector antenna, used in terrestrial radio relay systems, has been characterized over all space. We give the dB contours for principal (as opposed to cross‚Äêpolarized) measured radiation patterns and compare them to contours of calculated patterns for this antenna at 4 GHz. In addition, we present the contours for 6‚ÄêGHz measured principal patterns, describe the measurement method, and discuss the causes of departure of the measured from the calculated patterns. ¬© 1981 The Bell System Technical Journal</t>
  </si>
  <si>
    <t>913-921</t>
  </si>
  <si>
    <t>Bell System Technical Journal</t>
  </si>
  <si>
    <t>July‚ÄêAugust 1981</t>
  </si>
  <si>
    <t>Butzien, P. E.</t>
  </si>
  <si>
    <t>Three‚ÄêDimensional Radiation Characteristics of a Pyramidal Horn‚ÄêReflector Antenna</t>
  </si>
  <si>
    <t>10.1002/j.1538-7305.1981.tb03388.x</t>
  </si>
  <si>
    <t>2-s2.0-0019595898</t>
  </si>
  <si>
    <t>['wrong target', 'thin wire', 'target contains', 'slightly shorter', 'simple geometry', 'significantly different', 'sensitively discriminated', 'scheme consists', 'required waveforms', 'radar signal', 'radar detection', 'normal incidence', 'new scheme', 'natural mode', 'induced current', 'electronics engineers', 'backscattered field']</t>
  </si>
  <si>
    <t>A new scheme for radar detection and discrimination, the radar waveform synthesis method, is investigated. This scheme consists of synthesizing the waveform of an incident radar signal which excites the target in such a way that the return radar signal from the target contains only a single natural resonance mode of the target. When the synthesized incident radar signal for a known preselected target is applied to a wrong target, the return radar signal will be significantly different from that of a natural mode of resonance, thus the wrong target can be sensitively discriminated. A simple geometry of a thin wire illuminated by a radar signal at normal incidence has been studied. The induced current on the target and the backscattered field from the target are obtained in terms of natural resonance modes. The required waveforms for the incident radar signal for exciting return radar signals which contain various single natural mode of resonance are obtained. When an incident radar signal synthesized to excite a natural resonance mode of a thin wire is applied to a slightly shorter or longer thin wire, the return radar signal from the wrong target is shown to be significantly different from that of a pure natural mode of resonance. Copyright ¬© 1981 by The Institute of Electrical and Electronics Engineers, Inc.</t>
  </si>
  <si>
    <t>553-566</t>
  </si>
  <si>
    <t>Chen, Kun Mu</t>
  </si>
  <si>
    <t>East Lansing</t>
  </si>
  <si>
    <t>Michigan State University</t>
  </si>
  <si>
    <t>Chen K.</t>
  </si>
  <si>
    <t>Radar Waveform Synthesis Method‚ÄîA New Radar Detection Scheme</t>
  </si>
  <si>
    <t>10.1109/TAP.1981.1142623</t>
  </si>
  <si>
    <t>2-s2.0-0019595907</t>
  </si>
  <si>
    <t>['suppressed e', 'simple dual', 'radiates fan', 'radiated patterns', 'plane sidelobes', 'essentially identical', 'electronics engineers', 'added advantage']</t>
  </si>
  <si>
    <t>A simple dual-polarized feed horn that radiates fan-shaped primary patterns is described. The radiated patterns for the two orthogonal polarizations are essentially identical and are suitable for illuminating cut paraboloidal reflectors with f/D ratios of about 0.3. The horn is similar to conventional flared waveguide feed horns except that the corners have been modified to yield an octagonally shaped aperture. The horn has the added advantage of suppressed E-plane sidelobes, thus reducing spillover radiation. Copyright ¬© 1981 by The Institute of Electrical and Electronics Engineers, Inc.</t>
  </si>
  <si>
    <t>673-675</t>
  </si>
  <si>
    <t>Johnson, Richard C.</t>
  </si>
  <si>
    <t>Atlanta</t>
  </si>
  <si>
    <t>Georgia Institute of Technology</t>
  </si>
  <si>
    <t>Dual-Polarized Fan-Beam Feed Horn</t>
  </si>
  <si>
    <t>10.1109/TAP.1981.1142641</t>
  </si>
  <si>
    <t>2-s2.0-0019595929</t>
  </si>
  <si>
    <t>['¬© 1981', 'united states', 'six factors', 'refractivity gradients', 'predicts quantitatively', 'physiographical data', 'occurrence frequency', 'numerical values', 'geographical variation', 'frequency within', 'available climatological']</t>
  </si>
  <si>
    <t>Estimating obstruction fading on line‚Äêof‚Äêsight microwave radio paths requires statistics on positive refractivity gradients in the lowest 100 meters of the atmosphere. In this paper, we describe a semiempirical climatological model that predicts quantitatively the occurrence frequency of positive refractivity gradients and the geographical variation of this frequency within the contiguous United States. The occurrence frequency is parameterized by six factors, for which numerical values are obtained from available climatological and physiographical data. By modeling the two diurnal atmospheric boundary layer regimes with separate probability density functions, we produce cumulative probability distributions for refractivity gradients. The model is normalized using measured refractivity gradient distributions available for 17 sites within the United States. The model can be used for line‚Äêof‚Äêsight microwave radio path engineering; a companion paper presents a method for determining antenna heights. ¬© 1981 The Bell System Technical Journal</t>
  </si>
  <si>
    <t>803-822</t>
  </si>
  <si>
    <t>Schiavone, J. A.</t>
  </si>
  <si>
    <t>Schiavone J.</t>
  </si>
  <si>
    <t>Prediction of Positive Refractivity Gradients for Line‚Äêof‚ÄêSight Microwave Radio Paths</t>
  </si>
  <si>
    <t>10.1002/j.1538-7305.1981.tb03382.x</t>
  </si>
  <si>
    <t>2-s2.0-0019595944</t>
  </si>
  <si>
    <t>['source location', 'resonance anomalies', 'quasistatic approximation', 'operating frequencies', 'image location', 'image displacement', 'electronics engineers', 'dipole ends', 'dipole axis', 'create oblique', 'arbitrary inclinations', 'anisotropic plasma']</t>
  </si>
  <si>
    <t>Impedance of a short dipole antenna placed parallel over a ground plane covered with an anisotropic plasma has been studied by the quasistatic approximation with emphasis on the effects of image displacement for arbitrary inclinations of the static magnetic field. As the image location can move with the operating frequencies, the reflected characteristic conical surfaces can create oblique-resonance anomalies, depending upon source dimensions and source location. While an oblique resonance occurs when the characteristic conical surface coincides with the dipole axis, another anomaly occurs when the reflected cone grazes the dipole ends. Copyright ¬© 1981 by The Institute of Electrical and Electronics Engineers, Inc.</t>
  </si>
  <si>
    <t>566-571</t>
  </si>
  <si>
    <t>60008435;60008435;60008435;60008435</t>
  </si>
  <si>
    <t>57198025693;7004205007;56843454200;35598806700</t>
  </si>
  <si>
    <t>Matin, Md Abdul;Mushiake, Yasuto;Ishizone, Takayuki;Sawaya, Kunio</t>
  </si>
  <si>
    <t>Matin M.A.</t>
  </si>
  <si>
    <t>Impedance of a Short Horizontal Dipole over a Ground Plane Covered with an Anisotropic Plasma</t>
  </si>
  <si>
    <t>10.1109/TAP.1981.1142626</t>
  </si>
  <si>
    <t>2-s2.0-0019595949</t>
  </si>
  <si>
    <t>['œ ≤', 'wave antenna', 'scanning applications', 'radiation pattern', 'new method', 'method employed', 'main beam', 'good agreement', 'experimental measurements', 'electronics engineers', 'eigenvalue problem', 'dielectric rod', 'computed results', 'aperture efficiency']</t>
  </si>
  <si>
    <t>A new method for evaluating the complex propagation constant Œ≤ in a leaky-wave structure comprising thin metallic rectangular strips etched on a dielectric rod of rectangular cross section is described. The radiation pattern of the leaky-wave antenna can be determined once Œ≤ is known, since Re(Œ≤) governs the direction of the main beam and Im(Œ≤) accounts for the beamwidth and aperture efficiency. In addition the knowledge of the dependence of Œ≤ on frequency allows one to design the antenna for frequency-scanning applications. The method employed in this communication is based on the spectral domain approach that formulates the eigenvalue problem in the Fourier transform domain. Computed results are shown to be in very good agreement with experimental measurements. Copyright ¬© 1981 by The Institute of Electrical and Electronics Engineers, Inc.</t>
  </si>
  <si>
    <t>652-654</t>
  </si>
  <si>
    <t>60000745;60000745</t>
  </si>
  <si>
    <t>55197051100;7004638528</t>
  </si>
  <si>
    <t>Mittra, R.;Kastner, R.</t>
  </si>
  <si>
    <t>Mittra R.</t>
  </si>
  <si>
    <t>A Spectral Domain Approach for Computing the Radiation Characteristics of a Leaky-Wave Antenna for Millimeter Waves</t>
  </si>
  <si>
    <t>10.1109/TAP.1981.1142628</t>
  </si>
  <si>
    <t>2-s2.0-0019596085</t>
  </si>
  <si>
    <t>['wg modes', 'wg mode', 'thin boundary', 'terminated abruptly', 'solved exactly', 'single edge', 'results within', 'plane problem', 'plane diffraction', 'placing along', 'perfect absorber', 'observed shift', 'modal fields', 'launching coefficients', 'incident field', 'hilbert type', 'geometrical theory', 'finite width', 'explicit form', 'explained completely', 'electronics engineers', 'dimensional reflectors', 'diffraction coefficient', 'diffracted rays', 'cylinder axis', 'curved two', 'creeping waves', 'convex side', 'confine attention', 'concave side', 'classical half', 'canonical problem', 'boundary extends', 'asymptotic results', 'asymptotic approximation', 'also derived']</t>
  </si>
  <si>
    <t>When a cylindrically curved perfectly conducting concave surface is terminated abruptly, an incident whispering gallery (WG) mode undergoes diffraction. This phenomenon is studied here for the canonical problem of a thin boundary and an edge that is parallel to the cylinder axis. To confine attention to diffraction by a single edge, it is assumed that the boundary extends to infinity in an infinitely extended angular space that is equivalent to placing along some radial plane intersecting the boundary a perfect absorber for angularly propagating waves. The problem can then be phrased as a functional equation problem of the Hilbert type which is solved exactly. An asymptotic approximation in the high frequency limit ka &gt; 1, where k is the wavelength and a the radius of curvature, is obtained in explicit form and phrased so as to exhibit the diffraction coefficient for edge-diffracted rays and the launching coefficients for creeping waves on the convex side as well as WG modes on the concave side. These quantities are of interest for placing the results within the context of the geometrical theory of diffraction (GTD) and are relevant to the analysis of curved two-dimensional reflectors of finite width, where WG modes excited by diffraction of the incident field at one edge provide illumination of the other edge. The induced surface current density function is also derived. The asymptotic results, including an observed shift of the shadow boundary relative to the direction of incidence of the WG mode, are explained completely in terms of half-plane diffraction of one of the modal ray congruences, thereby confirming via this canonical problem the validity of the GTD for diffraction of modal fields. For the limiting case Œ± ‚Üí ‚ßú, all expressions are shown to reduce to those for the classical half-plane problem. Copyright ¬© 1981 by The Institute of Electrical and Electronics Engineers, Inc.</t>
  </si>
  <si>
    <t>571-579</t>
  </si>
  <si>
    <t>60022002-60108318</t>
  </si>
  <si>
    <t>Idemen, Mithat</t>
  </si>
  <si>
    <t>United States;Turkey</t>
  </si>
  <si>
    <t>New York;Istanbul</t>
  </si>
  <si>
    <t>NYU Tandon School of Engineering;ƒ∞stanbul Teknik √úniversitesi</t>
  </si>
  <si>
    <t>60108318;60022002</t>
  </si>
  <si>
    <t>Idemen M.</t>
  </si>
  <si>
    <t>Diffraction of a Whispering Gallery Mode by the Edge of a Thin Concave Cylindrically Curved Surface</t>
  </si>
  <si>
    <t>10.1109/TAP.1981.1142643</t>
  </si>
  <si>
    <t>2-s2.0-0019596402</t>
  </si>
  <si>
    <t>['various planes', 'twist reflector', 'transforming e', 'physical structure', 'parallel plates', 'optimum design', 'one geometric', 'one electrical', 'infinite extent', 'incidence represents', 'experimental verification', 'equivalent circuits', 'electronics engineers', 'computed performance', 'complete solution', 'arbitrary incidence']</t>
  </si>
  <si>
    <t>A complete solution of plane wave scattering from a twist reflector of infinite extent for arbitrary incidence is presented. The solution is accomplished through the use of an E- and H-type modal representation of the fields in the twister and free space regions. The equivalent circuits for strip and parallel plate twister gratings are derived by transforming E and H mode results [5] to appropriate type mode parameters. The modal reflection coefficients Œì‚Äò and Œì‚Äú are determined from these equivalent circuit parameters and together with the use of a type mode description of the incident and reflected fields lead to two simple conditions for an optimum design; one geometric, namely tan œï = sec Œ∏ and one electrical, Œì‚Äù/ Œì' = -1. The computed performance of this optimum twist reflector in terms of a cross-polarized suppression ratio versus incidence angle for various planes of incidence represents the best that can be done with any physical structure. A design procedure including design formulas and curves is given from which twist reflector dimensions can be determined. Experimental verification for two specific implementations, parallel plates and parallel strips twist reflectors, is described. Copyright ¬© 1981 by The Institute of Electrical and Electronics Engineers, Inc.</t>
  </si>
  <si>
    <t>622-629</t>
  </si>
  <si>
    <t>Hanfling, Jerome D.</t>
  </si>
  <si>
    <t>Hanfling J.</t>
  </si>
  <si>
    <t>Twist Reflector Design Using E-Type and H-Type Modes</t>
  </si>
  <si>
    <t>10.1109/TAP.1981.1142632</t>
  </si>
  <si>
    <t>2-s2.0-0019596553</t>
  </si>
  <si>
    <t>['transition regions', 'torsion factor', 'spheroids calculated', 'solution agree', 'shadow region', 'ray fields', 'ray coordinates', 'radiation patterns', 'radiated field', 'patterns calculated', 'measured patterns', 'lit region', 'gtd ).', 'geometrical theory', 'fock functions', 'field radiated', 'field point', 'exact solutions', 'electronics engineers', 'appears explicitly']</t>
  </si>
  <si>
    <t>A compact approximate asymptotic solution is developed for the field radiated by an antenna on a perfectly conducting smooth convex surface. This high-frequency solution employs the ray coordinates of the geometrical theory of diffraction (GTD). In the shadow region the field radiated by the source propagates along Keller's surface diffracted ray path, whereas in the lit region the incident field propagates along the geometrical optics ray path directly from the source to the field point. These ray fields are expressed in terms of Fock functions which reduce to the geometrical optics field in the deep lit region and remain uniformly valid across the shadow boundary transition region into the deep shadow region. Surface ray torsion, which affects the radiated field in both the shadow and transition regions, appears explicitly in the solution as a torsion factor. The radiation patterns of slots and monopoles on cylinders, cones, and spheroids calculated from this solution agree very well with measured patterns and with patterns calculated from exact solutions. Copyright ¬© 1981 by The Institute of Electrical and Electronics Engineers, Inc.</t>
  </si>
  <si>
    <t>609-622</t>
  </si>
  <si>
    <t>60003500;60003500;60003500</t>
  </si>
  <si>
    <t>35579308700;56321621200;7004270570</t>
  </si>
  <si>
    <t>Pathak, Prabhakar H.;Wang, Nan;Burnside, Walter D.</t>
  </si>
  <si>
    <t>Pathak P.</t>
  </si>
  <si>
    <t>A Uniform GTD Solution for the Radiation from Sources on a Convex Surface</t>
  </si>
  <si>
    <t>10.1109/TAP.1981.1142636</t>
  </si>
  <si>
    <t>2-s2.0-0019596574</t>
  </si>
  <si>
    <t>['two parallel', 'three dimensions', 'theoretical results', 'short arrays', 'radiating dipoles', 'mutual impedance', 'good agreement', 'explicit formulas', 'electronics engineers', 'collinear short']</t>
  </si>
  <si>
    <t>Explicit formulas are presented for the mutual impedance and coupling between two parallel or collinear short-circuited flat dipoles at resonance in terms of three dimensions with respect to wavelength. Experimental and theoretical results are in good agreement and show that the radiating dipoles are particularly well uncoupled and therefore are suitable for incorporation in short arrays for which superdirectivity can be achieved. or in large swept sector arrays. Copyright ¬© 1981 by The Institute of Electrical and Electronics Engineers, Inc.</t>
  </si>
  <si>
    <t>668-671</t>
  </si>
  <si>
    <t>101885524;101885524</t>
  </si>
  <si>
    <t>7006052449;6506682047</t>
  </si>
  <si>
    <t>Dubost, G.;Rabbaa, A.</t>
  </si>
  <si>
    <t>Rennes</t>
  </si>
  <si>
    <t>University of Rennes</t>
  </si>
  <si>
    <t>Mutual Impedance Between Two Short-Circuited Flat Resonant Dipoles</t>
  </si>
  <si>
    <t>10.1109/TAP.1981.1142639</t>
  </si>
  <si>
    <t>2-s2.0-0019596746</t>
  </si>
  <si>
    <t>['tracking system', 'tracking receiver', 'tracking accuracy', 'system design', 'rainfall effect', 'performed using', 'peak value', 'operational results', 'normal conditions', 'electronics engineers', 'cross coupling', 'autotrack system', '01 ¬∞', '005 ¬∞']</t>
  </si>
  <si>
    <t>System design and operational results of a tracking system for a K-band Earth station antenna with a diameter of 11.5 m are discussed. Monopulse tracking technique using higher order waveguide modes is utilized. An investigation was conducted to clarify the rainfall effect and the effect of oscillator phase noise on the tracking receiver. An autotrack system is to be manufactured on the basis of these studies. Experiments were performed using the medium capacity communications satellite. No cross coupling was seen in the pull-in patterns. Sufficiently good results were obtained in tracking accuracy: less than 0.005¬∞ (peak value) under normal conditions, and less than 0.01 ¬∞ under an average wind velocity of more than 20 m/s. Copyright ¬© 1981 by The Institute of Electrical and Electronics Engineers, Inc.</t>
  </si>
  <si>
    <t>561-570</t>
  </si>
  <si>
    <t>60025555;60025555</t>
  </si>
  <si>
    <t>7501389649;6602715313</t>
  </si>
  <si>
    <t>Inoue, T.;Kaitsuka, T.</t>
  </si>
  <si>
    <t>Inoue T.</t>
  </si>
  <si>
    <t>K-Band Tracking System for Domestic Satellite Communication System</t>
  </si>
  <si>
    <t>10.1109/TAES.1981.309185</t>
  </si>
  <si>
    <t>2-s2.0-0019596941</t>
  </si>
  <si>
    <t>['wiley company', 'weighting functions', 'pattern synthesis', 'integral section', 'inc .,', 'double orthogonality', 'determined freely']</t>
  </si>
  <si>
    <t>The double orthogonality of spheroidal wave functions has been used in pattern synthesis. However, because of difficulty in calculating spheroidal wave functions and in determining double orthogonality, its application to pattern synthesis is limited. In this paper, a new eigenintegral equation is derived to obtain general doubly orthogonal function systems in which the integral section and weighting functions can be determined freely. The new doubly orthogonal functions are applied for pattern synthesis under constraints. Copyright ¬© 1981 Wiley Periodicals, Inc., A Wiley Company</t>
  </si>
  <si>
    <t>79-86</t>
  </si>
  <si>
    <t>60025997;60025997;60025997</t>
  </si>
  <si>
    <t>7005495467;7202063936;55475526100</t>
  </si>
  <si>
    <t>Tokumaru, Shinobu;Nakahara, Masatoshi;Yamamoto, Shigeru</t>
  </si>
  <si>
    <t>Keio University</t>
  </si>
  <si>
    <t>Tokumaru S.</t>
  </si>
  <si>
    <t>New doubly orthogonal functions and their application to pattern synthesis</t>
  </si>
  <si>
    <t>10.1002/ecja.4410640811</t>
  </si>
  <si>
    <t>2-s2.0-0019597163</t>
  </si>
  <si>
    <t>['widely used', 'parameters systematically', 'gives rise', 'decameter wavelengths']</t>
  </si>
  <si>
    <t>The vertically radiating turniquet antenna is widely used in local radio broadcasting at decameter wavelengths. Nevertheless, a typical antenna design does not specify its parameters systematically, which gives rise to difficulties as far as its application is concerned. The derivation of the antenna parameters given eliminates these difficulties to some extent.</t>
  </si>
  <si>
    <t>34-37</t>
  </si>
  <si>
    <t>35-36</t>
  </si>
  <si>
    <t>Telecommunications and Radio Engineering (English translation of Elektrosvyaz and Radiotekhnika)</t>
  </si>
  <si>
    <t>Aug</t>
  </si>
  <si>
    <t>Shered'ko, E. Yu</t>
  </si>
  <si>
    <t>Shered'ko E.</t>
  </si>
  <si>
    <t>ELECTRICAL CHARACTERISTICS OF A VERTICALLY RADIATING TURNIQUET ANTENNA.</t>
  </si>
  <si>
    <t>2-s2.0-0019597221</t>
  </si>
  <si>
    <t>['¬© 1981', 'visible range', 'theory formulated', 'target resolution', 'series form', 'rights reserved', 'physical intuition', 'paper develops', 'optimum spacing', 'optimization procedure', 'may produce', 'may obscure', 'lobe strengths', 'lobe reductions', 'interelement separation', 'important extension', 'good agreement', 'element array', 'directivity patterns', 'directivity pattern', 'considerably minimize', 'compact theory', 'carrier frequency', 'carrier frequencies', 'assume values', 'array elements', 'array design', 'acoustical society', 'acoustic wavelength', 'acoustic echo', 'accurate echosonde', 'accurate computer', 'acceptable side', '907œªawhere œªais', '3500 hz', '2250 hz', '1977 )],', '184 ¬∞', '159 ¬∞', '137 ¬∞']</t>
  </si>
  <si>
    <t>This paper develops a compact theory, which is an important extension of a single element theory previously formulated [S. A. Adekola, J. Acoust. Soc. Am. 62, 524‚Äì542 (1977)], for a multielement broadside array of echosondes (acoustic echo-sounding antennas), uniformly spaced, and consisting of elements that are identical in all respects. The formulation enunciated allows for echosonde array design that gives low side-lobe strengths, which can considerably minimize any ambiguous target detection of the weak echoes backscattered from the lower atmospheric structure, and an invaluable attribute arrived at, is the directivity pattern, obtained, which can provide an improved target resolution required in acoustic echo sounding. A workable expression developed for the directivity, provides an inclination that is in good agreement with physical intuition, when expressed in a series form. The theory formulated here, permits an accurate echosonde-array design when use is made of a computer, and some accurate computer-generated directivity patterns are produced when an optimization procedure is adopted for the determination of interelement separation required for any particular echosonde array. A number of directivity patterns, illustrating numerous design examples, is presented. Results of several computations show, in general, that if a carrier frequency is specified, then the half-power beamwidth reduces when the number of array elements is increased, whereas, if the size of the array is given, the 3-dB beamwidth decreases when the carrier frequency is increased. As an example, when we use a carrier frequency fixed at 2250 Hz, the half-power beamwidths calculated for a six-and twenty-four-element array are 6.137¬∞ and 5.094¬∞, respectively, whereas the 3-dB beamwidths obtained when the number of array elements is fixed at twelve, are 7.184¬∞ and 4.159¬∞ at carrier frequencies that assume values of 1750 and 3500 Hz, respectively. The question of how directivity patterns can be realized without high intensity side lobes that may produce an ambiquity of target resolution, and which may obscure the weak backscattered signal when use is made of the entire echosonde system for remote sensing applications, is investigated, and it is shown that, acceptable side-lobe reductions can be produced, provided the interelement separation is less than a wavelength, and if a second large interference lobe is attenuated from the visible range of a directivity pattern. A comprehensive design table provided describes some optimum interelement separations which are determined for a number of array elements. For example, an optimum spacing of 0.907Œªawhere Œªais the acoustic wavelength, is determined for an eight-element array. When the optimum spacing just stated is employed, the directivity pattern computed when uniform, Gaussian and Lorentzian-line shape distributions are assumed at the illuminating antenna aperture, shows that the side-lobe attenuations realized are as low as‚Äî70 dB in each case. ¬© 1981, Acoustical Society of America. All rights reserved.</t>
  </si>
  <si>
    <t>281-301</t>
  </si>
  <si>
    <t>NA</t>
  </si>
  <si>
    <t>Journal of the Acoustical Society of America</t>
  </si>
  <si>
    <t>Adeniyi Adekola, S.</t>
  </si>
  <si>
    <t>Nigeria</t>
  </si>
  <si>
    <t>Lagos</t>
  </si>
  <si>
    <t>University of Lagos</t>
  </si>
  <si>
    <t>Adeniyi Adekola S.</t>
  </si>
  <si>
    <t>Compact theory of a multielement broadside array of uniformly spaced echosonde antennas</t>
  </si>
  <si>
    <t>10.1121/1.386776</t>
  </si>
  <si>
    <t>2-s2.0-0019599428</t>
  </si>
  <si>
    <t>['unacceptable deterioration', 'stages consisting', 'series circuit', 'matching requirements', 'input matching', 'ferrite circulator', 'experimental investigation', 'chebyshev characteristics', 'article gives', '3 refs']</t>
  </si>
  <si>
    <t>In multiport microwave dividing filters the use of a series circuit of stages consisting of a ferrite circulator and a bandpass filter causes noticeable additional losses, while the use of a parallel circuit causes an unacceptable deterioration of the input matching and a deterioration in selectivity. A modified directional filter (MDF) prototype is designed on the basis of selectivity and matching requirements. Article gives the results of an experimental investigation of a six-port waveguide dividing filter whose MDF stages have Chebyshev characteristics of the input reflection coefficient. 3 refs.</t>
  </si>
  <si>
    <t>42-43</t>
  </si>
  <si>
    <t>Savitskiy, A. Yu</t>
  </si>
  <si>
    <t>Savitskiy A.</t>
  </si>
  <si>
    <t>SIX-PORT WAVEGUIDE DIRECTIONAL FILTER.</t>
  </si>
  <si>
    <t>2-s2.0-0019601060</t>
  </si>
  <si>
    <t>['various ways', 'somehow removing', 'sidelobe radiation', 'second approach', 'promising one', 'new generation', 'low cost', 'jamming capability', 'jamming capabilities', 'interfering signal', 'improved anti', 'different types']</t>
  </si>
  <si>
    <t>The anti-jamming capability of an antenna can be improved in various ways, i. e. , either by somehow removing the interfering signal or by reducing the level of the sidelobe radiation. The second approach is the most radical and promising one and is applicable to newly constructed relay links. It requires a new generation of antennas with improved anti-jamming capabilities. This new generation of antennas can be based on the offset feed configuration, which enables the low cost and good electrical performance of different types of antennas to be combined.</t>
  </si>
  <si>
    <t>38-41</t>
  </si>
  <si>
    <t>7801337641;6701715041</t>
  </si>
  <si>
    <t>Timifeyeva, A. A.;Yampol'skiy, V. G.</t>
  </si>
  <si>
    <t>Timifeyeva A.</t>
  </si>
  <si>
    <t>PROTECTION OF RADIO RELAY ANTENNAS AGAINST INTERFERENCE AND SOME METHODS FOR IMPROVING IT.</t>
  </si>
  <si>
    <t>2-s2.0-0019601350</t>
  </si>
  <si>
    <t>['vehicle must', 'radar system', 'oriented towards', 'opposite sides', 'multilane highway', 'monostatic radar', 'electronics engineers', 'conceptual advantage', 'bistatic operation', 'area within']</t>
  </si>
  <si>
    <t>A monostatic Doppler radar can yield accurate vehicle speed measurements over a very limited angular extent. When applied to a multilane superhighway geometry, the area within which the vehicle must be confined for accurate measurement becomes quite small. A much larger area yielding accurate measurement can be achieved by designing the radar system for bistatic operation. In this geometry the transmitter and receiver are on opposite sides of the multilane highway and both transmitting and receiving antenna beams are oriented towards the vehicle. A radiation leakage link is required between transmitter and receiver to provide a reference frequency signal. Examples are given to show the conceptual advantage of a bistatic radar compared to a monostatic radar. Copyright ¬© 1981 by The Institute of Electrical and Electronics Engineers, Inc.</t>
  </si>
  <si>
    <t>130-134</t>
  </si>
  <si>
    <t>IEEE Transactions on Vehicular Technology</t>
  </si>
  <si>
    <t>Conceptual Performance of Bistatic Doppler Radar for Vehicle Speed Determination</t>
  </si>
  <si>
    <t>10.1109/T-VT.1981.23894</t>
  </si>
  <si>
    <t>2-s2.0-0019606820</t>
  </si>
  <si>
    <t>['used antennas', 'theoretical predictions', 'radiation patterns', 'mobile communications', 'good agreement', 'electronics engineers', 'depends upon', 'correlation coefficient']</t>
  </si>
  <si>
    <t>A novel diversity technique is suggested for mobile communications. It depends upon the radiation patterns of the used antennas. The relation between the radiation patterns and the correlation coefficient is worked out. Theoretical predictions are shown to have good agreement with the experiment. Copyright ¬© 1981 by The Institute of Electrical and Electronics Engineers, Inc.</t>
  </si>
  <si>
    <t>121-123</t>
  </si>
  <si>
    <t>Awadalla, Kamal H.</t>
  </si>
  <si>
    <t>Egypt</t>
  </si>
  <si>
    <t>Shibin El Kom</t>
  </si>
  <si>
    <t>Menoufia University</t>
  </si>
  <si>
    <t>Awadalla K.H.</t>
  </si>
  <si>
    <t>Direction Diversity in Mobile Communications</t>
  </si>
  <si>
    <t>10.1109/T-VT.1981.23892</t>
  </si>
  <si>
    <t>2-s2.0-0019606844</t>
  </si>
  <si>
    <t>['vertical dimensions', 'vertical antenna', 'usw band', 'relatively large', 'length l', 'elevation plane', 'considered taking', 'antenna arrays', '3 refs']</t>
  </si>
  <si>
    <t>In the USW band the dimensions of antenna arrays which produce highly directional beams are relatively large. One of the methods of reducing the vertical dimensions of the antenna and which enables electrical scanning to be carried out in the elevation plane is based on the use of a 0- pi phase distribution along the vertical antenna of length L. The features of scanning antenna arays in the USW band with a 0- pi phase distribution in the elevation plane are considered taking into account the effect of electromagnetic waves reflected from the earth. 3 refs.</t>
  </si>
  <si>
    <t>133-135</t>
  </si>
  <si>
    <t>Sep</t>
  </si>
  <si>
    <t>6507649829;6603156582</t>
  </si>
  <si>
    <t>Sovetova, L. N.;Shmelev, Yu D.</t>
  </si>
  <si>
    <t>Sovetova L.</t>
  </si>
  <si>
    <t>SOME FEATURES OF SCANNING ANTENNA ARRAYS IN THE USW BAND.</t>
  </si>
  <si>
    <t>2-s2.0-0019607149</t>
  </si>
  <si>
    <t>['various numbers', 'track modes', 'radar figures', 'probability distributions', 'independent jammers', 'electronics engineers', 'directly related', 'detection probability']</t>
  </si>
  <si>
    <t>The performance of electronically scanned radar systems is evaluated for clear and barrage jamming environments. Radar figures of merit in jamming are derived for search and track modes and are directly related to antenna pattern relative sidelobe levels. A random sidelobe model is analyzed with various numbers of independent jammers. Probability distributions of detection probability are derived to determine detection performance versus average jamming level and number of jammers. Copyright ¬© 1981 by The Institute of Electrical and Electronics Engineers, Inc.</t>
  </si>
  <si>
    <t>701-710</t>
  </si>
  <si>
    <t>6505918792;6508308132</t>
  </si>
  <si>
    <t>Difranco, J. V.;Kaiteris, C.</t>
  </si>
  <si>
    <t>Difranco J.V.</t>
  </si>
  <si>
    <t>Radar Performance Review in Clear and Jamming Environments</t>
  </si>
  <si>
    <t>10.1109/TAES.1981.309102</t>
  </si>
  <si>
    <t>2-s2.0-0019607538</t>
  </si>
  <si>
    <t>['waveguide size', 'upper surface', 'theoretical calculations', 'simulated absence', 'silicon waveguide', 'physical parameters', 'perturbation spacing', 'nonconducting state', 'metal walls', 'guide wavelength', 'examined theoretically', 'examine tradeoffs', 'electronically controlling', 'dielectric guide', 'dielectric antenna', 'design curves', 'controlled manner', 'close proximity', 'angular scan', '60 ghz']</t>
  </si>
  <si>
    <t>The effect of placing metal walls in close proximity to a dielectric antenna has been examined theoretically. When these walls are less than one millimeter away from a silicon dielectric waveguide operating nominally at 60 GHz, they affect the wavelength of the electromagnetic radiation within the guide. As the guide wavelength changes, the angle of radiated energy emanating from the metal stripe perturbations on the upper surface of the dielectric guide also changes. A line scanning antenna can be realized by varying the change in guide wavelength in a controlled manner. Theoretical calculations were made to determine the physical parameters such as waveguide size, spacing of metal stripe perturbations and location of metal walls with respect to the silicon waveguide which can produce a large angular scan. Design curves are presented which can be used to examine tradeoffs between the initial radiation angle and range of angular scan as a function of frequency and perturbation spacing. A means of electronically controlling the simulated absence or presence of metal walls by current biasing distributed p-i-n diodes attached to the side of the dielectric guide from a nonconducting state into a high conductivity state is discussed. ¬© 1981 IEEE</t>
  </si>
  <si>
    <t>962-966</t>
  </si>
  <si>
    <t>Klohn, Kenneth L.</t>
  </si>
  <si>
    <t>Aberdeen</t>
  </si>
  <si>
    <t>U.S. Army Research, Development and Engineering Command</t>
  </si>
  <si>
    <t>Klohn K.</t>
  </si>
  <si>
    <t>Metal Walls in Close Proximity to a Dielectric Waveguide Antenna</t>
  </si>
  <si>
    <t>10.1109/TMTT.1981.1130481</t>
  </si>
  <si>
    <t>2-s2.0-0019607717</t>
  </si>
  <si>
    <t>['representative values', 'electronics engineers', 'current distribution', 'calculations based', '3 x']</t>
  </si>
  <si>
    <t>The current distribution on a receiving dipole antenna is dependent on its feed-point load impedance. Calculations based on the modified King Middleton approximation have been made of the distribution for antenna half lengths of 0.1, 0.2, 0.25, and 0.3 X. Representative values of the antenna load impedance, resistive, capacitive, and inductive, are used to show their effects on the antenna current distribution. Copyright ¬© 1981 by The Institute of Electrical and Electronics Engineers, Inc.</t>
  </si>
  <si>
    <t>817-822</t>
  </si>
  <si>
    <t>60031004;60031004</t>
  </si>
  <si>
    <t>54934557900;24579838100</t>
  </si>
  <si>
    <t>Tang, T.;Gunn, M. W.</t>
  </si>
  <si>
    <t>Australia</t>
  </si>
  <si>
    <t>Brisbane</t>
  </si>
  <si>
    <t>The University of Queensland</t>
  </si>
  <si>
    <t>Tang T.</t>
  </si>
  <si>
    <t>Current Distribution on a Receiving Dipole Antenna</t>
  </si>
  <si>
    <t>10.1109/TAP.1981.1142654</t>
  </si>
  <si>
    <t>2-s2.0-0019607927</t>
  </si>
  <si>
    <t>['two pairs', 'signal angles', 'poor sinr', 'output signal', 'noise ratio', 'interference signal', 'incoming signals', 'electronics engineers', 'electromagnetic polarization', 'desired signal', 'crossed dipoles', 'arbitrary directions', 'adaptive array']</t>
  </si>
  <si>
    <t>The ability of a least mean square (LMS) adaptive array to adapt to the electromagnetic polarization of incoming signals is considered. An array of two pairs of crossed dipoles is studied. A desired signal and an interference signal are assumed to arrive from arbitrary directions with arbitrary elliptical polarizations. The output signal-to-interference-plus-noise ratio (SINR) from the array is computed as a function of the signal angles of arrival and polarizations. It is shown that as long as certain special desired signal polarizations are avoided, the array is difficult to jam with a single interference signal. To produce a poor SINR, an interference signal must both arrive from the same direction and have the same polarization as the desired signal. Copyright ¬© 1981 by The Institute of Electrical and Electronics Engineers, Inc.</t>
  </si>
  <si>
    <t>718-725</t>
  </si>
  <si>
    <t>Compton R.</t>
  </si>
  <si>
    <t>On the Performance of a Polarization Sensitive Adaptive Array</t>
  </si>
  <si>
    <t>10.1109/TAP.1981.1142651</t>
  </si>
  <si>
    <t>2-s2.0-0019608254</t>
  </si>
  <si>
    <t>['usual formulation', 'scattered power', 'scattered field', 'rayleigh scattering', 'power conservation', 'polarizing field', 'lowest order', 'found correctly', 'evaluated exactly', 'electronics engineers', 'determined exactly', 'characteristic dimension', '6 may']</t>
  </si>
  <si>
    <t>In the usual formulation of Rayleigh scattering in terms of the quasi-static dipole moments of the scatterer, the scattered field is evaluated exactly to the lowest order (k0a)3 where a is a characteristic dimension of the scatterer. Although the scattered power may be found correctly to order (k0a)6 in terms of the scattered field, power conservation does not hold. To achieve power conservation the scattered field must be determined exactly to order (k0a)6. It is shown that the term of order (k0a)6 may be found by including radiation reaction as part of the polarizing field. The scattered power can then be found by using the forward scatter theorem (optical extinction theorem) and leads to power conservation correct to lowest order. Copyright ¬© 1981 by The Institute of Electrical and Electronics Engineers, Inc.</t>
  </si>
  <si>
    <t>795-798</t>
  </si>
  <si>
    <t>Collin, R. E.</t>
  </si>
  <si>
    <t>Cleveland</t>
  </si>
  <si>
    <t>Case Western Reserve University</t>
  </si>
  <si>
    <t>Collin R.</t>
  </si>
  <si>
    <t>Rayleigh Scattering and Power Conservation</t>
  </si>
  <si>
    <t>10.1109/TAP.1981.1142655</t>
  </si>
  <si>
    <t>2-s2.0-0019608255</t>
  </si>
  <si>
    <t>['telecommunications systems', 'shortmillimeter wavelengths', 'quasioptical circuits', 'particulary useful', 'multiplexing systems', 'ghz band', 'electrical performances']</t>
  </si>
  <si>
    <t>This paper describes constructions and electrical performances of shortmillimeter-wavelength quasioptical passive circuits using the Gaussian beam mode, i.e., beam mode launchers, polarization-independent beam splitters, circular polarization duplexers, filters, diplexers, and multiplexers. The diplexers were devised to handle wide bandwidths with fairly low loss and to have a sharp cutoff response so that they can be applied to telecommunications systems. Experiments on these components including frequency multiplexers and antenna feed systems were carried out in the 100-GHz band. It is shown that quasioptical circuits are particulary useful in reducing insertion loss of multiplexing systems for shortmillimeter wavelengths. ¬© 1981 IEEE</t>
  </si>
  <si>
    <t>897-905</t>
  </si>
  <si>
    <t>55245356600;7202994389</t>
  </si>
  <si>
    <t>Nakajima, Nobuo;Watanabe, Ryuichi</t>
  </si>
  <si>
    <t>Nakajima N.</t>
  </si>
  <si>
    <t>A Quasioptical Circuit Technology for Shortmillimeter-Wavelength Multiplexers</t>
  </si>
  <si>
    <t>10.1109/TMTT.1981.1130471</t>
  </si>
  <si>
    <t>2-s2.0-0019608366</t>
  </si>
  <si>
    <t>['¬± 7', 'paper describes', 'millimeter wavebands', 'image line', 'fundamental characteristics', 'far superior', 'far lower', 'bandwidth within', 'also presented', '8 degrees', '7 percent', '5 ghz']</t>
  </si>
  <si>
    <t>A new circularly polarized antenna using a dielectric image line is proposed. This antenna is composed of a slotted conductive plane and a rectangular dielectric rod. This paper describes the design of and experimental results achieved with the circularly polarized array antenna fed by a dielectric image line. The fundamental characteristics of the image line are also presented. Since this line‚Äôs losses are far lower than the microstrip line losses in the millimeter wavebands, antenna feed line losses expect to be also very low. Bandwidth within the 2-dB axial ratio was more than 7 percent, and the angle range within the same ratio was more than ¬±7.8 degrees at 29.5 GHz. This antenna is far superior to the microstrip line feed array antenna in the millimeter wavebands. ¬© 1981 IEEE</t>
  </si>
  <si>
    <t>967-970</t>
  </si>
  <si>
    <t>7402411659;6603786095</t>
  </si>
  <si>
    <t>Hori, Toshikazu;Itanami, Takao</t>
  </si>
  <si>
    <t>Hori T.</t>
  </si>
  <si>
    <t>Circularly Polarized Linear Array Antenna Using a Dielectric Image Line</t>
  </si>
  <si>
    <t>10.1109/TMTT.1981.1130482</t>
  </si>
  <si>
    <t>2-s2.0-0019608367</t>
  </si>
  <si>
    <t>['total current', 'sources representing', 'simpler pole', 'sem ).', 'reciprocal eigenvalues', 'real functions', 'real admittances', 'q structures', 'practical implementation', 'positive realness', 'particular attention', 'pair positive', 'incident wave', 'fundamental considerations', 'equivalent circuits', 'equivalent admittance', 'energy delivered', 'energy coupled', 'electronics engineers', 'brief survey', 'admittance associated']</t>
  </si>
  <si>
    <t>The practical implementation of equivalent circuits that represent the energy delivered to an arbitrary load impedance by an antenna or a port on a scatterer is discussed. Particular attention is paid to the positive-real (PR) function issues associated with the equivalent admittance of the structure when evolved from the point of view of the singularity expansion method (SEM). A proof is given which establishes that the eigenadmittances (reciprocal eigenvalues) of a structure are positive-real functions. The connection between this fact and the positive realness of the admittance associated with individual current eigenmode contributions to total current is discussed. An ad hoc approach to approximating these admittances with simpler pole-pair positive-real admittances is given for high-Q structures. A brief survey of the applicable circuit synthesis algorithms and their features is provided. Some fundamental considerations in the implementation of the sources representing the energy coupled from the incident wave are presented. Copyright ¬© 1981 by The Institute of Electrical and Electronics Engineers, Inc.</t>
  </si>
  <si>
    <t>697-707</t>
  </si>
  <si>
    <t>60015941;60010491</t>
  </si>
  <si>
    <t>7103019064;7102880539</t>
  </si>
  <si>
    <t>Pearson, L. Wilson;Wilton, Donald R.</t>
  </si>
  <si>
    <t>Lexington;University</t>
  </si>
  <si>
    <t>University of Kentucky;University of Mississippi</t>
  </si>
  <si>
    <t>Pearson L.</t>
  </si>
  <si>
    <t>Theoretical Aspects of the Physical Realizability of Broad-Band Equivalent Circuits for Energy Collecting Structures</t>
  </si>
  <si>
    <t>10.1109/TAP.1981.1142649</t>
  </si>
  <si>
    <t>2-s2.0-0019608543</t>
  </si>
  <si>
    <t>['structures studied', 'realizable broad', 'potential counterexample', 'numerical examples', 'loop structures', 'generally supported', 'function properties', 'electronics engineers', 'electrodynamic models', 'driven wire', 'circuits developed', 'circuit admittances', 'approximate synthesis']</t>
  </si>
  <si>
    <t>Some realizable broad-band equivalent circuits for straight-wire and wire-loop structures are developed. The realizability of the circuits is explored in terms of the positive-real (PR) function properties of the circuit admittances. The postulate of PR ‚Äúterminal eigenadmittances‚Äù as couched by Pearson and Wilton [8] is generally supported in the numerical examples, but a potential counterexample-that of the quarter-driven wire-occurs as well. A ‚Äúdominant pole-pair‚Äù approach leads to a quale satisfactory approximate synthesis for the structures studied here. The conduct of this approximate synthesis is described in the context of the Bott-Duffin synthesis procedure. The circuits developed are tested by comparing their computed transient response with the response of electrodynamic models for the same structures. Copyright ¬© 1981 by The Institute of Electrical and Electronics Engineers, Inc.</t>
  </si>
  <si>
    <t>707-717</t>
  </si>
  <si>
    <t>60015941;60015941</t>
  </si>
  <si>
    <t>6506346219;7103019064</t>
  </si>
  <si>
    <t>Streable, Gary W.;Pearson, L. Wilson</t>
  </si>
  <si>
    <t>Lexington</t>
  </si>
  <si>
    <t>University of Kentucky</t>
  </si>
  <si>
    <t>Streable G.W.</t>
  </si>
  <si>
    <t>A Numerical Study on Realizable Broad-Band and Equivalent Admittances for Dipole and Loop Antennas</t>
  </si>
  <si>
    <t>10.1109/TAP.1981.1142668</t>
  </si>
  <si>
    <t>2-s2.0-0019608544</t>
  </si>
  <si>
    <t>['w transmitter', 'results presented', 'providing path', 'measured path', 'loss predictions', 'electronics engineers', 'ecac model', '54 mhz', '51 km', '148 mhz', '13 db']</t>
  </si>
  <si>
    <t>Beyond-line-of-sight groundwave propagation measurements were made near 30 MHz, 54 MHz, and 148 MHz over two different propagation paths 42 km and 51 km in length. Data were collected over a period of six weeks using a vehicle-mounted vertically polarized transmitting antenna (whip) and fixed position Yagi receiving antennas. Results presented here include (S + N)/N ratios observed at the receiver for a 1-W transmitter, and a comparison between measured path loss and path loss predictions made by the Electromagnetic Compatibility Analysis Center (ECAC) using diffraction model techniques. The measured (5 + N)/N ratio (against a 1-W transmitter) was between 5 and 13 dB for the two propagation paths and three test frequencies. Measured path-loss data demonstrated the usefulness of the ECAC model in providing path-loss predictions. ECAC predictions best agreed at the lowest test frequency. Copyright ¬© 1981 by The Institute of Electrical and Electronics Engineers, Inc.</t>
  </si>
  <si>
    <t>808-811</t>
  </si>
  <si>
    <t>Elliott, Walter</t>
  </si>
  <si>
    <t>San Antonio</t>
  </si>
  <si>
    <t>Southwest Research Institute</t>
  </si>
  <si>
    <t>Elliott W.</t>
  </si>
  <si>
    <t>Results of a VHF Propagation Study</t>
  </si>
  <si>
    <t>10.1109/TAP.1981.1142665</t>
  </si>
  <si>
    <t>2-s2.0-0019608545</t>
  </si>
  <si>
    <t>['thus recognizing', 'relations permit', 'radiating currents', 'planar arrays', 'obtained involving', 'mutual coupling', 'microstrip dipoles', 'individual dipoles', 'impressed voltages', 'electronics engineers', 'dipoles resulting', 'design procedure']</t>
  </si>
  <si>
    <t>A theory is developed to explain the behavior of planar arrays of microstrip dipoles. Relations are obtained involving the active input impedances of individual dipoles (thus recognizing the effects of mutual coupling) and the radiating currents in the dipoles resulting from a set of impressed voltages. These relations permit the establishment of a design procedure with the goals of an input impedance match and a desired radiation pattern. Copyright ¬© 1981 by The Institute of Electrical and Electronics Engineers, Inc.</t>
  </si>
  <si>
    <t>757-760</t>
  </si>
  <si>
    <t>60027550;60005304</t>
  </si>
  <si>
    <t>57220065537;7101778980</t>
  </si>
  <si>
    <t>Elliott, Robert S.;Stern, George J.</t>
  </si>
  <si>
    <t>Los Angeles;Waltham</t>
  </si>
  <si>
    <t>University of California, Los Angeles;Raytheon</t>
  </si>
  <si>
    <t>Elliott R.S.</t>
  </si>
  <si>
    <t>The Design of Microstrip Dipole Arrays Including Mutual Coupling, Part I: Theory</t>
  </si>
  <si>
    <t>10.1109/TAP.1981.1142672</t>
  </si>
  <si>
    <t>2-s2.0-0019608813</t>
  </si>
  <si>
    <t>['using interpolation', 'processing pictures', 'phase distribution', 'need arises', 'near zone', 'initial data', 'digital interpolation', 'communications techniques', 'antenna systems', 'analyzing speech']</t>
  </si>
  <si>
    <t>In addition to using interpolation in communications techniques when analyzing speech and processing pictures the need arises to interpolate the results of a measurement of the amplitude phase distribution of the field of antenna systems in the near zone. In order to reduce the volume of initial data, the amplitude-phase distribution of the field is measured with the maximum possible spatial sampling interval. Digital interpolation of the results of measurements is achieved by using digital filters.</t>
  </si>
  <si>
    <t>138-139</t>
  </si>
  <si>
    <t>6507946573;6507363907</t>
  </si>
  <si>
    <t>Vil'kotskiy, M. A.;Lichko, G. P.</t>
  </si>
  <si>
    <t>Vil'kotskiy M.</t>
  </si>
  <si>
    <t>DIGITAL INTERPOLATION OF THE RESULTS OF A MEASUREMENT OF THE AMPLITUDE-PHASE DISTRIBUTION OF THE FIELD OF ANTENNA SYSTEMS.</t>
  </si>
  <si>
    <t>2-s2.0-0019609499</t>
  </si>
  <si>
    <t>['wiley company', 'wall thickness', 'theoretically determined', 'slot pair', 'present analysis', 'narrow wall', 'mutual coupling', 'inc .,', 'formulation process', 'equations numerically', 'accurately obtain', '2 db']</t>
  </si>
  <si>
    <t>For a planar array antenna consisting of stacked slotted waveguides a circular polarization created by a slot pair on the narrow wall is proposed. The pair configuration satisfying the circular polarization condition is theoretically determined. It is necessary to accurately obtain the mutual coupling between slots. A formulation for the coupling is given as a boundary value problem. We first derive simultaneous integral equations for the aperture electric field in each slot. Next, solving these equations numerically, we find the effect of mutual coupling quantitatively. In the formulation process, the wall thickness of the waveguide is considered, unlike other analyses, which neglect the thickness. It is found that the effect of finitely thick walls is not negligible. To confirm the validity of the pair arrangement determined by the present analysis, experiments are performed with WRJ 3 waveguides for the S band and an almost perfect circular polarization of axial ratio 0.98 (‚àí0.2 dB) is obtained. Copyright ¬© 1981 Wiley Periodicals, Inc., A Wiley Company</t>
  </si>
  <si>
    <t>70-78</t>
  </si>
  <si>
    <t>7202492679;7201747933</t>
  </si>
  <si>
    <t>Seki, Hajime;Goto, Naohisa</t>
  </si>
  <si>
    <t>Seki H.</t>
  </si>
  <si>
    <t>Synthesis of circular polarization with nonresonant slots in the narrow wall of a rectangular waveguide</t>
  </si>
  <si>
    <t>10.1002/ecja.4410640910</t>
  </si>
  <si>
    <t>2-s2.0-0019609524</t>
  </si>
  <si>
    <t>['resolving power', 'receive signals', 'output signal', 'frequency properties', 'authors consider', 'angular coordinate']</t>
  </si>
  <si>
    <t>The space-frequency properties of a phased antenna array are analyzed and it is shown that it is possible to receive signals with a delay at the aperture much greater than the inverse of the bandwidth. Authors consider the method of compressing the output signal of the array in the angular coordinate in order to increase the accuracy and resolving power.</t>
  </si>
  <si>
    <t>129-132</t>
  </si>
  <si>
    <t>6508034178;6602079963;6506057255</t>
  </si>
  <si>
    <t>Makasakov, N. F.;Sokurenko, V. L.;Khrupalo, A. A.</t>
  </si>
  <si>
    <t>Makasakov N.</t>
  </si>
  <si>
    <t>POSSIBILTY OF RECEIVING BROADBAND SIGNALS FROM AN EXTRATERRESTRIAL RADIO SOURCE USING A PHASED ANTENNA ARRAY.</t>
  </si>
  <si>
    <t>2-s2.0-0019609573</t>
  </si>
  <si>
    <t>['electronics engineers', 'antennas designed']</t>
  </si>
  <si>
    <t>Antennas designed for specific tasks help achieve increasingly efficient spectrum management. Copyright ¬© 1981 by The Institute of Electrical and Electronics Engineers, Inc.</t>
  </si>
  <si>
    <t>28-30</t>
  </si>
  <si>
    <t>IEEE Communications Magazine</t>
  </si>
  <si>
    <t>Ramsdale, Peter A.</t>
  </si>
  <si>
    <t>Manchester</t>
  </si>
  <si>
    <t>The University of Manchester</t>
  </si>
  <si>
    <t>Ramsdale P.A.</t>
  </si>
  <si>
    <t>Antennas for communications</t>
  </si>
  <si>
    <t>10.1109/MCOM.1981.1090559</t>
  </si>
  <si>
    <t>2-s2.0-0019609775</t>
  </si>
  <si>
    <t>['major events', 'electronics engineers']</t>
  </si>
  <si>
    <t>A look at the major events in the development of antennas. Copyright ¬© 1981 by The Institute of Electrical and Electronics Engineers, Inc.</t>
  </si>
  <si>
    <t>Ramsay, Jack</t>
  </si>
  <si>
    <t>Ramsay J.</t>
  </si>
  <si>
    <t>Highlights of antenna history</t>
  </si>
  <si>
    <t>10.1109/MCOM.1981.1090561</t>
  </si>
  <si>
    <t>2-s2.0-0019610040</t>
  </si>
  <si>
    <t>['step size', 'special cases', 'single jammer', 'random error', 'exact analysis', 'electronics engineers', 'digital implementation', 'configured using', 'causes instability', 'analysis predicts']</t>
  </si>
  <si>
    <t>The multiple sidelobe canceler (MSLC) configured using the gradient descent algorithm converges to an approximation to the optimum weight vector. Since the weight vector estimate is obtained from a finite data set, there is a random error that increases the steady state residue power. An exact analysis of the steady state residue power for a digital implementation is performed. The analysis predicts that as the algorithm's gain (step size) is increased, the steady state residue power tends towards infinity. The gain that causes infinite power is smaller than the gain that causes instability for the average weight vector analysis. It is shown that the steady state residue power is equal to the minimum residue power multiplied by a factor that depends upon ratios of the eigenvalues. The steady state residue power is evaluated for some special cases. It is shown that the value of the factor is greatest when the interference is due to a single jammer. Copyright ¬© 1981 by The Institute of Electrical and Electronics Engineers, Inc.</t>
  </si>
  <si>
    <t>685-692</t>
  </si>
  <si>
    <t>Nitzberg, Ramon</t>
  </si>
  <si>
    <t>Nitzberg R.</t>
  </si>
  <si>
    <t>Canceler Performance Degradation Due to Estimation Noise</t>
  </si>
  <si>
    <t>10.1109/TAES.1981.309100</t>
  </si>
  <si>
    <t>2-s2.0-0019610211</t>
  </si>
  <si>
    <t>['time imaging', 'physical aperture', 'experimental x', 'electronics engineers', '33 x']</t>
  </si>
  <si>
    <t>The performance of an experimental X-band ‚Äúquad‚Äù array imaging system is reported. The configuration has a physical aperture of only 33 X with 204 radiating elements and constitutes a basis for low cost real-time imaging. Copyright ¬© 1981 by The Institute of Electrical and Electronics Engineers, Inc.</t>
  </si>
  <si>
    <t>804-808</t>
  </si>
  <si>
    <t>109652833;60001881;60001881</t>
  </si>
  <si>
    <t>6506524068;7403369332;7404251432</t>
  </si>
  <si>
    <t>Al-Adhami, S. N.M.;Anderson, A. P.;Bennett, J. C.</t>
  </si>
  <si>
    <t>United Kingdom;United Arab Emirates</t>
  </si>
  <si>
    <t>Sheffield;Abu Dhabi</t>
  </si>
  <si>
    <t>The University of Sheffield;University of Abu Dhabi</t>
  </si>
  <si>
    <t>60001881;109652833</t>
  </si>
  <si>
    <t>Al-Adhami S.</t>
  </si>
  <si>
    <t>Experimental Performance of a Thinned Microwave Imaging Array</t>
  </si>
  <si>
    <t>10.1109/TAP.1981.1142663</t>
  </si>
  <si>
    <t>2-s2.0-0019610427</t>
  </si>
  <si>
    <t>['ships also', 'radio camera', 'measured beamwidth', 'instrument designed', 'imaging ground', 'experimental results', 'electronics engineers', 'distorted 27', 'based targets']</t>
  </si>
  <si>
    <t>High angular resolution radar imaging may be achieved with a large-aperture antenna even if the aperture is distorted, provided that adaptive signal processing compensates for the distortion. The radio camera is an instrument designed for this purpose. Its algorithm for imaging ground-based targets is described and experimental results are given for a 3 cm wavelength demonstration system using a distorted 27-m random sparse array. The measured beamwidth of 1 mrad conformed to theory, confirming the validity of the technique. Extension of the algorithm to accommodate isolated targets such as aircraft and ships also is discussed. Copyright ¬© 1981 by The Institute of Electrical and Electronics Engineers, Inc.</t>
  </si>
  <si>
    <t>740-748</t>
  </si>
  <si>
    <t>Steinberg, Bernard D.</t>
  </si>
  <si>
    <t>Steinberg B.D.</t>
  </si>
  <si>
    <t>Radar Imaging from a Distorted Array: The Radio Camera Algorithm and Experiments</t>
  </si>
  <si>
    <t>10.1109/TAP.1981.1142652</t>
  </si>
  <si>
    <t>2-s2.0-0019610968</t>
  </si>
  <si>
    <t>['target location', 'source tracking', 'reasonable data', 'processing time', 'practical antenna', 'multipath returns', 'highly symmetrical', 'frequency diversity', 'electronics engineers', 'efficient broad', 'correlation matrix', 'antenna errors']</t>
  </si>
  <si>
    <t>A system for source tracking down to a fraction of a beamwidth of a surface with unknown multipath reflecting properties is described. The system has three major features: 1) the multipath returns are decorrelated by frequency diversity; 2) an efficient broad-band multiple beam antenna design is employed such that the data are characterized by a highly symmetrical (Toeplitz) correlation matrix; 3) Burg's reflection coefficient technique is employed to obtain rapid convergence to the maximum entropy spectrum from which the target location is determined. Realistic simulations including imperfect decorrelation, antenna errors, and transient results show that the system can provide accurate low-angle estimates using a practical antenna and reasonable data-processing time. Copyright ¬© 1981 by The Institute of Electrical and Electronics Engineers, Inc.</t>
  </si>
  <si>
    <t>766-772</t>
  </si>
  <si>
    <t>Fort, Edward C.Du</t>
  </si>
  <si>
    <t>Fort E.</t>
  </si>
  <si>
    <t>An Adaptive Low-Angle Tracking System</t>
  </si>
  <si>
    <t>10.1109/TAP.1981.1142661</t>
  </si>
  <si>
    <t>2-s2.0-0019611237</t>
  </si>
  <si>
    <t>['wiley company', 'wave source', 'recent years', 'practical importance', 'paper describes', 'open sphere', 'inc .,', 'geometrical optics', 'field representation', 'field near', 'field inside', 'experimental study', 'dome antenna', 'distance far', 'cylindrical case', 'concave sphere', 'concave side', 'beem reported', 'analytical technique', 'analytical result']</t>
  </si>
  <si>
    <t>With the appearance of dome antenna in recent years, the necessity for analyzing the electromagnetic fields produced by a wave source placed on the concave side of a solid conducting surface has arisen. Some research on this problem for a conducting concave cylindrical surface has beem reported. However, no research which is of practical importance, has been conducted on the concave sphere. This paper describes the result of an analysis of the surface magnetic field produced by an electric point source placed on the concave side of an open conducting sphere. The analytical technique is based on the case of a concave cylindrical surface. First, a wave component traveling along the boundary is obtained from a representation of the field inside a closed conducting sphere and the field representation for an open sphere is derived. Next, the surface magnetic field for the case where the radius of the sphere is sufficiently large compared to the wavelength is represented in the form of the fields of geometrical optics and integrals. As in the cylindrical case, the result of concrete calculation shows that the resulting field agrees with the field near the wave source in the case of a vertical electric point source placed on an infinite ground plane and that a complicated interfering pattern is produced at a distance far from the wave source. Also, the appropriateness of this analytical result is confirmed through an experimental study. Copyright ¬© 1981 Wiley Periodicals, Inc., A Wiley Company</t>
  </si>
  <si>
    <t>79-88</t>
  </si>
  <si>
    <t>60008435;60008435;60008435</t>
  </si>
  <si>
    <t>7007011951;35598806700;7004205007</t>
  </si>
  <si>
    <t>Inami, Kazuyoshi;Sawaya, Kunio;Mushiake, Yasuto</t>
  </si>
  <si>
    <t>Inami K.</t>
  </si>
  <si>
    <t>Surface fields excited by a vertical electric point source located on a conducting concave spherical surface</t>
  </si>
  <si>
    <t>10.1002/ecja.4410640911</t>
  </si>
  <si>
    <t>2-s2.0-0019611873</t>
  </si>
  <si>
    <t>['reflected waves', 'reduced substantially', 'qualitative estimate', 'polarization selection', 'multiplicative interference', 'matched selection', 'interference ratio', 'author provides']</t>
  </si>
  <si>
    <t>It is shown that the intensity of multiplicative interference in a multipath mobile radio system communication channel can be reduced substantially by polarization selection of reflected waves with the help of an elliptically polarized antenna. Author provides a qualitative estimate of the improvement in the signal-to-interference ratio of multi-path propagation selection, rather than matched selection.</t>
  </si>
  <si>
    <t>81-86</t>
  </si>
  <si>
    <t>Golovin, E. S.</t>
  </si>
  <si>
    <t>Golovin E.</t>
  </si>
  <si>
    <t>OPTIMIZATION OF ANTENNA PARAMETERS FOR POLARIZATION SELECTION OF SIGNALS IN A MULTIPATH CHANNEL.</t>
  </si>
  <si>
    <t>2-s2.0-0019611876</t>
  </si>
  <si>
    <t>['wave ratio', 'reflector subtending', 'l bandwidth', 'general requirements', 'entire 1', 'electronics engineers']</t>
  </si>
  <si>
    <t>A simple horn suitable for illuminating a reflector subtending an angle near ¬±45¬∞ in the 4- and 6-GHz communications bands is described. The horn has excellent voltage standing-wave ratio (VSWR) characteristics, with cross-polar sidelobes less than -22 dB across the entire 1.74:l bandwidth. From the background information presented. a horn of similar form coublde developed for more general requirements. Copyright ¬© 1981 by The Institute of Electrical and Electronics Engineers, Inc.</t>
  </si>
  <si>
    <t>800-802</t>
  </si>
  <si>
    <t>60029470;60029470</t>
  </si>
  <si>
    <t>35571763900;35571713000</t>
  </si>
  <si>
    <t>Thomas, Bruce Maca;Greene, K. J.</t>
  </si>
  <si>
    <t>Melbourne</t>
  </si>
  <si>
    <t>Commonwealth Scientific and Industrial Research Organization</t>
  </si>
  <si>
    <t>Thomas B.M.</t>
  </si>
  <si>
    <t>A Simple Wide-Angle Horn for the 4-GHz and 6-GHz Bands</t>
  </si>
  <si>
    <t>10.1109/TAP.1981.1142674</t>
  </si>
  <si>
    <t>2-s2.0-0019611977</t>
  </si>
  <si>
    <t>['subreflector loading', 'reflector antennas', 'radiated field', 'proper choice', 'peripherical rim', 'loading technique', 'loading characteristics', 'enhance copolar', 'electronics engineers', 'effective control', 'cassegrain antennas']</t>
  </si>
  <si>
    <t>An analysis of the behavior of reflector antennas loaded by a surface impedance along a peripherical rim is carried out in order to ascertain the possibility of improving their performance by such a loading technique. Both single and dual (Cassegrain) reflector antennas are considered. It is shown that an effective control of the radiated field can be achieved by the proper choice of the loading characteristics. In the case of Cassegrain antennas, subreflector loading is sufficient to enhance copolar or crosspolar overall performance. Copyright ¬© 1981 by The Institute of Electrical and Electronics Engineers, Inc.</t>
  </si>
  <si>
    <t>773-779</t>
  </si>
  <si>
    <t>60017293;60017293;100338805</t>
  </si>
  <si>
    <t>7006499276;57201738411;7004082336</t>
  </si>
  <si>
    <t>Bucci, Ovidio M.;Massa, Giuseppe Di;Savarese, Catello</t>
  </si>
  <si>
    <t>Italy;Italy</t>
  </si>
  <si>
    <t>Naples;Naples</t>
  </si>
  <si>
    <t>Universit√† degli Studi di Napoli Federico II;Istituto Universitario Navale</t>
  </si>
  <si>
    <t>60017293;100338805</t>
  </si>
  <si>
    <t>Control of Reflector Antennas Performance by Rim Loading</t>
  </si>
  <si>
    <t>10.1109/TAP.1981.1142671</t>
  </si>
  <si>
    <t>2-s2.0-0019612129</t>
  </si>
  <si>
    <t>['electronics engineers', 'claims made']</t>
  </si>
  <si>
    <t>How to measure the claims made for an antenna. Copyright ¬© 1981 by The Institute of Electrical and Electronics Engineers, Inc.</t>
  </si>
  <si>
    <t>18-20</t>
  </si>
  <si>
    <t>Tilston, William V.</t>
  </si>
  <si>
    <t>Toronto</t>
  </si>
  <si>
    <t>University of Toronto</t>
  </si>
  <si>
    <t>Tilston W.</t>
  </si>
  <si>
    <t>On evaluating the performance of communications antennas</t>
  </si>
  <si>
    <t>10.1109/MCOM.1981.1090558</t>
  </si>
  <si>
    <t>2-s2.0-0019612310</t>
  </si>
  <si>
    <t>['solved numerically', 'gull shape', 'generalized hallen', 'experimental results', 'electronics engineers', 'current distribution', 'collocation method']</t>
  </si>
  <si>
    <t>An efficient computation technique for obtaining the current distribution on a piecewise linear antenna is presented. The generalized Hallen's type integral equation with closed form kernel is formulated and then solved numerically by the collocation method. Numerical and experimental results for the gull shape and the trapezoidal tooth wire antennas are included. Copyright ¬© 1981 by The Institute of Electrical and Electronics Engineers, Inc.</t>
  </si>
  <si>
    <t>787-792</t>
  </si>
  <si>
    <t>60008107;60008107</t>
  </si>
  <si>
    <t>7003938202;6701865440</t>
  </si>
  <si>
    <t>Kominami, Masanobu;Rokushima, Katsu</t>
  </si>
  <si>
    <t>Sakai</t>
  </si>
  <si>
    <t>Osaka Prefecture University</t>
  </si>
  <si>
    <t>Kominami M.</t>
  </si>
  <si>
    <t>On the Integral Equation of Piecewise Linear Antennas</t>
  </si>
  <si>
    <t>10.1109/TAP.1981.1142673</t>
  </si>
  <si>
    <t>2-s2.0-0019612533</t>
  </si>
  <si>
    <t>['two interferences', 'steered toward', 'radiation pattern', 'pattern synthesis', 'output signal', 'null formation', 'noise ratio', 'interferences exceeds', 'interference direction', 'formed independently', 'electronics engineers', 'array output', 'antenna arrays', 'adaptive arrays', 'adaptive array']</t>
  </si>
  <si>
    <t>In antenna arrays, the number of nulls that can be formed independently is equal to or less than the number of array elements minus one. Therefore, if the number of interferences exceeds the number of freedom for pattern synthesis in adaptive arrays, nulls in the radiation pattern can not be steered toward each interference direction. To clarify the behavior of the adaptive array in such an environment, an analysis is made for the case where two interferences are impinging on the two-element directionally constrained adaptive array. As a result, it is proved that the adaptive array acts to reduce the undesired noise power at the array output. However, improvement in output signal-to-noise ratio is insufficient because of the limitation in null formation. Copyright ¬© 1981 by The Institute of Electrical and Electronics Engineers, Inc.</t>
  </si>
  <si>
    <t>802-804</t>
  </si>
  <si>
    <t>Fujita, Masaharu</t>
  </si>
  <si>
    <t>Kashima</t>
  </si>
  <si>
    <t>Radio Research Laboratories</t>
  </si>
  <si>
    <t>Fujita M.</t>
  </si>
  <si>
    <t>Analysis of an Over-Constrained Adaptive Array</t>
  </si>
  <si>
    <t>10.1109/TAP.1981.1142664</t>
  </si>
  <si>
    <t>2-s2.0-0019612534</t>
  </si>
  <si>
    <t>['simplified procedure', 'po ).', 'physical optics', 'obtained using', 'method enunciated', 'electronics engineers', '2 ],']</t>
  </si>
  <si>
    <t>A technique of analyzing the principal plane radiation patterns of a subreflector shaped using the method enunciated by Collins [I] has been presented. The analysis is based on the uniform geometrical theory of diffraction (UGTD) [2], and a simplified procedure has been adopted in the determination of the principal plane radii of curvature of the subreflector. The numerical results obtained based on UGTD correlate well with those obtained using the method of physical optics (PO). Copyright ¬© 1981 by The Institute of Electrical and Electronics Engineers, Inc.</t>
  </si>
  <si>
    <t>792-795</t>
  </si>
  <si>
    <t>Narasimhan M.</t>
  </si>
  <si>
    <t>Communications: GTD Analysis of the Radiation Patterns of a Shaped Subreflector</t>
  </si>
  <si>
    <t>10.1109/TAP.1981.1142662</t>
  </si>
  <si>
    <t>2-s2.0-0019612668</t>
  </si>
  <si>
    <t>['‚ äúnear', '‚ äúfar', 'nonlinear waves', 'linear waves', 'large plasma', 'examined experimentally', 'electronics engineers', 'also relevant', '9 m3']</t>
  </si>
  <si>
    <t>The radiation of ion acoustic solitons launched from a 10-cm X 10-cm metal plate into a large plasma (volume ~0.9 m3) is examined experimentally. It is found that the concept of ‚Äúnear-field‚Äù and ‚Äúfar-field‚Äù effects for linear waves is also relevant for these nonlinear waves. Copyright ¬© 1981 by The Institute of Electrical and Electronics Engineers, Inc.</t>
  </si>
  <si>
    <t>101-103</t>
  </si>
  <si>
    <t>60024324;60024324;60024324;60024324</t>
  </si>
  <si>
    <t>6506324215;7402428186;7404813738;7006243174</t>
  </si>
  <si>
    <t>Khazei, Mehyar;Nelson, Brian;Chan, Chung;Lonngren, Karl</t>
  </si>
  <si>
    <t>Iowa City</t>
  </si>
  <si>
    <t>University of Iowa</t>
  </si>
  <si>
    <t>Khazei M.</t>
  </si>
  <si>
    <t>Radiation Characteristics of lon Acoustic Solitons Launched from an Antenna</t>
  </si>
  <si>
    <t>10.1109/TPS.1981.4317404</t>
  </si>
  <si>
    <t>2-s2.0-0019612671</t>
  </si>
  <si>
    <t>['uat ).', 'simplified expressions', 'present results', 'notch antenna', 'much simpler', 'monopole antennas', 'input impedances', 'geometrical theory', 'g .,', 'finite integrals', 'expressions involve', 'electronics engineers', 'easily calculated', 'dyadic green', 'digital computer', 'conducting half', 'asymptotic theories']</t>
  </si>
  <si>
    <t>Simple analytical expressions of the dyadic Green's function for a conducting half-sheet have been derived. These expressions involve some finite integrals which can be easily calculated by a digital computer and are much simpler than those involving the vector mode function expansion. Input impedances of monopole antennas on and near an edge of a conducting half-sheet and the impedance of a notch antenna have been obtained, and the usefulness of these simplified expressions has been proved. The present results can be applied to check the limits of the applicability of the asymptotic theories, e.g., the geometrical theory of diffraction (GTD) and the uniform asymptotic theory of diffraction (UAT). Copyright ¬© 1981 by The Institute of Electrical and Electronics Engineers, Inc.</t>
  </si>
  <si>
    <t>749-756</t>
  </si>
  <si>
    <t>35598806700;56843454200;7004205007</t>
  </si>
  <si>
    <t>Sawaya, Kunio;Ishizone, Takayuki;Mushiake, Yasuto</t>
  </si>
  <si>
    <t>Sawaya K.</t>
  </si>
  <si>
    <t>A Simplified Expression of the Dyadic Green's Function for a Conducting Half-Sheet</t>
  </si>
  <si>
    <t>10.1109/TAP.1981.1142659</t>
  </si>
  <si>
    <t>2-s2.0-0019612894</t>
  </si>
  <si>
    <t>['wedge structure', 'thereby extending', 'sided pyramid', 'second used', 'original gtd', 'moment method', 'mm work', 'mm technique', 'latter method', 'incidence angles', 'improved formulation', 'gtd ).', 'geometrical theory', 'first use', 'experimental measurements', 'electronics engineers', 'dimensional geometry', 'diffracted current', 'bistatic scattering']</t>
  </si>
  <si>
    <t>In 1975 two techniques were published that combined the method of moments (MM) and the geometrical theory of diffraction (GTD). One technique extended the moment method through the use of the GTD while the second used the moment method to solve for unknown diffraction coefficients, thereby extending the use of the GTD. It is the latter method that is considered in this paper and is referred to as the GTD-MM technique. One problem area that existed with the original GTD-MM work was associated with a field incident along or nearly along one wall of a wedge structure. An improved series representation for the diffracted current that is sufficient at all incidence angles is shown. The improved formulation is then applied to the problem of bistatic scattering by a three-sided pyramid. Radar cross section (RCS) results that compare very well with experimental measurements are obtained. This is believed to be the first use of the GTD-MM technique in treating a three-dimensional geometry. Copyright ¬© 1981 by The Institute of Electrical and Electronics Engineers, Inc.</t>
  </si>
  <si>
    <t>780-786</t>
  </si>
  <si>
    <t>60030988;60008609</t>
  </si>
  <si>
    <t>7005683394;7102201391</t>
  </si>
  <si>
    <t>Sahalos, John N.;Thiele, Gary A.</t>
  </si>
  <si>
    <t>Greece;United States</t>
  </si>
  <si>
    <t>Komotini;Dayton</t>
  </si>
  <si>
    <t>Democritus University of Thrace;University of Dayton</t>
  </si>
  <si>
    <t>Sahalos J.</t>
  </si>
  <si>
    <t>On the Application of the GTD-MM Technique and its Limitations</t>
  </si>
  <si>
    <t>10.1109/TAP.1981.1142667</t>
  </si>
  <si>
    <t>2-s2.0-0019612895</t>
  </si>
  <si>
    <t>['wave antennas', 'sidelobe levels', 'proper range', 'perturbations along', 'intrusion upon', 'grating lobe', 'frequency scanning', 'frequency scannable', 'far field', 'experimental results', 'electronics engineers', 'antennas made', '5 ghz']</t>
  </si>
  <si>
    <t>Dielectric rod leaky-wave antennas have the property of being frequency scannable. Bounds are derived for the proper range of spacing of perturbations along the rod to avoid an intrusion upon a grating lobe when frequency scanning. In addition some experimental results are reported on sidelobe levels and polarizations in the far field for these antennas made from a material with er = 2.33 at 81.5 GHz. Copyright ¬© 1981 by The Institute of Electrical and Electronics Engineers, Inc.</t>
  </si>
  <si>
    <t>822-824</t>
  </si>
  <si>
    <t>;60000745;60000745;60000745</t>
  </si>
  <si>
    <t>56771630400;7005258209;55197051100;57214048600</t>
  </si>
  <si>
    <t>Kobayashi, Satoshi;Lampe, Ross;Mittra, Raj;Ray, Scott</t>
  </si>
  <si>
    <t>Kobayashi S.</t>
  </si>
  <si>
    <t>Dielectric Rod Leaky-Wave Antennas for Millimeter-Wave Applications</t>
  </si>
  <si>
    <t>10.1109/TAP.1981.1142669</t>
  </si>
  <si>
    <t>2-s2.0-0019613106</t>
  </si>
  <si>
    <t>['without interference', 'wiley company', 'suppression ratio', 'results show', 'paper presents', 'outdoor situations', 'maintained equal', 'interference canceller', 'inc .,', 'error voltage', 'envelope detection', 'desired signals', 'circuit presented', 'auxilary antenna', 'achieved regardless', '50 mhz', '40 db']</t>
  </si>
  <si>
    <t>This paper presents an interference cancellation circuit based on a side‚Äêlobe canceller. A new interference canceller is investigated in which the receiving interference signal of the auxilary antenna is modulated by a low‚Äêfrequency signal. When this signal is combined with the main antenna receiving signal, envelope detection is used and the error voltage of the interference canceller will be obtained from the detection of the low‚Äêfrequency signal and the phase. The interference cancellation effect is measured. The results show that above suppression ratio above 40 dB over a band‚Äêwith of 50 MHz can be achieved regardless of whether the signal is CW, FM or PSK or the undesired and desired signals are co‚Äêchannel signals. For a PSK signal even with D/U = ‚àí10 dB prior to cancellation, the bit error rate after cancellation can still be maintained equal to that without interference at all. Also a good suppression ratio can even be achieved in outdoor situations and the circuit presented here has obvious practical value. Copyright ¬© 1981 Wiley Periodicals, Inc., A Wiley Company</t>
  </si>
  <si>
    <t>47-54</t>
  </si>
  <si>
    <t>116315048;116315048</t>
  </si>
  <si>
    <t>6602715313;7501389649</t>
  </si>
  <si>
    <t>Kaitsuka, Toshiyuki;Inoue, Takeo</t>
  </si>
  <si>
    <t>Yokosuka</t>
  </si>
  <si>
    <t>Yokosuka Electrical Communication Lab</t>
  </si>
  <si>
    <t>Kaitsuka T.</t>
  </si>
  <si>
    <t>Design and performance of interference cancellation circuit</t>
  </si>
  <si>
    <t>10.1002/ecja.4410640907</t>
  </si>
  <si>
    <t>2-s2.0-0019613169</t>
  </si>
  <si>
    <t>['total agreement', 'specular points', 'specular point', 'random surface', 'proper result', 'principal radii', 'previous error', 'electronics engineers', 'derived using', 'correct expression', 'average value', 'answers obtained']</t>
  </si>
  <si>
    <t>The expression for the average scattering cross section for a random surface is derived using the stationary phase approximation for the scattered field due to specular points on a finitely conducting rough surface. A previous error in the literature is corrected by showing that the proper result is proportional to the average value of the product of the number of specular points per unit area and the principal radii of curvature at the specular point, rather than the product of the average value of the number of specular points and the average value of the radii of curvature. When the correct expression for the average value of the product is inserted in the expression for the scattering cross section, the result is in total agreement with the answers obtained when the averaging and stationary phase processes are interchanged. This analysis explicitly accounts for shadowing. Copyright ¬© 1981 by The Institute of Electrical and Electronics Engineers, Inc.</t>
  </si>
  <si>
    <t>798-800</t>
  </si>
  <si>
    <t>60027716;60026306</t>
  </si>
  <si>
    <t>7005431123;7102555049</t>
  </si>
  <si>
    <t>Barrick, D. E.;Bahar, E.</t>
  </si>
  <si>
    <t>Washington, D.C.;Lincoln</t>
  </si>
  <si>
    <t>National Oceanic and Atmospheric Administration;University of Nebraska‚ÄìLincoln</t>
  </si>
  <si>
    <t>Barrick D.E.</t>
  </si>
  <si>
    <t>Rough Surface Scattering Using Specular Point Theory</t>
  </si>
  <si>
    <t>10.1109/TAP.1981.1142653</t>
  </si>
  <si>
    <t>2-s2.0-0019613241</t>
  </si>
  <si>
    <t>['typical array', 'radiating current', 'mutual impedance', 'mutual coupling', 'microstrip dipoles', 'input data', 'functional representations', 'electronics engineers']</t>
  </si>
  <si>
    <t>Experiments are described from which determination can be made of the self and mutual impedance for microstrip dipoles and of the backscattering relation involving the radiating current. Functional representations of these sources of input data then permits the design of planar microstrip dipole arrays, including the effects of mutual coupling. The design, construction, and performance of a typical array are described. Agreement between theory and experiment is good. Copyright ¬© 1981 by The Institute of Electrical and Electronics Engineers, Inc.</t>
  </si>
  <si>
    <t>761-765</t>
  </si>
  <si>
    <t>60005304;60027550-60005304</t>
  </si>
  <si>
    <t>7101778980;57220065537</t>
  </si>
  <si>
    <t>Stern, George J.;Elliott, Robert S.</t>
  </si>
  <si>
    <t>Stern G.J.</t>
  </si>
  <si>
    <t>The Design of Microstrip Dipole Arrays Including Mutual Coupling, Part II: Experiment</t>
  </si>
  <si>
    <t>10.1109/TAP.1981.1142650</t>
  </si>
  <si>
    <t>2-s2.0-0019614295</t>
  </si>
  <si>
    <t>['theoretical values', 'sometimes located', 'receiving loops', 'radio receiver', 'obtain magnetic', 'measured values', 'loop spacings', 'loop spacing', 'loop radii', 'infinite series', 'finite series', 'field strength', 'errors due', 'electronics engineers', 'applicable regions', '60 cm', '30 mhz', '1 db']</t>
  </si>
  <si>
    <t>A near-zone magnetic field generated by a small transmitting loop antenna has been used for the calibration of a radio receiver and a field intensity meter. In the calibration, the transmitting and receiving loops are sometimes located in a coplane with each other. In such a case, a theory to obtain magnetic-field strength is derived by using an infinite series. The errors due to treating the infinite series as a finite series and due to simplifying frequency terms are estimated. The applicable regions of the theory are shown as functions of loop spacing, loop radii, and wavelength. The differences between theoretical values and measured values were within ¬±0.1 dB at loop spacings of 25 to 60 cm for frequencies from 10 to 30 MHz. Copyright ¬© 1981 by The Institute of Electrical and Electronics Engineers, Inc.</t>
  </si>
  <si>
    <t>206-209</t>
  </si>
  <si>
    <t>IM-30</t>
  </si>
  <si>
    <t>IEEE Transactions on Instrumentation and Measurement</t>
  </si>
  <si>
    <t>60025141;60025141;60031701</t>
  </si>
  <si>
    <t>14320555700;7102497816;35576883400</t>
  </si>
  <si>
    <t>Nakane, Hiroshi;Omori, Shunichi;Yokoshima, Ichiro</t>
  </si>
  <si>
    <t>Tsukuba;Tokyo</t>
  </si>
  <si>
    <t>Electrotechnical Laboratory;Tokyo University of Science</t>
  </si>
  <si>
    <t>60031701;60025141</t>
  </si>
  <si>
    <t>Nakane H.</t>
  </si>
  <si>
    <t>Studies of Magnetic Field for Transmitting and Receiving Loop Antenna Placed in a Coplane</t>
  </si>
  <si>
    <t>10.1109/TIM.1981.6312379</t>
  </si>
  <si>
    <t>2-s2.0-0019620801</t>
  </si>
  <si>
    <t>['‚ äòlogic', '¬© 1981', 'unwanted signals', 'uncertainties regarding', 'technique referred', 'specifically drawn', 'space domains', 'significantly increased', 'signal power', 'rights reserved', 'receive antennas', 'potential advantages', 'polarisation state', 'interference field', 'electrical engineers', 'backscatter field', 'average unwanted', 'average target']</t>
  </si>
  <si>
    <t>Filters | Interference | Radar</t>
  </si>
  <si>
    <t>The ratio of the average target-signal power to the average unwanted-signal power at the input of a radar detection receiver can be significantly increased by applying the method of clutter/interference suppression described in the paper. The polarisation state of the emissions, the object-backscatter field, and the interference field are all taken into account in a technique referred to as ‚Äòvirtual adaptation‚Äô of the polarisation state of the transmit and receive antennas. This technique can be used to complement filtering techniques in the frequency and space domains. Attention is specifically drawn to the potential advantages of multinotch polarisation suppression filters of the ‚Äòlogic-product‚Äô type, which might have applications in cases where there are uncertainties regarding the polarisation state of unwanted signals that are to be suppressed. ¬© 1981, The Institution of Electrical Engineers. All rights reserved.</t>
  </si>
  <si>
    <t>261-270</t>
  </si>
  <si>
    <t>Poelman, A. J.</t>
  </si>
  <si>
    <t>The Hague</t>
  </si>
  <si>
    <t>NATO Consultation, Command and Control Agency</t>
  </si>
  <si>
    <t>Poelman A.</t>
  </si>
  <si>
    <t>Virtual polarisation adaptation A method of increasing the detection capability of a radar system through polarisation-vector processing</t>
  </si>
  <si>
    <t>10.1049/ip-f-1.1981.0044</t>
  </si>
  <si>
    <t>2-s2.0-0019622080</t>
  </si>
  <si>
    <t>['time span', 'several satellites', 'schemes based', 'recent launching', 'receiving terminals', 'radio interferometry', 'one terminal', 'observations made', 'multipath interference', 'gps transmissions', 'gps ),', 'five minutes', 'electronics engineers', 'cycle ambiguities', 'correctly resolved', 'coherent integration', 'cm wavelength', 'ambiguity resolution']</t>
  </si>
  <si>
    <t>With the recent launching of several satellites of the global positioning system (GPS), a variety of schemes based on radio interferometry have been proposed for the accurate determination ofrelative positions of receiving terminals on the ground. Provided that the integer-cycle ambiguities of the interferometric phase observations can be correctly resolved, the baseline vector extending from the antenna of one terminal to that of another should be determinable with uncertainty much smaller than the 19-cm wavelength of the GPS transmissions. We propose a method of ambiguity resolution that is suitable for observations made with antennas of low directive gain. Such antennas are compact, but the feasibility of their use has been questioned because observations with them are susceptible to multipath interference. For short-baseline interferometric observations of GPS our method yields correct ambiguity resolution despite severe multipath interference and significant sky blockage, even when instability of the frequency standards governing the separate receiving terminals limits the time span of coherent integration to five minutes. Copyright ¬© 1981 by The Institute of Electrical and Electronics Engineers, Inc.</t>
  </si>
  <si>
    <t>244-252</t>
  </si>
  <si>
    <t>6603733469;6603181080</t>
  </si>
  <si>
    <t>Counselman, Charles C.;Gourevitch, Sergei A.</t>
  </si>
  <si>
    <t>Counselman C.</t>
  </si>
  <si>
    <t>Miniature Interferometer Terminals for Earth Surveying: Ambiguity and Multipath with Global Positioning System</t>
  </si>
  <si>
    <t>10.1109/TGRS.1981.350379</t>
  </si>
  <si>
    <t>2-s2.0-0019623274</t>
  </si>
  <si>
    <t>['wave region', 'numerical algorithm', 'normal waves', 'natural oscillations', 'integral equations']</t>
  </si>
  <si>
    <t>The properties of the spectrum of normal waves of slotted transmission lines are investigated. The results of the realization of a numerical algorithm on the basis of the method of integral equations are given. A representation for the eigen-values in the long-wave region is constructed. The natural oscillations are classified.</t>
  </si>
  <si>
    <t>37-45</t>
  </si>
  <si>
    <t>Radio Engineering and Electronic Physics (English translation of Radiotekhnika i Elektronika)</t>
  </si>
  <si>
    <t>Oct</t>
  </si>
  <si>
    <t>57096791300;57207601052</t>
  </si>
  <si>
    <t>Il'inskii, A. S.;Shestopalov, Yu V.</t>
  </si>
  <si>
    <t>Il'inskii A.</t>
  </si>
  <si>
    <t>SPECTRUM OF NORMAL WAVES OF SLOTTED TRANSMISSION LINES.</t>
  </si>
  <si>
    <t>2-s2.0-0019624554</t>
  </si>
  <si>
    <t>['¬© 1981', 'space diversity', 'shadow fading', 'rayleigh fading', 'one end', 'mobile unit', 'intercell interference', 'effective weapon', 'communication link', 'base station', 'adaptive processing', '32 kb']</t>
  </si>
  <si>
    <t>Space diversity (adaptive phased‚Äêarray antennas) is an effective weapon against the cochannel interference encountered in cellular mobile radio systems. High‚Äêorder diversity, and hence, strong interference suppression, can be achieved with modest hardware complexity by using time‚Äêdivision retransmission. With this technique, which is especially well‚Äêsuited to digital modulation methods, the adaptive signal processing required for space diversity can be performed at just one end of the communication link, namely, the base station. At the other end (the mobile unit) only a single‚Äêelement antenna is needed. Moreover, the use of coherent phase‚Äêshift keying in such a system allows simple RF circuity, because the adaptive processing is done at baseband. In the context of cellular mobile radio, the combination of space diversity, time‚Äêdivision retransmission and 120‚Äêdegree corner illumination of each cell can yield a reliable communication channel even in the presence of intercell interference, Rayleigh fading (both flat and frequency‚Äêselective), and shadow fading. The use of these techniques allows approximately 130 two‚Äêway channels per cell (at 32 kb/s each) to be accommodated in the 40‚ÄêMHz bandwidth of the 850‚ÄêMHz mobile radio band. ¬© 1981 The Bell System Technical Journal</t>
  </si>
  <si>
    <t>1891-1904</t>
  </si>
  <si>
    <t>7401570561;7005967210</t>
  </si>
  <si>
    <t>Henry, P. S.;Glance, B. S.</t>
  </si>
  <si>
    <t>Henry P.</t>
  </si>
  <si>
    <t>A New Approach to High‚ÄêCapacity Digital Mobile Radio</t>
  </si>
  <si>
    <t>10.1002/j.1538-7305.1981.tb00301.x</t>
  </si>
  <si>
    <t>2-s2.0-0019625181</t>
  </si>
  <si>
    <t>273-274</t>
  </si>
  <si>
    <t>Medicine, Science and the Law</t>
  </si>
  <si>
    <t>Tripathi, R. S.</t>
  </si>
  <si>
    <t>New Delhi</t>
  </si>
  <si>
    <t>Ministry of Home Affairs</t>
  </si>
  <si>
    <t>Tripathi R.</t>
  </si>
  <si>
    <t>Identification of Cut-Compression Marks on Central Conductors of Radar Antenna</t>
  </si>
  <si>
    <t>10.1177/002580248102100405</t>
  </si>
  <si>
    <t>2-s2.0-0019631171</t>
  </si>
  <si>
    <t>['‚ àí1p', 'odd antennas', 'new algorithms', 'electronics engineers', ')‚ äì']</t>
  </si>
  <si>
    <t>New algorithms (I)‚Äì(VI) which ‚Äúgenerate faster and solve at a lower cost‚Äù Dolph-Chebyshev array system equations [1] in the matrical forms AI = P for an array of odd antennas and BI¬∞= Q, for even elements array with the respective excitation coefficients I = A‚àí1P and I¬∞= B‚àí1Q are proposed. Copyright ¬© 1981 The Institute of Electrical and Electronics Engineers, Inc.</t>
  </si>
  <si>
    <t>1508-1509</t>
  </si>
  <si>
    <t>60006896;60005941</t>
  </si>
  <si>
    <t>57198008970;7003323287</t>
  </si>
  <si>
    <t>Balakrishnan, N.;Sethuraman, R.</t>
  </si>
  <si>
    <t>India;India</t>
  </si>
  <si>
    <t>Bengaluru;Chennai</t>
  </si>
  <si>
    <t>Indian Telephone Industries Ltd;Madras Institute of Technology</t>
  </si>
  <si>
    <t>Balakrishnan N.</t>
  </si>
  <si>
    <t>Easy Generation of Dolph-chebyshev Excitation Coefficients</t>
  </si>
  <si>
    <t>10.1109/PROC.1981.12187</t>
  </si>
  <si>
    <t>2-s2.0-0019632856</t>
  </si>
  <si>
    <t>['transient response', 'time domain', 'several examples', 'scatterer loaded', 'numerical technique', 'numerical approach', 'nodal analysis', 'finite number', 'electromagnetic formulation']</t>
  </si>
  <si>
    <t>A numerical technique is presented that is capable of calculating the transient response of a thin‚Äêwire antenna or scatterer loaded by a network. The electromagnetic formulation is an adaptation of a well‚Äêvalidated and widely used code. This code is based on an electric field integral equation and employs point matching and nine‚Äêpoint Lagrangian interpolation functions. The network is treated by a nodal analysis and can contain a finite number of lumped and possibly nonlinear elements. The formulation is cast in the time domain, and the solution is obtained by a time‚Äêstepping procedure. The numerical approach is outlined, and the responses of several examples are presented. This paper is not subject to U.S. copyright. Published in 1981 by the American Geophysical Union.</t>
  </si>
  <si>
    <t>1241-1247</t>
  </si>
  <si>
    <t>Network loading of thin‚Äêwire antennas and scatterers in the time domain</t>
  </si>
  <si>
    <t>10.1029/RS016i006p01241</t>
  </si>
  <si>
    <t>2-s2.0-0019632962</t>
  </si>
  <si>
    <t>['system design', 'satellite link', 'receiving figure', 'performed using', 'operational results', 'experimental purposes', 'elliptical beam', 'electronics engineers', 'earth station', 'cs ).', 'bit rate', '6 db', '20 mbit', '1 dbw']</t>
  </si>
  <si>
    <t>The system design and operational results of a 30/20 GHz band small Earth station for integrated services satellite digital network (ISSDN) experiments are presented. The Earth station has a high efficiency offset Cassegrain antenna with elliptical beam, a high power klystron amplifier with 1 kW output power and an uncooled parametric low noise amplifier with 200 K noise temperature. Experiments were performed using the medium capacity communications satellite for experimental purposes (CS). Performance on the Earth station was high. Effective radiation power (ERP) was greater than 88.1 dBW, and the receiving figure of merit (G/T) was larger than 30.6 dB/K. Good transmission characteristics were obtained through the satellite link for demand assigned time-division multiple access (DA-TDMA) with 20 Mbit/s bit rate. Copyright ¬© 1981 by The Institute of Electrical and Electronics Engineers, Inc.</t>
  </si>
  <si>
    <t>757-765</t>
  </si>
  <si>
    <t>60025555;60025555;60025555</t>
  </si>
  <si>
    <t>7501389649;55476969600;35564404500</t>
  </si>
  <si>
    <t>Inoue, T.;Saito, T.;Kagoshima, K.</t>
  </si>
  <si>
    <t>30/20 GHz Band Small Earth Station for ISSDN Experiment</t>
  </si>
  <si>
    <t>10.1109/TAES.1981.309126</t>
  </si>
  <si>
    <t>2-s2.0-0019633213</t>
  </si>
  <si>
    <t>['¬© 1981', 'various sizes', 'usually possible', 'usually better', 'transmitter power', 'tracking equipment', 'total investment', 'theory suitable', 'terrestrial interfaces', 'telling systematically', 'systems operation', 'system planning', 'system performance', 'specific data', 'specific cases', 'simplified versions', 'second category', 'satellite power', 'revenue requirements', 'return appropriate', 'replacement schedules', 'regulated industries', 'regression analyses', 'procedure results', 'principal items', 'present valued', 'present value', 'particular situation', 'particular equipment', 'parameters determine', 'overall costs', 'original ideas', 'one starts', 'one hand', 'one goes', 'one arrives', 'often desirable', 'new system', 'methods presented', 'long period', 'information rate', 'individual tariffs', 'gross parameters', 'geographical information', 'formulae based', 'first section', 'engineering economics', 'earth stations', 'design lifetime', 'critical parameters', 'coverage area', 'costing problems', 'approximate method', 'antenna size', 'annual expense', 'annual costs', 'also discussed']</t>
  </si>
  <si>
    <t>This paper is partly a tutorial, telling systematically how one goes about calculating the total annual costs of a satellite communications system, and partly the expression of some original ideas on the choice of parameters so as to minimize these costs. The calculation of costs can be divided into two broad categories. The first is technical and is concerned with estimating what particular equipment will cost and what will be the annual expense to maintain and operate it. One starts in the estimation of any new system by listing the principal items of equipment, such as satellites, earth stations of various sizes and functions, telemetry and tracking equipment and terrestrial interfaces, and then estimating how much each item will cost. Methods are presented for generating such estimates, based on a knowledge of the gross parameters, such as antenna size, coverage area, transmitter power and information rate. These parameters determine the system performance and it is usually possible, knowing them, to estimate the costs of the equipment rather well. Some formulae based on regression analyses are presented. Methods are then given for estimating closely related expenses, such as maintenance and operation, and then an approximate method is developed for estimating terrestrial interconnection costs. It is pointed out that in specific cases when tariff and geographical information are available, it is usually better to work with specific data, but nonetheless it is often desirable, especially in global system estimating, to approximate these interconnect costs without recourse to individual tariffs. The procedure results in a set of costs for the purchase of equipment and its maintenance, and a schedule of payments. Some payments will be incurred during the manufacture of the satellite and before any systems operation, but many will not be incurred until the system is no longer in use, e.g. incentives. In any case, with the methods presented in the first section, one arrives at a schedule of costs and payments for all the items and the years in which they will be incurred. The second category of costing problems is one of financing or engineering economics. All the costs are first "present valued" to some reference period using rates of return appropriate to the particular situation. One finally arrives at sets of annual costs which can be used as the basis for setting lease costs or revenue requirements and tariffs. The correspondence between methods using discounted rates of return and capital recovery formulae on one hand and those using various depreciation schedules, such as is typical of regulated industries on the other hand, is discussed. The remainder of the paper is devoted to discussing the relationship between critical parameters, such as replacement schedules, design lifetime, satellite power and Earth station antenna size, and the overall costs. It is shown that optima for these parameters may exist and can be calculated. In particular, the optimization of satellite replacement schedules to minimize the present value of total investment over a very long period is presented, along with simplified versions of the theory suitable for system planning. The choice of EIRP is also discussed and a procedure for choosing the value that minimizes the costs is shown. ¬© 1981.</t>
  </si>
  <si>
    <t>1321-1341</t>
  </si>
  <si>
    <t>November 1981/December 1981</t>
  </si>
  <si>
    <t>Pritchard, Wilbur L.</t>
  </si>
  <si>
    <t>Bethesda</t>
  </si>
  <si>
    <t>Satellite Engineering Research Corporation</t>
  </si>
  <si>
    <t>Pritchard W.</t>
  </si>
  <si>
    <t>Economics of satellite communications systems</t>
  </si>
  <si>
    <t>0094-5765(81)90127-2</t>
  </si>
  <si>
    <t>10.1016/0094-5765(81)90127-2</t>
  </si>
  <si>
    <t>2-s2.0-0019633601</t>
  </si>
  <si>
    <t>['pulse width', 'noise decreases', 'noise bursts', 'moved away', 'monitoring antenna', 'interval distributions', 'higher frequencies', 'electronics engineers', 'directly beneath', 'amplitude probabilitydistribution', '480 mhz']</t>
  </si>
  <si>
    <t>EHV transmission lines | Electromagnetic noise | statistics | UHF | VHF</t>
  </si>
  <si>
    <t>The impulsive noise caused by a 275-kV transmission line has been measured at 80, 150, and 480 MHz and the results are presented inthe form of graphs of the amplitude probabilitydistribution (APD), average level crossing rate, and pulse width (PWD) and pulse-interval distributions (PID‚Äòs). It is concluded that the noise decreases as the monitoring frequency increases and as the monitoring antenna is moved away from directly beneath the line. The character of the noise also changes, noise bursts being much less apparent at higher frequencies. Copyright ¬© 1981 by The Institute of Electrical and Electronics Engineers, Inc.</t>
  </si>
  <si>
    <t>412-419</t>
  </si>
  <si>
    <t>60072597;60019702</t>
  </si>
  <si>
    <t>57218945302;7402708406</t>
  </si>
  <si>
    <t>Sheikh, A. U.H.;Parsons, J. D.</t>
  </si>
  <si>
    <t>Libyan Arab Jamahiriya;United Kingdom</t>
  </si>
  <si>
    <t>Benghazi;Birmingham</t>
  </si>
  <si>
    <t>University of Benghazi;University of Birmingham</t>
  </si>
  <si>
    <t>Sheikh A.U.H.</t>
  </si>
  <si>
    <t>Statistics of Electromagnetic Noise Due to High-Voltage Power Lines</t>
  </si>
  <si>
    <t>10.1109/TEMC.1981.303983</t>
  </si>
  <si>
    <t>2-s2.0-0019633736</t>
  </si>
  <si>
    <t>['widely used', 'theoretically predicted', 'theoretical section', 'satisfactory accuracy', 'radiated power', 'particularly simple', 'magnetic fields', 'low levels', 'less ).', 'intensity squared', 'immediate vicinity', 'human exposure', 'far field', 'expressed strictly', 'experimentally verified', 'experimental section', 'experimental evaluation', 'essentially theoretical', 'em fields', 'electronics engineers', 'electromagnetic fields', 'dipole antennas', 'cylindrical waves', 'correct evaluation', 'close proximity', 'close distances', 'asymptotic expressions', '1 mw']</t>
  </si>
  <si>
    <t>The theoretical and experimental evaluation of the electromagnetic fields in the immediate vicinity of resonant dipole antennas is presented. This type of antenna is widely used with portable and mobile radio transmitters. The work presented herein has been motivated by the concern that future Radio Frequency Protection Guides with respect to human exposure to nonionizing electromagnetic radiation might be expressed strictly in terms of the intensity squared of the electric or magnetic fields. It is shown in the results that it is possible to detect relatively high intensity electromagnetic(EM)Fields in close proximity to resonant dipoles even for very low levels of radiated power (1 mW and less). The paper is divided into a theoretical section and an experimental section because its goals are twofold. First, the formulas for the correct evaluation of the EM fields in the close proximity to dipole antennas are established. Second, it is shown that such EM fields, which can be theoretically predicted and experimentally verified with satisfactory accuracy, are indeed strong enough to violate proposed Radio Frequency Protection Guides even for very low levels of radiated power. Thus portable radios are rendered virtually useless, although the same guides permit exposures to much higher levels of power in the far field. Part I of the paper is essentially theoretical and expresses the fields near dipole antennas in terms of cylindrical waves, which lend themselves to closed form integration. The asymptotic expressions of some components of the field are particularly simple for close distances (in terms of wavelength) from the antenna. The correctness of the solution is checked by evaluating how closely boundary conditions are satisfied. Results have shown that previously used formulas for evaluating field intensity very near dipole antennas can give incorrect values. Copyright ¬© 1981 by The Institute of Electrical and Electronics Engineers, Inc.</t>
  </si>
  <si>
    <t>161-174</t>
  </si>
  <si>
    <t>60024590;60024590;60024590</t>
  </si>
  <si>
    <t>56796701300;6701635946;6603619174</t>
  </si>
  <si>
    <t>Balzan, Quirino;Garay, Oscar;Siwiak, Kazimierz</t>
  </si>
  <si>
    <t>Schaumburg</t>
  </si>
  <si>
    <t>Motorola</t>
  </si>
  <si>
    <t>Balzan Q.</t>
  </si>
  <si>
    <t>The Near Field of Dipole Antennas, Part I: Theory</t>
  </si>
  <si>
    <t>10.1109/T-VT.1981.23901</t>
  </si>
  <si>
    <t>2-s2.0-0019634134</t>
  </si>
  <si>
    <t>['¬£- field', 'thin dipoles', 'theory developed', 'practical limitation', 'one hundredth', 'experimental program', 'experimental measure', 'electronics engineers', 'dipole less', 'dipole antenna', 'available instruments', 'antenna surface']</t>
  </si>
  <si>
    <t>The results of an experimental program to evaluate the electric field near dipole antennas are presented. The measured field intensities are compared with the numerical values computed using the theory developed in Part I of this paper. The theoretical and measured field intensities are in excellent correlation even for observation points spaced from the axis of the dipole less than one hundredth of a wavelength. For thin dipoles (radius ‚Äî. 002Œª) the experimental measure of the ¬£-field at the antenna surface or at one antenna radius distance has not been possible because of the practical limitation of available instruments. The experimental and theoretical results show that the field intensities near some parts of a dipole antenna are higher than predicted by commonly used formulas. Copyright ¬© 1981 by The Institute of Electrical and Electronics Engineers, Inc.</t>
  </si>
  <si>
    <t>175-181</t>
  </si>
  <si>
    <t>7004723242;6701635946;6603619174</t>
  </si>
  <si>
    <t>Balzano, Quirino;Garay, Oscar;Siwiak, Kazimierz</t>
  </si>
  <si>
    <t>Balzano Q.</t>
  </si>
  <si>
    <t>The Near Field of Dipole Antennas, Part II: Experimental Results</t>
  </si>
  <si>
    <t>10.1109/T-VT.1981.23902</t>
  </si>
  <si>
    <t>2-s2.0-0019634135</t>
  </si>
  <si>
    <t>['¬© 1981', 'theoretical method', 'geometrical theory']</t>
  </si>
  <si>
    <t>In this paper we describe experiments performed on single and double aperture diffracting structures which confirm the antenna pattern predictions of a theoretical method, outlined in a companion paper based on the Geometrical Theory of Diffraction (GTD).(1). ¬© 1981.</t>
  </si>
  <si>
    <t>363-368</t>
  </si>
  <si>
    <t>Infrared Physics</t>
  </si>
  <si>
    <t>60004762;60024353</t>
  </si>
  <si>
    <t>24774286000;8986831200</t>
  </si>
  <si>
    <t>Duncan, W. D.;Fonti, S.</t>
  </si>
  <si>
    <t>Italy;United Kingdom</t>
  </si>
  <si>
    <t>Lecce;Warrington</t>
  </si>
  <si>
    <t>Universita del Salento;Daresbury Laboratory</t>
  </si>
  <si>
    <t>60024353;60004762</t>
  </si>
  <si>
    <t>Duncan W.</t>
  </si>
  <si>
    <t>Use of cascaded apertures to reduce far-infrared diffraction problems-Part II. Experimental confirmation of Geometrical Diffraction Theory computations</t>
  </si>
  <si>
    <t>10.1016/0020-0891(81)90044-0</t>
  </si>
  <si>
    <t>2-s2.0-0019634213</t>
  </si>
  <si>
    <t>['useful tool', 'transmission line', 'theoretical results', 'theoretical analyses', 'simple formulas', 'resistive line', 'probe consists', 'pass filtering', 'pass filter', 'monitoring instrumentation', 'modulated signals', 'microwave frequencies', 'limitation imposed', 'incident signal', 'incident field', 'high radio', 'good agreement', 'electronics engineers', 'electric field', 'direct reception', 'diode across', 'detection process', 'detected signal', 'common design', 'also reduces']</t>
  </si>
  <si>
    <t>The miniature dipole probe is a useful tool for measuring the electric field at high radio and microwave frequencies. A common design for the probe consists of an electrically short dipole antenna with a diode across its terminals; a resistive, parallel-wire transmission line transmits the detected signal from the diode to the monitoring instrumentation. The high resistance per unit length of the transmission line reduces the direct reception of the incident field by the line and also reduces the scattering of the incident field by the line. In addition, the resistive transmission line serves as a low-pass filter in the detection process. In this paper, the effect of the resistive transmission line on the operation of the miniature field probe is analyzed. Specifically, the reception of the incident signal by the transmission line is compared with that of the dipole. The scattering of the incident signal by the transmission line is studied by means of the scattering cross section, and the limitation imposed on the measurement of amplitude-modulated signals by the low-pass filtering by the resistive line is examined. The results of the theoretical analyses are presented as simple formulas which are useful in the design and optimization of the probe. The theoretical results are shown to be in good agreement with measurements. Copyright ¬© 1981 by The Institute of Electrical and Electronics Engineers, Inc.</t>
  </si>
  <si>
    <t>1213-1224</t>
  </si>
  <si>
    <t>Smith, Glenn S.</t>
  </si>
  <si>
    <t>Smith G.</t>
  </si>
  <si>
    <t>Analysis of Miniature Electric Field Probes with Resistive Transmission Lines</t>
  </si>
  <si>
    <t>10.1109/TMTT.1981.1130534</t>
  </si>
  <si>
    <t>2-s2.0-0019634290</t>
  </si>
  <si>
    <t>['¬© 1981', 'two channels', 'true pulse', 'true diversity', 'term measurements', 'temporal changes', 'targets obtained', 'target behaviour', 'selected elevations', 'rights reserved', 'rain clutter', 'radio engineers', 'pulse measurements', 'propagation loss', 'predictions based', 'poor guide', 'mean values', 'longer periods', 'extensive trials24', 'experimental radar', 'equipments operating', '25 illustrations']</t>
  </si>
  <si>
    <t>clutter | Diversity | marine | Radar | Radar interference</t>
  </si>
  <si>
    <t>The performance of surface surveillance radars is complicated by temporal changes of propagation loss, sea and rain clutter and target behaviour. This paper presents short and medium-term statistics using a real time pulse-to-pulse digital analyser operated in conjunction with high dynamic range logarithmic receivers fed from an experimental dual antenna coastal radar. Previous performance predictions18 made for equipments operating in true diversity, themselves supported by extensive trials24 over half minute intervals of observation, are now augmented with true pulse-by-pulse measurements on targets obtained in each common beam dwell time of a true composite dual channel experimental radar. Short-term measurements on sea and rain clutter show that predictions based on average or mean values of sea and rain clutter are a poor guide to true short term variations, but become more accurate over longer periods as found by others.25 Illustrations from p.p.i.s are given of both targets and clutter from the experimental radar, showing the effects of optimum and non-optimum video processing of the output from the two channels and results from a captive target balloon at selected elevations are included. ¬© 1981, The Institution of Electronic and Radio Engineers. All rights reserved.</t>
  </si>
  <si>
    <t>541-552</t>
  </si>
  <si>
    <t>Williams, P. D.L.</t>
  </si>
  <si>
    <t>Guildford</t>
  </si>
  <si>
    <t>University of Surrey</t>
  </si>
  <si>
    <t>Williams P.</t>
  </si>
  <si>
    <t>Results from an experimental dual-band search radar</t>
  </si>
  <si>
    <t>10.1049/ree.1981.0079</t>
  </si>
  <si>
    <t>2-s2.0-0019634439</t>
  </si>
  <si>
    <t>['¬© 1981', 'third program', 'sea path', 'rights reserved', 'reduce 2', 'receiving antennas', 'radio engineers', 'path mode', 'path fading', 'optimum value', 'optimum spacing', 'frequency band', 'destructive interference', 'correct 2', 'appropriate range', 'although consideration', 'also included']</t>
  </si>
  <si>
    <t>Computational methods | diversity | Radio systems</t>
  </si>
  <si>
    <t>Given the requirement for a line-of-sight link operating over a sea path and having established the clearance at the horizon over the appropriate range of k-values using standard procedure, a method is derived for determining the optimum spacing for worst case conditions between receiving antennas where dual space diversity is employed to reduce 2-path fading. The means of calculating the minimum received signal, i.e. the deepest fade possible with destructive interference in the 2-path mode, is also included; as a check on performance if the optimum spacing cannot be realized or where the optimum value is used and the worst case conditions assumed in this determination do not apply in practice. Programs for these calculations are included which run on Tl58 or Tl59 pocket calculators. A third program for the calculation of Fresnel zone numbers (cubic equation solution) is included. The method is valid for any frequency band in which line-of-sight criteria apply and 2-path propagation occurs. Although consideration of the probability of occurrence of any particular propagation mode lies outside the scope of this paper, it is found that the correct 2-path diversity spacing also provides substantial protection in other adverse propagation circumstances. ¬© 1981, The Institution of Electronic and Radio Engineers. All rights reserved.</t>
  </si>
  <si>
    <t>Henk, A. J.</t>
  </si>
  <si>
    <t>Brown &amp; Root (U.K.) Ltd.</t>
  </si>
  <si>
    <t>Henk A.</t>
  </si>
  <si>
    <t>Optimum diversity separation for over-sea line-of-sight radio links</t>
  </si>
  <si>
    <t>10.1049/ree.1981.0082</t>
  </si>
  <si>
    <t>2-s2.0-0019635216</t>
  </si>
  <si>
    <t>['structures represents', 'projection matching', 'obtained using', 'numerically investigated', 'incident upon', 'excitation field', 'electromagnetic waves', 'eigen waves', 'eigen wave', 'array made']</t>
  </si>
  <si>
    <t>The problem of diffraction of electromagnetic waves from the junction of two-dimensional periodic arrays is analyzed in terms of a rigorous electrodynamic formulation. Each of the structures represents an array made of transversely nonuniform semi-infinite dielectric rods. The excitation field is specified in the form of an eigen wave of one of the areas that is incident upon the junction. The solution is obtained using the method of projection matching of the fields in the plane of the junction and is based on the use of a system of eigen waves of the two-dimensional periodic dielectric structure. The convergence of the solutions is numerically investigated.</t>
  </si>
  <si>
    <t>15-21</t>
  </si>
  <si>
    <t>Nov</t>
  </si>
  <si>
    <t>57213898470;6701386575</t>
  </si>
  <si>
    <t>Krekhtunov, V. M.;Tyulin, V. A.</t>
  </si>
  <si>
    <t>Krekhtunov V.</t>
  </si>
  <si>
    <t>DIFFRACTION OF ELECTROMAGNETIC WAVES FROM THE JUNCTION OF TWO-DIMENSIONAL PERIODIC ARRAYS MADE OF DIELECTRIC RODS.</t>
  </si>
  <si>
    <t>2-s2.0-0019635630</t>
  </si>
  <si>
    <t>['rf power', 'outside midplane', 'horizontal polarization', 'frequency power', 'electron heating', '28 ghz', '2 tokamak', '14 ms', '110 kw', '1000 ev', '10 ms']</t>
  </si>
  <si>
    <t>Radio-frequency power of up to 110 kW for 14 ms at 28 GHz is launched in a horizontal polarization from the outside midplane at an angle nearly perpendicular to the 10-kG toroidal field of the JFT-2 tokamak. With initial Ohmic power comparable to the RF power, the central electron temperature increases from 600 to 1000 eV in 10 ms. Details of the electron heating are reported. ¬© 1981 IOP Publishing Ltd.</t>
  </si>
  <si>
    <t>1425-1430</t>
  </si>
  <si>
    <t>60013901;60013901;60015658;60015658;60015658;60015658;60022195;60018020;60025272;60025272</t>
  </si>
  <si>
    <t>57084030000;7006111874;16218767100;55703205600;57209192153;36063470300;7201827948;7006760017;7103172510;7003716258</t>
  </si>
  <si>
    <t>La Ha Ye, R. J.;Moeller, C. P.;Funahashi, A.;Yamamoto, T.;Hoshino, K.;Suzuki, N.;Wolfe, S. M.;Efthimion, P. C.;Toyama, H.;Roh, T.</t>
  </si>
  <si>
    <t>Japan;United States;United States;Japan;United States</t>
  </si>
  <si>
    <t>Tokyo;Cambridge;Princeton;Kashiwa;San Diego</t>
  </si>
  <si>
    <t>The University of Tokyo;Massachusetts Institute of Technology;Princeton Plasma Physics Laboratory;Japan Atomic Energy Agency;General Atomics</t>
  </si>
  <si>
    <t>60025272;60022195;60018020;60015658;60013901</t>
  </si>
  <si>
    <t>La Ha Ye R.J.</t>
  </si>
  <si>
    <t>Electron cyclotron resonant heating with an ordinary-mode antenna in the JFT-2 tokamak</t>
  </si>
  <si>
    <t>10.1088/0029-5515/21/11/006</t>
  </si>
  <si>
    <t>2-s2.0-0019636246</t>
  </si>
  <si>
    <t>['workers interested', 'paper describes', 'microwave hyperthermia', 'method ii', 'lossy media', 'invasive treatment', 'ii ),', 'electronics engineers', 'antenna center', '45 ghz']</t>
  </si>
  <si>
    <t>This paper describes the calculation of energy deposition around small open-ended coaxial antenna probes in lossy media. Two theoretical methods, a small monopole approximation (I) and an equivalent magnetic current source (II), are evaluated and compared. Method I is shown to be inappropriate for determining near field energy deposition. Power contour plots determined by method II in the vicinity of the open-ended coaxial antenna are presented as well as calculations of total power absorbed as a function of distance from the antenna center for various antenna dimensions and media dielectric properties. Our calculations of absorbed power distributions near the antenna are consistent with the limited experimental data which is available for comparison. A frequency of 2.45 GHz was selected for these calculations so that the results will be of value to workers interested in the application of open-ended coaxial antennas for invasive treatment of cancer by microwave hyperthermia. Copyright ¬© 1981 by The Institute of Electrical and Electronics Engineers, Inc.</t>
  </si>
  <si>
    <t>1202-1209</t>
  </si>
  <si>
    <t>100355024-60020304</t>
  </si>
  <si>
    <t>Swicord, Mays L.</t>
  </si>
  <si>
    <t>College Park;Rockville</t>
  </si>
  <si>
    <t>University of Maryland, College Park;Bureau of Radiological Health</t>
  </si>
  <si>
    <t>60020304;100355024</t>
  </si>
  <si>
    <t>Swicord M.L.</t>
  </si>
  <si>
    <t>Energy Absorption from Small Radiating Coaxial Probes in Lossy Media</t>
  </si>
  <si>
    <t>10.1109/TMTT.1981.1130532</t>
  </si>
  <si>
    <t>2-s2.0-0019636491</t>
  </si>
  <si>
    <t>['vertical magnetic', 'similar approximation', 'new term', 'low height', 'input impedances', 'image representations', 'high values', 'excellent agreement', 'electric dipoles', 'dissipative earth', 'copyright 1981', 'continuous distribution']</t>
  </si>
  <si>
    <t>A modified image theory for vertical magnetic and electric dipoles above a dissipative earth is presented. Namely, the Fresnel reflection coefficient for horizontally polarized waves is approximated by an exponential term plus a new term which extends the validity of the approximation to high values of the horizontal wave number. While the exponential term represents a single image inside the earth, the new added term represents a set of continuous distribution of images. A similar approximation is applied to the Fresnel reflection coefficient of the vertically polarized waves. These image representations are applied for the determination of input impedances of vertical magnetic and electric dipoles and horizontal large loops at a very low height above the earth. Excellent agreement with previous exact results is reported in all cases. Copyright 1981 by the American Geophysical Union.</t>
  </si>
  <si>
    <t>1277-1283</t>
  </si>
  <si>
    <t>35581830600;7004541711</t>
  </si>
  <si>
    <t>Mahmoud, Samir F.;Metwally, Ahmed D.</t>
  </si>
  <si>
    <t>Mahmoud S.</t>
  </si>
  <si>
    <t>New image representation for dipoles near a dissipative earth 2. Discrete plus continuous images</t>
  </si>
  <si>
    <t>10.1029/RS016i006p01277</t>
  </si>
  <si>
    <t>2-s2.0-0019636738</t>
  </si>
  <si>
    <t>['uniquely described', 'spinning dipole', 'resulting amplitude', 'real time', 'quadrature phase', 'polarization properties', 'measured simultaneously', 'khz output', 'key feature', 'inverse scattering', 'instantaneous axis', 'insensitive detector', 'field transmitted', 'electronics engineers', 'electrically modulated', 'dipole scatterer', 'detection system', 'cw reference', 'coherently detected', 'backscattered field', 'anisotropic media', '150 hz']</t>
  </si>
  <si>
    <t>A coherent (homodyne) detection system is used to map field distributions in real time. A key feature is the use of an electrically modulated (10-kHz) dipole scatterer which is also mechanically spun (150 Hz) to create an amplitude- and phase-modulated backscattered field. The system is monostatic. The backscattered field is coherently detected by mixing with the CW reference. A phase-insensitive detector is used, comprised of two balanced mixers which are fed in quadrature phase by one of the RF inputs followed by a phase quadrature combiner. The resulting amplitude and phase of the 10-kHz output are proportional to the square of the RF field component along the instantaneous axis of the spinning dipole. Both are measured simultaneously and independently in real time. From these, the polarization properties can also be found, so the field is uniquely described. The system's application to scanning the E-field transmitted through lossy, nonhomogeneous and anisotropic media (e.g., wood) is demonstrated. Other applications besides nondestructive testing are microwave vector holography, near-field antenna measurements, and inverse scattering. Copyright ¬© 1981 by The Institute of Electrical and Electronics Engineers, Inc.</t>
  </si>
  <si>
    <t>1225-1231</t>
  </si>
  <si>
    <t>60032179;60032179</t>
  </si>
  <si>
    <t>22993430300;7101757837</t>
  </si>
  <si>
    <t>King, R. J.;Yen, Y. H.</t>
  </si>
  <si>
    <t>Madison</t>
  </si>
  <si>
    <t>University of Wisconsin-Madison</t>
  </si>
  <si>
    <t>Probing Amplitude, Phase, and Polarization of Microwave Field Distributions in Real Time</t>
  </si>
  <si>
    <t>10.1109/TMTT.1981.1130535</t>
  </si>
  <si>
    <t>2-s2.0-0019636989</t>
  </si>
  <si>
    <t>['two ways', 'single image', 'noticeable improvement', 'multipole sources', 'input impedance', 'image theory', 'good agreement', 'earth dominate', 'displacement currents', 'copyright 1981', 'conduction currents', 'computational results', 'among others']</t>
  </si>
  <si>
    <t>The image theory for dipoles above an imperfectly conducting earth which has been developed by Wait, among others, is used to compute the change in the input impedance of a vertical magnetic dipole (VMD) due to the presence of the earth. Comparison with a previously developed rigorous solution is made and a good agreement is obtained, particularly when the conduction currents in the earth dominate over the displacement currents. Extension of the‚Äêsingle image theory is made in two ways. First, multi‚Äêimages which are spread in space are used to represent the effect of the earth. Second, multipole sources having the same location are used. Both representations have shown a noticeable improvement over the single image in relation to computational results on the input impedance of a VMD. Copyright 1981 by the American Geophysical Union.</t>
  </si>
  <si>
    <t>1271-1275</t>
  </si>
  <si>
    <t>New image representation for dipoles near a dissipative earth 1. Discrete images</t>
  </si>
  <si>
    <t>10.1029/RS016i006p01271</t>
  </si>
  <si>
    <t>2-s2.0-0019637335</t>
  </si>
  <si>
    <t>['tv broadcasting', 'tube cables', 'transmitter systems', 'test adapters', 'telescoping separators', 'shorting links', 'measuring equipment', 'flanging devices', 'fitting connectors', 'antenna splitters']</t>
  </si>
  <si>
    <t>Rohde &amp; Schwarz has developed new coaxial components for transmitter systems, measuring equipment and antennas, especially those for sound and TV broadcasting. The range covers sexless connectors, flanging devices for fitting connectors to corrugated-tube cables, an easy-to-assemble airline system with shorting links, telescoping separators with test adapters and antenna splitters for sound and TV broadcasting.</t>
  </si>
  <si>
    <t>29-31</t>
  </si>
  <si>
    <t>News from Rohde &amp; Schwarz</t>
  </si>
  <si>
    <t>6506087568;6504734185</t>
  </si>
  <si>
    <t>Linckelmann, Georg;Tettinger, Mathias</t>
  </si>
  <si>
    <t>Linckelmann G.</t>
  </si>
  <si>
    <t>NEW COAXIAL COMPONENTS.</t>
  </si>
  <si>
    <t>2-s2.0-0019646248</t>
  </si>
  <si>
    <t>['use wherever', 'transmission networks', 'sweeper system', 'stop filters', 'narrowband items', 'measurable even', 'low reflection', 'item input', 'high attenuation', 'frequency response', 'frequency measurements', 'final inspection', 'design work', 'attenuator pads', 'application ranges', 'antenna amplifiers', 'adjustment purposes', '1000 mhz']</t>
  </si>
  <si>
    <t>The Polyskop SWOB 5, a sweeper system for 0. 1 to 1000 MHz, is ideal for use wherever the frequency response of a test item must be observed over a wide frequency range for checking and adjustment purposes. Its field of application ranges from design work through production to final inspection. The items that are measured are mostly wideband devices such as wideband and antenna amplifiers, mixers, probes, attenuator pads or transmission networks; but swept-frequency measurements are also very useful for narrowband items such as bandpass and band-stop filters, IF amplifiers and tuners. High attenuation and low reflection are measurable even when there is a relatively low voltage at the test-item input.</t>
  </si>
  <si>
    <t>6603041830;7102117594</t>
  </si>
  <si>
    <t>Klier, Reinhard;Kraus, Peter</t>
  </si>
  <si>
    <t>Klier R.</t>
  </si>
  <si>
    <t>SWEEP TESTER FOR 0. 1 TO 1000 MHz WITH IMPORTANT ADDITIONS.</t>
  </si>
  <si>
    <t>2-s2.0-0019648521</t>
  </si>
  <si>
    <t>['would ensure', 'wave fronts', 'simultaneous descrease', 'mutual contradiction', 'minimum number', 'lowest level', 'autocorrelation functions', 'antenna array']</t>
  </si>
  <si>
    <t>The effect of the arrangement of the elements of an antenna array on joint spatial resolution is analyzed in both the direction and the curvature of wave fronts (i. e. , in range) in coherent radar systems. It is shown that there is a mutual contradiction in the requirement of simultaneous descrease in the level of the sidelobes of the autocorrelation functions with respect to direction and range. A trade-off solution is proposed in the arrangement of the elements that would ensure the best spatial resolution capability and the lowest level of the sidelobes (with respect to range and direction) with a minimum number of the elements.</t>
  </si>
  <si>
    <t>111-117</t>
  </si>
  <si>
    <t>Dec</t>
  </si>
  <si>
    <t>7102018982;57191987642</t>
  </si>
  <si>
    <t>Kremer, I. Ya;Petrov, V. M.</t>
  </si>
  <si>
    <t>Kremer I.</t>
  </si>
  <si>
    <t>JOINT SPATIAL RESOLUTION IN RANGE AND DIRECTION IN COHERENT RADAR SYSTEMS.</t>
  </si>
  <si>
    <t>2-s2.0-0019649781</t>
  </si>
  <si>
    <t>['electromechanical kinematic', 'compensating torque', 'basic properties']</t>
  </si>
  <si>
    <t>A generalized dynamic model of a multimotor electric drive is used to consider its basic properties in electromechanical kinematic-play compensation mode. Conditions for selection of the value of compensating torque are indicated. Areas of application are given for electric drives using electromechanical takeup of play.</t>
  </si>
  <si>
    <t>92-96</t>
  </si>
  <si>
    <t>Soviet electrical engineering</t>
  </si>
  <si>
    <t>Terekhov, V. M.</t>
  </si>
  <si>
    <t>Terekhov V.</t>
  </si>
  <si>
    <t>MULTIMOTOR FOLLOW-UP ELECTRIC DRIVES IN KINEMATIC-PLAY COMPENSATION MODE.</t>
  </si>
  <si>
    <t>2-s2.0-0019650120</t>
  </si>
  <si>
    <t>['transient response', 'study investigates', 'simple transmission', 'sharp spike', 'rights reserved', 'main effect', 'incident step', 'general shape', 'difference solution', 'antenna response', 'air breakdown', 'air break']</t>
  </si>
  <si>
    <t>This study investigates the effects of air break-down on the transient response of a monopole antenna excited by an incident step-function plane wave. A simple transmission-line circuit model of the antenna is developed and the response of this model is shown to agree very well with a finite-difference solution of the problem. This model correctly predicts the time when air breakdown occurs, the general shape of the antenna response, and the amplitude of the response to within a factor of two. The main effect of the air breakdown on the antenna response is to inject a sharp spike in the antenna base current waveform. ¬© 1981 IEEE. All rights reserved.</t>
  </si>
  <si>
    <t>4483-4489</t>
  </si>
  <si>
    <t>60099443;60099443</t>
  </si>
  <si>
    <t>7403130465;7003997923</t>
  </si>
  <si>
    <t>Cook, Roger B.;Perala, Rod A.</t>
  </si>
  <si>
    <t>Lakewood</t>
  </si>
  <si>
    <t>Electro Magnetic Applications, Inc.</t>
  </si>
  <si>
    <t>Cook R.</t>
  </si>
  <si>
    <t>Transient nonlinear circuit models of scattering antennas with corona</t>
  </si>
  <si>
    <t>10.1109/TNS.1981.4335751</t>
  </si>
  <si>
    <t>2-s2.0-0019653946</t>
  </si>
  <si>
    <t>['typically less', 'silicon nitride', 'paper describes', 'output vswr', 'noise figure', 'noise broad', 'mim capacitors', 'localized implantation', 'intercept point', 'instrumentation applications', 'flat broad', 'electronics engineers', 'band response', '930 mhz', '6 db', '32 db', '24 db', '17 db', '1400 mhz', '0 db']</t>
  </si>
  <si>
    <t>This paper describes the design, fabrication, and performance of GaAs monolithic low-noise broad-band amplifiers intended for broadcast receiver antenna amplifier, If amplifier, and instrumentation applications. The process technology includes the use of Czochralski-grown semiinsulating substrates, localized implantation of ohmic and FET channel regions, and silicon nitride for passivation and MIM capacitors. The amplifiers employ shunt feedback to obtain input matching and flat broad-band response. One amplifier provides a gain of 24 dB, bandwidth of 930 MHz, and noise figure of 5.0 dB. A second amplifier provides a gain of 17 dB, bandwidth of 1400 MHz, and noise figure of 5.6 dB. Input and output VSWR's are typically less than 2:1 and the third-order intercept points are 28 and 32 dB, respectively. Improved noise figure and intercept point can be achieved by the use of external RF chokes. Copyright ¬© 1981 by The Institute of Electrical and Electronics Engineers, Inc.</t>
  </si>
  <si>
    <t>648-652</t>
  </si>
  <si>
    <t>1558173X</t>
  </si>
  <si>
    <t>IEEE Journal of Solid-State Circuits</t>
  </si>
  <si>
    <t>60028673;60028673;60028673;60028673;60028673</t>
  </si>
  <si>
    <t>7202055093;6701797774;6602859342;6603338800;7401786816</t>
  </si>
  <si>
    <t>Archer, John A.;Weidlich, Herbert P.;Pettenpaul, Ewald;Petz, Felix A.;Huber, Jakob</t>
  </si>
  <si>
    <t>Siemens AG</t>
  </si>
  <si>
    <t>Archer J.</t>
  </si>
  <si>
    <t>A GaAs Monolithic Low-Noise Broad-Band Amplifier</t>
  </si>
  <si>
    <t>10.1109/JSSC.1981.1051657</t>
  </si>
  <si>
    <t>2-s2.0-0019657828</t>
  </si>
  <si>
    <t>['system analysis', 'probable performance', 'power division', 'power distribution', 'paper discusses', 'original tuning', 'limited effect', 'electronics engineers', 'computer analysis', 'associated problem', 'also discussed']</t>
  </si>
  <si>
    <t>Relatively few types of variable power division circuits have been used in medium wave directional antenna feed systems, most of which suffer phase variation as the power division is adjusted. This paper discusses a class of circuits which can be used to implement a phase invariant adjustable power divider. Also discussed are variable phase shifters which have limited effect on power distribution. These features can simplify the original tuning and possible periodic maintenance. A computer analysis of the probable performance of such devices is presented. The associated problem of system analysis is discussed, particularly the inclusion of the effects of the antenna element coupling. To this end a lumped passive element model for a generalized linear reciprocal N port is presented. Copyright ¬© 1981 by The Institute of Electrical and Electronics Engineers, Inc.</t>
  </si>
  <si>
    <t>71-76</t>
  </si>
  <si>
    <t>Jubera, Dane</t>
  </si>
  <si>
    <t>Quincy</t>
  </si>
  <si>
    <t>Harris Corporation</t>
  </si>
  <si>
    <t>Jubera D.</t>
  </si>
  <si>
    <t>IEEE transactions on broadcasting, vol. bc-27, no.4, december 1981 toward improved control of medium wave directional arrays</t>
  </si>
  <si>
    <t>10.1109/TBC.1981.266417</t>
  </si>
  <si>
    <t>2-s2.0-0019659654</t>
  </si>
  <si>
    <t>['vswr characteristics', 'transmission line', 'tower may', 'rf system', 'measurement accuracy', 'ground without', 'excellent repeatability', 'electronics engineers', 'allows observation', '1 db']</t>
  </si>
  <si>
    <t>Described here is a measuring system using a computer controlled network analyzer that allows observation of FM and TV broadcast antenna systems. Impedance measurement may be made at any point in a broadcast antenna system where access is possible. Most notably, the VSWR characteristics of an antenna on a tower may be measured from the ground without the effects of the transmission line. Measurement accuracy is 0.1 DB and 0.5 degree return loss with excellent repeatability. The system is suitable for field use allowing evaluation of the antenna and other parts of the RF system. Copyright ¬© 1981 by The Institute of Electrical and Electronics Engineers, Inc.</t>
  </si>
  <si>
    <t>83-93</t>
  </si>
  <si>
    <t>Sargent, Dean W.</t>
  </si>
  <si>
    <t>Cherry Hill</t>
  </si>
  <si>
    <t>D. W. Sargent Broadcast Service</t>
  </si>
  <si>
    <t>Sargent D.W.</t>
  </si>
  <si>
    <t>IEEE Transactions on broadcasting, vol. bc-27, no.4, december a new technique for measuring fm &amp; tv antenna systems</t>
  </si>
  <si>
    <t>10.1109/TBC.1981.266419</t>
  </si>
  <si>
    <t>2-s2.0-0019668360</t>
  </si>
  <si>
    <t>['two methods', 'training sample', 'smaller volume', 'noise suppression', 'maximum signal', 'investigated methods', 'different parameters', 'comparative analysis', 'better effectiveness', 'also gives', 'adaptive tuning']</t>
  </si>
  <si>
    <t>A comparative analysis of two methods of adaptive tuning of a system by the maximum signal-to-noise ratio criterion, which utilizes the inversion of estimated noise correlation matrix, is given for different noise situations and different parameters of the investigated methods. It is shown that a regularization of the maximum likelihood estimate of the noise correlation matrix not only ensures a better effectiveness of noise suppression with a smaller volume of training sample, but also gives a substantially smaller mismatch between the optimized and the matched (in-phase) vectors.</t>
  </si>
  <si>
    <t>67-74</t>
  </si>
  <si>
    <t>7006472158;6507966445</t>
  </si>
  <si>
    <t>Abramovich, Yu I.;Nevrev, A. I.</t>
  </si>
  <si>
    <t>Abramovich Y.</t>
  </si>
  <si>
    <t>ANALYSIS OF EFFECTIVENESS OF ADAPTIVE MAXIMIZATION OF THE SIGNAL-TO-NOSIE RATIO WHICH UTILIZES THE INVERSION OF THE ESTIMATED CORRELATION MATRIX.</t>
  </si>
  <si>
    <t>2-s2.0-0019670078</t>
  </si>
  <si>
    <t>['substantial change', 'reflector dimensions', 'optimum geometry', 'multielement illuminator', 'kirchhoff approximation', 'illuminator excitation', 'geometric optics', 'frequency dependence', 'directive gain', 'design based', 'computer experiments', 'beam widths', 'approach based']</t>
  </si>
  <si>
    <t>It is shown that wide beam deflections (by tens or hundreds of beam widths) are possible in reflector antennas without any substantial change of the directive gain by using a multielement illuminator. The optimum geometry of the illuminator and the frequency dependence of its excitation are determined by the method of geometric optics. The maximum possible beam deviation, the relationship between illuminator and reflector dimensions and the structure of the illuminator excitation are determined. Results of computer experiments are given. The approach based on geometric optics is compared to the design based on Kirchhoff approximation.</t>
  </si>
  <si>
    <t>17-25</t>
  </si>
  <si>
    <t>6603100337;6603710798;16503665000;56899381100</t>
  </si>
  <si>
    <t>Alimova, L. I.;Kinber, B. Ye;Klassen, V. I.;Shishlov, A. V.</t>
  </si>
  <si>
    <t>Alimova L.</t>
  </si>
  <si>
    <t>FEASIBILITY OF WIDE-ANGLE SCANNING IN HYBRID REFLECTOR ANTENNAS.</t>
  </si>
  <si>
    <t>2-s2.0-0019671754</t>
  </si>
  <si>
    <t>['various systems', 'signal distortion', 'radio communication', 'distant noise', 'data links', 'antenna gain']</t>
  </si>
  <si>
    <t>Radio communication with submarines is considered, discussing required bandwidth for teletype and data links; attenuation in seawater and antenna gain; signal distortion in seawater; best frequency band as function of depth; circuits; various systems; local and distant noise; and, radiation from a submarine.</t>
  </si>
  <si>
    <t>331-380</t>
  </si>
  <si>
    <t>Advances in Electronics and Electron Physics</t>
  </si>
  <si>
    <t>Harmuth H.</t>
  </si>
  <si>
    <t>RADIO COMMUNICATION WITH SUBMARINES.</t>
  </si>
  <si>
    <t>2-s2.0-0019672764</t>
  </si>
  <si>
    <t>4495-4500</t>
  </si>
  <si>
    <t>60074055;60074055;60074055;60074055</t>
  </si>
  <si>
    <t>7005745790;35616507900;7005577451;7006983682</t>
  </si>
  <si>
    <t>Bushell, M.;Manriquez, R.;Merkel, G.;Scharf, W. D.</t>
  </si>
  <si>
    <t>Bushell M.</t>
  </si>
  <si>
    <t>Measurement and calculation of the short-circuit sremp response of vertical oscillating helical antennas and oscillating loop antennas</t>
  </si>
  <si>
    <t>10.1109/TNS.1981.4335753</t>
  </si>
  <si>
    <t>2-s2.0-0019679788</t>
  </si>
  <si>
    <t>['¬© 1981', 'stereographic projections', 'ray corresponding', 'principal ray', 'output ray', 'minimize aberrations', 'give explicitly', 'feed axis', 'expressed directly', 'directly related', 'bilinear transformation']</t>
  </si>
  <si>
    <t>In a Gregorian or Cassegrainian reflector antenna, the complex coordinate u' of an output ray is related to the corresponding input coordinate u by a bilinear transformation, u' = (au = b)/(cu = d). We discuss the properties of this transformation, derive its coefficients a, b, c, d, and give explicitly the conditions that must be satisfied in order that symmetry be preserved. The conditions are expressed directly in terms of the parameters that specify the path of the principal ray, which is the ray corresponding to the feed axis. The results are directly related to well‚Äêknown properties of stereographic projections, and they are shown to be useful in the design of multi‚Äêreflector antennas which minimize aberrations and cross‚Äêpolarization. ¬© 1981 The Bell System Technical Journal</t>
  </si>
  <si>
    <t>2397-2420</t>
  </si>
  <si>
    <t>Dragone, C.</t>
  </si>
  <si>
    <t>Dragone C.</t>
  </si>
  <si>
    <t>Conformal Mapping and Complex Coordinates in Cassegrainian and Gregorian Reflector Antennas</t>
  </si>
  <si>
    <t>10.1002/j.1538-7305.1981.tb00232.x</t>
  </si>
  <si>
    <t>2-s2.0-0019680389</t>
  </si>
  <si>
    <t>['verified theoretically', 'numerical improvement', 'input impedance', 'folded type', 'efficiency improvement']</t>
  </si>
  <si>
    <t>The efficiency improvement of the MF transmitting antennas that is obtained by changing the conventional monopole antenna to a folded type is verified theoretically. Numerical improvement in the input impedance and radiation efficiency characteristics are obtained. The applicable frequency band of the antenna is shown in a graph, and its merits are presented.</t>
  </si>
  <si>
    <t>1054-1060</t>
  </si>
  <si>
    <t>6506259322;7404988484;7402799144;6505668347</t>
  </si>
  <si>
    <t>Mikkaichi, Masashi;Inoue, Hiroshi;Takahashi, Akira;Shatoh, Risaburo</t>
  </si>
  <si>
    <t>Mikkaichi M.</t>
  </si>
  <si>
    <t>ON THE IMPROVEMENT OF THE EFFICIENCY OF THE TRANSMITTING MF-ANTENNA.</t>
  </si>
  <si>
    <t>10.3169/itej1978.35.1054</t>
  </si>
  <si>
    <t>2-s2.0-0019684083</t>
  </si>
  <si>
    <t>['upper 50', 'underground floors', 'swiss ptt', 'radio services', 'radio relay', 'operational equipment', 'new tower', 'measuring periods', 'may impair', 'lightning protection', 'installed cable', 'existing site', 'coupling impedance', 'construction work']</t>
  </si>
  <si>
    <t>The Swiss PTT is constructing a new tower for radio relay, TV and radio services at Saint Chrischona near Basle, at an altitude of about 500 m. The reinforced concrete tower is 250 m high, on a star shaped foundation. The tower is topped by the 100 m high antenna building. The upper 50 m of the tower contain space for operational equipment, mainly receiver equipment. Transmitter and power supply installations will be placed in the underground floors. The specifications for the lightning protection of the structure power supply, installed cable and equipment are based on measurements of an existing site. All details of construction which are important for reduction of the coupling impedance between the assumed lightning current path and the installations have been incorporated. Their implementation will be monitored during construction. During and after completion of construction work the measurement of various coupling impedance will be carried out. No work is permitted which may impair the measurements during these measuring periods.</t>
  </si>
  <si>
    <t>343-356</t>
  </si>
  <si>
    <t>Technische Mitteilungen PTT (Post-, Telefon- und Telegrafenbetrieben)</t>
  </si>
  <si>
    <t>Montandon, Eric</t>
  </si>
  <si>
    <t>Montandon E.</t>
  </si>
  <si>
    <t>Lightning Protection Design for the New Multipurpose Transmission Tower at Saint Chrischona, Switzerland.</t>
  </si>
  <si>
    <t>2-s2.0-0019685956</t>
  </si>
  <si>
    <t>['video response', 'theoretical techniques', 'ohio candelabra', 'improved measurement', 'expected performance', 'electronics engineers', 'cp antennas', 'circularly polarized']</t>
  </si>
  <si>
    <t>A study of a circularly polarized (CP) television multiple antenna installation shows that improved measurement and theoretical techniques are required to model the scattered horizontal pattern circularity and video response in a candelabra. Previously developed guidelines for horizontally polarized antennas in a candelabra are inadequate to describe the expected performance of CP antennas in the same configuration. Results of calculations and measurements of model CP antennas for a Columbus, Ohio candelabra are included. Copyright ¬© 1981 by The Institute of Electrical and Electronics Engineers, Inc.</t>
  </si>
  <si>
    <t>77-82</t>
  </si>
  <si>
    <t>60007716;60007716</t>
  </si>
  <si>
    <t>55436364700;57198278694</t>
  </si>
  <si>
    <t>Johns, M. R.;Ralston, M. A.</t>
  </si>
  <si>
    <t>Boulogne-Billancourt</t>
  </si>
  <si>
    <t>Thomson, SA</t>
  </si>
  <si>
    <t>Johns M.R.</t>
  </si>
  <si>
    <t>The first candelabra for circularly polarized broadcast antennas</t>
  </si>
  <si>
    <t>10.1109/TBC.1981.266418</t>
  </si>
  <si>
    <t>2-s2.0-0019689401</t>
  </si>
  <si>
    <t>['residual level', 'partial volume', 'noise ratio', 'delay axis', 'ambiguity function', 'also obtained']</t>
  </si>
  <si>
    <t>Estimates are obtained for the values of the residual level of the sidelobes of the cross ambiguity function (CAF) and the ambiguity function (AF) between suppressed cross sections that are parallel to the delay axis, as a function of the interval between them, as well as of the partial volume of the CAF and AF in the ‚Ä≥free‚Ä≥ region. An estimate of losses in the signal-to-noise ratio is also obtained for the CAF as a function of the ‚Ä≥free‚Ä≥ space parameters.</t>
  </si>
  <si>
    <t>94-105</t>
  </si>
  <si>
    <t>Koshevoi, V. M.</t>
  </si>
  <si>
    <t>Koshevoi V.</t>
  </si>
  <si>
    <t>SOME LIMITING RELATIONSHIPS FOR THE CROSS AMBIGUITY FUNCTION OF FINITE SIGNALS.</t>
  </si>
  <si>
    <t>2-s2.0-0019692574</t>
  </si>
  <si>
    <t>['wiley company', 'phased array', 'inc .,', 'element pattern', 'edge elements', 'edge effect', 'current distribution', 'conventional analysis', 'considered infinite', 'array structure', 'analysis method', 'active impedance']</t>
  </si>
  <si>
    <t>In the conventional analysis of the phased array, the array structure is considered infinite. This kind of approach is effective only for the investigation of the pattern from the centrally located elements and is not applicable for edge elements. In this paper, the edge effect of the dipole phased array is studied by introducing virtual generators in the analysis. The analysis method is applied for the calculation of the element pattern, current distribution, and active impedance of edge elements. Copyright ¬© 1981 Wiley Periodicals, Inc., A Wiley Company</t>
  </si>
  <si>
    <t>61-67</t>
  </si>
  <si>
    <t>60025997;60025997</t>
  </si>
  <si>
    <t>7005495467;7403473731</t>
  </si>
  <si>
    <t>Tokumaru, Shinobu;Miyamoto, Takuji</t>
  </si>
  <si>
    <t>Edge effects in dipole phased arrays</t>
  </si>
  <si>
    <t>10.1002/ecja.4410641209</t>
  </si>
  <si>
    <t>2-s2.0-0019693760</t>
  </si>
  <si>
    <t>['resonating radiators', 'independent antennas', 'hertzian dipole']</t>
  </si>
  <si>
    <t>Frequency-independent antennas; Hertzian dipole; resonating radiators; and receptors are discussed.</t>
  </si>
  <si>
    <t>82-118</t>
  </si>
  <si>
    <t>RADIATORS AND RECEPTORS.</t>
  </si>
  <si>
    <t>2-s2.0-0019695706</t>
  </si>
  <si>
    <t>['track antennas', 'station antennas', 'performance limitations', 'paper evaluates', 'mount earth']</t>
  </si>
  <si>
    <t>Fixed-mount Earth-station antennas are cheap and maintenance-free but have performance limitations. This paper evaluates their performance and cost and compares them with step-track and monopulse-track antennas. -Author</t>
  </si>
  <si>
    <t>187-196</t>
  </si>
  <si>
    <t>ESA Journal</t>
  </si>
  <si>
    <t>Dinwiddy, S. E.</t>
  </si>
  <si>
    <t>Noordwijk aan Zee</t>
  </si>
  <si>
    <t>ESTEC - European Space Research and Technology Centre</t>
  </si>
  <si>
    <t>Dinwiddy S.</t>
  </si>
  <si>
    <t>Performances of fixed-mount Earth-station antennas.</t>
  </si>
  <si>
    <t>2-s2.0-0019706735</t>
  </si>
  <si>
    <t>['unequal paths', 'two paths', 'source controls', 'phase shifter', 'phase difference', 'null point', 'frequency tuning', 'frequency dependent', 'fm modulation', 'electronics engineers', 'electronic sensitivity', 'effective thickness', 'dielectric surface', 'dielectric slabs', 'band interferometer', '02 ¬∞.']</t>
  </si>
  <si>
    <t>A Michelson-type unequal path interferometer for measuring the effective thickness of dielectric slabs is presented. Due to unequal paths, this interferometer is frequency dependent so that frequency tuning of the source controls the phase difference between the two paths and serves as a phase shifter. FM modulation of the source enables determination of the null point with an electronic sensitivity of 0.02¬∞. High spatial resolution (‚âÖŒª/2) is achieved by spacing a suitable horn antenna close to the dielectric surface. Detailed design considerations and experimental results concerning an X-band interferometer are presented. Copyright ¬© 1981 by The Institute of Electrical and Electronics Engineers, Inc.</t>
  </si>
  <si>
    <t>243-247</t>
  </si>
  <si>
    <t>60017563;60017563;60017563</t>
  </si>
  <si>
    <t>7005939526;7202294701;7004481850</t>
  </si>
  <si>
    <t>Ashkenazy, Yossef;Levine, Ely;Treves, David</t>
  </si>
  <si>
    <t>Israel</t>
  </si>
  <si>
    <t>Rehovot</t>
  </si>
  <si>
    <t>Weizmann Institute of Science Israel</t>
  </si>
  <si>
    <t>Ashkenazy Y.</t>
  </si>
  <si>
    <t>A Simple Microwave Interferometer for Measuring Effective Thickness of Dielectric Slabs</t>
  </si>
  <si>
    <t>10.1109/TIM.1981.6312399</t>
  </si>
  <si>
    <t>2-s2.0-0019715655</t>
  </si>
  <si>
    <t>['¬© 1981', 'varying degrees', 'severe degradation', 'rights reserved', 'rain erosion', 'radome surface', 'pitot tube', 'paper reviews', 'operational environment', 'often leads', 'multiband role', 'missile radomes', 'lightning conductors', 'largely determined', 'fuselage type', 'enclosing randome', 'enclosed antenna', 'electromagnetic design', 'electromagnetic degradation', 'electrical performance', 'electrical engineers', 'electrical design', 'either within', 'dielectric bodies', 'design requirements', 'airborne application', 'aerodynamic considerations']</t>
  </si>
  <si>
    <t>Aerospace facilities and techniques | Radomes</t>
  </si>
  <si>
    <t>The ever increasing demands on the performance of airborne antennas place comparable demands on the design of the enclosing randome to ensure minimal degradation of the antenna radiation pattern. Radomes for airborne application can be separated into three main categories: large aircraft radomes of either the nose-cone or under-fuselage type, small aircraft radomes often flush mounted to the airframe and missile radomes. The geometry of the radome, being largely determined by aerodynamic considerations, often leads to severe degradation of the electrical performance of any enclosed antenna. Rain erosion and heating of the radome surface also constrain the electrical design by limiting the choice of material and builds. For large airborne radomes, the enclosed antenna may be required to exhibit both low angular aberrations and small sidelobe degradations. Radomes for these applications may also be required to operate in either a dual-, broad- or multiband role. Metallic or dielectric bodies, such as lightning conductors, the pitot tube and pitot-static pressure tubes, either within or on the radome surface, also present potential sources of electromagnetic degradation. Missile radomes share most of these effects, but to varying degrees because of their relatively smaller size and different operational constraints. The paper reviews the electromagnetic design and analysis of such radomes, examines the sources of degradation of the enclosed-antenna radiation pattern and discusses the design requirements with reference to the operational environment. ¬© 1981, The Institution of Electrical Engineers. All rights reserved.</t>
  </si>
  <si>
    <t>451-464</t>
  </si>
  <si>
    <t>60011897;60011897;60026242</t>
  </si>
  <si>
    <t>7004467474;7006888309;12141012900</t>
  </si>
  <si>
    <t>Crone, G. A.E.;Rudge, A. W.;Taylor, G. N.</t>
  </si>
  <si>
    <t>Salisbury;Leatherhead</t>
  </si>
  <si>
    <t>Defence Science and Technology Laboratory;ERA Technology Ltd</t>
  </si>
  <si>
    <t>60026242;60011897</t>
  </si>
  <si>
    <t>Crone G.</t>
  </si>
  <si>
    <t>Design and performance of airborne radomes: A review</t>
  </si>
  <si>
    <t>10.1049/ip-f-1.1981.0077</t>
  </si>
  <si>
    <t>2-s2.0-0019715827</t>
  </si>
  <si>
    <t>['wave antenna', 'theoretically predicted', 'strip perturbations', 'scanning millimeter', 'novel structure', 'long trough', 'electronics engineers', 'dielectric leaky', 'dielectric guide', 'also discussed']</t>
  </si>
  <si>
    <t>A novel structure for a frequency-scanning millimeter-wave antenna is described. The antenna is constructed by embedding a dielectric leaky-wave antenna in a long trough with metal flares attached along both sides. The optimum flare angle for achieving maximum gain is theoretically predicted. The design of the leaky-wave antenna, which is comprised of metallic-strip perturbations on top of the dielectric guide, is also discussed. Copyright ¬© 1981 by The Institute of Electrical and Electronics Engineers, Inc.</t>
  </si>
  <si>
    <t>1310-1314</t>
  </si>
  <si>
    <t>60000745-60025522;60000745</t>
  </si>
  <si>
    <t>7006131399;55197051100</t>
  </si>
  <si>
    <t>Trinh, Trang N.;Mittra, Raj</t>
  </si>
  <si>
    <t>Melbourne;Urbana</t>
  </si>
  <si>
    <t>Harris Corporation;University of Illinois Urbana-Champaign</t>
  </si>
  <si>
    <t>60025522;60000745</t>
  </si>
  <si>
    <t>Trinh T.</t>
  </si>
  <si>
    <t>Horn Image-Guide Leaky-Wave Antenna</t>
  </si>
  <si>
    <t>10.1109/TMTT.1981.1130557</t>
  </si>
  <si>
    <t>2-s2.0-0019717065</t>
  </si>
  <si>
    <t>['waterkin interface', 'two groups', 'two components', 'two antennas', 'sports traumatology', 'sports activity', 'similar conditions', 'reduce considerably', 'placed dry', 'physical recording', 'overall dimensions', 'one triple', 'one simple', 'never shorter', 'magnetic field', 'limited experience', 'level athletes', 'fel material', 'fast resumption', 'every person', 'enabled high', 'distal joints', 'described experience', 'comparative study', '30 minutes', '12 mhz']</t>
  </si>
  <si>
    <t>The purpose of this study is to make a comparative study of two groups of sportsmen under similar conditions of employment of FEL material in sports traumatology. The material is simple to employ and small in overall dimensions. Two antennas, one triple and the other one simple, each create an electro-magnetic field. Two components, namely an electric and a magnetic, make a physical recording of the effects. We used this latter to create pulsated low-tension high frequency: high frequency 27.12 MHz. We used both at Nice and Pavia FEL unit for treatment in osteoarticular or musculotendinous sports traumatology. For distal joints, we placed FEL unit in water. In this instance the antenna is the waterkin interface. For the other locations, the antenna is placed dry. The time of treatment was never shorter than 30 minutes. At Nice, the here described experience was applied to every person. At Pavia, the more limited experience was performed only on high level sportsmen (athletes, basket and football players). In both case-series, the results were very satisfactory. If the experience of Nice did not require a fast resumption of sports activity, it enabled high-level athletes to reduce considerably the time of non-availability.</t>
  </si>
  <si>
    <t>327-337</t>
  </si>
  <si>
    <t>Italian Journal of Sports Traumatology</t>
  </si>
  <si>
    <t>101341620;101341620;101341620;101341620</t>
  </si>
  <si>
    <t>6508089896;57198932699;57215988691;7409805143</t>
  </si>
  <si>
    <t xml:space="preserve">Dukan, J. P.;Simon, J.;Benazzi, M.;Sosner, </t>
  </si>
  <si>
    <t>Cent. Rieduc. Funz. Med. Sportiva</t>
  </si>
  <si>
    <t>Dukan J.P.</t>
  </si>
  <si>
    <t>Results obtained by FEL in osteoarticular and musculotendineal pathology in the layman and in the high level sportsman</t>
  </si>
  <si>
    <t>2-s2.0-0019718531</t>
  </si>
  <si>
    <t>['tl ).', 'surface distribution', 'relatively low', 'ray spectroscopy', 'ray detection', 'pvt detectors', 'pvt detector', 'natural thorium', 'measure k', 'less expensive', 'good performance', 'geological survey', 'gamma radiation', 'eu ),', 'eth ).', 'equivalent thorium', 'energy resolution', 'data reduction', 'aerial gamma']</t>
  </si>
  <si>
    <t>A large-volume plastic detector for use in aerial gamma-ray spectroscopy has been evaluated by the U.S. Geological Survey. The purpose of the evaluation was to compare the plastic polyvinyl toluene (PVT) detector with thallium-activated sodium iodide (NaI(Tl)) detectors in ability to define the surface distribution of gamma radiation from the decay of natural thorium, uranium, and potassium. Good performance from PVT detectors will allow aerial gamma-ray detection to be less expensive and much less susceptible to physical or thermal shock compared to the use of NaI(Tl) detectors. The experimental results indicate that PVT detectors can be used to measure the surface distribution of potassium (K), equivalent uranium (eU), and equivalent thorium (eTh). However, because of the relatively low-energy resolution of the PVT detector and the subsequent increased interference among the energy windows used to measure K, eU, and eTh, the results of data reduction are statistically less accurate than those obtained using NaI(Tl). -Authors.</t>
  </si>
  <si>
    <t>1432-1438</t>
  </si>
  <si>
    <t>Geophysics</t>
  </si>
  <si>
    <t>7103054943;7003415583</t>
  </si>
  <si>
    <t>Duval, J. S.;Pitkin, J. A.</t>
  </si>
  <si>
    <t>Duval J.S.</t>
  </si>
  <si>
    <t>An experimental test of a large-volume plastic detector for use in aerial gamma-ray spectroscopy.</t>
  </si>
  <si>
    <t>10.1190/1.1441150</t>
  </si>
  <si>
    <t>2-s2.0-0019727023</t>
  </si>
  <si>
    <t>['scientists hope', 'reflectors via', 'physical processes', 'norway information', 'mechanical part', 'electrical installation', 'aurora borealis', 'antenna reflectors', 'actual position', '400 km']</t>
  </si>
  <si>
    <t>Scientists hope to obtain by means of the large antenna near Tromsoe in Norway information about the physical processes in the ionosphere between 80 and 400 km above the earth and also to investigate the phenomenon of the Aurora Borealis. The antenna reflectors are supported in spherical roller bearings. High-precision rolling bearing units are fitted to the mechanical part of the indicators which transmit the actual position of the reflectors via the visual-electrical installation to the indicator.</t>
  </si>
  <si>
    <t>32-34</t>
  </si>
  <si>
    <t>Ball and Roller Bearing Engineering</t>
  </si>
  <si>
    <t>7102487046;57197988815</t>
  </si>
  <si>
    <t>Ackermann, Joachim;Schmidt, Wolfgang</t>
  </si>
  <si>
    <t>Ackermann J.</t>
  </si>
  <si>
    <t>TRACKING THE AURORA BOREALIS: A LARGE ANTENNA FOR RESEARCH INTO THE IONOSPHERE REVOLVES ON FAG ROLLING BEARINGS.</t>
  </si>
  <si>
    <t>2-s2.0-0019733297</t>
  </si>
  <si>
    <t>['table lists', 'results obtained', 'radar system', 'outlined .-', 'instrumentation used']</t>
  </si>
  <si>
    <t>The instrumentation used is described. A table lists the radar parameters used for calculating the maximum radar range and the maximum radar range for the two antennas used is plotted. The results obtained with the radar system were inconclusive, and several possible explanations are outlined.-from Current Antarctic Literature</t>
  </si>
  <si>
    <t>96-97</t>
  </si>
  <si>
    <t>Antarctic Journal of the United States</t>
  </si>
  <si>
    <t>7005357917;7202441285</t>
  </si>
  <si>
    <t>Morey, R. M.;Kovacs, A.</t>
  </si>
  <si>
    <t>Morey R.</t>
  </si>
  <si>
    <t>High-resolution impulse radar measurements for detecting sea ice and current alinement under the Ross ice shelf.</t>
  </si>
  <si>
    <t>2-s2.0-0019737277</t>
  </si>
  <si>
    <t>['vertical whip', 'typically accurate', 'signal reliability', 'paper reports', 'instrument approaches', 'general aviation', 'found suitable', 'found satisfactory', 'flight evaluation', 'atmospheric noise', 'airborne use', '7 %.', '3 microsecond', '2œé ).', '1981 institute']</t>
  </si>
  <si>
    <t>This paper reports on a flight evaluation of LORAN‚ÄêC which was part of a long range study of area navigation systems for general aviation. Tests involved two different LORAN‚ÄêC receivers, 6 different aircraft and a variety of antennas. Uncorrected position fixes were typically accurate to one quarter mile. With measured corrections repeatability was good to within 200 ft. (2œÉ). Signal reliability was 99.7%. The receiver was not sensitive to atmospheric noise. The time difference grid demonstrated a long term stability of 0.3 microsecond. Vertical whip and ADF E‚Äêfield antennas were found suitable for airborne use. LORAN‚ÄêC was found satisfactory for instrument approaches to runways at general aviation airports where published latitude‚Äêlongitude coordinates were available. Accuracy was further improved by using locally measured LORAN‚ÄêC time difference coordinates. 1981 Institute of Navigation</t>
  </si>
  <si>
    <t>342-352</t>
  </si>
  <si>
    <t>Winter 1981</t>
  </si>
  <si>
    <t>60022195;60022195;60022195</t>
  </si>
  <si>
    <t>7003878103;57201561332;7005584821</t>
  </si>
  <si>
    <t>HOLLISTER, WALTER M.;NATARAJAN, KRISHNAN;LITTLEFIELD, JAMES A.</t>
  </si>
  <si>
    <t>HOLLISTER W.</t>
  </si>
  <si>
    <t>Flight Evaluation of Loran‚ÄêC for General Aviation Area Navigation</t>
  </si>
  <si>
    <t>10.1002/j.2161-4296.1981.tb00780.x</t>
  </si>
  <si>
    <t>2-s2.0-0019765657</t>
  </si>
  <si>
    <t>['type 2', 'type 1', 'two types', 'tetrastichus hagenowii', 'terminal hairs', 'socketed hairs', 'probably involved', 'ovipositional behavior', 'nonsocketed hairs', 'mating behavior', 'many respects', 'many pores', 'long hairs', 'cockroach species', 'chemoreceptive function', 'chalcid parasitoids', 'antennal sensilla']</t>
  </si>
  <si>
    <t>Eggs of a number of cockroach species are parasitized by Tetrastichus hagenowii. The ultrastructure of the sensilla on the antennae of females and males was examined by scanning and transmission electron microscopy. The females have two types of multiporous plate sensilla while the males have only one. Type 1 is found in females and males and has a relatively thin cuticular wall and many pores, while type 2 is found only in females and has a relatively thick cuticular wall and few pores. Both sexes have nonporous, thick‚Äêwalled, socketed hairs; multiporous, nonsocketed hairs; multiporous, thick‚Äêwalled pegs; and terminal hairs. In addition, males have multiporous, nonsocketed, long hairs. The sensilla are similar, in many respects, to the sensilla of other chalcid parasitoids. The antennal sensilla of female T. hagenowii are probably involved in ovipositional behavior. The multiporous, long hairs of the male possibly receive stimuli during mating behavior A chemoreceptive function is proposed for the multiporous plate sensilla. Copyright ¬© 1981 Wiley‚ÄêLiss, Inc.</t>
  </si>
  <si>
    <t>97-108</t>
  </si>
  <si>
    <t>Journal of Morphology</t>
  </si>
  <si>
    <t>60020547;60020547;60020547-60018208</t>
  </si>
  <si>
    <t>6507480475;7006727340;7006308792</t>
  </si>
  <si>
    <t>Barlin, Margaret R.;Vinson, S. Bradleigh;Piper, Gary L.</t>
  </si>
  <si>
    <t>College Station;Pullman</t>
  </si>
  <si>
    <t>Texas A&amp;M University;Washington State University Pullman</t>
  </si>
  <si>
    <t>60020547;60018208</t>
  </si>
  <si>
    <t>Barlin M.R.</t>
  </si>
  <si>
    <t>Ultrastructure of the antennal sensilla of the cockroach‚Äêegg parasitoid, Tetrastichus hagenowii (Hymenoptera: Eulophidae)</t>
  </si>
  <si>
    <t>10.1002/jmor.1051680110</t>
  </si>
  <si>
    <t>2-s2.0-0019794878</t>
  </si>
  <si>
    <t>['ventral epithelium', 'side wall', 'sensory organs', 'sensory cilia', 'sensillum possesses', 'sense organs', 'scolopidia lie', 'results suggest', 'remaining three', 'receptor cells', 'pores either', 'meriston joint', 'mechanoreceptive structure', 'joint mechanoreceptors', 'hair bearing', 'five types', 'extends distally', 'ends near', 'distributed sparsely', 'distal margin', 'distal half', 'contact chemoreceptive', 'chaetic sensillum', 'canal within', 'campaniform sensilla', 'basal segments', 'attachment cell', '50 scolopidia']</t>
  </si>
  <si>
    <t>The ultrastructure of five types of sensory organs has been examined on the pedicel and scape of the male cockroach Periplaneta americana. Two of the five, chaetic sensillum B and campaniform sensilla, are located on both flagellar and basal segments. Chaetic sensilla B appear to be mechano- and contact chemoreceptive, and are distributed sparsely on the pedicel and scape. Campaniform sensilla are arranged circularly around the distal margin of the pedicel. The remaining three are found only on the basal segments. (i) Chaetic sensillum A: This sensillum possesses a hair bearing no pores either at the tip or the side wall. It contains one receptor cell, the cilium of which has a mechanoreceptive structure and ends near the base of the hair. Chaetic A hairs are distributed all over the surface of the pedicel and scape. (ii) Pedicelar connective chordotonal organ: This organ is an elongated mass lying under the ventral epithelium. The mass is a bundle of about 50 scolopidia. Each scolopidium contains two receptor cells. Sensory cilia of these receptor cells are capped by an attachment cell, which extends distally and joins the hypodermis ventrally beneath the pedicel-meriston joint. (iii) Johnston's organ: This organ also consists of 150 or more scolopidia. Scolopidia lie in the hypodermis of the pedicel. Each scolopidium contains three receptor cells positioned in the distal half of the pedicel. One of the three cilia extends distally and enters the canal within the pedicel-meriston joint articulation. These results suggest that a majority of sense organs on the pedicel and scape are joint mechanoreceptors. ¬© 1981 Academic Press, Inc.</t>
  </si>
  <si>
    <t>119-132</t>
  </si>
  <si>
    <t>Journal of Ultrasructure Research</t>
  </si>
  <si>
    <t>Toh, Yoshihiro</t>
  </si>
  <si>
    <t>Fukuoka</t>
  </si>
  <si>
    <t>Kyushu University</t>
  </si>
  <si>
    <t>Toh Y.</t>
  </si>
  <si>
    <t>Fine structure of sense organs on the antennal pedicel and scape of the male cockroach, Periplaneta americana</t>
  </si>
  <si>
    <t>S0022-5320(81)80036-6</t>
  </si>
  <si>
    <t>10.1016/S0022-5320(81)80036-6</t>
  </si>
  <si>
    <t>2-s2.0-0019801814</t>
  </si>
  <si>
    <t>Suppl.</t>
  </si>
  <si>
    <t>Neurochirurgia</t>
  </si>
  <si>
    <t>60004123;60004123;60004123;60004123</t>
  </si>
  <si>
    <t>7007030572;7003823014;7403162716;36797242400</t>
  </si>
  <si>
    <t>Salcman, M.;Broadwell, R. D.;Kaplan, R. S.;Samaras, G. M.</t>
  </si>
  <si>
    <t>University of Maryland Medical Center</t>
  </si>
  <si>
    <t>Salcman M.</t>
  </si>
  <si>
    <t>The therapeutic implications of a multicompartmental model of glioblastoma multiforme: Initial approach</t>
  </si>
  <si>
    <t>2-s2.0-0019811948</t>
  </si>
  <si>
    <t>['¬© 1981', 'three pairs', 'similar size', 'segment primordia', 'results suggest', 'result suggests', 'prothoracic primordium', 'proboscis primordium', 'posterior polyclones', 'posterior compartments', 'posterior compartment', 'positioned anterior', 'positional basis', 'paper reports', 'major results', 'labial discs', 'imaginal discs', 'head capsule', 'equal length', 'e .,', 'different segments', 'clypeolabral primordium', 'cibarial discs', 'blastoderm stage', 'anterior compartment', 'antennal primordium', 'antennal primordia', 'antennal discs', 'adult head']</t>
  </si>
  <si>
    <t>The epidermis of the adult head of Drosophila is composed of the derivatives of three pairs of imaginal discs: the labial discs which form the proboscis, the cibarial discs which form the clypeolabrum, and the eye-antennal discs which form all of the remaining head structures (i.e., the eyes, antennae, head capsule, and maxillary palps). Both the proboscis and the eye-antenna are known to be subdivided into anterior and posterior compartments. This paper reports a gynandromorph fate map of the blastoderm primordia forming the compartments and segments of the adult head. The major results are: (1) For both the proboscis and eye-antenna, blastoderm cells giving rise to the anterior compartment are positioned anterior to cells giving rise to the posterior compartment. This result suggests that the relative anteroposterior position of blastoderm cells constitutes the positional basis for the segregation of anterior and posterior polyclones in different segments. (2) The clypeolabral primordium is adjacent and anterior to the eye-antennal primordium; the proboscis primordium is adjacent and anterior to the prothoracic primordium. Assuming that all segment primordia are of equal length in the blastoderm, the proboscis and eye-antennal primordia are separated by a gap in which three other segment primordia might fit. These results suggest that at the blastoderm stage, the Drosophila head consists of a series of six segment primordia of similar size. ¬© 1981.</t>
  </si>
  <si>
    <t>386-396</t>
  </si>
  <si>
    <t>A blastoderm fate map of compartments and segments of the Drosophila head</t>
  </si>
  <si>
    <t>10.1016/0012-1606(81)90407-3</t>
  </si>
  <si>
    <t>2-s2.0-0019831490</t>
  </si>
  <si>
    <t>['wiley company', 'tv towers', 'tuned receiver', 'transmitter open', 'transmitter acted', 'transmitted power', 'tall fm', 'several times', 'safe passage', 'rf radiation', 'results show', 'radiofrequency electric', 'present standard', 'occupational exposure', 'maintenance personnel', 'magnetic fields', 'inc .,', 'impossible without', 'generally low', 'fields exceeding', 'especially vulnerable', 'drastic reduction', 'certain types', 'certain tasks', 'cabinet doors']</t>
  </si>
  <si>
    <t>electromagnetic field strengths | FM radio broadcast | personnel hazard | UHF‚ÄêTV broadcast | VHF‚ÄêTV broadcast</t>
  </si>
  <si>
    <t>Radiofrequency electric and magnetic fields have been measured around 11 large broadcast stations and tall FM/TV towers in Sweden. The results show that operating personnel may be exposed to fields exceeding by several times the present standard for occupational exposure to RF radiation. Maintenance personnel are especially vulnerable to exposure when climbing energized towers. The present study indicates that the transmitters should be switched off during the performance of certain tasks on the tower. Safe passage of maintenance personnel near energized antennas of certain types is impossible without a drastic reduction of the transmitted power. In the stations, the RF leakage radiation was generally low, but when work was done with the cabinet doors of the transmitter open, high field strengths were found in the vicinity of the transmitter even though it was switched off. It was found that the transmitter acted as a tuned receiver of energy from the other transmitters. Copyright ¬© 1981 Wiley‚ÄêLiss, Inc., A Wiley Company</t>
  </si>
  <si>
    <t>61-69</t>
  </si>
  <si>
    <t>1521186X</t>
  </si>
  <si>
    <t>Bioelectromagnetics</t>
  </si>
  <si>
    <t>Mild, Kjell Hansson</t>
  </si>
  <si>
    <t>Solna</t>
  </si>
  <si>
    <t>Swedish Work Environment Authority</t>
  </si>
  <si>
    <t>Mild K.</t>
  </si>
  <si>
    <t>Radiofrequency electromagnetic fields in swedish radio stations and tall FM/TV towers</t>
  </si>
  <si>
    <t>10.1002/bem.2250020107</t>
  </si>
  <si>
    <t>2-s2.0-0019831721</t>
  </si>
  <si>
    <t>['wiley company', 'transient passage', 'spend within', 'significantly affected', 'rectenna might', 'receiving antennas', 'power densities', 'microwaves associated', 'memory functions', 'inc .,', 'duration exceeding', '50 mw', '30 minutes']</t>
  </si>
  <si>
    <t>2.45‚ÄêGHz microwaves | behavior | continuous wave | honeybees | invertebrates | solar power satellite</t>
  </si>
  <si>
    <t>Foraging‚Äêexperienced honeybees retained normal flight, orientation, and memory functions after 30 minutes' exposure to 2.45‚ÄêGHz CW microwaves at power densities from 3 to 50 mW/cm2. These experiments were conducted at power densities approximating and exceeding those that would be present above receiving antennas of the proposed solar power satellite (SPS) energy transmission system and for a duration exceeding that which honeybees living outside a rectenna might be expected to spend within the rectenna on individual foraging trips. There was no evidence that airborne invertebrates would be significantly affected during transient passage through microwaves associated with SPS ground‚Äêbased microwave receiving stations. Copyright ¬© 1981 Wiley‚ÄêLiss, Inc., A Wiley Company</t>
  </si>
  <si>
    <t>71-75</t>
  </si>
  <si>
    <t>60014439;60014439</t>
  </si>
  <si>
    <t>7003566314;6603333683</t>
  </si>
  <si>
    <t>Gary, Norman E.;Westerdahl, Becky Brown</t>
  </si>
  <si>
    <t>Davis</t>
  </si>
  <si>
    <t>University of California, Davis</t>
  </si>
  <si>
    <t>Gary N.</t>
  </si>
  <si>
    <t>Flight, orientation, and homing abilities of honeybees following exposure to 2.45‚ÄêGHz CW microwaves</t>
  </si>
  <si>
    <t>10.1002/bem.2250020108</t>
  </si>
  <si>
    <t>2-s2.0-0019863191</t>
  </si>
  <si>
    <t>['ventral gradients', "ventral ',", 'underlying chemicals', 'two isolated', 'tissue containing', 'threshold values', 'systems form', 'somatic commitment', 'sequential subdivision', 'sequential formation', 'probable ones', 'one eigenfunction', 'observed geometries', 'naturally explained', 'monotonic anterior', 'many single', 'major features', 'localized determinants', 'length scales', 'fate map', "end ',", 'ectodermal tissues', 'early embryo', 'distant regions', 'discrete succession', 'diffusion models', 'developmental commitments', 'compartmental boundaries', 'alternative fates']</t>
  </si>
  <si>
    <t>Three plausible hypotheses about developmental commitments in the Drosophila embryo propose that: (1) a micromosaic of localized determinants in the egg trigger somatic commitments; (2) monotonic anterior-posterior and dorsal-ventral gradients in the egg specify positions by a series of threshold values; (3) sequential subdivision of the early embryo into 'anterior' or 'posterior' 'middle' or 'end', 'dorsal' or 'ventral', 'odd' or 'even' compartmental domains encodes the somatic commitment in each region in a combinatorial epigenetic code. Evidence in favour of such a combinatorial code includes its capacity to account for major features of transdetermination and for many single and coordinated homoeotic transformations. In particular, both these metaplasias often cause transformations between ectodermal tissues such as antenna and genitalia, whose anlagen lie far apart on the blastoderm fate map. This phenomenon is not naturally explained by monotonic gradient models. In contrast, not only transformation between distant regions of the fate map, but also the observed geometries of compartmental boundaries on the wing, and probable ones in the early embryo, are naturally explained by reaction-diffusion models. These systems form a discrete succession of differently shaped monotonic and nonmonotonic eigenfunction gradient patterns of the same morphogens, as the tissue containing the chemical system changes in size and shape, or in other parameters. The successive mirror symmetries in non-monotonic gradients predict that distant regions of the embryo make similar developmental commitments, and also predict specific classes of pattern mutants forming mirror symmetric structures along the embryo on a variety of length scales. Finally, reaction diffusion systems spontaneously generate transverse gradients of the underlying chemicals when more than one eigenfunction is amplified at once, and therefore specify two-dimensional positional information within domains. Although it is attractive, no feature of the combinatorial code hypothesis is verified. Current data relating to whether the sequential formation of compartmental boundaries actually reflects the commitment of the two isolated 'polyclones' to alternative fates, whether any genes act continuously to maintain disc commitments, and whether homoeotic mutants actually 'switch' disc determined states, are assessed.</t>
  </si>
  <si>
    <t>567-594</t>
  </si>
  <si>
    <t>Philosophical transactions of the Royal Society of London. Series B, Biological sciences</t>
  </si>
  <si>
    <t>Kauffman, S. A.</t>
  </si>
  <si>
    <t>Kauffman S.</t>
  </si>
  <si>
    <t>Pattern formation in the Drosophila embryo.</t>
  </si>
  <si>
    <t>10.1098/rstb.1981.0161</t>
  </si>
  <si>
    <t>2-s2.0-0019874852</t>
  </si>
  <si>
    <t>['¬© 1981', 'would correspond', 'upon exposure', 'ultrastructural organisation', 'trapping properties', 'thylakoids developed', 'structural characteristics', 'stacked regions', 'significantly smaller', 'results showed', 'rapid synthesis', 'rapid recovery', 'protein complex', 'photosystem ii', 'photosynthetic membrane', 'optical cross', 'morphological expression', 'intermittent light', 'high concentrations', 'harvesting properties', 'harvesting chlorophyll', 'harvesting antennae', 'functional observations', 'fracture methods', 'energy transfers', 'discrete entities', 'continuous light', 'chloroplast differentiation', 'chlorophyll induced', 'chlorophyll b', 'chl b', 'analyzed mainly', 'also support', 'absorbed energy', '3 compared', '100 h']</t>
  </si>
  <si>
    <t>(Euglena gracilis) | Chlorophyll organization | Greening | Intermittent light | Photosynthetic membrane | Photosystem II | Thylakoid ultrastructure</t>
  </si>
  <si>
    <t>Dark-grown, non-dividing Euglena gracilis Z cells were exposed for 100 h to intermittent light (15 s every 15 min darkness) and were then transferred to continuous light. During chloroplast differentiation, the development of light-harvesting and trapping properties of Photosystem II was analyzed mainly with fluorescence induction measurements in the presence of 3-(3,4-dichlorophenyl)-1,1-dimethylurea and was associated with observations on ultrastructural organisation of developing thylakoids using thin section and freeze-fracture methods. Results showed that: (a) the synthesis of chlorophyll b and probably that of the light-harvesting chlorophyll a/b-protein complex was more reduced by intermittent light than the formation of active system II reaction centers; (b) the size of the overall photosynthetic units, i.e. the number of chlorophyll molecules per O2 molecule evolved under a regime of repetitive saturating short flashes was reduced by 2-3 compared to those developed under continuous light; (c) the lack of chlorophyll induced by intermittent light affected more specifically the size of light-harvesting antennae of system II units, the optical cross-section of which was reduced by 3-4; (d) energy transfers did not occur between these small system II units in spite of high concentrations of PS II reaction centers and of a high trapping efficiency of the absorbed energy; (e) thylakoids developed under intermittent light were not stacked; (f) particles on exoplasmic fracture faces were significantly smaller than those developed under continuous light; (g) rapid synthesis of chlorophyll (Chl a and Chl b) upon exposure to continuous light of cells first greened under intermittent light are concomittant with rapid recovery of light-harvesting properties and structural characteristics of thylakoids developed under continuous light. These structural and functional observations are consistent with the hypothesis that system II units are organized in the photosynthetic membrane as individual and discrete entities, the morphological expression of which would correspond to exoplasmic fracture face particles. They also support the model whereby energy transfers between physically connected system II units could occur across the partition between exoplasmic fracture face particles brought into contact in stacked regions. ¬© 1981.</t>
  </si>
  <si>
    <t>52-69</t>
  </si>
  <si>
    <t>60008134;60008134</t>
  </si>
  <si>
    <t>6603141799;6604010242</t>
  </si>
  <si>
    <t>Dubertret, G.;Lefort-tran, M.</t>
  </si>
  <si>
    <t>Paris</t>
  </si>
  <si>
    <t>CNRS Centre National de la Recherche Scientifique</t>
  </si>
  <si>
    <t>Dubertret G.</t>
  </si>
  <si>
    <t>Functional and structural organization of chlorophyll in the developing photosynthetic membranes of Euglena gracilis Z. IV. Light-harvesting properties of system II photosynthetic units and thylakoid ultrastructure during greening under intermittent light</t>
  </si>
  <si>
    <t>10.1016/0005-2728(81)90127-4</t>
  </si>
  <si>
    <t>2-s2.0-0019879484</t>
  </si>
  <si>
    <t>['‚ äò0', 'tools useful', 'taps required', 'tap spacing', 'specified level', 'sources incident', 'simple case', 'quantitative estimates', 'providing wide', 'primary consideration', 'port antenna', 'performance varies', 'performance evaluation', 'output port', 'numerous types', 'minimum number', 'line parameters', 'line compensation', 'interference sources', 'improved performance', 'generally required', 'frequency independent', 'frequency compensation', 'fractional bandwidth', 'element output', 'element array', 'electronics engineers', 'directive gain', 'dependent weighting', 'controllable weights', 'composite performance', 'band nulls', 'band nulling', 'array performance', 'array configurations', 'antenna field', 'also developed', 'algorithm effects', 'adaptively weighting', 'adaptive processor', 'accomplish broad']</t>
  </si>
  <si>
    <t>For some applications it is desirable to have an antenna which can adaptively form antenna pattern ‚Äúnulls‚Äù in the directions of a collection of interference sources. These nulls are generally required to be below some specified level of directive gain over the entire system bandwidth. Typically the nulls are formed by adaptively weighting each output of an N-port antenna, such as an N-element array. For large arrays operating over wide percentage bandwidths, some sort of frequency compensation is required at each output port to accomplish broad-band nulling. One technique commonly used is to employ a ‚Äútapped‚Äù delay line at each element output, with controllable weights (frequency independent) at the output of each tap. The objective of this paper is to develop some insight into the way in which delay-line compensation leads to improved performance, to develop some quantitative estimates of how performance varies with antenna and delay-line parameters, and to develop some tools useful in the performance evaluation of frequency-dependent weighting. Practical considerations dictate that only a minimum number of taps/ element be utilized. A primary consideration is to minimize the number of taps required for a specific system performance. With this objective in mind, we develop an analytic solution characterizing the two-element array, employing a two-tap delay line with each element. This provides valuable insight into the mechanism of delay-line compensation. Results for this simple case will then be extended to the N-element planar array using Nttaps/element. Tap spacing which optimizes the array performance from the viewpoint of providing wide-band nulls on sources incident on the array from locations arbitrarily specified over the antenna field of view is developed and applied to numerous types of array configurations. The composite performance of nine specific array configurations is used to estimate the number of taps and tap spacing which would be required for an arbitrary array configuration, as a function of the array and delayline parameters Œîœím= (2œÄD/Œª) sin Œ∏m, FBW, œï0, and Nt, where FBW is the fractional bandwidth (100*FWB = percentage nulling bandwidth), Œ∏mis the maximum scan angle off broadside, ‚äò0 is the tap spacing (in degrees, relative to the center-band frequency), D is the maximum aperture dimension, and Nt is the number of taps. The implications of using an Applebaum‚ÄîHowells type of adaptive processor to determine the delay-line output weighting, and the algorithm effects on performance, are also developed. Copyright ¬© 1981 by The Institute of Electrical and Electronics Engineers, Inc.</t>
  </si>
  <si>
    <t>923-936</t>
  </si>
  <si>
    <t>60024592;60024592</t>
  </si>
  <si>
    <t>6701726484;7006737695</t>
  </si>
  <si>
    <t>Mayhan, Joseph T.;Cummings, William C.</t>
  </si>
  <si>
    <t>Lincoln Laboratory</t>
  </si>
  <si>
    <t>Mayhan J.T.</t>
  </si>
  <si>
    <t>Wide-Band Adaptive Antenna Nulling Using Tapped Delay Lines</t>
  </si>
  <si>
    <t>10.1109/TAP.1981.1142694</t>
  </si>
  <si>
    <t>2-s2.0-0037541716</t>
  </si>
  <si>
    <t>['thermal level', 'theoretical one', 'spectrum observed', 'spectrum emitted', 'solved numerically', 'reciprocity principle', 'primary energetic', 'much higher', 'linear conversion', 'langmuir wave', 'langmuir fluctuations', 'langmuir conversion', 'inhomogeneous plasma', 'density gradient', 'deduced level', '60 ev', '3 ev']</t>
  </si>
  <si>
    <t>The problem of the linear conversion of a Langmuir wave to a transverse electromagnetic wave in the presence of a density gradient has been solved numerically with appropriate boundary conditions. A reciprocity principle was found, allowing the deduction of solutions of this problem from those obtained from the transverse-Langmuir conversion. This model has been applied to study the spectrum emitted from an inhomogeneous plasma, including the effect of the antenna radiation pattern. Experiments have been performed in a large unmagnetized dc discharge plasma (ne‚àº5√ó1010 cm-3, Te = 1.3 eV, gradient scale length L = 100 - 1000 cm). The shape of the spectrum observed with a horn antenna agrees with the theoretical one, but the deduced level of Langmuir fluctuations is much higher than the thermal level. This enhancement is due to the presence of primary energetic (E = 60 eV) electrons. ¬© 1981 American Institute of Physics.</t>
  </si>
  <si>
    <t>2197-2207</t>
  </si>
  <si>
    <t>60028186-101220351;60028186;60028186;60028186</t>
  </si>
  <si>
    <t>7006490692;57212730878;57203065426;7004037457</t>
  </si>
  <si>
    <t>Means, R. W.;Muschietti, L.;Tran, M. Q.;Vaclavik, J.</t>
  </si>
  <si>
    <t>Switzerland;United States</t>
  </si>
  <si>
    <t>Lausanne;San Diego</t>
  </si>
  <si>
    <t>Swiss Federal Institute of Technology Lausanne;Data/Ware Development, Inc.</t>
  </si>
  <si>
    <t>60028186;101220351</t>
  </si>
  <si>
    <t>Means R.</t>
  </si>
  <si>
    <t>Electromagnetic radiation from an inhomogeneous plasma: Theory and experiment</t>
  </si>
  <si>
    <t>10.1063/1.863326</t>
  </si>
  <si>
    <t>2-s2.0-0038463466</t>
  </si>
  <si>
    <t>['¬© 1981', 'borne transmitters']</t>
  </si>
  <si>
    <t>The feasibility of VLF wave injection using space-borne transmitters is discussed and the radiating antenna characteristics are reported. ¬© 1981.</t>
  </si>
  <si>
    <t>235-239</t>
  </si>
  <si>
    <t>60012708;60012708;60012708;60012708</t>
  </si>
  <si>
    <t>7005146695;7402501729;7006406824;24530570100</t>
  </si>
  <si>
    <t>Inan, U. S.;Bell, T. F.;Helliwell, R. A.;Katsufrakis, K. P.</t>
  </si>
  <si>
    <t>Palo Alto</t>
  </si>
  <si>
    <t>Stanford University</t>
  </si>
  <si>
    <t>Inan U.</t>
  </si>
  <si>
    <t>A VLF transmitter on the space shuttle</t>
  </si>
  <si>
    <t>10.1016/0273-1177(81)90298-2</t>
  </si>
  <si>
    <t>2-s2.0-0039496524</t>
  </si>
  <si>
    <t>['noise ratio', 'interference signal', 'excellent ability', 'element signal', 'electronics engineers', 'desired signal', 'assumed incident', 'arbitrary angle']</t>
  </si>
  <si>
    <t>The performance of an adaptive array using three mutually perpendicular dipoles (a ‚Äútripole‚Äù) is studied. A desired signal and an interference signal, each with arbitrary angle of arrival and polarization, are assumed incident on the array. Uncorrelated thermal noise is also assumed present on each element signal. The output desired signal-to-interference-plus-noise ratio (SINR) is computed as a function of the signal arrival angles and polarizations. It is shown that for most angles of arrival and polarizations, the array has an excellent ability to protect a desired signal from interference. Certain special cases where the performance is not good are discussed in detail. Copyright ¬© 1981 by The Institute of Electrical and Electronics Engineers, Inc.</t>
  </si>
  <si>
    <t>944-952</t>
  </si>
  <si>
    <t>The Tripole Antenna: An Adaptive Array with Full Polarization Flexibility</t>
  </si>
  <si>
    <t>10.1109/TAP.1981.1142690</t>
  </si>
  <si>
    <t>2-s2.0-0041587465</t>
  </si>
  <si>
    <t>['¬© 1981', 'wave phenomena', 'undertaken inside', 'tip length', 'space sciences', 'satellite location', 'rights reserved', 'plasmaspheric hiss', 'plasmapause determined', 'plasmapause boundary', 'midnight regions', 'low frequency', 'frequency range', 'explorer 45', 'exosb observations', 'electron density', 'electric field', 'dipole antenna', 'antenna impedance', '450 hz', '3 around', '103m gave', '10 cm', '1 hz']</t>
  </si>
  <si>
    <t>IEF (Impedance and Electric Field) instrument onboard EXOS-B was designed to measure an antenna impedance and DC electric field and AC (low frequency) electric field using a long cylindrical antenna system. Preliminary impedance data show an upper hybrid resonance down to a few tens of kHz which corresponds to the electron density of about 10 cm-3 around the plasmapause boundary, where DC electric field intensity changes abruptly as a same manner as observed by the S3 (Explorer 45) satellite. The location of the plasmapause determined by the observed density profile shows Kp-dependence. AC electric field measurement using a dipole antenna with a tip-to-tip length of about 103m gave a variety of wave phenomena in the frequency range from 1 Hz to 450 Hz, such as driftwaves, plasmaspheric hiss, ion cyclotron waves et al., though they have not been clearly identified yet. Since the EXOSB observations were undertaken inside, at the boundary, and outside of the plasmasphere in the midnight regions, those noises were very changeable in frequency, in intensity, and its frequency band width depending on the satellite location. ¬© 1981, Society of Geomagnetism and Earth, Planetary and Space Sciences. All rights reserved.</t>
  </si>
  <si>
    <t>101-110</t>
  </si>
  <si>
    <t>Journal of Geomagnetism and Geoelectricity</t>
  </si>
  <si>
    <t>60025272;60025272;60025272;60025272;60025272</t>
  </si>
  <si>
    <t>57212334493;7005454112;57225864838;57191387386;7006584314</t>
  </si>
  <si>
    <t>Ejiri, M.;Tsuruda, K.;Watanabe, Y.;Nishida, A.;Obayashi, T.</t>
  </si>
  <si>
    <t>The University of Tokyo</t>
  </si>
  <si>
    <t>Ejiri M.</t>
  </si>
  <si>
    <t>Impedance and Electric Field Observations in the Magnetosphere with Satellite JIKIKEN (EXOS-B)</t>
  </si>
  <si>
    <t>10.5636/jgg.33.101</t>
  </si>
  <si>
    <t>2-s2.0-0347393451</t>
  </si>
  <si>
    <t>['undesired modes', 'spatial nulling', 'single tone', 'receive signals', 'pulse sounder', 'pseudorandom sequence', 'propagated via', 'pilot signal', 'phased reversed', 'ocean path', 'occasionally simultaneously', 'maintaining response', 'ionospheric modes', 'high frequency', 'hf ).', 'ground wave', 'frequency selection', 'electronics engineers', 'desired mode', 'communication signal', 'arriving modes', 'arriving mode', 'array system', 'array reduces', 'array processor', 'approximately equal', 'antenna configuration', 'adaptive array', '6 khz', '1f2 modes', '15 db']</t>
  </si>
  <si>
    <t>A four element adaptive array using a modulated pilot signal added to the communication signal at the transmitter has been constructed and tested at high frequency (HF). The pilot signal modulation was designed to discriminate against undesired HF multipath. The array reduces the strength of undesired modes by spatial nulling, while maintaining response in the direction of the desired mode. The array was used to receive signals that propagated via a 150-mi over-ocean path. The antenna configuration and frequency selection were such that the ground wave and ionospheric modes of propagation were approximately equal. The pilot signal, used as a reference for the adaptive array, consisted of a single tone, phased reversed by a pseudorandom sequence. The bandwidth of the pilot signal was selectable at either 3 kHz or 6 kHz. A pulse sounder was used to measure the response of the array system to the arriving modes. During the test the ground wave 1E, 1F1, and 1F2 modes were observed, occasionally simultaneously. The array reference signal could be locked to any arriving mode and the array processor was able to discriminate against all other modes by directing spatial nulls. The reduction in strength of the undesired modes measured during the test was greater than 15 dB. Copyright ¬© 1981 by The Institute of Electrical and Electronics Engineers, Inc.</t>
  </si>
  <si>
    <t>836-841</t>
  </si>
  <si>
    <t>60032503;60032503</t>
  </si>
  <si>
    <t>7403236346;56782256700</t>
  </si>
  <si>
    <t>Hansen, Peder M.;Loughlin, Joseph P.</t>
  </si>
  <si>
    <t>San Diego</t>
  </si>
  <si>
    <t>Space and Naval Warfare Systems Center San Diego</t>
  </si>
  <si>
    <t>Hansen P.M.</t>
  </si>
  <si>
    <t>Adaptive Array for Elimination of Multipath Interference at HF</t>
  </si>
  <si>
    <t>10.1109/TAP.1981.1142691</t>
  </si>
  <si>
    <t>2-s2.0-11144224013</t>
  </si>
  <si>
    <t>['¬© 1981', 'theoretical studies', 'special attention', 'scattering process', 'paper provides', 'numerical study', 'lossy medium', 'linear antenna', 'isolated bodies', 'input admittance', 'free space', 'first reviewed', 'electromagnetic scatterers', 'conducting region', 'branch cut', 'antenna response', 'analytically investigating']</t>
  </si>
  <si>
    <t>The application of the singularity expansion method (SEM) to the analysis of antennas and electromagnetic scatterers has usually been applied to simple, isolated bodies in free space or to simple bodies near a perfectly conducting ground plane. Theoretical studies of SEM have been applied to these relatively simple geometries to yield significant insight into the radiation and scattering process. In analytically investigating the behavior or antennas in a lossy medium, it is known that in addition to simple pole singularities, there is a branch cut linking two branch points in the complex frequency representation of the antenna response. While significant information regarding the nature of the branch cut and its effect on the antenna response can be obtained by purely analytical methods, a numerical study of this antenna can provide useful results. This paper provides an analysis of the behavior of a linear antenna in a conducting region. Special attention is paid to the importance of the branch cut contribution to the overall antenna response. The possibility of realizing the input admittance or impedance of the antenna via lumped circuit elements is first reviewed for the case of a lossless medium surrounding the antenna, and then extended to the case of an antenna in a lossy medium. ¬© 1981 by Hemisphere Publishing Corporation.</t>
  </si>
  <si>
    <t>455-471</t>
  </si>
  <si>
    <t>100559358;100559358</t>
  </si>
  <si>
    <t>55136987000;35612041100</t>
  </si>
  <si>
    <t>Giri, D. V.;Tesche, F. M.</t>
  </si>
  <si>
    <t>Berkeley</t>
  </si>
  <si>
    <t>LuTech, Inc.</t>
  </si>
  <si>
    <t>Giri D.</t>
  </si>
  <si>
    <t>On the use of singularity expansion method for analysis of antennas in conducting media</t>
  </si>
  <si>
    <t>10.1080/02726348108915150</t>
  </si>
  <si>
    <t>2-s2.0-11644263148</t>
  </si>
  <si>
    <t>['typical prime', 'principal planes', 'phase patterns', 'focus paraboloid', 'field patterns', 'field amplitude', 'electronics engineers', 'calculations compare', 'applied successfully']</t>
  </si>
  <si>
    <t>The uniform geometrical theory of diffraction (UGTD) has been applied successfully to analyze the near-field patterns of a prime-focus paraboloid. In order to establish the validity of the analysis, near-field amplitude and phase patterns have been computed over the principal planes at several observation distances for a typical prime-focus paraboloid. These calculations compare very favorably with the corresponding results obtained numerically with the aid of Silver's near-field aperture integration formula. Copyright ¬© 1981 by The Institute of Electrical and Electronics Engineers, Inc.</t>
  </si>
  <si>
    <t>959-961</t>
  </si>
  <si>
    <t>60025757;60025757</t>
  </si>
  <si>
    <t>7006389495;7401617703</t>
  </si>
  <si>
    <t>Narasimhan, M. S.;Prasad, K. M.</t>
  </si>
  <si>
    <t>GTD Analysis of the Near-Field Patterns of a Prime-Focus Symmetric Paraboloidal Reflector Antenna</t>
  </si>
  <si>
    <t>10.1109/TAP.1981.1142688</t>
  </si>
  <si>
    <t>2-s2.0-1542437838</t>
  </si>
  <si>
    <t>['simple function', 'radiation pattern', 'pyramidal horn', 'practical value', 'feed element', 'feed array', 'electronics engineers', 'cigar antenna', 'approximately described']</t>
  </si>
  <si>
    <t>The radiation pattern of a feed element is approximately described by a simple function (cos O)11. For a given element spacing of the feed array, we give simple formulas for estimating the practical value of q when the element is an open-ended rectangular waveguide, an open-ended circular waveguide, a pyramidal horn, or a cigar antenna. Copyright ¬© 1981 by The Institute of Electrical and Electronics Engineers, Inc.</t>
  </si>
  <si>
    <t>961-963</t>
  </si>
  <si>
    <t>60009037-60000745;60009037;60009037</t>
  </si>
  <si>
    <t>7102110120;7005337920;7202573242</t>
  </si>
  <si>
    <t>Rahmat-Samii, Y.;Cramer, P.;Woo, K.</t>
  </si>
  <si>
    <t>Rahmat-Samii Y.</t>
  </si>
  <si>
    <t>Realizable Feed-Element Patterns for Multibeam Reflector Antenna Analysis</t>
  </si>
  <si>
    <t>10.1109/TAP.1981.1142678</t>
  </si>
  <si>
    <t>2-s2.0-29544450306</t>
  </si>
  <si>
    <t>DEB 78-15052</t>
  </si>
  <si>
    <t>['young female', 'two genera', 'totally parasitic', 'settles permanently', 'second antennae', 'placogorgia sp', 'outdated information', 'muzikae differs', 'mature female', 'life cycle', 'late protander', 'larger size', 'inseminating one', 'host specificity', 'host gorgonian', 'gorgonolaureus muzikae', 'functional morphology', 'francis group', 'five specimens', 'expand dorsally', 'established females', 'dorsal horn', 'congener g', 'characters distinguishing', 'brooded within', 'briefly summarized', 'biogeographical model', 'bikiniensis primarily']</t>
  </si>
  <si>
    <t>Twenty-five specimens of a new ascothoracid parasite, Gorgonolaureus muzikae were found within cortical galls on specimens of a bathyal Hawaiian gorgonian, Placogorgia sp. These represent the first ascothoracid known from Hawaii. G. muzikae differs from its congener G. bikiniensis primarily in its larger size and details of setation. Five developmental stages are described and illustrated: The mature female, young female, late protander, protander, and nauplius. The protander is compared to species of Synagoga, and the characters distinguishing the two genera are specified. Sexuality in Ascothoracida is reviewed, and the life cycle of G. muzikae is reconstructed as follows: eggs and larvae are brooded within the carapace of a mature female; a bivalved, free-swimming male stage is postulated; after inseminating one or more established females it settles permanently on a host gorgonian; as the protandric male changes into a female, the carapace valves fuse and expand dorsally, the first and second antennae, thoracopods, penis, and abdomen become reduced, the dorsum of the second thoracomere becomes produced into a ‚Äòhorn‚Äô, and seminal receptacles appear in the thoracopods. The functional morphology of the second antennae, dorsal horn, and thoracopods is discussed, and it is suggested that G. muzikae may filter feed rather than be totally parasitic. The possibility that the large coxal setae represent vestigial epipods is discussed. Aspects of ecology, demography, and host specificity are briefly summarized. Wagin‚Äôs (1976) biogeographical model of the provenance of Gorgonolaureus, based on outdated information, is rejected. ¬© 1981 Taylor &amp; Francis Group, LLC.</t>
  </si>
  <si>
    <t>1019-1045</t>
  </si>
  <si>
    <t>Grygier, Mark J.</t>
  </si>
  <si>
    <t>Scripps Institution of Oceanography</t>
  </si>
  <si>
    <t>Grygier M.</t>
  </si>
  <si>
    <t>Gorgonolaureus muzikae sp. Nov. (crustacea: Ascothoracida) parasitic on a hawaiian gorgonian, with special reference to its protandric hermaphroditism</t>
  </si>
  <si>
    <t>10.1080/00222938100770771</t>
  </si>
  <si>
    <t>2-s2.0-3142538320</t>
  </si>
  <si>
    <t>['¬© 1981', 'ventral flexion', 'united kingdom', 'severely curtailed', 'rights reserved', 'prehensile antennae', 'predator deterrence', 'possible functions', 'feeding grip', 'feeble gnathopods', 'coxal structures', 'coxae 4', 'clamp formed', 'also examined']</t>
  </si>
  <si>
    <t>Coxal plates 1‚Äì5 of Epimeria cornigera form a closely interlocking series keyed by the head such that ventral flexion of the peraeon is severely curtailed. The clamp formed by coxae 4 and 5 is interpreted as an adaptation facilitating copulation in a species with feeble gnathopods and non-prehensile antennae. The morphology of the posterior three pairs of peraeopods can also be regarded as an adaptation for gripping the female. Other possible functions (e.g. predator deterrence and feeding grip) of coxal structures are also examined. ¬© 1981, Marine Biological Association of the United Kingdom. All rights reserved.</t>
  </si>
  <si>
    <t>749-757</t>
  </si>
  <si>
    <t>Journal of the Marine Biological Association of the United Kingdom</t>
  </si>
  <si>
    <t>Moore, P. G.</t>
  </si>
  <si>
    <t>Millport</t>
  </si>
  <si>
    <t>University Marine Biological Station</t>
  </si>
  <si>
    <t>Moore P.</t>
  </si>
  <si>
    <t>A functional interpretation of coxal morphology in epimeria cornigera (crustacea: Amphipoda: Paramphithoidae)</t>
  </si>
  <si>
    <t>10.1017/S0025315400048189</t>
  </si>
  <si>
    <t>2-s2.0-33644877183</t>
  </si>
  <si>
    <t>['three appendages', 'species group', 'rather large', 'hind legs', 'good example', 'general description', 'francis group', 'determine whether', 'confidence intervals', 'calculated including', 'apical segments', 'apical segment', 'allometric gradients']</t>
  </si>
  <si>
    <t>Using homogeneous samples, allometry of size is studied in the antennae, hind legs and palps of female Culicoides pulicaris, punctatus and impunctatus, to determine whether any taxonomically important characters show proportional changes with size. A tendency for isometry is found in the apical segment of the legs and palps in pulicaris and punctatus. In C. impunctatus the only occurrence of allometry is seen in the apical segments of the antenna. Allometric gradients for the three appendages are calculated including the 95% confidence intervals. Generally, these limits are rather large, and many apparent deviations from isometry are not significant. This provides a good example of the need to use confidence limits in studies of allometry. The allometric gradients are very similar in pulicaris and punctatus, in contrast to those of impunctatus, suggesting that no general description of allometry can be applied to the species group. ¬© 1981 Taylor &amp; Francis Group, LLC.</t>
  </si>
  <si>
    <t>775-788</t>
  </si>
  <si>
    <t>Lane, Richard P.</t>
  </si>
  <si>
    <t>Lane R.P.</t>
  </si>
  <si>
    <t>Allometry of size in three species of biting midges (Diptera, ceratopogonidae, culicoides)</t>
  </si>
  <si>
    <t>10.1080/00222938100770571</t>
  </si>
  <si>
    <t>2-s2.0-33645131852</t>
  </si>
  <si>
    <t>['¬© 1981', 'two small', 'tipped peg', 'tip sidewall', 'socketed pegs', 'several types', 'sensillum found', 'porous pegs', 'porous non', 'pegs innervated', 'numerous pegs', 'multiporous non', 'morphological foundation', 'maxillary palps', 'maxillary palp', 'maxillary galeae', 'labial palps', 'fluted multiporous', 'electrophysiological studies', 'digitiform organs', 'campaniform organs', 'antennal club', '5 neurons', '4 neurons', '3 types', '3 neurons', '2 types', '2 neurons', '1 neuron']</t>
  </si>
  <si>
    <t>bark beetle | campaniform organs | Contact chemosensilla | digitiform organs | forest insects | mechanosensilla | olfactory chemosensilla</t>
  </si>
  <si>
    <t>The objective of this study is to provide a morphological foundation for electrophysiological studies on the sensilla of D. ponderosae. The sensilla on the antennae, labial and maxillary palps, galeae and fore-tarsi are described. The antennal club has several types of sensilla: (1) multiporous non-socketed pegs of varying lengths innervated by 2 neurons, (2) uniporous socketed pegs innervated by 5 neurons, (3) pegs innervated by only 1 neuron at the base, (4) tapered uniporous cones innervated by 4 neurons, and (5) fluted multiporous, non-socketed cones innervated by 4 neurons. All hairs on the fore-tarsi are innervated by 1 neuron at the base. The labial and maxillary palp-tips have: (1) digitiform organs, (2) campaniform organs, (3) uniporous, socketed pegs innervated by 5 neurons, and (4) non-porous pegs innervated by 3 neurons. Two small, uniporous, socketed pegs innervated by 4 neurons, are set into the maxillary palp-tip sidewall, and a single, sharp-tipped peg, innervated by 1 neuron, is found on the tip. These 2 types are not seen on the labial palps. The ultrastructure of each type of sensillum found on both the maxillary and labial palps is similar; however, the number of uniporous and non-porous pegs on the labial palps is about half those of the maxilla. The maxillary galeae each have 3 types of sensilla: (1) numerous pegs of various sizes innervated by 1 neuron, (2) a single, possibly uniporous socketed peg innervated by 5 neurons, and (3) another single non-porous non-socketed peg innervated by 2 neurons. ¬© 1981.</t>
  </si>
  <si>
    <t>19-28</t>
  </si>
  <si>
    <t>Whitehead, Armand T.</t>
  </si>
  <si>
    <t>Provo</t>
  </si>
  <si>
    <t>Brigham Young University</t>
  </si>
  <si>
    <t>Whitehead A.</t>
  </si>
  <si>
    <t>Ultrastructure of sensilla of the female mountain pine beetle, Dendroctonus ponderosae hopkins (Coleoptera : scolytidae)</t>
  </si>
  <si>
    <t>0020-7322(81)90010-6</t>
  </si>
  <si>
    <t>10.1016/0020-7322(81)90010-6</t>
  </si>
  <si>
    <t>2-s2.0-33746942473</t>
  </si>
  <si>
    <t>Australian Telecommunications and Electronics Research Board</t>
  </si>
  <si>
    <t>['¬© 1981', 'zenith angles', 'would otherwise', 'vertical angles', "tongue '.", 'statistically significant', 'standard ionogram', 'sporadic e', 'records suggest', 'records show', 'normal level', 'new lead', 'latitude spread', 'isolated patches', 'ionospheric spread', 'ionization density', 'interference pattern', 'f occurrence', 'f irregularities', 'es trace', 'earlier reports', 'directional ionosonde', 'associated spreading', '8 antennas']</t>
  </si>
  <si>
    <t>Specific phase delays imposed on returning ionospheric signals received at 8 antennas in one antenna arm (500 m long) are effective in producing an interference pattern (which is displaced for off-vertical angles) on what would otherwise be a standard ionogram. Recordings from 2 antenna arms at right angles allow the calculations of zenith angles and azimuths-of-arrival for returning ionospheric signals. The system is therefore a directional ionosonde. The records show that ionospheric spread-F signals arrive predominantly from directions in the northwest quadrant consistent with earlier experimental results from Brisbane. Also, the records suggest that at these times of spread-F occurrence it is not unusual to find 'tongues of ionization' which extend some tens of kilometres below the normal level of the F2-layer. These observations are consistent with earlier reports of the existence of almost-vertical ionospheric contours of equal-ionization density. For one particular event which was analysed in detail an enhanced maximum electron-density of the F2-layer was found at the position of the 'tongue'. The occurrence of isolated patches of sporadic E with associated spreading of the Es trace (spread-Es) at the times of occurrence of 18 'tongue' events has been found to be statistically significant. It is suggested that a knowledge of the existence of these tongues at the time of occurrence of mid-latitude spread-F may give a new lead in the quest to explain how and why spread-F irregularities are formed. ¬© 1981.</t>
  </si>
  <si>
    <t>1295-1307</t>
  </si>
  <si>
    <t>7004776896;24428399400</t>
  </si>
  <si>
    <t>Bowman, G. G.;Dunne, G. S.</t>
  </si>
  <si>
    <t>Bowman G.</t>
  </si>
  <si>
    <t>Some initial results on mid-latitude spread-F irregularities using a directional ionosonde</t>
  </si>
  <si>
    <t>10.1016/0021-9169(81)90155-0</t>
  </si>
  <si>
    <t>2-s2.0-33749363320</t>
  </si>
  <si>
    <t>['urosome 1', 'uropod 3', 'uropod 1', 'two decapods', 'superficially similar', 'small rostrum', 'six isopods', 'range extensions', 'prominent keels', 'pereopods 2', 'pereopods 1', 'parametopella stelleri', 'outer ramus', 'neohela intermedia', 'metopelloides erythrophthalmus', 'metopella nasuta', 'long dactyls', 'intermediate form', 'intermedia seems', 'generic characters', 'francis group', 'erythrophthalmus differs', 'dorsal side', 'coxa 3', 'characters reminescent', 'bulbous eyes', 'article 1', 'antenna 1', 'alaskan waters']</t>
  </si>
  <si>
    <t>Range extensions of 17 gammaridean amphipods, six isopods, and two decapods are recorded for Alaskan waters. In addition, two new amphipod species, Metopelloides erythrophthalmus and Neohela intermedia are described and illustrated. N. intermedia seems to be an intermediate form between N. monstrosa and N. pacifica. It has a small rostrum and long dactyls on pereopods 2, 6, and 7, characters reminescent of N. pacifica, and it has bulbous eyes, a swelling on the outer ramus of uropod 1 of the males and a distally expanded peduncle of uropod 3, characters in common with N. pacifica. Although Metopelloides erythrophthalmus is superficially similar to Metopella nasuta and Parametopella stelleri in that all three have prominent keels on the dorsal side of article 1 of antenna 1 and on urosome 1, M. erythrophthalmus differs from M. nasuta and P. stelleri not only by the generic characters, but also in the structure of pereopods 1 and 2, coxa 3 and 4, and the armature of the uropods and telson. ¬© 1981 Taylor &amp; Francis Group, LLC.</t>
  </si>
  <si>
    <t>Sarsia</t>
  </si>
  <si>
    <t>60011976;60011976</t>
  </si>
  <si>
    <t>7005903764;56965203500</t>
  </si>
  <si>
    <t>Coyle, Kenneth O.;Mueller, George J.</t>
  </si>
  <si>
    <t>Fairbanks</t>
  </si>
  <si>
    <t>University of Alaska Fairbanks</t>
  </si>
  <si>
    <t>Coyle K.O.</t>
  </si>
  <si>
    <t>New records of alaskan marine crustacea, with descriptions of two new Gammaridean Amphipoda</t>
  </si>
  <si>
    <t>10.1080/00364827.1981.10414515</t>
  </si>
  <si>
    <t>2-s2.0-34047230125</t>
  </si>
  <si>
    <t>['transmission differ', 'special functions', 'reciprocity theorem', 'radiation patterns', 'power reception', 'momentum absorbed', 'modal solution', 'electromagnetic momentum', 'electromagnetic approximations', 'detailed calculation', 'confined within', 'comparative receiving', 'antenna load', 'antenna arms', 'analytical formulation']</t>
  </si>
  <si>
    <t>The modal solution to a biconical receiving antenna with arbitrary arm angles and lengths is presented in the form of sums over special functions; sums which are exact in the sense that no electromagnetic approximations are made. The antenna load is confined within a sphere of small radius centered at the apices of the cones. The analytical formulation is presented, along with solutions for œà very small and very large, and certain selected numerical data. The general solution permits calculation of all detailed fields near and far, both receiving and transmitting current modes on the antenna arms and caps and the power and the momentum absorbed by the antenna from an incoming plane wave. It is shown that the receiving current modes are necessary for electromagnetic momentum to be conserved during power reception. Detailed calculation of comparative receiving and transmitting admittances confirms that they are identical, as predicted by the reciprocity theorem. The radiation patterns, however, for retransmission during reception and for transmission differ. ¬© 1982 American Institute of Physics.</t>
  </si>
  <si>
    <t>897-914</t>
  </si>
  <si>
    <t>Journal of Mathematical Physics</t>
  </si>
  <si>
    <t>Grimes, Dale M.</t>
  </si>
  <si>
    <t>Grimes D.M.</t>
  </si>
  <si>
    <t>Biconical receiving antenna</t>
  </si>
  <si>
    <t>10.1063/1.525442</t>
  </si>
  <si>
    <t>2-s2.0-36749108834</t>
  </si>
  <si>
    <t>['quality factor', 'ieee trans', 'first time', 'evanescent energy']</t>
  </si>
  <si>
    <t>For the first time the quality factor of cylindrical source antennas is derived by a plane wave expansion. The evanescent energy (and therefore the quality factor) as defined by a plane wave expansion is shown to be different from Collin and Rothschild's [IEEE Trans. Antennas Propagation AP-12, 23 (1964)] quality factor. ¬© 1982 American Institute of Physics.</t>
  </si>
  <si>
    <t>1713-1716</t>
  </si>
  <si>
    <t>Jarem, John M.</t>
  </si>
  <si>
    <t>El Paso</t>
  </si>
  <si>
    <t>The University of Texas at El Paso</t>
  </si>
  <si>
    <t>Jarem J.M.</t>
  </si>
  <si>
    <t>The pattern space factor and quality factor of cylindrical source antennas</t>
  </si>
  <si>
    <t>10.1063/1.525559</t>
  </si>
  <si>
    <t>2-s2.0-36749112396</t>
  </si>
  <si>
    <t>['radio waves', 'negligibly small', 'good conductors', 'dipole antenna', 'conducting wall', 'additional resistance']</t>
  </si>
  <si>
    <t>When a charged particle moves near a conducting wall, currents are induced which lead to dissipation and an additional resistance to the motion. The magnitude of this effect is calculated by the adaptation of results for the propagation of radio waves from a dipole antenna. The effect is negligibly small for good conductors, but may be nonnegligible for semiconductors. ¬© 1981 American Institute of Physics.</t>
  </si>
  <si>
    <t>5908-5910</t>
  </si>
  <si>
    <t>The Journal of Chemical Physics</t>
  </si>
  <si>
    <t>Mazo, Robert M.</t>
  </si>
  <si>
    <t>Eugene</t>
  </si>
  <si>
    <t>University of Oregon</t>
  </si>
  <si>
    <t>Mazo R.</t>
  </si>
  <si>
    <t>On the mobility of an ion near a conducting boundary</t>
  </si>
  <si>
    <t>10.1063/1.442042</t>
  </si>
  <si>
    <t>2-s2.0-36749119915</t>
  </si>
  <si>
    <t>['¬© 1981', 'superfluid helium', 'stationary case', 'pitaevskii equation', 'new antenna', 'gravitational field', 'general theory', 'general relativity', 'developed within', 'covariant generalization']</t>
  </si>
  <si>
    <t>A general theory of the interaction of superfluid helium with a gravitational field is developed within the framework of general relativity by using a covariant generalization of the Gross-Pitaevskii equation. The general relativistic Sagnac effect for the superfluid Josephson interferometer is obtained in the stationary case. The influence of a plane-polarized gravitational wave on a recently proposed superfluid gravitational antenna as well as a new antenna is determined. ¬© 1981 The American Physical Society.</t>
  </si>
  <si>
    <t>463-467</t>
  </si>
  <si>
    <t>Physical Review Letters</t>
  </si>
  <si>
    <t>Anandan, J.</t>
  </si>
  <si>
    <t>University of California, Berkeley</t>
  </si>
  <si>
    <t>Anandan J.</t>
  </si>
  <si>
    <t>Gravitational and inertial effects in quantum fluids</t>
  </si>
  <si>
    <t>10.1103/PhysRevLett.47.463</t>
  </si>
  <si>
    <t>2-s2.0-3843073467</t>
  </si>
  <si>
    <t>Australian Research Council</t>
  </si>
  <si>
    <t>ARC</t>
  </si>
  <si>
    <t>['¬© 1981', 'simultaneous reflections', 'lower e', 'ionosphere using', 'directional scanning', 'different directions', 'antenna array']</t>
  </si>
  <si>
    <t>The operation of a system is described for directional scanning of the ionosphere using a steerable (phased) antenna array. Data from the lower E-region during disturbed periods often indicates the presence of a few simultaneous reflections from different directions each lasting several seconds only. Evidence also exists for longer lasting disturbances. ¬© 1981.</t>
  </si>
  <si>
    <t>1015-1026</t>
  </si>
  <si>
    <t>Jones, K. L.</t>
  </si>
  <si>
    <t>Jones K.</t>
  </si>
  <si>
    <t>The interpretation of radar echoes from altitudes near 100 km using a phased antenna array</t>
  </si>
  <si>
    <t>0021-9169(81)90016-7</t>
  </si>
  <si>
    <t>10.1016/0021-9169(81)90016-7</t>
  </si>
  <si>
    <t>2-s2.0-4043126436</t>
  </si>
  <si>
    <t>['¬© 1981', 'rotating body', 'method uses', 'japan society', 'gravitational radiation', 'calibrating antennas', 'applied physics']</t>
  </si>
  <si>
    <t>A method of calibrating antennas for gravitational radiation is presented. The method uses the dynamic Newton field of a rotating body and is suitable in experiments for frequencies up to several hundred hertz. ¬© 1981 The Japan Society of Applied Physics.</t>
  </si>
  <si>
    <t>L498-L500</t>
  </si>
  <si>
    <t>60025272;60025272;60025272;60025272</t>
  </si>
  <si>
    <t>56152203300;7004058311;7402775597;7103211355</t>
  </si>
  <si>
    <t>Suzuki, Toshikazu;Tsubono, Kimio;Kuroda, Kazuaki;Hirakawa, Hiromasa</t>
  </si>
  <si>
    <t>Suzuki T.</t>
  </si>
  <si>
    <t>Calibration of gravitational radiation antenna by dynamic newton field</t>
  </si>
  <si>
    <t>10.1143/JJAP.20.L498</t>
  </si>
  <si>
    <t>2-s2.0-4243550106</t>
  </si>
  <si>
    <t>['trapezoidal plates', 'surface plates', 'surface deformations', 'suggested least', 'squares procedure', 'solid plate', 'simple true', 'simple equation', 'satisfactory approximation', 'ribs ).', 'resulting procedure', 'enforced twists', 'electronics engineers', 'corner adjustment', 'adjustment amounts', '27 percent']</t>
  </si>
  <si>
    <t>Surface plates with four adjustment screws, one at each corner, allow four degrees of freedom for their adjustment, including an internal nonplanar twist or warp. Thus the surface deformations of trapezoidal plates under enforced twists are investigated. A simple equation is derived, holding as a satisfactory approximation for various plate designs (solid plate, honeycomb, and skin-and-ribs). Measurements at four different experimental plates agree with it within 2 percent. This approximation is then used to develop a least-squares procedure for obtaining those adjustment amounts which minimize the root-mean-square (rms) deviation between the plate's surface and the desired telescope paraboloid. The resulting procedure is recommended for all telescopes with trapezoidal surface plates. Seven experimental plates of four different designs were tested in the lab, and the suggested least-squares procedure (as compared to a simple true-corner adjustment) improved the residuals by 27 percent. Measurements of some plates on a telescope gave also encouraging results. Copyright ¬© 1981 by The Institute of Electrical and Electronics Engineers, Inc.</t>
  </si>
  <si>
    <t>953-958</t>
  </si>
  <si>
    <t>Von Hoerner, Sebastian</t>
  </si>
  <si>
    <t>Charlottesville</t>
  </si>
  <si>
    <t>National Radio Astronomy Observatory</t>
  </si>
  <si>
    <t>Von Hoerner S.</t>
  </si>
  <si>
    <t>Internal Twist and Least-Squares Adjustment of Four-Cornered Surface Plates for Reflector Antennas</t>
  </si>
  <si>
    <t>10.1109/TAP.1981.1142681</t>
  </si>
  <si>
    <t>2-s2.0-47549095605</t>
  </si>
  <si>
    <t>['¬© 1981', 'totally inhibited', 'subcellular locations', 'slightly inhibited', 'similar ca2', 'required mg2', 'ph optimum', 'periplaneta americana', 'ouabain pi50', 'optimum activity', 'optimal range', 'maximal activity', 'km values', 'ion dependencies', 'completely inhibited', 'ca2 +.', '27 mm', '24 mm']</t>
  </si>
  <si>
    <t>antennae | enzyme properties | K -ATPase + | kinetics | Mg -ATPase 2+ | Na + | Periplaneta americana | sensory perception | subcellular distribution</t>
  </si>
  <si>
    <t>The properties and subcellular locations of (Na+,K+)-ATPase and Mg2+-ATPase from antennae of Periplaneta americana were studied. (Na+,K+)-ATPase and Mg2+-ATPase were found to be different enzyme systems based on their ion dependencies and subcellular locations. (Na+,K+)-ATPase was associated with the apparent plasma membrane fraction, required Na+,K+, and Mg2+ for optimum activity, and was inhibited by ouabain. For (Na+,K+)-ATPase the optimal pH range was 8.8-9.5; and the Km values for Na+,K+, and ATP were 6.3, 3.7, and 0.22-0.24 mM, respectively. The optimal range in Mg2+:ATP concentration ratio was 1.0-1.4. The ouabain pI50 was 6.2; and (Na+,K+)-ATPase activity was completely inhibited by 1 √ó 10-4 M ouabain. Mg2+-ATPase was associated with the apparent mitochondrial fraction, required Mg2+ for maximal activity, was inhibited by Na+, independent of K+ and not inhibited by ouabain. The pH optimum was 8.0; and Km values for Mg2+ and ATP were 2.3 and 0.24-0.27 mM, respectively. Neither (Na+,K+)-ATPase nor Mg2+-ATPase appeared to be stimulated by Ca2+. (Na+,K+)-ATPase was totally inhibited by 4.5 mM Ca2+, while Mg2+-ATPase was slightly inhibited at similar Ca2+ concentrations. ¬© 1981.</t>
  </si>
  <si>
    <t>743-750</t>
  </si>
  <si>
    <t>Insect Biochemistry</t>
  </si>
  <si>
    <t>7201567294;24524824500</t>
  </si>
  <si>
    <t>Norris, Dale M.;Cary, Lisa R.</t>
  </si>
  <si>
    <t>Norris D.</t>
  </si>
  <si>
    <t>Properties and subcellular distribution of Na&lt;sup&gt;+&lt;/sup&gt;,K&lt;sup&gt;+&lt;/sup&gt;-ATPase and Mg&lt;sup&gt;2+&lt;/sup&gt;-ATPase in the antennae of Periplaneta americana</t>
  </si>
  <si>
    <t>0020-1790(81)90067-6</t>
  </si>
  <si>
    <t>10.1016/0020-1790(81)90067-6</t>
  </si>
  <si>
    <t>2-s2.0-49049146971</t>
  </si>
  <si>
    <t>['¬© 1981', 'completely evaluated', '1250 hours', '10 mk', '1 year', '1 gpu']</t>
  </si>
  <si>
    <t>The low temperature gravitational radiation antenna under development at Stanford has now been operating for about 1 year. During this time the system has been completely evaluated and 1250 hours has been spent taking data. The antenna noise temperature has been measured at 10 mK and the sensitivity in 10-1 GPU. ¬© 1981.</t>
  </si>
  <si>
    <t>23-26</t>
  </si>
  <si>
    <t>Physica B+C</t>
  </si>
  <si>
    <t>August 1981/September 1981</t>
  </si>
  <si>
    <t>6603410043;7003358403;35230455000;7006744335</t>
  </si>
  <si>
    <t>McAshan, M. S.;Fairbank, W. M.;Michelson, P. F.;Taber, R. C.</t>
  </si>
  <si>
    <t>McAshan M.</t>
  </si>
  <si>
    <t>Status of the Stanford gravitational wave experiment</t>
  </si>
  <si>
    <t>0378-4363(81)90319-3</t>
  </si>
  <si>
    <t>10.1016/0378-4363(81)90319-3</t>
  </si>
  <si>
    <t>2-s2.0-49049147242</t>
  </si>
  <si>
    <t>['¬© 1981', 'waves near', 'small antennae', 'review presents', 'q machines', 'ponderomotive force', 'parametric decay', 'narrow pulses', 'move away', 'larger amplitudes', 'hydrogen plasmas', 'general trend', 'effects arising', 'double layers', 'anomalous resistivity']</t>
  </si>
  <si>
    <t>This review presents an overview of wave experiments carried out in laboratory plasmas since 1976. The general trend has been to move away from one dimensional experiments (eg. in Q machines) to experiments with small antennae in large magnetized plasmas involving at least two dimensions. In the main, these experiments involve resonance cone measurements and cyclotron harmonic wave propagation. At larger amplitudes, experiments have been carried out using resonance cones and waves near the electron plasma frequency to investigate the effects arising from the ponderomotive force and from parametric decay. Turbulence - or anomalous resistivity - effects have been studied by propagating large amplitude very narrow pulses through magnetoplasmas. A number of experiments have been made on double layers but their stability still remains somewhat of a mystery. The different results obtained by superficially similar experiments will be discussed in the light of the different methods used to create the plasma. In particular, the difference between Argon and Hydrogen plasmas will be emphasized. ¬© 1981.</t>
  </si>
  <si>
    <t>331-345</t>
  </si>
  <si>
    <t>Boswell, R. W.</t>
  </si>
  <si>
    <t>Orleans-La Source</t>
  </si>
  <si>
    <t>Plasma Research Laboratory</t>
  </si>
  <si>
    <t>Boswell R.</t>
  </si>
  <si>
    <t>Plasma waves in the laboratory</t>
  </si>
  <si>
    <t>10.1016/0273-1177(81)90308-2</t>
  </si>
  <si>
    <t>2-s2.0-49149133403</t>
  </si>
  <si>
    <t>['¬© 1981', 'two currents', 'symmetry axis', 'second step', 'practical case', 'plane curve', 'numerical exploration', 'necessarily true', 'metallic conductor', 'large distances', 'known distribution', 'given length', 'formula giving', 'first step', 'field radiated', 'elementary dipole', 'determine explicitly', 'best compromise']</t>
  </si>
  <si>
    <t>The formula giving the expression of the radiation of an elementary dipole in a given direction yields, by an integration, the electric field radiated at large distances by a metallic conductor with the shape of a plane curve. We are given plane antennas, which have a given length, made of two strands symmetrically disposed. This antenna is alimented by two currents which are opposite with a known distribution. In a first step, using the techniques of the calculus of variations, we get some conditions which are necessarily true, so that the field radiated by such an antenna is maximal in the direction of their symmetry axis. The influence of the ground is neglected. Then, in a second step, by means of a numerical exploration, we determine explicitly, for a given frequency range, the shape of such antennas so that we obtain the best compromise between the gain, the directivity, and the volume. Finally, we describe an extension of the method to the case of an unknown current distribution. Then, we consider the diameter and the shape of the conductor; this is the practical case. ¬© 1981.</t>
  </si>
  <si>
    <t>259-281</t>
  </si>
  <si>
    <t>Mathematical Modelling</t>
  </si>
  <si>
    <t>Meritet, Alain</t>
  </si>
  <si>
    <t>Meritet A.</t>
  </si>
  <si>
    <t>Optimization of a thin antenna</t>
  </si>
  <si>
    <t>0270-0255(81)90011-7</t>
  </si>
  <si>
    <t>10.1016/0270-0255(81)90011-7</t>
  </si>
  <si>
    <t>2-s2.0-49149136008</t>
  </si>
  <si>
    <t>['¬© 1981', 'take place', 'relay link', 'phase b', 'observed data', 'november 28th', 'mid 1981', 'measuring phase', 'european probe', 'electron analyzer', 'comet halley', 'active attitude', '27 kg', '250 kg', '20 kbit', '1000 wh']</t>
  </si>
  <si>
    <t>Comet Halley probe | Dust shield | ISEE 2 | Joint cometary mission</t>
  </si>
  <si>
    <t>A European probe to comet Halley is proposed. The probe's model payload consists of 8 scientific instruments, viz. neutral, ion and dust impact mass spectrometers, magnetometer, medium energy ion and electron analyzer, camera, dust impact detectors and plasma wave experiment. Fly-by of the comet Halley nucleus will take place on November 28th, 1985, at about 500 km miss distance. The main spacecraft serves as relay link to transmit the observed data to Earth. As probe, a modified ISEE 2 design is proposed. Because of the cometary dust hazard expected in the coma a heavy dust shield (27 kg) is required, consisting of a thin front sheet and a 3 layer rear sheet. The probe is spin-stabilized (12 rpm), has no active attitude and orbit control capability and uses battery power only to provide about 1000 Wh for a measuring phase. A despun antenna transmits up to 20 kbit/s, in X-band. The total probe mass is estimated at 250 kg. The 3 model development programme should start in mid 1981 with Phase B. ¬© 1981.</t>
  </si>
  <si>
    <t>131-136</t>
  </si>
  <si>
    <t>60002286;60002286;60002286</t>
  </si>
  <si>
    <t>6507328662;24531048400;24529451800</t>
  </si>
  <si>
    <t>Trogus, Wolfgang;Ockert, Rolf;Auer, Rolf Dieter</t>
  </si>
  <si>
    <t>Trogus W.</t>
  </si>
  <si>
    <t>A European probe to comet Halley</t>
  </si>
  <si>
    <t>10.1016/0273-1177(81)90491-9</t>
  </si>
  <si>
    <t>2-s2.0-49149136380</t>
  </si>
  <si>
    <t>['¬© 1981', 'skeletal muscles', 'main features', 'magnetic fields', 'human heart', 'dayem bridges']</t>
  </si>
  <si>
    <t>An improved flat dc-thin film SQUID with Dayem bridges has been used for the measurement of the magnetic fields of human heart and skeletal muscles. Using an antenna in form of superconducting asymmetric second derivative gradiometer a sensitivity to magnetic fields of 1 √ó 10-12 T Hz -1 2 could be reached. The main features of measurement and some results are presented. ¬© 1981.</t>
  </si>
  <si>
    <t>607-608</t>
  </si>
  <si>
    <t>Cryogenics</t>
  </si>
  <si>
    <t>60016082;60029507;60029507;60029507;60029507;60029507</t>
  </si>
  <si>
    <t>7102097167;24530762100;8529835200;7102004441;6602195976;6603490222</t>
  </si>
  <si>
    <t>Albrecht, G.;Hiibert, A.;Kirsch, G.;Nowak, H.;Vodel, W.;Zach, H. G.</t>
  </si>
  <si>
    <t>Germany;Germany</t>
  </si>
  <si>
    <t>Jena;Berlin</t>
  </si>
  <si>
    <t>Friedrich-Schiller-Universit√§t Jena;Akademie der Wissenschaften der DDR</t>
  </si>
  <si>
    <t>60029507;60016082</t>
  </si>
  <si>
    <t>Albrecht G.</t>
  </si>
  <si>
    <t>Application of flat dc-thin film SQUID's and technique for biomagnetic measurements</t>
  </si>
  <si>
    <t>10.1016/0011-2275(81)90231-9</t>
  </si>
  <si>
    <t>2-s2.0-49149138207</t>
  </si>
  <si>
    <t>Office of Naval Research</t>
  </si>
  <si>
    <t>N000l4‚Äî76‚ÄîC‚Äî0754</t>
  </si>
  <si>
    <t>['¬© 1981', 'time shorter', 'thermal speed', 'thermal pressure', 'short duration', 'pulse length', 'produce large', 'penetrate beyond', 'module consisting', 'laboratory results', 'laboratory experiments', 'high power', 'generalized concept', 'field experiment', 'electromagnetic waves', 'based system', 'accelerate ions']</t>
  </si>
  <si>
    <t>Laboratory experiments in which high power, pulsed electromagnetic waves interact with an inhomogeneous plasma indicate that the generated nonlinear plasma phenomena depend on peak incident power and not on pulse length. The electromagnetic waves can penetrate beyond the cutoff and produce large, enhanced electrostatic fields at the critical layer within 100 electron plasma periods. The enhanced electric field pressure can be comparable to the thermal pressure and can accelerate ions and electrons to velocities much greater than their thermal speed. Large density cavities (with Œ¥n/n ‚â≥ 10%) can be created in a time shorter than the usual ion response time because of the accelerated ion dynamics. These laboratory results have been extended to create a new and generalized concept to actively stimulate space plasmas with high power pulses of short duration. A field experiment will be used for the stimulation of auroral ionospheric plasma. The ground-based system is modular, each module consisting of a 2 MW pulsed HF transmitter designed at UCLA and a crossed-dipole antenna element. Incoherent scatter radar and optical diagnostic methods are discussed. ¬© 1981.</t>
  </si>
  <si>
    <t>225-228</t>
  </si>
  <si>
    <t>60027550;60027550;60011976;60011976</t>
  </si>
  <si>
    <t>16237673600;6602727143;6701680787;6602446792</t>
  </si>
  <si>
    <t>Wong, A. Y.;Santoru, J.;Roederer, J. G.;Sivjee, G.</t>
  </si>
  <si>
    <t>Los Angeles;Fairbanks</t>
  </si>
  <si>
    <t>University of California, Los Angeles;University of Alaska Fairbanks</t>
  </si>
  <si>
    <t>60027550;60011976</t>
  </si>
  <si>
    <t>Wong A.</t>
  </si>
  <si>
    <t>Active stimulation of the ionospheric plasma</t>
  </si>
  <si>
    <t>0273-1177(81)90296-9</t>
  </si>
  <si>
    <t>10.1016/0273-1177(81)90296-9</t>
  </si>
  <si>
    <t>2-s2.0-49149138208</t>
  </si>
  <si>
    <t>CHE-7815436</t>
  </si>
  <si>
    <t>['¬© 1981', 'widely studied', 'quartz tube', 'previous work', 'plasma performance', 'moved away', 'measurements performed', 'instrumental parameters', 'induced plasma', 'greater increase', 'generally maintained', 'electron density', 'communication presents', 'collision would', 'atomization processes', 'another method']</t>
  </si>
  <si>
    <t>The microwave-induced plasma has been widely studied as a spectrochemical excitation source. The plasma is generally maintained in a quartz tube, and energy coupled via a cavity or antenna. Previous work has shown the importance of the electron density; plasma performance is improved as the instrumental parameters are adjusted to increase the electron density. Another method to increase the electron density is to constrict the plasma. Additionally, energy losses via wall-collision would be decreased if the plasma were moved away from the walls. This communication presents such a study, in which the plasma is 'pinched' by the application of an external magnetic field. Preliminary results show an increase in intensity by a factor of two. The constriction also tends to improve the atomization processes. Measurements performed on plasmas which contain carbon monoxide show a greater increase in the carbon atomic emission than the carbon monoxide molecular emission. ¬© 1981.</t>
  </si>
  <si>
    <t>925-929</t>
  </si>
  <si>
    <t>Spectrochimica Acta Part B: Atomic Spectroscopy</t>
  </si>
  <si>
    <t>60018179;60018179</t>
  </si>
  <si>
    <t>7006394108;24531895100</t>
  </si>
  <si>
    <t>Goode, Scott R.;Pipes, Dennis T.</t>
  </si>
  <si>
    <t>Columbia</t>
  </si>
  <si>
    <t>University of South Carolina</t>
  </si>
  <si>
    <t>Goode S.</t>
  </si>
  <si>
    <t>Constriction of a microwave-induced plasma by a magnetic pinch</t>
  </si>
  <si>
    <t>0584-8547(81)80083-3</t>
  </si>
  <si>
    <t>10.1016/0584-8547(81)80083-3</t>
  </si>
  <si>
    <t>2-s2.0-49149139234</t>
  </si>
  <si>
    <t>['¬© 1981', 'transmitting antenna', 'spacelab instrument', 'processing signals', 'plasmas facility', 'plasma instabilities', 'ionospheric structure', 'frequency part', 'flexible shuttle']</t>
  </si>
  <si>
    <t>WISP/HF is the medium- and high-frequency part of the Waves-In-Space-Plasmas facility. It is a flexible Shuttle/Spacelab instrument for transmitting, receiving and processing signals in the 0.3 to 30 MHz range. WISP/HF will be used to study the transmitting antenna, fundamentals of electromagnetic (EM) and electrostatic (ES) waves in magnetoplasmas, plasma instabilities and nonlinearities, and sounding of ionospheric structure. ¬© 1981.</t>
  </si>
  <si>
    <t>241-244</t>
  </si>
  <si>
    <t>James, H. G.</t>
  </si>
  <si>
    <t>Communications Research Centre</t>
  </si>
  <si>
    <t>James H.</t>
  </si>
  <si>
    <t>High-frequency radio experiments with the WISP system on Spacelab</t>
  </si>
  <si>
    <t>10.1016/0273-1177(81)90299-4</t>
  </si>
  <si>
    <t>2-s2.0-49149139254</t>
  </si>
  <si>
    <t>['¬© 1981', 'wave spectra', 'wave sensing', 'water ice', 'terrestrial ice', 'substrata provides', 'sublimating surface', 'snow fields', 'refractory grains', 'orbiting instruments', 'nucleus indicate', 'near vicinity', 'modest millimeter', 'modern theories', 'make definitivebservations', 'major obstacle', 'interplanetary spacecraft', 'inner coma', 'illustrative spectra', 'gas phase', 'effective means', 'crust thickness', 'computed millimeter', 'comet would', 'boundary temperature', 'alternate models', 'actually observed']</t>
  </si>
  <si>
    <t>Predicted brightness temperatures for a variety of cometary nucleus models, consisting of homogeneous layers comprised of mixtures of water ice and refractory grains, are presented as functions of wavelength. These illustrative spectra are computed using simple radiative transfer techniques adapted from modeling of terrestrial ice and snow fields. The computed millimeter-wave spectra are sensitive to the values of physically significant nucleus parameters such as crust thickness, the subsurface temperature gradient, and the boundary temperature of the sublimating surface. It appears that millimeter-wave sensing from an interplanetary spacecraft is an effective means for distinguishing between alternate models of the nucleus and for inferring the rough physical state of substrata; modern theories on the nature of the nucleus indicate that sublimation from the substrata provides the gas phase cometary volatiles that are actually observed from ground-based and Earth-orbiting instruments. Antenna beam dilution is a major obstacle for ground-based molecular spectral line radio observations (e.g., water and ammonia) of comets but a modest millimeter-wave radiometer system in the near vicinity of the comet would not be subject to this problem. Such a system can make definitivebservations of several candidate parent molecules in the gas phase and should contribute to the understanding of the physics of the inner coma. ¬© 1981.</t>
  </si>
  <si>
    <t>434-440</t>
  </si>
  <si>
    <t>Icarus</t>
  </si>
  <si>
    <t>60006337;60006337;60006337;60006337</t>
  </si>
  <si>
    <t>16483520000;7201484392;7003703651;35773522200</t>
  </si>
  <si>
    <t>Hobbs, Robert W.;Brandt, John C.;Maran, Stephen P.;Hollis, Jan M.</t>
  </si>
  <si>
    <t>Hobbs R.</t>
  </si>
  <si>
    <t>Millimeter-wave experiments for cometary space missions</t>
  </si>
  <si>
    <t>10.1016/0019-1035(81)90191-3</t>
  </si>
  <si>
    <t>2-s2.0-49149139495</t>
  </si>
  <si>
    <t>['significantly lower', 'sensitivity corresponds', 'radiation antenna', 'detecting displacements', '40 mk', '2 k']</t>
  </si>
  <si>
    <t>A noncontacting 10 GHz re-entrant cavity transducer, capable of detecting displacements of 10-15 cm per Hz1/2 in the kilohertz frequency range, has been used on a magnetically levitated niobium gravitational-radiation antenna at 4.2 K. This sensitivity corresponds to a system effective noise temperature of about 40 mK, which is significantly lower than previous systems operated to date. ¬© 1981 Societ√† Italiana di Fisica.</t>
  </si>
  <si>
    <t>73-80</t>
  </si>
  <si>
    <t>II Nuovo Cimento B Series 11</t>
  </si>
  <si>
    <t>60031806;60031806</t>
  </si>
  <si>
    <t>22974326500;7201627826</t>
  </si>
  <si>
    <t>Blair, D. G.;Mann, A. G.</t>
  </si>
  <si>
    <t>Perth</t>
  </si>
  <si>
    <t>The University of Western Australia</t>
  </si>
  <si>
    <t>Blair D.</t>
  </si>
  <si>
    <t>Low-noise temperature gravitational-radiation antenna-transducer system</t>
  </si>
  <si>
    <t>10.1007/BF02721704</t>
  </si>
  <si>
    <t>2-s2.0-51249185748</t>
  </si>
  <si>
    <t>['wave experiments', 'results useful', 'measurements performed', 'lateral surface', 'delicate problem']</t>
  </si>
  <si>
    <t>A very delicate problem in gravitational-wave experiments is that of insulation of the antenna from external, acoustic or seismic, disturbances. The mechanism of excitation in terms of time variable stresses exerted by the suspension on the lateral surface of the antenna itself has been studied and results useful for design purposes obtained. Measurements performed with a small model antenna are in agreement with calculations. ¬© 1981 Societ√† Italiana di Fisica.</t>
  </si>
  <si>
    <t>93-102</t>
  </si>
  <si>
    <t>Il Nuovo Cimento C</t>
  </si>
  <si>
    <t>60021199;60032350-60021660</t>
  </si>
  <si>
    <t>16486670300;7103269533</t>
  </si>
  <si>
    <t>Fuligni, F.;Ricci, F.</t>
  </si>
  <si>
    <t>Italy;Italy;Italy</t>
  </si>
  <si>
    <t>Rome;Rome;Rome</t>
  </si>
  <si>
    <t>Sapienza Universit√† di Roma;Istituto Nazionale di Fisica Nucleare - INFN;Consiglio Nazionale delle Ricerche</t>
  </si>
  <si>
    <t>60032350;60021660;60021199</t>
  </si>
  <si>
    <t>Fuligni F.</t>
  </si>
  <si>
    <t>A study on the external-noise input in weber-type gravitational-wave antennas</t>
  </si>
  <si>
    <t>10.1007/BF02507748</t>
  </si>
  <si>
    <t>2-s2.0-51649165252</t>
  </si>
  <si>
    <t>['used within', 'repetitive differentiation', 'quite large', 'leading term', 'large antennas', 'fresnel zone', 'fresnel approximation', 'far field', 'electronics engineers', 'efficient computation', 'authors via', 'authors start']</t>
  </si>
  <si>
    <t>Many useful applications exist for the efficient computation of Fresnel and near zone fields of large antennas. Even small antennas in beam waveguide systems must be evaluated in the Fresnel zone. Far zone fields computed from measured near zone measurements can be verified by both the measurement and the computation of the Fresnel zone fields. The authors start with the premise that the far field has been computed by a Jacobi‚ÄìBessel series. These results are used then to determine the higher order terms of a Barrar‚ÄìKay 1/RPexpansion of the fields. The leading term of the 1/RPseries is the far zone field. Classically, the higher order terms are found by repetitive differentiation, a laborious and often inaccurate procedure particularly since the 1/RPseries is slowly convergent‚Äîas D2/R (D is the diameter of antenna source). The approach of the authors via the Jacobi‚ÄìBessel I/RP series determines the higher order terms by simple algebraic recursion. The only restriction on the method is that it be used within the range of validity of the Fresnel small angle (FSA) approximation. However, since the Fresnel approximation is a second order approximation in terms of (D/R) the range of validity is quite large. This is demonstrated in detail. The method is applicable to reflector as well as aperture field sources. Copyright ¬© 1981 by The Institute of Electrical and Electronics Engineers, Inc.</t>
  </si>
  <si>
    <t>885-898</t>
  </si>
  <si>
    <t>60009037;60009037</t>
  </si>
  <si>
    <t>7003293983;7102110120</t>
  </si>
  <si>
    <t>Galindo-Israel, Victor;Rahmat-Samii, Yahya</t>
  </si>
  <si>
    <t>Pasadena</t>
  </si>
  <si>
    <t>Jet Propulsion Laboratory</t>
  </si>
  <si>
    <t>Galindo-Israel V.</t>
  </si>
  <si>
    <t>A New Look at Fresnel Field Computation Using the Jacobi‚ÄîBessel Series</t>
  </si>
  <si>
    <t>10.1109/TAP.1981.1142680</t>
  </si>
  <si>
    <t>2-s2.0-5244290395</t>
  </si>
  <si>
    <t>['two problems', 'local vertical', 'interconnecting uplink', 'given field', 'evaluating aberration', 'electronics engineers', 'downlink beams', 'cluster feeds']</t>
  </si>
  <si>
    <t>Two problems of multifixed-beam satellite antennas have been 1) gaps in coverage in a given field of view, and 2) use of polarizations which are sensitive to cross coupling caused by pre-cipitation in the earth's atmosphere. These problems can be solved, and in addition, large frequency reuse can be achieved, by application of cluster feeds to an offset Cassegrainian antenna. New features described here include a) interleaving of cluster feeds, b) use of linear orthogonal polarizations distributed to lie in local vertical and local horizontal planes on the earth's surface, c) clusters of keystone-shaped feed elements, d) a system for interconnecting uplink and downlink beams, and e) a method for evaluating aberration-sensitive antenna parameters. It is found that aberrations are negligible for beams aimed within the contiguous United States. Copyright ¬© 1981 by The Institute of Electrical and Electronics Engineers, Inc.</t>
  </si>
  <si>
    <t>937-943</t>
  </si>
  <si>
    <t>Ohm, Edward A.</t>
  </si>
  <si>
    <t>Ohm E.</t>
  </si>
  <si>
    <t>Multifixed-Beam Satellite Antenna with Full Area Coverage and a Rain-Tolerant Polarization Distribution</t>
  </si>
  <si>
    <t>10.1109/TAP.1981.1142686</t>
  </si>
  <si>
    <t>2-s2.0-54949104099</t>
  </si>
  <si>
    <t>['¬© 1981', 'visual organs', 'surgical techniques', 'phototactic response', 'olfactory stimuli', 'mulberry leaves', 'maxillary palps', 'important role', '30 h']</t>
  </si>
  <si>
    <t>A study of the olfactory and visual organs of the larvae of the silkworm (Bombyx mori), using electrophysiological and surgical techniques, indicates that olfactory stimuli from mulberry leaves, conducted through the antennae or the maxillary palps, cause continuous suppression of the phototactic response, and that the central nervous system plays an important role in this 'control' of phototaxis. Such phototactic suppression lasts for 30 h in fifth instar larvae, even after mulberry leaves have been removed. ¬© 1981.</t>
  </si>
  <si>
    <t>873-877</t>
  </si>
  <si>
    <t>Animal Behaviour</t>
  </si>
  <si>
    <t>35376507100;7103135752;7402438376</t>
  </si>
  <si>
    <t>Inoko, H.;Katsuki, M.;Watanabe, I.</t>
  </si>
  <si>
    <t>Inoko H.</t>
  </si>
  <si>
    <t>Suppression of phototaxis in silkworm larvae</t>
  </si>
  <si>
    <t>S0003-3472(81)80023-1</t>
  </si>
  <si>
    <t>10.1016/S0003-3472(81)80023-1</t>
  </si>
  <si>
    <t>2-s2.0-58149410964</t>
  </si>
  <si>
    <t>['¬© 1981', 'venezillo evergladensis', 'terrestrial isopod', 'sperm storage', 'providing markers', 'ecological genetics', 'color polymorphism', 'brown antennae']</t>
  </si>
  <si>
    <t>The genetics of two color pattern variants, mottled and brown antennae, are reported in the terrestrial isopod, Venezillo evergladensis. Factors for the color polymorphism are providing markers for studies on sperm storage and ecological genetics. ¬© 1981, American Genetic Association.</t>
  </si>
  <si>
    <t>351-352</t>
  </si>
  <si>
    <t>Journal of Heredity</t>
  </si>
  <si>
    <t>September/October 1981</t>
  </si>
  <si>
    <t>Johnson, Clifford</t>
  </si>
  <si>
    <t>Gainesville</t>
  </si>
  <si>
    <t>University of Florida</t>
  </si>
  <si>
    <t>Johnson C.</t>
  </si>
  <si>
    <t>Genetics of mottling in the terrestrial isopod</t>
  </si>
  <si>
    <t>10.1093/oxfordjournals.jhered.a109521</t>
  </si>
  <si>
    <t>2-s2.0-77957213370</t>
  </si>
  <si>
    <t>['¬© taylor', 'vhf transmission', 'upper end', 'telemetry electronics', 'stable base', 'spar buoy', 'severe storms', 'response characteristics', 'pitching angles', 'one component', 'ocean waves', 'lower end', 'francis group', 'forcing spectrum', 'diameter case', 'davis strait', 'damped period', 'centrally located', 'buoyancy hulls', 'buoy would', 'buoy weighed', 'ballast tank', '635 lb', '5 ft', '2 ft', '2 cm', '10 ¬∞', '0 cm']</t>
  </si>
  <si>
    <t>The design of a spar buoy, employed as one component of a current monitoring system deployed during 1980 in Davis Strait, and some of its response characteristics to ocean waves are presented. The buoy was 36.5 ft (11.13 m) in length with upper and lower masts 0.5ft (15.2 cm) in diameter and buoyancy hulls, centrally located, 2 ft (61.0 cm) in diameter. Power for the system was supplied from lead‚Äêacid batteries in a ballast tank on the lower end. Telemetry electronics were located in a 1‚Äêft (30.5‚Äêcm) diameter case on the upper end, below the antenna. The buoy weighed about 1,635 lb (746kg) and could be man‚Äêhandled at sea with relatively light lifting equipment. It had a damped period of 16s and a significant heave response of about 62% of the significant wave height of the forcing spectrum. Scale model tests indicated that the buoy would be operational in heavy sea swell up to about 20ft in height with pitching angles of less than 10¬∞ off vertical. Observations at sea have shown that the buoy followed swell waves better than the 62% heave response figure would imply and had negligible pitching motions except during severe storms. The design was judged to be successful in providing a stable base for VHF transmission and is recommended for use in other applications. ¬© Taylor &amp; Francis Group, LLC.</t>
  </si>
  <si>
    <t>158-171</t>
  </si>
  <si>
    <t>Atmosphere - Ocean</t>
  </si>
  <si>
    <t>100330789;116037721</t>
  </si>
  <si>
    <t>7006685169;56981293500</t>
  </si>
  <si>
    <t>Hodgins, Donald O.;Lea, Brian N.</t>
  </si>
  <si>
    <t>St. John's;Vancouver</t>
  </si>
  <si>
    <t>Dobrocky Seatech (Nfld) Limited;Seaconsult Marine Research Ltd.</t>
  </si>
  <si>
    <t>116037721;100330789</t>
  </si>
  <si>
    <t>Hodgins D.</t>
  </si>
  <si>
    <t>A spar buoy design for oceanographic data telemetry</t>
  </si>
  <si>
    <t>10.1080/07055900.1981.9649107</t>
  </si>
  <si>
    <t>2-s2.0-84865310576</t>
  </si>
  <si>
    <t>['œä slope', 'previously demonstrated', 'physically justified', 'new calculation', 'log q', 'fundamental limitation', 'extraneous parameter', 'electronics engineers', 'close fit', 'chebyshev arrays']</t>
  </si>
  <si>
    <t>The fundamental limitation of superdirective antenna arrays was previously demonstrated through calculation of Chebyshev arrays. Those arrays are not optimum and have an extraneous parameter (sidelobe level). A new calculation is made using maximum directivity arrays and it is shown that log Q varies approximately linearly with directivity. A close fit to this behavior is given by log Q = œÄ(G ‚Äî G0). The œÄ slope has been inferred from work of Rhodes but cannot be physically justified at this time. Copyright ¬© 1981 by The Institute of Electrical and Electronics Engineers, Inc.</t>
  </si>
  <si>
    <t>1365-1366</t>
  </si>
  <si>
    <t>Hansen, Robert C.</t>
  </si>
  <si>
    <t>Hansen R.C.</t>
  </si>
  <si>
    <t>Some New Calculations on Antenna Superdirectivity</t>
  </si>
  <si>
    <t>10.1109/PROC.1981.12171</t>
  </si>
  <si>
    <t>2-s2.0-84886568785</t>
  </si>
  <si>
    <t>['¬© 1981', 'tuberodesmus quadricarinatus', 'tribe trachelodesmini', 'sixth antennomere', 'rights reserved', 'northern andes', 'francis group', 'fifth rather', 'dorsal tubercles']</t>
  </si>
  <si>
    <t>Tuberodesmus quadricarinatus, a new chelodesmid milliped genus and species, is described from the lowland Amazon region of Colombia and Ecuador. It belongs to the tribe Trachelodesmini but is distinguished by the absence of sphaerogranulae from the legs and antennae, arrangement of dorsal tubercles into four longitudinal carinae, and location of the microsensilla on the fifth rather than the sixth antennomere. The species is the first trachelodesmine known outside the northern Andes of Colombia and Venezuela and represents a considerable range extension for the tribe. ¬© 1981, Taylor &amp; Francis Group, LLC. All rights reserved.</t>
  </si>
  <si>
    <t>45-50</t>
  </si>
  <si>
    <t>Studies on Neotropical Fauna and Environment</t>
  </si>
  <si>
    <t>Shelley, Rowland M.</t>
  </si>
  <si>
    <t>Raleigh</t>
  </si>
  <si>
    <t>NC State University</t>
  </si>
  <si>
    <t>Shelley R.</t>
  </si>
  <si>
    <t>A New Trachelodesmine Genus and Species from the Amazon Region of Colombia and Ecuador (Diplopoda: Polydesmida: Chelodesmidae)</t>
  </si>
  <si>
    <t>10.1080/01650528109360580</t>
  </si>
  <si>
    <t>2-s2.0-84896933490</t>
  </si>
  <si>
    <t>['¬© 1981', 'vlf receiver', 'space sciences', 'rights reserved', 'present time', 'preliminary results', 'natural phenomena', 'loop antenna', 'frequency range', 'electrostatic waves', 'data processing', '5 khz', '150 hz']</t>
  </si>
  <si>
    <t>Instrumentation, data processing and preliminary results of EXOS-B VLF wave receiver are presented. The VLF receiver is connected, by command, either to a long dipole antenna or to a loop antenna, and observes both electromagnetic and electrostatic waves in a frequency range between 150 Hz and 9.5 kHz. Up to the present time after the launch, various VLF phenomena including whistler echo trains, whistler triggered emissions, hiss, chorus, and possible power line harmonic radiation have been observed. In addition to these natural phenomena, artificial VLF waves excited by electron beam injection have also been observed. ¬© 1981, Society of Geomagnetism and Earth, Planetary and Space Sciences. All rights reserved.</t>
  </si>
  <si>
    <t>63-72</t>
  </si>
  <si>
    <t>60011001;60032315;60025272;60008435;60000264;60008435;60011001</t>
  </si>
  <si>
    <t>7404313846;7006973378;7005454112;7005549550;24531088900;8425422900;7402952086</t>
  </si>
  <si>
    <t>Matsumoto, H.;Miyatake, S.;Tsuruda, K.;Morioka, A.;Ohtsu, J.;Oya, H.;Kimura, I.</t>
  </si>
  <si>
    <t>Japan;Japan;Japan;Japan;Japan</t>
  </si>
  <si>
    <t>Chofu;Tokyo;Kyoto;Sendai;Nagoya</t>
  </si>
  <si>
    <t>The University of Electro-Communications;The University of Tokyo;Kyoto University;Tohoku University;Nagoya University</t>
  </si>
  <si>
    <t>60032315;60025272;60011001;60008435;60000264</t>
  </si>
  <si>
    <t>Matsumoto H.</t>
  </si>
  <si>
    <t>VLF Wave Observation by Satellite JIKIKEN (EXOS-B)</t>
  </si>
  <si>
    <t>10.5636/jgg.33.63</t>
  </si>
  <si>
    <t>2-s2.0-84910839377</t>
  </si>
  <si>
    <t>NASA</t>
  </si>
  <si>
    <t>['¬© 1981', 'specific details', 'reflector antennas', 'published papers', 'planar apertures', 'paper reviews', 'numerical characteristics', 'final formulations', 'basic analytical']</t>
  </si>
  <si>
    <t>This paper reviews the basic analytical and numerical characteristics of the Jacobi-Bessel series applied to the determination of the Fresnel and Fraunhofer fields radiated by planar apertures and reflector antennas. Only the final formulations are presented here and the reader is referred to the published papers by the authors for specific details. Many useful representative numerical results are generated to demonstrate the applicability of the technique. ¬© 1981 by Hemisphere Publishing Corporation.</t>
  </si>
  <si>
    <t>155-185</t>
  </si>
  <si>
    <t>60009037;60009037;60009037</t>
  </si>
  <si>
    <t>7102110120;55197051100;7003293983</t>
  </si>
  <si>
    <t>Rahmat-Samii, Y.;Mittra, R.;Galindo-Israel, V.</t>
  </si>
  <si>
    <t>Computation of fresnel and fraunhofer fields of planar apertures and reflector antennas by the jacobi-bessel series-a review</t>
  </si>
  <si>
    <t>10.1080/02726348108915130</t>
  </si>
  <si>
    <t>2-s2.0-84923560504</t>
  </si>
  <si>
    <t>IEEE Antennas and Propagation Society Newsletter</t>
  </si>
  <si>
    <t>Van Atta, Lester C.</t>
  </si>
  <si>
    <t>Van Atta L.C.</t>
  </si>
  <si>
    <t>A History of Early Microwave Antenna Development</t>
  </si>
  <si>
    <t>10.1109/MAP.1981.27564</t>
  </si>
  <si>
    <t>2-s2.0-84939048737</t>
  </si>
  <si>
    <t>['surface fields', 'surface curvature', 'ray direction', 'present solution', 'numerical results', 'mutual coupling', 'infinitesimal magnetic', 'immediate vicinity', 'electronics engineers', 'electromagnetic fields', 'convex surface', 'asymptotic solutions', 'accurate manner']</t>
  </si>
  <si>
    <t>An approximate asymptotic solution is presented for the electromagnetic fields which are induced on an electrically large perfectly conducting smooth convex surface by an infinitesimal magnetic or electric current moment on the same surface. This solution can be employed to calculate the mutual coupling between antennas on a convex surface in an efficient and accurate manner. In this solution, the surface fields propagate along Keller's surface ray paths, and their description remains uniformly valid within the shadow boundary transition region including the immediate vicinity of the source. Furthermore, the effect of surface ray torsion on the surface fields is indicated in the present solution, through a factor T/K, where T denotes the surface ray torsion and K is the surface curvature in the ray direction. This solution is deduced from the asymptotic solutions to simpler canonical problems. Numerical results for the mutual coupling between slots in cylinders and cones are presented, and are shown to compare very well with experiments. Copyright ¬© 1981 by The Institute of Electrical and Electronics Engineers, Inc.</t>
  </si>
  <si>
    <t>911-922</t>
  </si>
  <si>
    <t>35579308700;56321621200</t>
  </si>
  <si>
    <t>Pathak, Prabhakar H.;Wang, Nan</t>
  </si>
  <si>
    <t>Ray Analysis of Mutual Coupling Between Antennas on a Convex Surface</t>
  </si>
  <si>
    <t>10.1109/TAP.1981.1142682</t>
  </si>
  <si>
    <t>2-s2.0-84939331095</t>
  </si>
  <si>
    <t>['users everywhere', 'type transmitters', 'tv broadcast', 'transmitters operating', 'transmitters feed', 'ssb ),', 'spurious emissions', 'special exception', 'space services', 'single sideband', 'shown generally', 'rr 139', 'pulse modulation', 'mean power', 'hf broadcasting', 'frequency tolerances', 'first time', 'final acts', 'electronics engineers', 'decisions taken', 'common antenna', 'beensignificantly redefined', 'article 1', 'appendix 8', 'appendices 7', 'although radiodetermination', '7 ghz', '40 ghz', '4 mhz', '2450 mhz', '235 mhz', '10 ghz']</t>
  </si>
  <si>
    <t>Appendices 7 and 8 of the WARC-79 Final Acts contain, respectively, the Table of Transmitter Frequency Tolerances and the Table of Maximum Permitted Spurious Emission Power Levels. Decisions taken at that Conference on these two new Tables will eventually touch transmitter manufacturers and users everywhere. Frequency tolerances in most bands are tightened for new equipment effective January 2, 1985. TV broadcast for system M (NTSC) from 29.7 to 2450 MHz and broadcasting in the 535 to 1606.5-kHz bands remain the same. Earth and space services were introduced in the Table for the first time with impact from 4 MHz on up to 40 GHz after 1985. Relatively tight frequency tolerances are those for HF broadcasting, single sideband (SSB), and pulse modulation above 10 GHz. Peak envelope power rather than mean power is shown generally for SSB transmitters limits. The frequency tolerance limits, again, did not reach beyond 40 GHz. New spurious emission limits come into effect on that same date for new transmitters operating between 235 MHz and 17.7 GHz, although radiodetermination and emergency-type transmitters are excluded. There is also a special exception for spurious emissions of transmitters operating above 235 MHz where transmitters feed a common antenna or where an antenna farm exists [see Note 10 of Appendix 8. Spurious emissions have beensignificantly redefined. It is suggested those concerned with such limits be familiar with the new definition contained in RR 139 of Article 1 of the Final Acts. Copyright ¬© 1981 by The Institute of Electrical and Electronics Engineers, Inc.</t>
  </si>
  <si>
    <t>210-216</t>
  </si>
  <si>
    <t>60010003;60010003</t>
  </si>
  <si>
    <t>Federal Communications Commission</t>
  </si>
  <si>
    <t>Watson R.T.</t>
  </si>
  <si>
    <t>10.1109/TEMC.1981.303939</t>
  </si>
  <si>
    <t>2-s2.0-84939342373</t>
  </si>
  <si>
    <t>N00014-75-C-0648</t>
  </si>
  <si>
    <t>['¬© 1981', 'subsurface communication', 'several antennas', 'lateral waves', 'insulated antennas', 'bore holes', 'antennas designed']</t>
  </si>
  <si>
    <t>The properties of insulated antennas that make them useful for subsurface communication or heating are discussed. Several antennas and associated feed lines suitable for use in bore holes or for insertion into tissue are analyzed and compared. The nature of lateral waves is reviewed in their relation to the source that generates them. The properties of antennas designed to excite and receive lateral electromagnetic waves are discussed and practical directional antennas and arrays for subsurface communication by means of lateral waves are reviewed. ¬© 1981 by Hemisphere Publishing Corporation.</t>
  </si>
  <si>
    <t>51-72</t>
  </si>
  <si>
    <t>60009982;60009982;60009982-60005837</t>
  </si>
  <si>
    <t>35586046100;57216596359;7404816148</t>
  </si>
  <si>
    <t>King, R. W.P.;Shen, L. C.;Wu, T. T.</t>
  </si>
  <si>
    <t>Cambridge;Houston</t>
  </si>
  <si>
    <t>Harvard University;University of Houston</t>
  </si>
  <si>
    <t>60009982;60005837</t>
  </si>
  <si>
    <t>King R.W.P.</t>
  </si>
  <si>
    <t>Embedded insulated antennas for communication and heating</t>
  </si>
  <si>
    <t>10.1080/02726348108915124</t>
  </si>
  <si>
    <t>2-s2.0-84941529112</t>
  </si>
  <si>
    <t>['royal society', 'new zealand', 'male appendix', 'frontal lamina', 'first antenna', 'ecological notes', 'cirolanid genera', 'arcuata hale']</t>
  </si>
  <si>
    <t>Eurylana is established for Cirolana cookii Filhol and C. arcuata Hale and differs from other cirolanid genera in the morphology of the pleopods and male appendix and in the first antenna, clypeus and frontal lamina. Some ecological notes are provided for both species. Keys are given for the New Zealand genera of Cirolanidae and species of Eurylana. ¬© 1981 Journal of the Royal Society of New Zealand.</t>
  </si>
  <si>
    <t>Journal of the Royal Society of New Zealand</t>
  </si>
  <si>
    <t>Jansen, K. P.</t>
  </si>
  <si>
    <t>New Zealand</t>
  </si>
  <si>
    <t>New Zealand Department of Scientific and Industrial Research</t>
  </si>
  <si>
    <t>Jansen K.</t>
  </si>
  <si>
    <t>Eurylana, a new genus of Cirolanidae (Isopoda: Flabellifera) with two species, Eurylana cookii (Filhol) and Eurylana arcuata (Hale)</t>
  </si>
  <si>
    <t>10.1080/03036758.1981.10419448</t>
  </si>
  <si>
    <t>2-s2.0-84942307600</t>
  </si>
  <si>
    <t>443-453</t>
  </si>
  <si>
    <t>Tai, C. T.</t>
  </si>
  <si>
    <t>Ann Arbor</t>
  </si>
  <si>
    <t>Radiation Laboratory</t>
  </si>
  <si>
    <t>Tai C.T.</t>
  </si>
  <si>
    <t>Complex singularities of the impedance functions of antennas</t>
  </si>
  <si>
    <t>10.1080/02726348108915149</t>
  </si>
  <si>
    <t>2-s2.0-84950438791</t>
  </si>
  <si>
    <t>['theoretical calculations', 'source end', 'shielded cable', 'several miles', 'potential distributions', 'one type', 'load end', 'insulating jacket', 'induced currents', 'impedance seen', 'great depth', 'francis group', 'first set', 'experimental observations', 'either end', 'circumferential gaps', 'cable buried', 'buried cables', 'analytical model']</t>
  </si>
  <si>
    <t>One type of cable being considered for direct buried use in the SEAFARER ELF transmitting system has a tubular metallic shield covered with an insulating jacket which surrounds the insulated main current carrying conductor. An analytical model is developed to predict the induced currents and potentials and impedance loading effects of such a cable shield segmented by circumferential gaps. We first set up the EM field equations and solve the boundary value problem to obtain two modes of propagation on such a cable buried at great depth. The shield segments may be grounded at either end or both. By applying terminal conditions at the source end and load end of a segment, the current and potential distributions and impedance seen by the source are calculated. With this type of shielded cable, gaps in the shield are needed only at intervals of several miles to limit the incremental resistance added by the shield to less than a percent. Comparisons are shown between the theoretical calculations and experimental observations on buried cables at the U.S. Navy Wisconsin Test Facility. ¬© 1981 Taylor &amp; Francis Group, LLC.</t>
  </si>
  <si>
    <t>267-288</t>
  </si>
  <si>
    <t>60074706;60074706</t>
  </si>
  <si>
    <t>57217264053;6602603511</t>
  </si>
  <si>
    <t>Chu, Ruey Shi;Row, Ronald V.</t>
  </si>
  <si>
    <t>Danvers</t>
  </si>
  <si>
    <t>Osram Sylvania North America</t>
  </si>
  <si>
    <t>Chu R.S.</t>
  </si>
  <si>
    <t>Analytical and experimental studies of a jacketed segmented shielded buried cable for use in an elf transmitting antenna system</t>
  </si>
  <si>
    <t>10.1080/02726348108915135</t>
  </si>
  <si>
    <t>2-s2.0-84952243855</t>
  </si>
  <si>
    <t>433-434</t>
  </si>
  <si>
    <t>Japanese Journal of Applied Physics, Part 1: Regular Papers and Short Notes and Review Papers</t>
  </si>
  <si>
    <t>Ono, Takashi</t>
  </si>
  <si>
    <t>Tohoku Gakuin University</t>
  </si>
  <si>
    <t>Ono T.</t>
  </si>
  <si>
    <t>Feederless Antenna Driven by a Laser Optical Heterodyne Signal</t>
  </si>
  <si>
    <t>10.1143/JJAP.20.433</t>
  </si>
  <si>
    <t>2-s2.0-84956255413</t>
  </si>
  <si>
    <t>['¬© 1981', 'transponder circuitry', 'single substrate', 'response signal', 'registration number', 'provides identification', 'printed antenna', 'power supply', 'operation principle', 'mounted easily', 'light weight', 'interrogation signal', 'classification etc', 'circuitry required', 'certain location', 'avi system', '150 grams']</t>
  </si>
  <si>
    <t>A newly developed AVI transponder is to be used in Automatic Vehicle Identification (AVI) system, which provides identification of moving vehicles passing by a certain location as to its registration number, and classification etc. This AVI system is characterized by the fact that it utilizes cerami resonators in the composition of a transponder identification code, and a single microwave carrier to convey an interrogation signal to, and a response signal from, that transponder. The transponder is a completely passive device free of any power supply, and operates as a ‚ÄúReflector‚Äù. Overall external dimensions of transponder are 7 x 10 x 1 cm with a weight of 150 grams, the unit is compact, light weight and can be mounted easily on the vehicle, and is easy to carry. All of the circuitry required for the transponder is provided in the form of microstrip lines utilizing MIC (Microwave Integrated Circuit) technology on the PTFE-glass fibre laminate substrate. The transponder circuitry, which consists of printed antenna, microwave modem circuit and medium frequency circuit, is patterned on both surfaces of the single substrate. In this paper, operation principle, circuitry and construction of the transponder will be described. ¬© 1981, Gordon and Breach Science Publishers, Inc.</t>
  </si>
  <si>
    <t>137-144</t>
  </si>
  <si>
    <t>ElectroComponent Science and Technology</t>
  </si>
  <si>
    <t>60018735;60018735;60018735</t>
  </si>
  <si>
    <t>7102339996;7403994904;35614209200</t>
  </si>
  <si>
    <t>Kamata, Shoichi;Kimura, Yoshinori;Sakuragi, Johji</t>
  </si>
  <si>
    <t>Kamata S.</t>
  </si>
  <si>
    <t>Avi Transponder</t>
  </si>
  <si>
    <t>10.1155/APEC.8.137</t>
  </si>
  <si>
    <t>2-s2.0-84956445263</t>
  </si>
  <si>
    <t>['¬© 1981', 'rights reserved', 'hadrosquilla melanocauda']</t>
  </si>
  <si>
    <t>Eine neue Art der Familie Lysiosquillidae, Hadrosquilla melanocauda, wird aus Ostaustralien beschrieben. Sie unterscheidet sich von H. perpasta haupts√§chlich durch folgende Merkmale: Rostrum dreieckig mit dornartig verl√§ngerter Spitze, Fehlen der zwei mesialen Papillen am Protopoditen der Antenna, dorso-laterale Vorspr√ºnge des Antennularsegments nicht vom Rostrum verdeckt, Telsonbewehrung neben den randst√§ndigen Borsten mit nur zwei spitzen Vorspr√ºngen, F√§rbung anders. ¬© 1981, Brill. All rights reserved.</t>
  </si>
  <si>
    <t>0011216X</t>
  </si>
  <si>
    <t>Crustaceana</t>
  </si>
  <si>
    <t>Kunze, Janet C.</t>
  </si>
  <si>
    <t>Sydney</t>
  </si>
  <si>
    <t>The University of Sydney</t>
  </si>
  <si>
    <t>Kunze J.</t>
  </si>
  <si>
    <t>A New Species Of H Adr Os Quilla Manning, 1966 From Eastern Australia (Stomatopoda, Lysiosquillidae)</t>
  </si>
  <si>
    <t>10.1163/156854081X00336</t>
  </si>
  <si>
    <t>2-s2.0-84956449560</t>
  </si>
  <si>
    <t>Giornale Botanico Italiano</t>
  </si>
  <si>
    <t>60028218;60028590;60028590</t>
  </si>
  <si>
    <t>7005852383;7003809002;7004519553</t>
  </si>
  <si>
    <t>Zannoni, D.;Scolnik, P.;Marrs, B. L.</t>
  </si>
  <si>
    <t>St. Louis;Bologna</t>
  </si>
  <si>
    <t>St. Louis University;Alma Mater Studiorum Universit√† di Bologna</t>
  </si>
  <si>
    <t>60028590;60028218</t>
  </si>
  <si>
    <t>Zannoni D.</t>
  </si>
  <si>
    <t>Interaction between carotenoids and light harvesting complexes in photosynthetic apparatus of rhodopseudomonas capsulata</t>
  </si>
  <si>
    <t>10.1080/11263508109427982</t>
  </si>
  <si>
    <t>2-s2.0-84960618743</t>
  </si>
  <si>
    <t>['¬© taylor', 'supplementary characters', 'simple form', 'rhinoceros massoud', 'like setae', 'labral region', 'known species', 'important features', 'francis group', 'delamare deboutteville', 'cuticular structure', 'cephalic protuberance', 'antennal spines', 'anal valve', 'anal appendages']</t>
  </si>
  <si>
    <t>Bovicornia somala sp.n. (Collembola) is described. It is related to B. rhinoceros Massoud &amp; Delamare Deboutteville, 1964 and B. coronata Delamare Deboutteville, 1947. The most important features of the male are: A) presence of five long bristles between the two cephalic horns and b) presence of a cuticular structure on the first antennal segment. The absence of particular sensory organs at the base of the cephalic protuberance, lack of spines on the antennae and absence of spine-like setae on the labral region are supplementary characters. Females of Bovicornia somala sp.n. differ from those of the other known species in the lack of antennal spines, presence of only three bifurcated hairs on the supra-anal valve and simple form of the anal appendages. ¬© Taylor &amp; Francis Group, LLC.</t>
  </si>
  <si>
    <t>241-259</t>
  </si>
  <si>
    <t>Monitore Zoologico Italiano, Supplemento</t>
  </si>
  <si>
    <t>Dallai, Romano</t>
  </si>
  <si>
    <t>Siena</t>
  </si>
  <si>
    <t>Universit√† degli Studi di Siena</t>
  </si>
  <si>
    <t>Dallai R.</t>
  </si>
  <si>
    <t>Recherches sur les collemboles. 27. une espece nouvelle de bovicornia de la somalie</t>
  </si>
  <si>
    <t>10.1080/03749444.1981.10736624</t>
  </si>
  <si>
    <t>2-s2.0-84960625373</t>
  </si>
  <si>
    <t>['might nevertheless', 'control plants', 'contaminated plants', 'colonise crops', 'aphids appeared', 'alarm pheromone']</t>
  </si>
  <si>
    <t>Apterae of Acyrthosiphon pisum showed rejection behaviour when they approached broad bean plants contaminated with alarm pheromone (E)‚ÄêŒ≤‚Äêfarnesene. 50% of them withdrew after examining the plants with their antennae. Aphids appeared to habituate to farnesene and then climbed the contaminated plants. Although the use of farnesene against apterae in the field is limited it might nevertheless be more effective against alatae which colonise crops in spring. Alates like apterae avoid farnesene contaminated plants: in a greenhouse experiment fewer alates of Myzus persicae settled on farnesene contaminated plants then on control plants. Das Ablehnungsverhalten der Blattl√§use gegen√ºber Alarmpheromon kontaminierten Pflanzen Ungefl√ºgelte Blattl√§use der Art Acyrthosiphon pisum zeigten Ablehnungsverhalten, wenn sie auf Pflanzen trafen, die mit dem synthetischen Alarmpheromon (E)‚ÄêŒ≤‚ÄêFarnesen kontaminiert waren. 50% der L√§use lehnten die Pflanzen ab, nachdem sie sie mit den Antennen bef√ºhlert hatten. Jedoch gew√∂hnten sich die Blattl√§use an das Farnesen und kletterten dann auf die kontaminierten Pflanzen. Obwohl Farnesen gegen ungefl√ºgelte L√§use im Feld nur begrenzt eingesetzt werden kann, k√∂nnte es gefl√ºgelte L√§use abschrecken, die die Kulturpflanzen im Fr√ºhjahr besiedeln. Gefl√ºgelte Blattl√§use vermieden ebenso wie ungefl√ºgelte Farnesen kontaminierte Pflanzen: In einem Experiment im Gew√§chshaus siedelten weniger Alatae von Myzus persicae auf behandelten Pflanzen als auf den Kontrollpflanzen. 1981 Blackwell Verlag GmbH</t>
  </si>
  <si>
    <t>329-336</t>
  </si>
  <si>
    <t>Zeitschrift f√ºr Angewandte Entomologie</t>
  </si>
  <si>
    <t>January/December 1981</t>
  </si>
  <si>
    <t>Wohlers, P.</t>
  </si>
  <si>
    <t>Georg-August-Universit√§t G√∂ttingen</t>
  </si>
  <si>
    <t>Wohlers P.</t>
  </si>
  <si>
    <t>Aphid avoidance of plants contaminated with alarm pheromone (E)‚ÄêŒ≤‚Äêfarnesene</t>
  </si>
  <si>
    <t>10.1111/j.1439-0418.1981.tb01681.x</t>
  </si>
  <si>
    <t>2-s2.0-84967724182</t>
  </si>
  <si>
    <t>['western australia', 'tail flip', 'spiny lobster', 'slow retreat', 'reef face', 'panulirus cygnus', 'octopus tetricus', 'moving around', 'local topography', 'lobsters returned', 'implying knowledge', 'changed markedly', 'brief description', 'behavioural units', 'antennae pointing']</t>
  </si>
  <si>
    <t>The behaviour of the spiny lobster, Panulirus cygnus, of Western Australia was studied in the laboratory and field. A brief description of behavioural units is provided. A den residency survey showed only 3% of the lobsters sheltered singly, and the number of lobsters in a single den ranged from 1 to more than 100. Lobsters left dens in the evening and returned in the morning, following specific pathways along the reef face, implying knowledge of the local topography. The lobsters returned to the same area of the reef but not necessarily the same den after foraging. The occupancy of any particular den remained fairly constant over a period of time but changed markedly after a storm. The reactions of lobsters to a predator (Octopus tetricus) released at the mouth of a den were high alert postures, antennae pointing and waving, and slow retreat from the den. In a large laboratory pool, stridulation and tail flip were frequent when an octopus was out of its lair and moving around. ¬© 1981 ASEG.</t>
  </si>
  <si>
    <t>399-409</t>
  </si>
  <si>
    <t>Marine and Freshwater Research</t>
  </si>
  <si>
    <t>Cobb, J. Stanley</t>
  </si>
  <si>
    <t>Kingston</t>
  </si>
  <si>
    <t>University of Rhode Island</t>
  </si>
  <si>
    <t>Cobb J.</t>
  </si>
  <si>
    <t>Behaviour of the western australian spiny lobster, panulirus cygnus george, in the field and laboratory</t>
  </si>
  <si>
    <t>10.1071/MF9810399</t>
  </si>
  <si>
    <t>2-s2.0-84970550207</t>
  </si>
  <si>
    <t>['withered plants', 'wiley blackwell', 'rights reserved', 'pas ),', 'new species', 'microscopic peculiarities', 'male antennae', 'genus heliotropium', 'chrysomelid beetle', 'adaptive significance']</t>
  </si>
  <si>
    <t>A new species of chrysomelid beetle from Kenya is described and named Gabonia gabriela Scherer. Microscopic peculiarities of the male antennae are characterized by means of scanning electron microscopy. The males of G.gabriela are attracted to and feed at withered plants of the genus Heliotropium (Boraginaceae) at dusk. No females were found. It is assumed that feeding at Heliotropiumprovides pyrrolizidine alkaloids (PAs), but the adaptive significance of the behaviour is not clear. The findings are discussed in the context of utilization of PAs by Lepidoptera. Copyright ¬© 1981, Wiley Blackwell. All rights reserved</t>
  </si>
  <si>
    <t>347-354</t>
  </si>
  <si>
    <t>Systematic Entomology</t>
  </si>
  <si>
    <t>60005460-100908415;60005460-100908415</t>
  </si>
  <si>
    <t>6602135311;57196987006</t>
  </si>
  <si>
    <t>BOPPR√â, M.;SCHERER, G.</t>
  </si>
  <si>
    <t>Pocking;Munich</t>
  </si>
  <si>
    <t>Max Planck Institute for Ornithology;Zoologische Staatssammlung</t>
  </si>
  <si>
    <t>60005460;100908415</t>
  </si>
  <si>
    <t>BOPPR√â M.</t>
  </si>
  <si>
    <t>A new species of flea beetle (Alticinae) showing male‚Äêbiased feeding at withered Heliotropium plants</t>
  </si>
  <si>
    <t>10.1111/j.1365-3113.1981.tb00046.x</t>
  </si>
  <si>
    <t>2-s2.0-84981673113</t>
  </si>
  <si>
    <t>['wiley blackwell', 'rights reserved', 'phylogenetic relationships', 'pectinate antennae', 'nicholsonomyia tonnoir', 'n .,']</t>
  </si>
  <si>
    <t>The first Australian keroplatid with pectinate antennae, Tamborinea commoni gen. etsp. n., is described. Its phylogenetic relationships are discussed and Tamborinea is suggested as the sister‚Äêgroup of Nicholsonomyia Tonnoir. Copyright ¬© 1981, Wiley Blackwell. All rights reserved</t>
  </si>
  <si>
    <t>207-212</t>
  </si>
  <si>
    <t>Australian Journal of Entomology</t>
  </si>
  <si>
    <t>Matile, Lo√Øc</t>
  </si>
  <si>
    <t>Museum National d'Histoire Naturelle</t>
  </si>
  <si>
    <t>Matile L.</t>
  </si>
  <si>
    <t>A NEW AUSTRALIAN GENUS OF KEROPLATIDAE WITH PECTINATE ANTENNAE (DIPTERA: MYCETOPHILOIDEA)</t>
  </si>
  <si>
    <t>10.1111/j.1440-6055.1981.tb01034.x</t>
  </si>
  <si>
    <t>2-s2.0-84981854803</t>
  </si>
  <si>
    <t>['wiley blackwell', 'various combinations', 'single location', 'rights reserved', 'maxillary palps', 'chemical ablation']</t>
  </si>
  <si>
    <t>Experiments involving surgical removal, or chemical ablation of the sensilla, of various appendages including the antennae, maxillary palps, tip of the ovipositor and labellum, alone or in various combinations, indicated that in female Dacus tryoni the male sex pheromone receptors are not restricted to any single location. Copyright ¬© 1981, Wiley Blackwell. All rights reserved</t>
  </si>
  <si>
    <t>60025709;60025709</t>
  </si>
  <si>
    <t>6507181932;7102646231</t>
  </si>
  <si>
    <t>Giannakakis, Areti;Fletcher, Brian S.</t>
  </si>
  <si>
    <t>Giannakakis A.</t>
  </si>
  <si>
    <t>ABLATION STUDIES RELATED TO THE LOCATION OF THE SEX PHEROMONE RECEPTORS OF THE QUEENSLAND FRUIT FLY, DACUS TRYONI(FROGGATT) (DIPTERA: TEPHRITIDAE)</t>
  </si>
  <si>
    <t>10.1111/j.1440-6055.1981.tb00992.x</t>
  </si>
  <si>
    <t>2-s2.0-84981868478</t>
  </si>
  <si>
    <t>['qy transitions', 'qx transitions', 'pigments absorbing', 'p840 band', 'optical properties', 'less parallel', 'intact cells', 'excitation indicate', 'energy transfer', 'emitting species', 'emission spectra', 'different wavelengths', 'closely associated', 'band shifts', 'bacteriopheophytin c', 'bacteriochlorophylls absorbing', '836 nm', '833 nm', '80 k', '670 nm']</t>
  </si>
  <si>
    <t>Experiments are reported on the optical properties and orientation of reaction center pigments of the green photosynthetic bacterium Prosthecochloris aestuarii. Analysis of the light‚Äêinduced absorption difference spectra of P840, the primary electron donor, and of reaction center triplet formation indicates that the bleaching of the P840 band at 836 nm is accompanied by band shifts of bacteriochlorophylls absorbing at 797, 816 and 833 nm at 80 K. The Qy transitions of the long‚Äêwave bacteriochlorophylls were found to be oriented more or less parallel to the membrane, the Qx transitions were more or less perpendicularly oriented. Fluorescence emission spectra of bacteriochlorophyll a in intact cells and isolated pigment‚Äêprotein complexes are presented for the temperature range 295‚Äê4 K. Experiments with different wavelengths of excitation indicate that in the PP and RCPP complexes light absorbed by bacteriochlorophyll a produces mainly emission by light‚Äêharvesting bacteriochlorophyll, whereas light absorbed by pigments absorbing at 670 nm (bacteriopheophytin c or a possibly related pigment) predominantly excites long‚Äêwave fluorescence, which appears to be emitted by pigments more closely associated with the photochemical reaction center. The emission spectra of the light‚Äêharvesting bacteriochlorophyll a complex at various temperatures indicated temperature equilibrium between the emitting species. In intact cells, an increase in bacteriochlorophyll c fluorescence upon cooling indicates a decrease in the efficiency of energy transfer between the chlorosome and bacteriochlorophyll a. Copyright ¬© 1981 WILEY‚ÄêVCH Verlag GmbH &amp; Co. KGaA, Weinheim</t>
  </si>
  <si>
    <t>332-337</t>
  </si>
  <si>
    <t>Israel Journal of Chemistry</t>
  </si>
  <si>
    <t>60003878;60003878;60003878;60003878</t>
  </si>
  <si>
    <t>24489484900;7004456032;55414947400;57190991733</t>
  </si>
  <si>
    <t>Swarthoff, T.;Amesz, J.;Kramer, H. J.M.;Rugersberg, C. P.</t>
  </si>
  <si>
    <t>Sterrewacht Leiden</t>
  </si>
  <si>
    <t>Swarthoff T.</t>
  </si>
  <si>
    <t>The Reaction Center and Antenna Pigments of Green Photosynthetic Bacteria</t>
  </si>
  <si>
    <t>10.1002/ijch.198100060</t>
  </si>
  <si>
    <t>2-s2.0-84985099953</t>
  </si>
  <si>
    <t>['tentatively concluded', 'reducing conditions', 'photosynthetic bacteria', 'photochemical trap', 'low temperature', 'energy transfer', 'distance r0', 'diameter 2r', 'closest approach', 'antenna pigments', 'antenna complex', 'acceptor pigment', '5 k']</t>
  </si>
  <si>
    <t>With an optically detected magnetic resonance technique, Microwave Induced Fluorescence difference (MIF) spectra have been recorded at 1.5 K for a number of photosynthetic bacteria under reducing conditions. It is found that the MIF spectra coincide with the longest wavelength fluorescence band. A relation for energy transfer at very low temperature is derived, leading to a (r0R)‚àí3 dependence of the rate of energy transfer on the distance r0 of closest approach of donor and acceptor pigment and the diameter 2R of the antenna complex. It is tentatively concluded that the photochemical trap in the photosynthetic reaction center has a distribution of 0‚Äê0 transitions similar to that of the antenna pigments. Copyright ¬© 1981 WILEY‚ÄêVCH Verlag GmbH &amp; Co. KGaA, Weinheim</t>
  </si>
  <si>
    <t>277-282</t>
  </si>
  <si>
    <t>60003878;60003878</t>
  </si>
  <si>
    <t>7103325525;22974829800</t>
  </si>
  <si>
    <t>Hoff, A. J.;De Vries, H. Gorter</t>
  </si>
  <si>
    <t>Hoff A.</t>
  </si>
  <si>
    <t>Energy Transfer at 1.5 K in Some Photosynthetic Bacteria Monitored by Microwave‚ÄêInduced Fluorescence (MIF) Spectra</t>
  </si>
  <si>
    <t>10.1002/ijch.198100051</t>
  </si>
  <si>
    <t>2-s2.0-84985108856</t>
  </si>
  <si>
    <t>['van metter', 'six species', 'model proposed', 'great detail', 'data presented']</t>
  </si>
  <si>
    <t>We report the measurement of the room‚Äêtemperature optical properties of antenna chlorophyll proteins (prepared with sodium dodecyl sulfate membrane solubilization) from six plant species of five different orders: pea (Pisum sativum), soy (Glycine max), barley (Hordeum vulgare), spinach (Spinacea oleracea), yew (Taxus canadensis), and fern (Onoclea sensibilis). All six species' antenna protein preparations exhibit optical spectra which are similar in great detail, implying similar internal chromophore arrangements from species to species. Features of the spectra thought due to chromophore interactions disappear upon heat denaturation. A model proposed by Van Metter for spinach chlorophyll protein has been revised and is consistent with all the data presented here. Copyright ¬© 1981 WILEY‚ÄêVCH Verlag GmbH &amp; Co. KGaA, Weinheim</t>
  </si>
  <si>
    <t>325-331</t>
  </si>
  <si>
    <t>60027165;60027165</t>
  </si>
  <si>
    <t>24489551000;7202010339</t>
  </si>
  <si>
    <t>Shepanski, John F.;Knox, Robert S.</t>
  </si>
  <si>
    <t>Rochester</t>
  </si>
  <si>
    <t>University of Rochester</t>
  </si>
  <si>
    <t>Shepanski J.</t>
  </si>
  <si>
    <t>Circular Dichroism and Other Optical Properties of Antenna Chlorophyll Proteins from Higher Plants</t>
  </si>
  <si>
    <t>10.1002/ijch.198100059</t>
  </si>
  <si>
    <t>2-s2.0-84985165961</t>
  </si>
  <si>
    <t>['wiley blackwell', 'symmetrical pole', 'substructure within', 'spinach chloroplasts', 'spectral region', 'special pair', 'rights reserved', 'prominent feature', 'photoselection technique', 'photoselection experiments', 'oscillatory strength', 'linear dichroism', 'immobilized photosystem', 'gaussian deconvolution', 'following components', 'flash excitation', 'dichroic ratio', 'best fit', 'attempted taking', 'additional features', 'absorption changes', 'absorption band', '690 nm', '687 nm', '500 nm', '5 nm']</t>
  </si>
  <si>
    <t>Abstract‚Äî The linear dichroism of the flash induced absorption changes of immobilized photosystem I reaction center particles from spinach chloroplasts has been investigated by means of the photoselection technique. Under flash excitation of predominantly Œ≤‚Äêcarotenes at 500 nm, the photoinduced linear dichroism of the absorption changes has been measured in the spectral region from 620‚Äì720 nm. The most prominent feature in the spectrum of the dichroic ratio is the symmetrical pole at 687 nm. In parallel to all photoselection experiments, we recorded the light induced absorption changes of P700 under saturating flash excitation. A Gaussian deconvolution of this well‚Äêknown difference spectrum of P700 has been attempted taking the additional features of the linear dichroism spectrum into account. From 670‚Äê720 nm, the best fit for both spectra was obtained by the following components: a disappearing wide band at 695.5 nm (œÉ= 200.0 cm‚àí1) attributed to the reduced special pair of chlorophyll a (Ch1‚Äêa); an appearing narrower band at 690 nm (œÉ= 120.0 cm‚àí1) with half the oscillatory strength of the former tentatively attributed to the non‚Äêoxidized moiety in the special pair; and a bathochromic bandshift centered at 688.4 nm attributed to the local electrochromic response of certain antennae Ch1‚Äêa molecules close to the primary electron donor. The linear dichroism gives no evidence for any substructure within the absorption band of the reduced special pair. Copyright ¬© 1981, Wiley Blackwell. All rights reserved</t>
  </si>
  <si>
    <t>223-232</t>
  </si>
  <si>
    <t>Photochemistry and Photobiology</t>
  </si>
  <si>
    <t>60009731;60009731</t>
  </si>
  <si>
    <t>7003910685;10241088300</t>
  </si>
  <si>
    <t>Schaffernicht, Helmut;Junge, Wolfgang</t>
  </si>
  <si>
    <t>Osnabruck</t>
  </si>
  <si>
    <t>Universit√§t Osnabr√ºck</t>
  </si>
  <si>
    <t>Schaffernicht H.</t>
  </si>
  <si>
    <t>ANALYSIS OF THE COMPLEX BAND SPECTRUM OF P700 BASED ON PHOTOSELECTION STUDIES WITH PHOTOSYSTEM I PARTICLES</t>
  </si>
  <si>
    <t>10.1111/j.1751-1097.1981.tb09351.x</t>
  </si>
  <si>
    <t>2-s2.0-84985437315</t>
  </si>
  <si>
    <t>['wiley blackwell', 'two bacteriochlorophylls', 'transition moments', 'single group', 'significant change', 'rights reserved', 'rhodopseudomonas sphaeroides', 'protein axis', 'negative values', 'may reflect', 'long wavelengths', 'linear dichroism', 'high values', 'different geometry', 'circular dichroism', 'carotenoid region', 'b875 protein', 'asymmetric binding', 'absorption band']</t>
  </si>
  <si>
    <t>Abstract‚Äî The orientation of the chromophores in the B875 light‚Äêharvesting bacteriochlorophyll complex isolated from Rhodopseudomonas sphaeroides by lithium dodecyl sulfate/polyacrylamide gel electrophoresis was examined by linear and circular dichroism and fluorescence polarization procedures. The circular dichroism in the near‚ÄêIR was weaker than that of the B800‚Äì850 light‚Äêharvesting complex and had a distinctly different shape. This suggested a different geometry for the two bacteriochlorophylls of B875 and less interactive association between their transition moments. The magnitude of the circular dichroism in the carotenoid region of B875 was similar to that of B800‚Äì850 but gave more negative values between approx. 430‚Äì485 nm; this may reflect a difference in the asymmetric binding of carotenoids to the B875 protein. The fluorescence polarization increased sharply across the near‚ÄêIR region of B875 and achieved very high values at long wavelengths. This confirmed that more than one transition contributed to this absorption band. The linear dichroism of B875 did not show a significant change in this near‚ÄêIR band like that observed for the longest wavelength band of B800‚Äì850. Thus, the transition moments for each bacteriochlorophyll within B875 appear to be tilted to approximately the same extent with respect to the protein axis. These results distinguish B875 from all other light‚Äêharvesting complexes and suggest that the antennae of Rhodospirillaceae which contain a single near‚ÄêIR absorption band cannot be classified into a single group. Copyright ¬© 1981, Wiley Blackwell. All rights reserved</t>
  </si>
  <si>
    <t>653-656</t>
  </si>
  <si>
    <t>60025038;60119141;60119141;60025038</t>
  </si>
  <si>
    <t>7004523006;13105070700;7006668582;7102209179</t>
  </si>
  <si>
    <t>Bolt, John D.;Hunter, C. Neil;Niederman, Robert A.;Sauer, Kenneth</t>
  </si>
  <si>
    <t>New Brunswick;Berkeley</t>
  </si>
  <si>
    <t>Rutgers University‚ÄìNew Brunswick;University of California, Berkeley</t>
  </si>
  <si>
    <t>60119141;60025038</t>
  </si>
  <si>
    <t>Bolt J.</t>
  </si>
  <si>
    <t>LINEAR AND CIRCULAR DICHROISM AND FLUORESCENCE POLARIZATION OF THE B875 LIGHT‚ÄêHARVESTING BACTERIOCHLOROPHYLL‚ÄêPROTEIN COMPLEX FROM RHODOPSEUDOMONAS SPHAEROIDES</t>
  </si>
  <si>
    <t>10.1111/j.1751-1097.1981.tb09418.x</t>
  </si>
  <si>
    <t>2-s2.0-84985440530</t>
  </si>
  <si>
    <t>['wiley blackwell', 'subsequently p700', 'spinach chloroplasts', 'spectral changes', 'spectral change', 'several effects', 'rights reserved', 'remarkable variation', 'reaction center', 'picosecond timescale', 'photons absorbed', 'p700 +,', 'oxidized sample', 'oxidized resulting', 'obvious decay', 'observations indicate', 'observable even', 'excitation transferred', 'depended upon', 'decayed even', 'characteristic change', 'band feature', 'antenna chlorophylls', 'absorption peak', '8 ns', '676 nm']</t>
  </si>
  <si>
    <t>Abstract‚Äî Primary processes of photosynthesis in the picosecond timescale were investigated with highly enriched reaction center particles of photosystem I (PS I) prepared from spinach chloroplasts. Spectral changes were observable even under conditions of single photon excitation for each reaction center. Immediately after excitation, bleaching was observed at 676 nm, the absorption peak of the antenna chlorophylls. Several effects were observed which depended upon the number of photons absorbed by a reaction center. Upon multiple photon excitation the intensity of bleaching decayed quickly. Single photon excitation resulted in no obvious decay of the main bleaching band, but produced a remarkable variation of the band feature. The most characteristic change was the appearance of a band around 700 nm which had not decayed even after 8 ns. In an oxidized sample, P700+, the main bleaching decayed without any spectral change. These observations indicate that the excitation transferred from antenna chlorophylls to P700. Subsequently P700 was oxidized resulting in the long‚Äêlived P700+. The overall process apparently proceeds with t1/e‚àº 25 ps upon single photon excitation. Copyright ¬© 1981, Wiley Blackwell. All rights reserved</t>
  </si>
  <si>
    <t>511-516</t>
  </si>
  <si>
    <t>60033235;60033235;60033235;60033235;60027553</t>
  </si>
  <si>
    <t>7006690135;55806005100;35414596000;7201407979;55974981900</t>
  </si>
  <si>
    <t>Kamogawa, Keiji;Namiki, Akira;Nakashima, Nobuaki;Yoshihara, Keitaro;Ikegami, Isamu</t>
  </si>
  <si>
    <t>Okazaki;Tokyo</t>
  </si>
  <si>
    <t>National Institutes of Natural Sciences - Institute for Molecular Science;Teikyo University</t>
  </si>
  <si>
    <t>60033235;60027553</t>
  </si>
  <si>
    <t>Kamogawa K.</t>
  </si>
  <si>
    <t>PICOSECOND TRANSIENT BEHAVIOR OF REACTION‚ÄêCENTER PARTICLES OF PHOTOSYSTEM I ISOLATED FROM SPINACH CHLOROPLASTS. ENERGY AND ELECTRON TRANSFER UPON SINGLE AND MULTIPLE PHOTON EXCITATION</t>
  </si>
  <si>
    <t>10.1111/j.1751-1097.1981.tb09033.x</t>
  </si>
  <si>
    <t>2-s2.0-84985487009</t>
  </si>
  <si>
    <t>399-406</t>
  </si>
  <si>
    <t>IEEJ Transactions on Power and Energy</t>
  </si>
  <si>
    <t>60024322;60024322;60024322;60030933</t>
  </si>
  <si>
    <t>55627876067;55684479000;7401595835;7201600778</t>
  </si>
  <si>
    <t>Yamamoto, Kenji;Matsubara, Ichiro;Kinoshita, Hitoshi;Oka, Shigenobu</t>
  </si>
  <si>
    <t>Osaka;Suita</t>
  </si>
  <si>
    <t>Osaka Institute of Technology;Osaka University</t>
  </si>
  <si>
    <t>60030933;60024322</t>
  </si>
  <si>
    <t>Yamamoto K.</t>
  </si>
  <si>
    <t>Results and Discussions of Measurements of Voltage Induced by Lighting Discharge on CIGRE Type Antenna</t>
  </si>
  <si>
    <t>10.1541/ieejpes1972.101.399</t>
  </si>
  <si>
    <t>2-s2.0-84985770528</t>
  </si>
  <si>
    <t>['wiley company', 'two antennae', 'thus providing', 'stage c', 'schedule like', 'results obtained', 'pregnancy controls', 'pillbug show', 'ovigerous females', 'ovigerous animals', 'overall length', 'nonovigerous females', 'nonovigerous animals', 'molting occur', 'molt cycle', 'intermolt period', 'inc .,', 'generalized apolysis', 'ecdysteroid release', 'ecdysed precociously', 'different stages', 'critical period', 'convenient method', 'control animals', 'brood pouch', 'antennal amputations', 'antennae induced']</t>
  </si>
  <si>
    <t>The interactions of regeneration and pregnancy controls on the duration of different stages of molting in the pillbug Armadillidium vulgare were determined by removing the antennae during different stages of the molt cycle of the nonovigerous and ovigerous animals. Removal of one or two antennae from the males during the beginning of stage C (intermolt period) of their molting cycle resulted in regeneration and shortening of stage C and thereby in acceleration of ecdysis. Further, removal of both antennae induced the animals to ecdyse within 1‚Äì4 days of each other, thus providing a convenient method of synchronizing the molt cycle. Amputation of both antennae from males in late stage C also resulted in regeneration; however, the duration of stage C was lengthened, resulting in a delay in ecdysis. Amputation of both antennae from males and nonovigerous females in the middle of preecdysis (stage D) resulted in molting without regeneration and on schedule like the control animals. However, the antennaless animals regenerated their antennae, shortened their intermolt period (stage C), and ecdysed precociously. From these results, we conclude that amputation, before the critical period in the molt cycle of the pillbugs (during stage C), prevents the release of ecdysteroids and, consequently, generalized apolysis until regeneration is completed, whereupon this block is removed and generalized apolysis and further events of molting occur. Once ecdysteroid release has been initiated to cause generalized apolysis, as in stage D, amputation does not prevent the further events of molting. Amputation of both antennae during the beginning of the intermolt period in the ovigerous females, although permitting regeneration, did not immediately stimulate ecdysis as in the nonovigerous animals; instead, it occurred only after release of the larvae from the brood pouch. When compared to the control ovigerous animals, the overall length of stage C was shortened. The results obtained from the antennal amputations during different physiological stages of the pillbug show that of all the stages of the molt cycle, stage C is labile, and its duration is affected by regeneration and pregnancy. Copyright ¬© 1981 Wiley‚ÄêLiss, Inc., A Wiley Company</t>
  </si>
  <si>
    <t>277-284</t>
  </si>
  <si>
    <t>60007278;60010874</t>
  </si>
  <si>
    <t>7005652721;7006735192</t>
  </si>
  <si>
    <t>Madhavan, Kornath;Madhavan, Mekkara Mandaravally</t>
  </si>
  <si>
    <t>Worcester;Irvine</t>
  </si>
  <si>
    <t>College of the Holy Cross;University of California, Irvine</t>
  </si>
  <si>
    <t>60010874;60007278</t>
  </si>
  <si>
    <t>Madhavan K.</t>
  </si>
  <si>
    <t>Regeneration of antennae and its control of molting in the terrestrial isopod, Armadillidium vulgare</t>
  </si>
  <si>
    <t>10.1002/jez.1402160208</t>
  </si>
  <si>
    <t>2-s2.0-84986435877</t>
  </si>
  <si>
    <t>['various sensilla', 'sensilla coeloconica', 'ring around', 'maxillary palps', 'l .)', 'fluted shafts', 'flagellar segments', 'first segment', 'distal segments', 'distal margin', 'campaniform sensilla', 'blattella germanica', 'articulated bases', 'antennal flagellum', 'adult males']</t>
  </si>
  <si>
    <t>The various sensilla on the antennae and on the labial and maxillary palps of Blattella germanica (L.) were studied. Thick‚Äêwalled chemoreceptors with fluted shafts and articulated bases are located on the antennae and on the labial and maxillary palps. Thin‚Äêwalled chemoreceptors, without fluted shafts or articulated bases, are restricted to the flagellar segments of the antennae and to the distal segments of the palps. Antennae of adult males have more thin‚Äêwalled chemoreceptors than do those of females. Hair‚Äêplate sensilla are found at the scape‚Äêhead and scape‚Äêpedicel joints, and at the joints of segments on the palps. Campaniform sensilla are concentrated as a ring around the distal margin of the pedicel, and are also scattered singly on the scape, pedicel, and flagellar segments of the antennae, and on the first segment of the maxillary palps. Occasionally, a few sensilla coeloconica and cold receptor sensilla are found on the antennal flagellum. Copyright ¬© 1981 Wiley‚ÄêLiss, Inc.</t>
  </si>
  <si>
    <t>269-279</t>
  </si>
  <si>
    <t>60015669-60031707;60015669</t>
  </si>
  <si>
    <t>East Lansing;New Brunswick</t>
  </si>
  <si>
    <t>Michigan State University;Rutgers New Jersey Agricultural Experiment Station</t>
  </si>
  <si>
    <t>60031707;60015669</t>
  </si>
  <si>
    <t>Sensilla of the antennae and the labial and maxillary palps of Blattella germanica (L.) (Dictyoptera: Blattellidae): Their classification and distribution</t>
  </si>
  <si>
    <t>10.1002/jmor.1051680303</t>
  </si>
  <si>
    <t>2-s2.0-84986676667</t>
  </si>
  <si>
    <t>['¬© 1981', 'space sciences', 'signal intensity', 'september 16', 'rights reserved', 'preliminary results', 'plasmapause crossing', 'nwc signal', 'noise intensity', 'mostly nonducted', 'main purpose', 'ionization ducts', 'constant current', 'capacitance measurement', 'b satellite', 'also observed', '70m tip', '3 khz']</t>
  </si>
  <si>
    <t>This paper is concerned with preliminary results of a Doppler shift measurement of NWC signal by means of an instrument named ‚ÄúDPL‚Äù on board the EXOS-B satellite which was launched on September 16, 1978. Main purpose of this measurement is to detect the ionization ducts in the magnetosphere. From actually observed Doppler shift, it is found that the signals were mostly nonducted. Signal intensity and noise intensity at 22.3 kHz have been also observed by DPL using two pairs of long dipole antennas, 103 and 70m tip-to-tip. Capacitance of the antenna has been measured by imposing a constant current at 22.3 kHz to the antennas. From this capacitance measurement, plasmapause crossing of the satellite has been detected. ¬© 1981, Society of Geomagnetism and Earth, Planetary and Space Sciences. All rights reserved.</t>
  </si>
  <si>
    <t>89-99</t>
  </si>
  <si>
    <t>60011001;60011001</t>
  </si>
  <si>
    <t>7402952086;55477155100</t>
  </si>
  <si>
    <t>Kimura, I.;Hashimoto, K.</t>
  </si>
  <si>
    <t>Kimura I.</t>
  </si>
  <si>
    <t>VLF Doppler Shift Measurement for Ionization Duct Monitoring by Satellite JIKIKEN (EXOS-B)</t>
  </si>
  <si>
    <t>10.5636/jgg.33.89</t>
  </si>
  <si>
    <t>2-s2.0-84989516512</t>
  </si>
  <si>
    <t>['¬© 1981', 'three types', 'thorax arise', 'sternite 8', 'scale mass', 'rights reserved', 'probably exposed', 'porous surface', 'pores could', 'phycitinae among', 'male scent', 'male raises', 'male courtship', 'long scales', 'like scales', 'japanese society', 'functions instead', 'either scales', 'considered disseminators', 'calling female', 'brushes consist', 'applied entomology', 'antennae touches', 'abdominal end', 'abdomen towards', '3 mm']</t>
  </si>
  <si>
    <t>The male limabean pod borer, Etiella zinckenella TREITSCHKE, has a pair of brush-organs on the thorax and on sternite 8, and a scale mass on each of the antennae. The brush-organs on the thorax and the scale mass on the antennae are characteristic of the Phycitinae among the Heterocera. The brush-organs on the thorax arise from the top of a slender sclerotized plate diverging from the episternum of the metathorax, close to the bases of the hindwings. The brushes are white and ca. 3 mm in length. Normally the brushes are hidden between the meso- and metathorax, but they are probably exposed during male courtship, when the male raises his abdomen towards the abdominal end of a calling female. The brushes consist of three types of scales: long, short and cover-like scales. Long scales in the center of the brushes are considered disseminators of male scent because of their porous surface and mesh-like internal structure. The brushes on sternite 8 are extruded, and the scale mass on the antennae touches a calling female, during courtship, but no pores could be found on the surface of either scales. Thus, they seem to have other functions instead of disseminators of male scent. ¬© 1981, JAPANESE SOCIETY OF APPLIED ENTOMOLOGY AND ZOOLOGY. All rights reserved.</t>
  </si>
  <si>
    <t>362-366</t>
  </si>
  <si>
    <t>1347605X</t>
  </si>
  <si>
    <t>Applied Entomology and Zoology</t>
  </si>
  <si>
    <t>Hirai, Kazuo</t>
  </si>
  <si>
    <t>Hiroshima</t>
  </si>
  <si>
    <t>Chugoku National Agricultural Experiment Station</t>
  </si>
  <si>
    <t>Hirai K.</t>
  </si>
  <si>
    <t>Morphology of the Brush-Organs of the Limabean Pod Borer, Etiella zinckenella TREITSCHKE (Lepidoptera: Pyralidae)</t>
  </si>
  <si>
    <t>10.1303/aez.16.362</t>
  </si>
  <si>
    <t>2-s2.0-84998237647</t>
  </si>
  <si>
    <t>['¬© 1981', 'uhr waves', 'tkr source', 'space sciences', 'source region', 'source motion', 'source mechanism', 'satellite position', 'rights reserved', 'repeatedly toward', 'radiation indicates', 'polar ionosphere', 'measured spectrum', 'making observation', 'intimate relation', 'inner edge', 'height distribution', 'geomagnetic activity', 'frequency range', 'frequency component', 'fine structure', 'electromagnetic waves', 'closely related', 'board jikiken', 'average velocity', 'auroral ionosphere', 'altitude range', '100 km', '10 khz', '000 km']</t>
  </si>
  <si>
    <t>The natural plasma wave astronomy mode (NPW-A) on board JIKIKEN (EXOS-B) launched on Sept. 16, 1978, are making observation of the planetary and solar radio waves in the frequency range from 10 kHz to 3 MHz using the long dipole antenna with length of 102 m. The high resolution spectrum obtained by the NPW-A receiver provides important characteristics of the terrestrial kilometric radiation (TKR) that carries the information on the source region where TKR is generated. When the source mechanism that the electrostatic waves near the upper hybrid frequency generated by auroral precipitating particle is converted in a form of the electromagnetic waves is considered, we can estimate the position of the TKR source from the measured spectrum. The height distribution of the source region derived from the frequency component of the radiation indicates the altitude range that varies in accordance with the geomagnetic activity, and ranging from 3,000 km to 12,000 km above the auroral ionosphere. The fine structure of TKR spectrum shows that the source with the dimension of 100 km is moving down repeatedly toward the polar ionosphere with the average velocity of 5‚Äì10 km/sec, and suggests that the source motion is closely related to the formation and the structure of the parallel electric field. The TKR emission sometimes coinsides with the intense upper hybrid emission around the satellite position at the inner edge of the dusk side plasmasheet, indicating that TKR has intimate relation to the energetic particle precipitation that generates the UHR waves; the precipitating particles may contribute to the development of the auroral field aligned currents. ¬© 1981, Society of Geomagnetism and Earth, Planetary and Space Sciences. All rights reserved.</t>
  </si>
  <si>
    <t>37-62</t>
  </si>
  <si>
    <t>60008435;60008435;60032315</t>
  </si>
  <si>
    <t>7005549550;8425422900;7006973378</t>
  </si>
  <si>
    <t>Morioka, Akira;Oya, Hiroshi;Miyatake, Sadao</t>
  </si>
  <si>
    <t>Chofu;Sendai</t>
  </si>
  <si>
    <t>The University of Electro-Communications;Tohoku University</t>
  </si>
  <si>
    <t>60032315;60008435</t>
  </si>
  <si>
    <t>Morioka A.</t>
  </si>
  <si>
    <t>Terrestrial Kilometric Radiation Observed by Satellite JIKIKEN (EXOS-B)</t>
  </si>
  <si>
    <t>10.5636/jgg.33.37</t>
  </si>
  <si>
    <t>2-s2.0-84998264495</t>
  </si>
  <si>
    <t>['¬© 1981', 'two terminal', 'specimens taken', 'second antenna', 'rights reserved', 'prehensile claws', 'kojima bay', 'japanese society', 'fisheries science', 'figured based', 'et sp', 'easily differentiated', 'branchial cavities']</t>
  </si>
  <si>
    <t>Diergasilus kasaharai gen. et sp. noy, is described and figured based on the specimens taken from the branchial cavities and the gills of the striped mullet Mugil cephalus caught in Kojima Bay. This copepod can be easily differentiated from other members of Ergasilidae by having two terminal, prehensile claws on the second antenna. ¬© 1981, The Japanese Society of Fisheries Science. All rights reserved.</t>
  </si>
  <si>
    <t>735-740</t>
  </si>
  <si>
    <t>1349998X</t>
  </si>
  <si>
    <t>NIPPON SUISAN GAKKAISHI</t>
  </si>
  <si>
    <t>Do, Tran The</t>
  </si>
  <si>
    <t>Higashihiroshima</t>
  </si>
  <si>
    <t>Hiroshima University</t>
  </si>
  <si>
    <t>Do T.T.</t>
  </si>
  <si>
    <t>Parasitic Copepoda Diergasilus kasaharai gen. et sp. nov. from the Striped Mullet Mugil cephalus</t>
  </si>
  <si>
    <t>10.2331/suisan.47.735</t>
  </si>
  <si>
    <t>2-s2.0-85004485830</t>
  </si>
  <si>
    <t>['¬© 1981', 'volatile compound', 'volatile component', 'three species', 'sogatella furcifera', 'significantly attracted', 'rights reserved', 'rice plant', 'nilaparvata lugens', 'neutral fraction', 'may consist', 'japanese society', 'important role', 'host plant', 'data suggest', 'applied entomology', 'apparatus shown', '1 indicated']</t>
  </si>
  <si>
    <t>In the course of studies on the chemical factors controlling host-selection in three species of planthopper (Nilaparvata lugens, Sogatella furcifera, and Laodelphax striatellus), attractant(s) for these planthoppers was detected in the rice plant. The two-way choice assay using the apparatus shown in Fig. 1 indicated that these planthoppers were significantly attracted to the rice plant. Since antennectomized N. lugens was not attracted to the rice plant, it was suggested that the attractant (s) may consist of volatile component(s) in the rice plant which could be detected by the antennae of the planthopper. The attractant(s) was extracted with ether and the activity was found in the neutral fraction. These data suggest that some volatile compound(s) in the rice plant plays an important role in the orientation of the planthopper to the host plant. ¬© 1981, JAPANESE SOCIETY OF APPLIED ENTOMOLOGY AND ZOOLOGY. All rights reserved.</t>
  </si>
  <si>
    <t>47-51</t>
  </si>
  <si>
    <t>Japanese Journal of Applied Entomology and Zoology</t>
  </si>
  <si>
    <t>60080897;60011001;60011001;60011001</t>
  </si>
  <si>
    <t>57192754725;56122991100;16464127900;7007005566</t>
  </si>
  <si>
    <t>Obata, Tokio;Kim, Mujo;Koh, Hen Sik;Fukami, Hiroshi</t>
  </si>
  <si>
    <t>Ube;Kyoto</t>
  </si>
  <si>
    <t>Ube Industries Ltd;Kyoto University</t>
  </si>
  <si>
    <t>60080897;60011001</t>
  </si>
  <si>
    <t>Obata T.</t>
  </si>
  <si>
    <t>Planthopper Attractant(s) in the Rice Plant</t>
  </si>
  <si>
    <t>10.1303/jjaez.25.47</t>
  </si>
  <si>
    <t>2-s2.0-85007935732</t>
  </si>
  <si>
    <t>['side lobes', 'radiation characteristics', 'proposed antenna', 'one direction', 'neighbouring satellites', 'lateral displacement', 'following purposes', 'feed displacement', 'design data', 'beam steering', 'beam shaping', 'analytical methods']</t>
  </si>
  <si>
    <t>Design data for an earth station antenna are given. The proposed antenna is a centre-fed Cassegrain system with a conical corrugated horn and doubly curved reflectors. The beam shaping has the following purposes: reduction of interference with neighbouring satellites and the possibility of beam steering in one direction (e. g. azimuth direction). The beam steering is realized by lateral displacement of the subreflector. The effects of feed displacement are investigated by analytical methods. The radiation characteristics, such as gain and side lobes, are described in detail.</t>
  </si>
  <si>
    <t>81-5</t>
  </si>
  <si>
    <t>Mitteilung - Deutsche Forschungs- und Versuchsanstalt fuer Luft- und Raumfahrt</t>
  </si>
  <si>
    <t>7005854393;57197554583</t>
  </si>
  <si>
    <t>Sliwinski, Peter;Steiner, Hans Juergen</t>
  </si>
  <si>
    <t>Sliwinski P.</t>
  </si>
  <si>
    <t>Proposal of an Earth Station Antenna for Geostationary Satellites with a Simple Concept of Beam Steering.</t>
  </si>
  <si>
    <t>2-s2.0-85040259156</t>
  </si>
  <si>
    <t>['special method', 'single offset', 'scattered pattern', 'reflector antenna', 'primary pattern', 'passive methods', 'parabolic reflectors', 'object recognition', 'frequency region', 'design procedure', 'corrugated feed', 'applied combined', 'antenna system', '24 refs']</t>
  </si>
  <si>
    <t>The test of active and passive methods for the purpose of object recognition in the frequency region from 32-90 GHz requires a series of antennas with different half beamwidths and with an axial symmetric radiation pattern for orthogonal linear polarizations. These requirements are met with the principle of a single offset-reflector antenna with a corrugated feed. The design procedure for this antenna system is described. The computation of the scattered pattern is based on the current distribution method. The primary pattern is determined by experiment and theory as well. For the construction of the antennas a fiber glass technique was applied combined with a special method for the shaping of the parabolic reflectors. 24 refs.</t>
  </si>
  <si>
    <t>81-33</t>
  </si>
  <si>
    <t>6602480970;57197554583;7005147090</t>
  </si>
  <si>
    <t>Klement, Dieter;Steiner, Hans Juergen;Stein, Volker</t>
  </si>
  <si>
    <t>Klement D.</t>
  </si>
  <si>
    <t>Offset-reflector Antennas - Design, Computation, Construction and Pattern Measurements.</t>
  </si>
  <si>
    <t>2-s2.0-85040265850</t>
  </si>
  <si>
    <t>['¬© 1981', 'year variations', 'winter ).', 'temperature differences', 'summer temperatures', 'stage iv', 'seemed unrelated', 'seasonally variable', 'sea state', 'population data', 'peak fecundity', 'ovigerous females', 'occasional endoparasites', 'never found', 'namely cercariae', 'mortality due', 'minimum size', 'maternal size', 'maternal length', 'lunar rhythmicity', 'linearly related', 'life cycles', 'lembos websteri', 'laying behaviour', 'l .)', 'independent index', 'food supply', 'fish predation', 'encysted metacercariae', 'eight cohorts', 'egg volume', 'egg size', 'different longevity', 'corophium thus', 'corophium species', 'corophium bonnellii', 'ciliate conidophrys', 'brood size', 'brood production', 'brood mortalities', 'bearing females', 'basal segments', '5 months', '10 months']</t>
  </si>
  <si>
    <t>The life cycles of Lembos websleri Bate and Corophium bonnellii Milne Edwards are based on two generations per year. Eight cohorts have been identified in Lembos and nine for Corophium, each of which has a different longevity. In Lembos the summer generation proper lives ‚âà 5-7 months whilst cohorts of the overwintering population may live up to 11.5 months. Males do not live as long as females, their longevity being ‚âà 11% less in summer and 5% less in winter. C. bonnellii is parthenogenetic. Its summer generation lives ‚âà 5 months and its winter generation 8-10 months. Corophium thus has a shorter life span than Lembos. It also grows faster. Growth is severely inhibited overwinter (but less so in Corophium) and picks up in spring. Year to year variations in timing of reproductive events may be related to temperature differences, sea state, and food supply. Population data for 1974 and 1975 were, however, generally very similar. Ovigerous females are present all the year in Lembos websteri but were never found in January in Corophium bonnellii. Egg-laying behaviour is described. Brood size is linearly related to maternal length in both species. A size-independent index of fecundity shows clear seasonal variation, with peak fecundity in summer. Minimum size of egg-bearing females is also a function of temperature in both species. A semi-lunar rhythmicity of brood production at summer temperatures is reported. Brood mortalities of ‚âà 25-30% were found in both species which seemed unrelated to maternal size but which may (in Lembos) be seasonally variable (lower in winter). Egg size is similar in both species and egg volume more than doubles during development from Stage I to Stage IV. Corophium bonnellii eggs are bigger and individual female reproductive effort is higher than in other Corophium species. Corophium sometimes carried the ciliate Conidophrys on the basal segments of its antennae. Occasional endoparasites, namely cercariae and encysted metacercariae, were noted. Mortality due to fish predation was established to occur, the clingfish Apletodon microcephalus (Brook) and the sea snail Liparis liparis (L.) being important amphipod consumers. ¬© 1981.</t>
  </si>
  <si>
    <t>Journal of Experimental Marine Biology and Ecology</t>
  </si>
  <si>
    <t>The life histories of the amphipods Lembos websteri Bate and Corophium bonnellii Milne Edwards in kelp holdfasts</t>
  </si>
  <si>
    <t>10.1016/0022-0981(81)90145-3</t>
  </si>
  <si>
    <t>2-s2.0-0002788475</t>
  </si>
  <si>
    <t>PCM76-11750</t>
  </si>
  <si>
    <t>['¬© 1981', 'type function', 'transplants formed', 'represent members', 'present work', 'lethals recovered', 'lethality associated', 'larval boundary', 'heterozygous condition', 'gene complex', 'gene acts', 'embryonic lethality', 'drosophila melanogaster', 'developmental studies', 'chromosome 3', 'c ).', 'antpscx ),', 'antpns controls', 'antp locus', 'antennal structures', 'antennal disks']</t>
  </si>
  <si>
    <t>A number of dominant homoeotic mutations are localized to the proximal right arm of chromosome 3 of Drosophila melanogaster and are thought to represent members of a gene complex that controls normal determinative decisions in the head and thorax. We have designated this complex the Antennapedia gene complex (ANT-C). Developmental studies were done to investigate the nature of the lethality associated with members of two of the complementation groups within ANT-C. The first complementation group, represented by the mutant Multiple Sex Combs (Msc) is characterized by embryonic lethality when heterozygous with a deletion of the ANT-C. The second complementation group consists of Antennapedia (Antp), Antennapedia-Extra Sex Combs (AntpScx), and the lethals recovered as revertants of AntpNs. When heterozygous for a deletion of the ANT-C or in heterozygous condition with each other, the members of this group show effective lethal phases spanning from embryo-larval boundary to late larval stages. Wakimoto and Kaufman (1981) show that the Antp+ gene acts to establish normal determinative states in the thorax. In the present work, transplantation of eye-antennal disks from lethal individuals heterozygous for two different AntpNs revertant chromosomes into wild-type hosts allowed the assessment of the function of the Antp+ allele in the antenna. Since these transplants formed only antennal structures and showed no evidence of the antennal ‚Üí leg transformation seen in AntpNs controls, we conclude that the wild-type function of the Antp locus is not necessary for the establishment and/or maintenance of the antennal determined state. We suggest that regulatory mechanisms associated with the Antp+ structural gene normally function both to allow its expression in the thorax and to repress it in the antenna. ¬© 1981.</t>
  </si>
  <si>
    <t>43-50</t>
  </si>
  <si>
    <t>60000689;60000689;60021121;60021121</t>
  </si>
  <si>
    <t>7003910465;55984308300;6603801750;35396515200</t>
  </si>
  <si>
    <t>Denell, R. E.;Hummels, K. R.;Wakimoto, B. T.;Kaufman, T. C.</t>
  </si>
  <si>
    <t>Bloomington;Manhattan</t>
  </si>
  <si>
    <t>Indiana University Bloomington;Kansas State University</t>
  </si>
  <si>
    <t>60021121;60000689</t>
  </si>
  <si>
    <t>Denell R.</t>
  </si>
  <si>
    <t>Developmental studies of lethality associated with the Antennapedia gene complex in Drosophila melanogaster</t>
  </si>
  <si>
    <t>0012-1606(81)90346-8</t>
  </si>
  <si>
    <t>10.1016/0012-1606(81)90346-8</t>
  </si>
  <si>
    <t>2-s2.0-0019880330</t>
  </si>
  <si>
    <t>Mitsubishi Foundation</t>
  </si>
  <si>
    <t>['œâ 2œä', '¬© 1981', 'resonant antenna', 'gravitational radiation', '44 hz', '4 k']</t>
  </si>
  <si>
    <t>We report on a resonant antenna for gravitational radiation at œâ 2œÄ = 44 Hz. The 14 kg aluminum antenna works in a torsional vibration mode and has a decay time œÑ = 1.4 √ó 105 s, namely, a quality factor Q = 4.0 √ó 107, at 4 K. ¬© 1981.</t>
  </si>
  <si>
    <t>302-304</t>
  </si>
  <si>
    <t>Physics Letters A</t>
  </si>
  <si>
    <t>60025272;60025272;60025272</t>
  </si>
  <si>
    <t>57225663189;57218997389;7103211355</t>
  </si>
  <si>
    <t>Kimura, S.;Suzuki, T.;Hirakawa, H.</t>
  </si>
  <si>
    <t>Kimura S.</t>
  </si>
  <si>
    <t>Low frequency antenna for gravitational radiation</t>
  </si>
  <si>
    <t>0375-9601(81)90723-4</t>
  </si>
  <si>
    <t>10.1016/0375-9601(81)90723-4</t>
  </si>
  <si>
    <t>2-s2.0-0011690802</t>
  </si>
  <si>
    <t>121-127</t>
  </si>
  <si>
    <t>6701816402;7003549814</t>
  </si>
  <si>
    <t>Erokhin, G. A.;Gofman, V. G.</t>
  </si>
  <si>
    <t>Erokhin G.</t>
  </si>
  <si>
    <t>Synthesis of an inhomogeneity approximating to a given form with low perturbation</t>
  </si>
  <si>
    <t>10.1007/BF01034796</t>
  </si>
  <si>
    <t>2-s2.0-0019524726</t>
  </si>
  <si>
    <t>132-138</t>
  </si>
  <si>
    <t>Abramyan, G. L.</t>
  </si>
  <si>
    <t>Abramyan G.</t>
  </si>
  <si>
    <t>Theory of the diffraction by an opaque disk with a randomly rough edge</t>
  </si>
  <si>
    <t>10.1007/BF01034798</t>
  </si>
  <si>
    <t>2-s2.0-0019526128</t>
  </si>
  <si>
    <t>['¬© 1981', 'rights reserved', 'radiation patterns', 'magnetic field', 'good agreement', 'field distributions', 'feed waveguide', 'experimental results', 'electrical engineers', 'array consists']</t>
  </si>
  <si>
    <t>Antenna arrays | Dielectric waveguides</t>
  </si>
  <si>
    <t>Experimental results of a printed linear array using a low loss insular dielectric waveguide feed are presented. The array consists of etched dipoles excited by the magnetic field of the feed waveguide. Radiation patterns and plots of the field distributions in the feed waveguide are given, which are in good agreement with the simple theory used. ¬© 1981, The Institution of Electrical Engineers. All rights reserved.</t>
  </si>
  <si>
    <t>146-147</t>
  </si>
  <si>
    <t>Electronics Letters</t>
  </si>
  <si>
    <t>116025276;116025276;116025276</t>
  </si>
  <si>
    <t>7005658619;6603139434;7402772019</t>
  </si>
  <si>
    <t>Inggs, M. R.;Birand, M. T.;Williams, N.</t>
  </si>
  <si>
    <t>Leatherhead</t>
  </si>
  <si>
    <t>ERA RF Technology Centre</t>
  </si>
  <si>
    <t>Inggs M.</t>
  </si>
  <si>
    <t>Experimental 30 GHz printed array with low loss insular guide feeder</t>
  </si>
  <si>
    <t>10.1049/el:19810103</t>
  </si>
  <si>
    <t>2-s2.0-0019872934</t>
  </si>
  <si>
    <t>['¬© 1981', 'rights reserved', 'novel method', 'linear array', 'electrical engineers', 'effective taper']</t>
  </si>
  <si>
    <t>Active networks | Antenna phased arrays</t>
  </si>
  <si>
    <t>A novel method for introducing an amplitude taper onto a linear array is described, using equal amplitude elements with randomised phase reversals to create an effective taper. ¬© 1981, The Institution of Electrical Engineers. All rights reserved.</t>
  </si>
  <si>
    <t>121-122</t>
  </si>
  <si>
    <t>60022148;60022148</t>
  </si>
  <si>
    <t>8923908200;55698377500</t>
  </si>
  <si>
    <t>Guo, Y. C.;Smith, M. S.</t>
  </si>
  <si>
    <t>University College London</t>
  </si>
  <si>
    <t>Guo Y.</t>
  </si>
  <si>
    <t>Phase weighting for linear antenna arrays</t>
  </si>
  <si>
    <t>10.1049/el:19810086</t>
  </si>
  <si>
    <t>2-s2.0-0019873003</t>
  </si>
  <si>
    <t>Air Force Office of Scientific Research</t>
  </si>
  <si>
    <t>AFOSR</t>
  </si>
  <si>
    <t>['¬© 1981', 'large increase', 'gravitational radiation', 'antenna prepared']</t>
  </si>
  <si>
    <t>It is shown that there may be a large increase in the interaction of gravitational radiation with an antenna prepared in correlated quantum states. ¬© 1981.</t>
  </si>
  <si>
    <t>542-544</t>
  </si>
  <si>
    <t>60020304-60007278</t>
  </si>
  <si>
    <t>Weber, J.</t>
  </si>
  <si>
    <t>College Park;Irvine</t>
  </si>
  <si>
    <t>University of Maryland, College Park;University of California, Irvine</t>
  </si>
  <si>
    <t>60020304;60007278</t>
  </si>
  <si>
    <t>Weber J.</t>
  </si>
  <si>
    <t>New method for increase of interaction of gravitational radiation with an antenna</t>
  </si>
  <si>
    <t>0375-9601(81)90463-1</t>
  </si>
  <si>
    <t>10.1016/0375-9601(81)90463-1</t>
  </si>
  <si>
    <t>2-s2.0-4243958385</t>
  </si>
  <si>
    <t>['wing position', 'wide variety', 'various inputs', 'two classes', 'still air', 'specific pattern', 'sensory channel', 'respond directionally', 'receptors mediating', 'receptive fields', 'proprioceptive responses', 'probably different', 'preferred direction', 'precise alignment', 'pairwise presentations', 'olberg 1978', 'oblique planes', 'neck region', 'neck proprioceptors', 'multimodal inputs', 'largest interneurons', 'inhibiting self', 'individual self', 'horizontal plane', 'head within', 'given direction', 'flight control', 'directional selectivity', 'detector responses', 'detect rotation', 'critical elements', 'compound eyes', 'combine information', 'anteriorly weighted', 'animal rotation', 'air puffs', 'air onto', '8 classes', '8 ).', '6 ).', '5 ).', '2 ).', '14 ).', '12 ).', '11 ).', '1 ).']</t>
  </si>
  <si>
    <t>1. The self-movement detectors whose detailed properties are introduced here are among the largest interneurons in the ventral nerve cord of the dragonfly Anax junius. They combine information from a wide variety of sensory structures including the compound eyes, mechanosensory frontal hairs, antennae, neck proprioceptors, and wind sensitive hairs in the neck region (Fig. 6). They fall into 8 classes, each with a specific pattern of multimodal inputs (Fig. 1). 2. Their visual receptive fields are large, anteriorly weighted, and selective for animal rotation in a given direction (Figs. 1, 2). 3. They show directionally selective responses to air puffs delivered to the front of the head and to shifts in direction of a stream of air onto the head (Fig. 8). 4. They show directionally selective responses to air puffs from the sides, above, and below the animal into the neck region (Figs. 3, 4, 5). 5. They respond directionally to rotations of the head in still air in the dark (Figs. 3, 4, 11). The receptors mediating these proprioceptive responses are probably different from those mediating the responses to air puffs to the neck. 6. Four of the eight classes respond when the animal actively flexes its abdomen (Fig. 12). 7. Within each modality, they are inhibited by stimulation in the non-preferred direction. Pairwise presentations of stimuli to different inputs showed that each sensory channel is capable of inhibiting self-movement-detector responses to stimulation through any other channel (Figs. 13, 14). 8. For each class, the receptive fields of the various inputs are all aligned to detect rotation of the animal or the head within the same plane in space (Figs. 3, 4, 5). Two classes are aligned in the horizontal plane, and the other six in oblique planes (Fig. 1). 9. The precise alignment of directional selectivity of several input modalities within the same plane, combined with the finding that individual self-movement detectors drive adjustments in wing position (Olberg 1978) indicates that these interneurons are critical elements of a feedback control system for flight control. ¬© 1981 Springer-Verlag.</t>
  </si>
  <si>
    <t>27-41</t>
  </si>
  <si>
    <t>Journal of Comparative Physiology ‚ñ° A</t>
  </si>
  <si>
    <t>Olberg, Robert M.</t>
  </si>
  <si>
    <t>Seattle</t>
  </si>
  <si>
    <t>University of Washington</t>
  </si>
  <si>
    <t>Olberg R.</t>
  </si>
  <si>
    <t>Parallel encoding of direction of wind, head, abdomen, and visual pattern movement by single interneurons in the dragonfly</t>
  </si>
  <si>
    <t>10.1007/BF00605473</t>
  </si>
  <si>
    <t>2-s2.0-0001297226</t>
  </si>
  <si>
    <t>['x -,', 'visual fields', 'visual field', 'vertical plane', 'ventral regions', 'total number', 'table 1', 'stereotaxic system', 'respective plane', 'reproducible head', 'relevant angles', 'quantitatively describe', "pseudopupil '.", 'particular facets', 'one eye', 'one bee', 'ommatidial array', 'ommatidia vary', 'look solely', 'longitudinal body', 'lesser extent', 'left eyes', 'intersection marks', 'horizontal plane', 'facetal array', 'directed towards', 'different z', 'corresponding value', 'corresponding ommatidia', 'coordinate values', 'compound eyes', 'compound eye', 'complete sphere', 'certain ommatidia', 'boundary separates', 'binocular space', 'binocular region', 'binocular domain', 'bee belong', 'axis extends', 'average number', 'also means', '8 ).', '7 ).', '6 mm', '6 ).', '42 ¬∞;', '31 ¬∞', '3 ocelli', '29 ¬∞.', '2 ).', '10 ).']</t>
  </si>
  <si>
    <t>1. The limits of the visual fields and the binocular region of the compound eyes of the worker honey bee were determined by observing the 'pseudopupil'. The visual field data (Table 1) are valid for a defined, reproducible head-position (Fig. 2). This also means that a stereotaxic system for the bee's compound eyes is now available. The relevant angles are defined in Figs. 1, 3, 4, 5. 2. The extent of the binocular domain in the horizontal plane which lies 490 Œºm above the bases of the antennae (Figs. 2A, 5) is 29 ¬∞. The dorsal binocular field in the vertical plane which is perpendicular to the longitudinal body-axis extends over 42 ¬∞; the corresponding value for the ventral binocular field is 31 ¬∞ (Figs. 5, 6). 3. The lines of view of the medial peripheral ommatidia of the compound eyes intersect 5.6 mm in front of the head in the horizontal plane. In the vertical plane, we obtained a corresponding value of 2.8 mm dorsally and 4.7 mm ventrally. Each of these points of intersection marks the start of the binocular space in the respective plane (Figs. 5, 6). 4. The visual field is almost a complete sphere (Figs. 6, 7). The extent of the caudally-situated dead space is not due to the shape of the thorax and abdomen; rather, the lines of view of the peripheral lateral ommatidia skirt the outlines of the thorax. 5. The 'monocular-binocular-boundary' in the facetal array of the compound eye was established. This boundary separates the ommatidia whose lines of sight are directed towards the binocular domain from those ommatidia which look solely into the visual field of the respective eye (= monocular visual field). We further determined the lines of sight and the x-, y- and z-coordinate values of certain ommatidia which lie on this monocular-binocular-boundary (Table 1). 31% of all ommatidia of the bee belong to the binocular region (Fig. 8). 6. Medial peripheral ommatidia of one eye and corresponding ommatidia on the monocular-binocular-boundary of the other eye, i.e., ommatidia which look at the same point in space, usually are located on different z-rows (Fig. 9, Table 1). 7. The ommatidial array of the compound eye was examined. A regular hexagonal lattice occurs at the centre of the eye; irregularities are present in the dorsal and ventral regions. An x-y-z coordinate system can be used to quantitatively describe the position of particular facets in the ommatidial array (Fig. 8). 8. Both the number of x-, y- and z-rows as well as the total number of ommatidia vary from animal to animal and - to a lesser extent - between the right and left eyes of any one bee. The average number of ommatidia per eye is 5,432. 9. An estimate was made of the visual fields of the 3 ocelli of the bee (Fig. 10). ¬© 1981 Springer-Verlag.</t>
  </si>
  <si>
    <t>17-26</t>
  </si>
  <si>
    <t>60011226;60011226</t>
  </si>
  <si>
    <t>16488885400;7402267836</t>
  </si>
  <si>
    <t>Seidl, Reinhard;Kaiser, Walter</t>
  </si>
  <si>
    <t>Technische Universit√§t Darmstadt</t>
  </si>
  <si>
    <t>Seidl R.</t>
  </si>
  <si>
    <t>Visual field size, binocular domain and the ommatidial array of the compound eyes in worker honey bees</t>
  </si>
  <si>
    <t>10.1007/BF00606065</t>
  </si>
  <si>
    <t>2-s2.0-0002154488</t>
  </si>
  <si>
    <t>['special growth', 'size ratio', 'since number', 'postembryonic development', 'microscopical methods', 'male may', 'macroglomerulus develops', 'last three', 'larval stages', 'growth precedes', 'first larva', 'final molt', 'antennal lobes', 'antennal lobe', 'adult number', 'adult animals']</t>
  </si>
  <si>
    <t>Antennal lobes | Development | Periplaneta americana | Sexual dimorphism</t>
  </si>
  <si>
    <t>The postembryonic development of the antennal lobes of Periplaneta americana L. was examined with light- and electron-microscopical methods. There is no difference in the number of glomeruli and neurons in the antennal lobes of larval and adult animals. At hatching, the first larva already possesses the adult number of approximately 125 glomeruli and 500 to 560 deutocerebral neurons in the dorsolateral cell group of each antennal lobe. During postembryonic development the volume of the deutocerebral neurons increases three- to fourfold. The glomeruli of the first larva have about 7 % of the volume of the corresponding adult glomeruli. Since number, pattern, and size ratio of glomeruli (with the exception of the macroglomerulus) are constant in all larval stages and adult animals, it is possible to identify individual glomeruli. During the whole postembryonic development the ordinary glomeruli show a continuous volume increase, which parallels the increase in antennal sensory input. The macroglomerulus develops by way of special growth of two to four neuropil units, but not before the last three to four larval stages and only in males. Its growth precedes the formation of antennal pheromone receptors during the final molt; these receptors are known to project into the macroglomerulus. The development of the macroglomerulus in the last larval stages of the male may be caused by a genetically fixed growth program of specific deutocerebral neurons. ¬© 1981 Springer-Verlag.</t>
  </si>
  <si>
    <t>563-575</t>
  </si>
  <si>
    <t>0302766X</t>
  </si>
  <si>
    <t>Cell and Tissue Research</t>
  </si>
  <si>
    <t>Prillinger, Linde</t>
  </si>
  <si>
    <t>Regensburg</t>
  </si>
  <si>
    <t>Universit√§t Regensburg</t>
  </si>
  <si>
    <t>Prillinger L.</t>
  </si>
  <si>
    <t>Postembryonic development of the antennal lobes in Periplaneta americana L.</t>
  </si>
  <si>
    <t>10.1007/BF00233532</t>
  </si>
  <si>
    <t>2-s2.0-0019428740</t>
  </si>
  <si>
    <t>['wall pores', 'types revealed', 'terminal swelling', 'substructures demonstrated', 'stimulus transduction', 'sensitive units', 'sensilla ).', 'pegs 4', 'olfactory receptors', 'moist air', 'locusta migratoria', 'less sensitive', 'investigated electrophysiologically', 'impulse amplitude', 'dw sensilla', 'dry air', 'densely filled', 'cuticular wall', 'coeloconic sensilla']</t>
  </si>
  <si>
    <t>Chemoreception | Hygroreception | Insect sensilla | Locust | Thermoreception</t>
  </si>
  <si>
    <t>Coeloconic sensilla on the antenna of Locusta migratoria were investigated electrophysiologically, labeled and then examined under the scanning or transmission electron microscope. They can be categorized into two main morphological types: 1) sensilla with wall pores and two concentric cuticular walls (wp-dw sensilla), and 2) sensilla lacking wall pores (np-sensilla). Hygroreceptors were observed only in np-sensilla. Olfactory receptors were observed in wp-dw sensilla, but not in np-sensilla. Cold-sensitive units were found in both types. Wp-dw sensilla with a cold-sensitive unit also manifest a fatty acid olfactory receptor. This cold-sensitive unit appears to be less sensitive to drops in temperature than the cold receptor combined with hygroreceptors in np-sensilla. Recordings from both types revealed up to three or sometimes four units that could be distinguished on the basis of impulse amplitude. The number of np-sensilla on each antennal segment ranges from 0 to 6. These sensilla are pegs 4-5 Œºm long with a terminal swelling. The dendritic outer segments of two sensory cells fit tightly into these pegs. The dendrite of the third sensory cell ends at its base. All three are up to 1 Œºm thick, unbranched, and densely filled with microtubules. The cuticular wall and socket of the peg are characterized by (1) an electron-dense inner layer surrounding the dendrites and continuous with electron dense clusters at the base of the peg, and (2) clefts in the cuticle at the insertion of the peg. The present observations favor the hypothesis that insect sensilla combining the triad of moist air, dry air and cold receptors generally lack pores. Specifical, though still alternative roles in stimulus transduction can be suggested for substructures demonstrated in the present and previous electron microscopic investigations. ¬© 1981 Springer-Verlag.</t>
  </si>
  <si>
    <t>289-308</t>
  </si>
  <si>
    <t>60030807;60030807;60030807</t>
  </si>
  <si>
    <t>6603701874;7409848732;7003421668</t>
  </si>
  <si>
    <t>Altner, H.;Routil, Ch;Loftus, R.</t>
  </si>
  <si>
    <t>Altner H.</t>
  </si>
  <si>
    <t>The structure of bimodal chemo-, thermo-, and hygroreceptive sensilla on the antenna of Locusta migratoria</t>
  </si>
  <si>
    <t>10.1007/BF00239116</t>
  </si>
  <si>
    <t>2-s2.0-0019459682</t>
  </si>
  <si>
    <t>244-251</t>
  </si>
  <si>
    <t>57210124920;7005785456;6506826020</t>
  </si>
  <si>
    <t>Arabadzhi, V. V.;Belov, Yu I.;Knafel', A. I.</t>
  </si>
  <si>
    <t>Arabadzhi V.</t>
  </si>
  <si>
    <t>Errors in directional pattern construction produced by measurement errors in near-field scanning</t>
  </si>
  <si>
    <t>10.1007/BF01035378</t>
  </si>
  <si>
    <t>2-s2.0-0019535918</t>
  </si>
  <si>
    <t>['second type', 'opercular crown', 'marine polychaetes', 'lysidice collaris', 'junk b', 'hydroides homoceros', 'five species', 'duplicate operculum', 'common variation', 'bifid antenna', 'anomalous individuals', 'anomalies fall']</t>
  </si>
  <si>
    <t>Annelida | Arabian Gulf | Kuwait | morphological variations | Polychaeta | teratology</t>
  </si>
  <si>
    <t>Anomalous individuals in five species of marine polychaetes are described. The anomalies fall into three structural types, viz, duplication, bifurcation and common variation. Included in the first are double ventral cirrus in Perinereis nuntia vallata and duplicate operculum in Hydroides homoceros. Bifid antenna in Lysidice collaris and forked anal papilla in Armandia leptocirris constitute the second type. The third includes supernumerary eyes in Arabella iricolor iricolor and variations in opercular crown in, again, Hydroides homoceros. ¬© 1981 Dr. W. Junk b. v. Publishers.</t>
  </si>
  <si>
    <t>129-131</t>
  </si>
  <si>
    <t>Hydrobiologia</t>
  </si>
  <si>
    <t>Mohammad, Murad B.M.</t>
  </si>
  <si>
    <t>Iraq</t>
  </si>
  <si>
    <t>Baghdad</t>
  </si>
  <si>
    <t>University of Baghdad</t>
  </si>
  <si>
    <t>Mohammad M.</t>
  </si>
  <si>
    <t>Malformations in some polychaete annelids from Kuwait, Arabian Gulf</t>
  </si>
  <si>
    <t>10.1007/BF00007586</t>
  </si>
  <si>
    <t>2-s2.0-51249179891</t>
  </si>
  <si>
    <t>['¬© 1981', 'theory employs', 'series expansion', 'rights reserved', 'radiation characteristics', 'microstrip feed', 'input impedance', 'electromagnetic properties', 'electrical engineers']</t>
  </si>
  <si>
    <t>Antennas | Microstrip</t>
  </si>
  <si>
    <t>The analysis of the electromagnetic properties of the circularsegment microstrip antenna with microstrip feed is presented. The theory employs an equivalent magnetic wall model, treating the antenna as a lossy flat cavity. A series expansion in resonant modes yields an approximation of input impedance, radiation characteristics and near field data of the antenna. ¬© 1981, The Institution of Electrical Engineers. All rights reserved.</t>
  </si>
  <si>
    <t>198-200</t>
  </si>
  <si>
    <t>60016653;60016653</t>
  </si>
  <si>
    <t>6602740115;6504427109</t>
  </si>
  <si>
    <t>Malkomes, M.;Quitmann, A.</t>
  </si>
  <si>
    <t>Aachen</t>
  </si>
  <si>
    <t>Rheinisch-Westf√§lische Technische Hochschule Aachen</t>
  </si>
  <si>
    <t>Malkomes M.</t>
  </si>
  <si>
    <t>Microstrip circular-segment antenna</t>
  </si>
  <si>
    <t>10.1049/el:19810140</t>
  </si>
  <si>
    <t>2-s2.0-0019873088</t>
  </si>
  <si>
    <t>National Institute of General Medical Sciences</t>
  </si>
  <si>
    <t>R01GM027309</t>
  </si>
  <si>
    <t>NIGMS</t>
  </si>
  <si>
    <t>['¬© 1981', 'tentatively identified', 'special ubiquinone', 'red shift', 'reaction center', 'ratio suggests', 'oxidized yields', 'oxidized qz', 'oxidize qz', 'observed functional', 'kinetically similar', 'flash activation', 'ferrocytochrome b', 'ferricytochrome b', 'cytochrome c2', 'cytochrome b', 'contributions due', 'carotenoid bandshift', 'c2 oxidoreductase', 'approximately 0', 'antimycin inhibits', 'antenna bacteriochlorophyll', 'also stimulates', 'absorption changes', '589 nm', '50 mv']</t>
  </si>
  <si>
    <t>(Kinetics, Rps. sphaeroides) | Antimycin | Cytochrome b | Oxidation-reduction reaction | Ubiquinone-cytochrome b/c  oxidoreductase 2</t>
  </si>
  <si>
    <t>1. The kinetics of cytochrome b reduction and oxidation in the ubiquinone-cytochrome b/c2 oxidoreductase of chromatophores from Rhodopseudomonas sphaeroides Ga have been measured both in the presence and absence of anti-mycin, after subtraction of contributions due to absorption changes from cytochrome c2, the oxidized bacteriochlorophyll dimer of the reaction center, and a red shift of the antenna bacteriochlorophyll. 2. A small red shift of the antenna bacteriochlorophyll band centered at 589 nm has been identified and found to be kinetically similar to the carotenoid bandshift. 3. Antimycin inhibits the oxidation of ferrocytochrome b under all conditions; it also stimulates the amount of single flash activated cytochrome b reduction 3- to 4-fold under certain if not all conditions. 4. A maximum of approximately 0.6 cytochrome b-560 (Em(7) = 50 mV, n = 1, previously cytochrome b50) hemes per reaction center are reduced following activating flashes. This ratio suggests that there is one cytochrome b-560 heme functional per ubiquinone-cytochrome b/c2 oxidoreductase. 5. Under the experimental conditions used here, only cytochrome b-560 is observed functional in cyclic electron transfer. 6. We describe the existence of three distinct states of reduction of the ubiquinone-cytochrome b/c2 oxidoreductase which can be established before activation, and result in markedly different reaction sequences involving cytochrome b after the flash activation. Poising such that the special ubiquinone (Qz) is reduced and cytochrome b-560 is oxidized yields the conditions for optimal flash activated electron transfer rates through the ubiquinone-cytochrome b/c2 oxidoreductase. However when the ambient redox state is lowered to reduce cytochrome b-560 or raised to oxidize Qz, single turnover flash induced electron transfer through the ubiquinone-cytochrome b/c2 oxidoreductase appears impeded; the points of the impediment are tentatively identified with the electron transfer step from the reduced secondary quinone (QII) of the reaction center to ferricytochrome b-560 and from the ferrocytochrome b-560 to oxidized Qz, respectively. ¬© 1981.</t>
  </si>
  <si>
    <t>149-166</t>
  </si>
  <si>
    <t>60006297;60006297</t>
  </si>
  <si>
    <t>7005709013;7102771915</t>
  </si>
  <si>
    <t>O'Keefe, Daniel P.;Dutton, P. Leslie</t>
  </si>
  <si>
    <t>O'Keefe D.P.</t>
  </si>
  <si>
    <t>Cytochrome b oxidation and reduction reactions in the ubiquinone-cytochrome b/c&lt;inf&gt;2&lt;/inf&gt; oxidoreductase from Rhodopseudomonas Sphaeroides</t>
  </si>
  <si>
    <t>0005-2728(81)90015-3</t>
  </si>
  <si>
    <t>10.1016/0005-2728(81)90015-3</t>
  </si>
  <si>
    <t>2-s2.0-0019434659</t>
  </si>
  <si>
    <t>Neotropical Ornithological Society</t>
  </si>
  <si>
    <t>NOS</t>
  </si>
  <si>
    <t>['¬© 1981', 'wild type', 'wavelength chlorophyll', 'tobacco chloroplasts', 'three photosystems', 'su var', 'showing clearly', 'mutants su', 'mutants relative', 'markedly decreased', 'harvesting complex', 'generally assigned', 'chlorophyll b', 'antenna composition', 'action spectra', 'absorbance spectra', '705 nm', '690 nm', '683 nm', '678 nm', '672 nm', '660 nm', '4 k']</t>
  </si>
  <si>
    <t>(Tobacco chloroplast) | Action spectrum | Antenna composition | Chlorophyll composition | Photosystem I | Photosystem II</t>
  </si>
  <si>
    <t>The antenna composition of the Photosystems IIŒ±, IIŒ≤ and I was studied in tobacco chloroplasts. Absorbance spectra, recorded at 4 K, were analyzed for the wild type and the mutants Su/su and Su/su var. Aurea, containing higher concentrations of the photosystems. With chloroplasts of Su/su we measured the action spectra of the three photosystems from 625 to 690 nm. Above 675 nm absorption by Photosystem I dominated. This sytem had a maximum at 678 nm and a shoulder at 660 nm. Of the long-wavelength chlorophyll a forms, absorbing at 690, 697 and 705 nm at 4 K, which are generally assigned to Photosystem I, the 697 nm form occurred in an amount of four molecules per reaction center of Photosystem I in each type of chloroplast. The Photosystem IIŒ± spectrum was characterized by maxima at 650 and 672 nm, showing clearly the participation of the chlorophyll a and b containing light-harvesting complex. In the mutants the light-harvesting complex has a chlorophyll a to chlorophyll b ratio of more than 1; the amount of the 672 nm chlorophyll a was normal, whereas the amount of chlorophyll b was markedly decreased in the mutants relative to the wild type. The Photosystem IIŒ≤ spectrum mainly consisted of a band at 683 nm. ¬© 1981.</t>
  </si>
  <si>
    <t>121-131</t>
  </si>
  <si>
    <t>60003878;60003878;60003878</t>
  </si>
  <si>
    <t>6602726949;7003439547;6602399028</t>
  </si>
  <si>
    <t>Thielen, A. P.G.M.;van Gorkom, H. J.;Rijgersberg, C. P.</t>
  </si>
  <si>
    <t>Thielen A.P.G.M.</t>
  </si>
  <si>
    <t>Chlorophyll composition of Photosystems II&lt;inf&gt;Œ±&lt;/inf&gt;, II&lt;inf&gt;Œ≤&lt;/inf&gt; and I in tobacco chloroplasts</t>
  </si>
  <si>
    <t>0005-2728(81)90013-X</t>
  </si>
  <si>
    <t>10.1016/0005-2728(81)90013-X</t>
  </si>
  <si>
    <t>2-s2.0-0019878512</t>
  </si>
  <si>
    <t>['¬© 1981', 'wild type', 'su var', 'reaction rates', 'rate constants', 'quantum yields', 'quantum efficiency', 'quanta absorbed', 'primary reactions', 'photosystem could', 'mutants su', 'kinetic differences', 'independent structures', 'iiœ ≤', 'iiœ ±', 'different kinds', 'chlorophyll molecules', 'chlorophyll caused', 'charge separation', 'antenna size', 'absorbed energy']</t>
  </si>
  <si>
    <t>(Tobacco chloroplast) | Antenna size | Photosystem I | Photosystem II | Quantum yield</t>
  </si>
  <si>
    <t>Reaction center concentrations were determined in chloroplasts of tobacco, cv John William's Broadleaf, and its mutants Su/su and Su/su var. Aurea. Quantum yields of the primary reactions of Photosystems I, IIŒ± and IIŒ≤ (Melis, A. and Homann, P.H. (1975) Photochem. Photobiol. 21, 431-437) were obtained by measurement of their rate constants and the absorbed energy, under conditions where all three photosystems operated simultaneously and produced almost irreversibly a single charge separation. The concentrations and reaction rates of the photosystems were different in chloroplasts from the wild type and the mutants, but in chloroplasts of each type of plant used essentially all quanta absorbed by chlorophyll caused a charge separation in PS I, PS IIŒ± or PS IIŒ≤. Since the quantum efficiency of each photosystem was close to one, kinetic differences between the photosystems and between different kinds of chloroplasts were only due to differences in antenna size. From the rate constants the number of chlorophyll molecules in the antenna of each photosystem could be calculated. It is argued that PS IIŒ± and PS IIŒ≤ must be different, independent structures. ¬© 1981.</t>
  </si>
  <si>
    <t>111-120</t>
  </si>
  <si>
    <t>6602726949;7003439547</t>
  </si>
  <si>
    <t>Thielen, A. P.G.M.;van Gorkom, H. J.</t>
  </si>
  <si>
    <t>Quantum efficiency and antenna size of Photosystems II&lt;inf&gt;Œ±&lt;/inf&gt;, II&lt;inf&gt;Œ≤&lt;/inf&gt; and I in tobacco chloroplasts</t>
  </si>
  <si>
    <t>0005-2728(81)90012-8</t>
  </si>
  <si>
    <t>10.1016/0005-2728(81)90012-8</t>
  </si>
  <si>
    <t>2-s2.0-0019878528</t>
  </si>
  <si>
    <t>['verlag gmbh', 'unbranched cilia', 'tubular structures', 'thermoreceptive sensillum', 'surrounded distally', 'structural features', 'single dendrite', 'single axon', 'sensory cilia', 'sensillum cone', 'sensillum capitulum', 'outer cavity', 'one branches', 'numerous microtubules', 'number one', 'many microtubules', 'manner similar', 'like structures', 'inner stem', 'inner cavity', 'guard wall', 'gland cell', 'extends distally', 'enveloping cells', 'enveloping cell', 'distal ends', 'cuticular wall', 'connecting cilium', 'closely apposed', 'amphinematic scolopidia']</t>
  </si>
  <si>
    <t>Cockroach | Hygroreceptor | Sensillum capitulum | Thermoreceptor | Ultrastructure</t>
  </si>
  <si>
    <t>The sensillum capitulum, a hygro- and thermoreceptive sensillum of the cockroach Periplaneta americana L. is comprised of four receptor cells, one glial cell, two gland cells and four enveloping cells. Each receptor cell sends a single axon to the CNS, and has a single dendrite which extends distally. The perikarya of three receptor cells are enclosed by one of the enveloping cells (number one) and the fourth by a gland cell. The dendrites of all four receptor cells are enclosed by the same enveloping cell. The dendrites contain rootlets and many microtubules. The sensory cilia arise at the end of the dendrites at the level of the inner cavity, expand from the connecting cilium in a manner similar to those of the amphinematic scolopidia, and have numerous microtubules. The 1st enveloping cell contains scolopale rod-like structures. The sensory cilia are surrounded distally by a cuticular sheath formed within the 1st enveloping cell. One of the sensory cilia disappears distally, and the remaining ones enter the sensillum cone. Of these, one branches and the other two do not. The distal ends of the unbranched cilia are differentiated into tubular structures. The sensillum cone is comprised of an inner stem and a guard wall, neither of which is perforated. The outer cavity is enclosed by the 2nd, 3rd, and 4th enveloping cells, and distally in the antenna is closely apposed to the cuticular wall. This cavity contains lipid deposits. These structural features are discussed with regard to the mechanism of hygroreception in P. americana. ¬© 1981 Springer-Verlag GmbH &amp; Co. KG.</t>
  </si>
  <si>
    <t>525-543</t>
  </si>
  <si>
    <t>Yokohari, F.</t>
  </si>
  <si>
    <t>Yokohari F.</t>
  </si>
  <si>
    <t>The sensillum capitulum, an antennal hygro- and thermoreceptive sensillum of the cockroach, Periplaneta americana L.</t>
  </si>
  <si>
    <t>10.1007/BF00238649</t>
  </si>
  <si>
    <t>2-s2.0-0019444835</t>
  </si>
  <si>
    <t>317-321</t>
  </si>
  <si>
    <t>Rashkovskii, S. L.</t>
  </si>
  <si>
    <t>Rashkovskii S.</t>
  </si>
  <si>
    <t>Characteristics of linear dipoles positioned near the interface of two media</t>
  </si>
  <si>
    <t>10.1007/BF01034769</t>
  </si>
  <si>
    <t>2-s2.0-0019549067</t>
  </si>
  <si>
    <t>['¬© 1981', 'surface physics', 'polarized waves', 'point dipole', 'new decomposition', 'new approach', 'immediately identified', 'general expressions', 'field far', 'electric field', 'easily obtained', 'dramatic results', 'decay rate', 'asymptotic fields', 'asymptotic expressions', 'adsorbed molecules']</t>
  </si>
  <si>
    <t>We present a new approach to the dipole antenna problem in surface physics, using a new decomposition of the electric field from a point dipole. The s- and p-polarized waves which contribute to this field are immediately identified, and asymptotic expressions for the field far from all interfaces are easily obtained; no auxiliary fields need be introduced. General expressions for the asymptotic fields and the decay rate are derived, and an example is given which illustrates the dramatic results that can appear if the fluorescence of adsorbed molecules is observed in an attenuated total reflection (ATR) geometry. ¬© 1981.</t>
  </si>
  <si>
    <t>489-504</t>
  </si>
  <si>
    <t>Surface Science</t>
  </si>
  <si>
    <t>Sipe, J. E.</t>
  </si>
  <si>
    <t>Sipe J.</t>
  </si>
  <si>
    <t>The dipole antenna problem in surface physics: A new approach</t>
  </si>
  <si>
    <t>10.1016/0039-6028(81)90014-5</t>
  </si>
  <si>
    <t>2-s2.0-0001225106</t>
  </si>
  <si>
    <t>['¬© 1981', 'testing site', 'test antenna', 'stray reflections', 'rights reserved', 'particularly troublesome', 'novel technique', 'field required', 'electrical engineers']</t>
  </si>
  <si>
    <t>Antenna radiation patterns | Antennas</t>
  </si>
  <si>
    <t>Accuracy in antenna pattern measurements is affected by the quality of the testing site. Stray reflections can be particularly troublesome if they distort the uniformity of the field required in the region of the test antenna. A novel technique to improve the performance against these effects is presented and discussed. ¬© 1981, The Institution of Electrical Engineers. All rights reserved.</t>
  </si>
  <si>
    <t>257-258</t>
  </si>
  <si>
    <t>Hill, D. R.</t>
  </si>
  <si>
    <t>Chichester</t>
  </si>
  <si>
    <t>Credowan Limited</t>
  </si>
  <si>
    <t>Hill D.</t>
  </si>
  <si>
    <t>New technique to improve antenna measurements in the presence of site reflections</t>
  </si>
  <si>
    <t>10.1049/el:19810181</t>
  </si>
  <si>
    <t>2-s2.0-0019871302</t>
  </si>
  <si>
    <t>['¬© 1981', 'true values', 'thereby avoiding', 'small tapers', 'rights reserved', 'previous calculations', 'pattern ranges', 'parameter distributions', 'linearly proportional', 'gain errors', 'electrical engineers', 'db ).', 'closed form', 'amplitude taper']</t>
  </si>
  <si>
    <t>Antennas | Microwave measurement</t>
  </si>
  <si>
    <t>Amplitude taper of the field of a pattern measurement range produces gain and sidelobe values lower than the true values. A calculation is made using one-parameter distributions, for which the gain can be found in closed form, thereby avoiding the errors in previous calculations. For small tapers both gain errors and sidelobe level errors are linearly proportional to taper (dB). These results are useful in the design of pattern ranges, especially for very low sidelobe antennas, where the amplitude taper is more critical. ¬© 1981, The Institution of Electrical Engineers. All rights reserved.</t>
  </si>
  <si>
    <t>260-261</t>
  </si>
  <si>
    <t>R. C. Hansen, Inc.</t>
  </si>
  <si>
    <t>Effect of field amplitude taper on measured antenna gain and sidelobes</t>
  </si>
  <si>
    <t>10.1049/el:19810184</t>
  </si>
  <si>
    <t>2-s2.0-0019871309</t>
  </si>
  <si>
    <t>['¬© 1981', 'small number', 'simulated analysis', 'rights reserved', 'electrical engineers', 'brief description']</t>
  </si>
  <si>
    <t>Antennas | Arrays</t>
  </si>
  <si>
    <t>After a brief description of various application capabilities offered by phased array techniques, a simulated analysis is presented of null-steering arrays using microwave digital phase-only weights, i.e. in the presence of phase quantisation errors. It is shown that sufficiently good nulling performances requires only a small number of bits. ¬© 1981, The Institution of Electrical Engineers. All rights reserved.</t>
  </si>
  <si>
    <t>255-257</t>
  </si>
  <si>
    <t>Ananasso, F.</t>
  </si>
  <si>
    <t>Selenia S.p.A.</t>
  </si>
  <si>
    <t>Ananasso F.</t>
  </si>
  <si>
    <t>Nulling performance of null-steering arrays with digital phase-only weights</t>
  </si>
  <si>
    <t>10.1049/el:19810180</t>
  </si>
  <si>
    <t>2-s2.0-0019871348</t>
  </si>
  <si>
    <t>['visible region', 'ultrastructural characteristics', 'stacked discs', 'rods formed', 'rod elements', 'proteolytic processing', 'ph 8', 'ordered aggregates', 'much shorter', 'kilodalton polypeptides', 'kilodalton polypeptide', 'intact phycobilisomes', 'hexameric discs', 'growing rods', 'discs formed', '6 hexamer']</t>
  </si>
  <si>
    <t>The 75-, 33-, 30-, and 27-kilodalton polypeptide components ("linker polypeptides") of the phycobilisome of the unicellular cyanobacterium Synechococcus 6301 have been purified and characterized. In 0.6 M NaK phosphate buffer at pH 8, the 33-, 30-, and 27-kilodalton polypeptides assemble phycocyanin into ordered aggregates, whereas the 75-kilodalton polypeptide does not interact with phycocyanin. In the presence of the 33- and 30-kilodalton polypeptides, phycocyanin is assembled into hexameric discs and rods of stacked discs with the ultrastructural characteristics of the rod elements of intact phycobilisomes. Interaction of phycocyanin with only the 27-kilodalton polypeptide leads solely to the formation of discs that do not assemble into rods. Rods formed by interaction of phycocyanin with the 30- and 33-kilodalton polypeptides in the presence of the 27-kilodalton polypeptide are much shorter than those formed in its absence. This suggests that addition to growing rods of discs formed from phycocyanin and the 27-kilodalton polypeptide terminates rod assembly. Ordered structures formed upon interaction of phycocyanin with individual linker polypeptides contain at least 1 eq of linker polypeptide/(alpha beta)6 hexamer of phycocyanin. Complexes of phycocyanin with different linker polypeptides have distinctive spectroscopic properties that suggest a polar energy transfer along rod substructures toward the core. The linker polypeptides show no absorbance in the visible region of the spectrum. Peptide mapping shows that they are not related to each other by proteolytic processing.</t>
  </si>
  <si>
    <t>3580-3592</t>
  </si>
  <si>
    <t>Journal of Biological Chemistry</t>
  </si>
  <si>
    <t>7003870096;10142874600;7101844846</t>
  </si>
  <si>
    <t>Lundell, D. J.;Williams, R. C.;Glazer, A. N.</t>
  </si>
  <si>
    <t>Lundell D.J.</t>
  </si>
  <si>
    <t>Molecular architecture of a light-harvesting antenna. In vitro assembly of the rod substructures of Synechococcus 6301 phycobilisomes.</t>
  </si>
  <si>
    <t>2-s2.0-0019876730</t>
  </si>
  <si>
    <t>['¬© 1981', 'thereby keeping', 'slot shape', 'rights reserved', 'radial waveguide', 'one method', 'excitation simple', 'electrical engineers', 'alternative method']</t>
  </si>
  <si>
    <t>An array of annular slots fed through a radial waveguide does not produce axial radiation when excited through a simple coaxial line. One method of producing axial radiation is to make the excitation cos œï dependent. An alternative method of producing axial radiation is presented, where instead of changing the excitation the slot shape is changed, thereby keeping the excitation simple. ¬© 1981, The Institution of Electrical Engineers. All rights reserved.</t>
  </si>
  <si>
    <t>314-315</t>
  </si>
  <si>
    <t>60009697;60009697;60009697</t>
  </si>
  <si>
    <t>55166375600;8092251400;7006128356</t>
  </si>
  <si>
    <t>Rahman, F.;Shafai, L.;Bridges, E.</t>
  </si>
  <si>
    <t>Winnipeg</t>
  </si>
  <si>
    <t>University of Manitoba</t>
  </si>
  <si>
    <t>Rahman F.</t>
  </si>
  <si>
    <t>Radiation characteristics of array of crescent slots fed through radial waveguide</t>
  </si>
  <si>
    <t>10.1049/el:19810219</t>
  </si>
  <si>
    <t>2-s2.0-0019557883</t>
  </si>
  <si>
    <t>['¬© 1981', 'usefully applied', 'significant saving', 'rights reserved', 'ordinate system', 'good agreement', 'field e', 'extremely useful', 'experimental tests', 'electrical engineers', 'constant œï', 'constant r', 'computer time', 'computer analyses', 'antenna must', '0 plane']</t>
  </si>
  <si>
    <t>Antennas | Radiation patterns</t>
  </si>
  <si>
    <t>The bidimensional sampling technique, which is extremely useful when the pattern of an antenna must be reconstructed over a large space region, does not lead to significant saving of computer time when the electromagnetic field must be computed only on a few constant cp cuts as in most common design analyses. In these cases the unidimensional sampling theorem can be usefully applied to reconstruct the field E(u) on a constant r = 0 plane together with a rotation of the co-ordinate system that transforms each constant œï-plane into the v = 0 plane. The technique is described and the results of computer analyses and experimental tests are presented for an offset multiple beam antenna, showing the obtained computer time reduction and the good agreement between the measurements and analyses. ¬© 1981, The Institution of Electrical Engineers. All rights reserved.</t>
  </si>
  <si>
    <t>324-325</t>
  </si>
  <si>
    <t>60084299;60084299;60031159</t>
  </si>
  <si>
    <t>6506466596;6603060697;6603814793</t>
  </si>
  <si>
    <t>De Vincenti, P.;Doro, G.;Saitto, A.</t>
  </si>
  <si>
    <t>Italy;Netherlands</t>
  </si>
  <si>
    <t>Rome;Noordwijk aan Zee</t>
  </si>
  <si>
    <t>Selenia S.p.A.;ESTEC - European Space Research and Technology Centre</t>
  </si>
  <si>
    <t>60084299;60031159</t>
  </si>
  <si>
    <t>De Vincenti P.</t>
  </si>
  <si>
    <t>Reconstruction of bidimensional electromagnetic field by unidimensional sampling technique</t>
  </si>
  <si>
    <t>10.1049/el:19810228</t>
  </si>
  <si>
    <t>2-s2.0-0019554677</t>
  </si>
  <si>
    <t>['¬© 1981', 'rights reserved', 'large apertures', 'electrical engineers', 'dielectric feed', 'crosspolar radiation', 'crosspolar properties', 'corrugated feeds', 'corrugated feed']</t>
  </si>
  <si>
    <t>Waveguide antennas | Waveguides</t>
  </si>
  <si>
    <t>The crosspolar properties of dielectric and corrugated feeds are compared, subject to approximations which are valid for narrow flare angles and large apertures. Whereas the crosspolar radiation from a corrugated feed has a resonant frequency dependence, that for a dielectric feed is only weakly dependent upon frequency. ¬© 1981, The Institution of Electrical Engineers. All rights reserved.</t>
  </si>
  <si>
    <t>317-318</t>
  </si>
  <si>
    <t>Clarricoats, P. J.B.</t>
  </si>
  <si>
    <t>Queen Mary University of London</t>
  </si>
  <si>
    <t>Theoretical comparison of crosspolar performance of dielectric and corrugated feeds</t>
  </si>
  <si>
    <t>10.1049/el:19810224</t>
  </si>
  <si>
    <t>2-s2.0-0019556410</t>
  </si>
  <si>
    <t>389-395</t>
  </si>
  <si>
    <t>57220358034;6602965096</t>
  </si>
  <si>
    <t>Mal'tsev, A. A.;Pozumentov, I. E.</t>
  </si>
  <si>
    <t>Mal'tsev A.A.</t>
  </si>
  <si>
    <t>Statistical characteristics of adaptive antenna arrays with constraints</t>
  </si>
  <si>
    <t>10.1007/BF01033751</t>
  </si>
  <si>
    <t>2-s2.0-0019562425</t>
  </si>
  <si>
    <t>['wave antenna', 'two cases', 'transducer mounted', 'resonant gravitational', 'noise temperature', 'noise response', 'matching conditions', 'kolmogoroff algorithm', 'gravitational radiation', 'effective temperature', 'detailed analysis', 'data analysis', 'b ).', 'antenna mass']</t>
  </si>
  <si>
    <t>We present here a detailed analysis of the signal and noise response of a resonant gravitational-wave antenna in two cases:a) with the transducer mounted directly on the bar, b) with the transducer mounted on an auxiliary resonant mechanical oscillator which, in turn, is connected to the bar. The sensitivity, minimum detectable spectralenergy density of the gravitational radiation, is given in terms of the ratio between an effective temperature and the antenna mass. The effective temperature depends on the temperature of the bar, on the noise temperature of the transducer, on the matching among bar, transducer and preamplifier, and on the data analysis algorithm. We derive an expression for the optimum matching conditions which holds for both cases a) and b). When the matching conditions are fulfilled, the effective temperature becomes equal to twice the noise temperature of the amplifier, provided the Wiener-Kolmogoroff algorithm is used in the data analysis. ¬© 1981 Societ√† Italiana di Fisica.</t>
  </si>
  <si>
    <t>237-283</t>
  </si>
  <si>
    <t>60021199-60032350-60021660;60021199-60032350-60021660</t>
  </si>
  <si>
    <t>7004243218;7003386560</t>
  </si>
  <si>
    <t>Pallottino, G. V.;Pizzella, G.</t>
  </si>
  <si>
    <t>Pallottino G.</t>
  </si>
  <si>
    <t>Matching of transducers to resonant gravitational-wave antennas</t>
  </si>
  <si>
    <t>10.1007/BF02574720</t>
  </si>
  <si>
    <t>2-s2.0-51249182320</t>
  </si>
  <si>
    <t>['two stations', 'two gravitational', 'occurrence times', 'may 1980', 'gravitational waves', 'free oscillations', 'frascati shows', 'extraterrestrial origin', 'events recorded', 'data collected', '7 min', '389 kg', '20 kg', '1 and0']</t>
  </si>
  <si>
    <t>The data collected in May 1980 with two gravitational-wave antennas operated simultaneously, one (M=20 kg) in Rome, the other (M=389 kg) in Frascati, show a few high-energy events recorded by the two stations at times which differ by a few seconds. The probability for these ¬´coincidences¬ª to be accidental is of the order of 10-4. Various considerations tend to exclude that these events are due to gravitational waves of extraterrestrial origin. In addition, a few types of trivial local disturbances have been excluded. A study of the occurrence times of the events recorded at Frascati shows the presence of two periods (‚Ñ±=53.1 and 54.7 min) equal to those of the free oscillations of the Earth:0 S 2 +1 and0 S 2 -1 . ¬© 1981 Societ√† Italiana di Fisica.</t>
  </si>
  <si>
    <t>295-308</t>
  </si>
  <si>
    <t>60032350-60021660;60032350-60021660;60032350-60021660;60032350-60021660;60032350-60021660;60032350-60021660;60032350-60021660-60021199;60032350-60021660-60021199;60021199;60021199;60021199;60021199;60021199;60021199</t>
  </si>
  <si>
    <t>24785703100;7005568912;25649375000;7003738313;7003636273;7103269533;7004243218;7003386560;7004641893;56236475400;24560782200;6602162239;56148964400;55880048200</t>
  </si>
  <si>
    <t>Amaldi, E.;Coccia, E.;Frasca, S.;Modena, I.;Rapagnani, P.;Ricci, F.;Pallottino, G. V.;Pizzella, G.;Bonifazi, P.;Cosmelli, C.;Giovanardi, U.;Iafolla, V.;Ugazio, S.;Vannaroni, G.</t>
  </si>
  <si>
    <t>Amaldi E.</t>
  </si>
  <si>
    <t>Background of gravitational-wave antennas of possible terrestrial origin-I</t>
  </si>
  <si>
    <t>10.1007/BF02574722</t>
  </si>
  <si>
    <t>2-s2.0-51649158749</t>
  </si>
  <si>
    <t>['similar analysis', 'may 1980', 'july 1978', 'free oscillation', 'frascati antenna', 'following periods', 'events recorded', 'data collected', '85 minutes', '64 minutes']</t>
  </si>
  <si>
    <t>In order to deepen the analysis of the events recorded during May 1980 by the Frascati antenna (see the previous paper), we have Fourier-analysed their times of arrival and found the following periods of free oscillation of the Earth: ‚Ñ±(0 S 2 -1 )=55.03, ‚Ñ±(0 S 2 -1 )=53.12, ‚Ñ±(0 S 4=25.84, ‚Ñ±(0 T 3=28.85 minutes. A similar analysis of data collected in June-July 1978 has shown the following periods: ‚Ñ±(0 S 2 -1 )=55.23, ‚Ñ±(0 S 3 -2 )=36.23, ‚Ñ±(0 S 3 -2 )=35.30, ‚Ñ±(0 S 0=20.38√∑20.61, ‚Ñ±(0 T 2=41.18, ‚Ñ±(0 T 4 -3=21.73, ‚Ñ±(0 T 4 +3=21.64 minutes. The probability for these periods to be accidental in all cases is very small. ¬© 1981 Societ√† Italiana di Fisica.</t>
  </si>
  <si>
    <t>309-323</t>
  </si>
  <si>
    <t>60032350-60021660;60032350-60021660;60032350-60021660-60021199;60032350-60021660-60021199;60021660-60021199</t>
  </si>
  <si>
    <t>24785703100;25649375000;7004243218;7003386560;7004641893</t>
  </si>
  <si>
    <t>Amaldi, E.;Frasca, S.;Pallottino, G. V.;Pizzella, G.;Bonifazi, P.</t>
  </si>
  <si>
    <t>Background of gravitational-wave antennas of possible terrestrial origin.-II</t>
  </si>
  <si>
    <t>10.1007/BF02574723</t>
  </si>
  <si>
    <t>2-s2.0-51649159602</t>
  </si>
  <si>
    <t>['¬© 1981', 'overdense plasmas', 'microwave power', '45 ghz']</t>
  </si>
  <si>
    <t>A simple open waveguide antenna was used for the production of overdense plasmas at moderately high magnetic fields. Ignition was achieved with a pulsed locally confined electron cyclotron condition. With an induction of B0 = 0.6 T and a microwave power of 6kW at 2.45 GHz a plasma density n ÃÑe = 1.6 x 1012 cm-3 was obtained in hydrogen. ¬© 1981.</t>
  </si>
  <si>
    <t>15-18</t>
  </si>
  <si>
    <t>60015815;60015815</t>
  </si>
  <si>
    <t>6701668057;6601971954</t>
  </si>
  <si>
    <t>Janzen, G.;R√§uchle, E.</t>
  </si>
  <si>
    <t>Stuttgart</t>
  </si>
  <si>
    <t>Universit√§t Stuttgart</t>
  </si>
  <si>
    <t>Janzen G.</t>
  </si>
  <si>
    <t>Open waveguide plasma source</t>
  </si>
  <si>
    <t>0375-9601(81)90536-3</t>
  </si>
  <si>
    <t>10.1016/0375-9601(81)90536-3</t>
  </si>
  <si>
    <t>2-s2.0-49049145671</t>
  </si>
  <si>
    <t>['¬© 1981']</t>
  </si>
  <si>
    <t>A toroidal plasma current was observed to be driven well inside the plasma by travelling lower hybrid waves excited with helical antennas wound around a glass vacuum chamber. ¬© 1981.</t>
  </si>
  <si>
    <t>172-174</t>
  </si>
  <si>
    <t>22998329600;7102111483;36057196100</t>
  </si>
  <si>
    <t>Kojima, T.;Takamura, S.;Okuda, T.</t>
  </si>
  <si>
    <t>Kojima T.</t>
  </si>
  <si>
    <t>Current generation due to a travelling lower hybrid wave excited by helical antennas</t>
  </si>
  <si>
    <t>0375-9601(81)90878-1</t>
  </si>
  <si>
    <t>10.1016/0375-9601(81)90878-1</t>
  </si>
  <si>
    <t>2-s2.0-24444466876</t>
  </si>
  <si>
    <t>['¬© 1981', 'time delay', 'rights reserved', 'electrical engineers', 'bend exit', 'additional losses', '5 ns', '10 ghz', '1 db']</t>
  </si>
  <si>
    <t>Antenna feeders | Losses | Waveguides</t>
  </si>
  <si>
    <t>The additional losses and fluctuations in time delay in TE11 operating curved circular waveguides have been determined. The results obtained reveal that additional losses are less than 0.1 dB and time delay fluctuations are less than 0.5 ns at a bend exit (curvature radius one metre). This permits the use of nonrigid circular waveguides as feeders to antennas in communication systems operating at frequencies above 10 GHz. ¬© 1981, The Institution of Electrical Engineers. All rights reserved.</t>
  </si>
  <si>
    <t>362-364</t>
  </si>
  <si>
    <t>60008447;60008447;60008447</t>
  </si>
  <si>
    <t>6701784665;6507090714;7003385210</t>
  </si>
  <si>
    <t>Fray, C.;Andritsos, I.;Papiernik, A.</t>
  </si>
  <si>
    <t>Limoges</t>
  </si>
  <si>
    <t>Universite de Limoges</t>
  </si>
  <si>
    <t>Fray C.</t>
  </si>
  <si>
    <t>Additional losses and time delay fluctuations of TE&lt;inf&gt;11&lt;/inf&gt; modes in curved circular waveguides-application to feeder antennas</t>
  </si>
  <si>
    <t>10.1049/el:19810254</t>
  </si>
  <si>
    <t>2-s2.0-0019565940</t>
  </si>
  <si>
    <t>['¬© 1981', 'wavelength operation', 'threshold current', 'temperature dependence', 'rights reserved', 'output power', 'lnp buried', 'lasing wavelength', 'itg laser', 'guide laser', 'first time', 'electrical engineers', 'cw operation', '255 k', '245 k', '233 k', '228 k', '2 mw']</t>
  </si>
  <si>
    <t>Integrated optics | Lasers and applications | Liquid-phase epitaxy | Reflector antennas</t>
  </si>
  <si>
    <t>A 1.5 ‚àº 1.6 ¬µm GalnAsP/lnP buried-heterostructure integrated twin-guide laser with distributed Bragg reflector (BH-DBR-ITG laser) was realised, for the first time, and CW operation was achieved up to 255 K. Single-wavelength operation was obtained at temperatures between 228 K and 245 K with the temperature dependence of lasing wavelength of 1.0 √Ö/deg. At 233 K, the threshold current, the output power and the differential quantum efficiency were 110 mA, 2.2 mW and 4.8%facet, respectively. ¬© 1981, The Institution of Electrical Engineers. All rights reserved.</t>
  </si>
  <si>
    <t>366-368</t>
  </si>
  <si>
    <t>60031126;60031126;60031126;60031126</t>
  </si>
  <si>
    <t>57212343456;35901905700;55775041800;35425207300</t>
  </si>
  <si>
    <t>Kobayashi, K.;Utaka, K.;Abe, Y.;Suematsu, Y.</t>
  </si>
  <si>
    <t>Kobayashi K.</t>
  </si>
  <si>
    <t>CW operation of 1.5 ‚àº 1.6 ¬µm wavelength GalnAsP/InP buried-heterostructure integrated twin-guide laser with distributed Bragg reflector</t>
  </si>
  <si>
    <t>10.1049/el:19810257</t>
  </si>
  <si>
    <t>2-s2.0-0019565944</t>
  </si>
  <si>
    <t>['¬© 1981', 'wavelength operation', 'threshold current', 'rights reserved', 'modulation frequency', 'modulation depth', 'lnp buried', 'itg laser', 'guide laser', 'experimentally confirmed', 'electrical engineers', 'directly modulated', 'dc bias', '100 %.', '1 times', '1 ghz']</t>
  </si>
  <si>
    <t>Integrated optics | Lasers and applications | Modulation | Reflector antennas</t>
  </si>
  <si>
    <t>1.53 ¬µm GalnAsP/lnP buried-heterostructure integrated twin-guide laser with distributed Bragg reflector (BH-DBR-ITG laser) was directly modulated with microwave modulation current superimposed on a DC bias which was fixed at 1.1 times the threshold current, and single-wavelength operation was experimentally confirmed with a modulation frequency up to 1 GHz and a modulation depth of 100%. ¬© 1981, The Institution of Electrical Engineers. All rights reserved.</t>
  </si>
  <si>
    <t>368-369</t>
  </si>
  <si>
    <t>60031126;60031126;60031126;60031126;60031126</t>
  </si>
  <si>
    <t>35901905700;57212343456;35427453800;55775041800;35425207300</t>
  </si>
  <si>
    <t>Utaka, K.;Kobayashi, K.;Koyama, F.;Abe, Y.;Suematsu, Y.</t>
  </si>
  <si>
    <t>Utaka K.</t>
  </si>
  <si>
    <t>Single-wavelength operation of 1.53 ¬µm GalnAsP/lnP buried-heterostructure integrated twin-guide laser with distributed Bragg reflector under direct modulation up to 1 GHz</t>
  </si>
  <si>
    <t>10.1049/el:19810258</t>
  </si>
  <si>
    <t>2-s2.0-0019565947</t>
  </si>
  <si>
    <t>['¬© 1981', 'wavelike change', 'rights reserved', 'incident wave', 'helical turns', 'ellipticity measurement', 'electrical engineers', 'axial ratio']</t>
  </si>
  <si>
    <t>Antennas</t>
  </si>
  <si>
    <t>The axial ratio of a balanced helical antenna shows a wavelike change with increase in the number of helical turns. The ellipticity measurement of an incident wave is carried out using the balanced helical antenna with excellent axial ratio regarded as being entirely circular polarisation. ¬© 1981, The Institution of Electrical Engineers. All rights reserved.</t>
  </si>
  <si>
    <t>365-366</t>
  </si>
  <si>
    <t>60030526;60030526</t>
  </si>
  <si>
    <t>57220533028;55633340100</t>
  </si>
  <si>
    <t>Yamauchi, J.;Nakano, H.</t>
  </si>
  <si>
    <t>Axial ratio CF balanced helical antenna and ellipticity measurement of incident wave</t>
  </si>
  <si>
    <t>10.1049/el:19810256</t>
  </si>
  <si>
    <t>2-s2.0-0019565955</t>
  </si>
  <si>
    <t>['¬© 1981', 'rights reserved', 'nearly square', 'letter describes', 'electrical engineers', 'accurate method']</t>
  </si>
  <si>
    <t>Antennas | Microstrip | Polarisation</t>
  </si>
  <si>
    <t>The letter describes a simple but accurate method to determine the critical dimensions needed to produce circular polarisation for nearly square and nearly circular microstrip antennas. ¬© 1981, The Institution of Electrical Engineers. All rights reserved.</t>
  </si>
  <si>
    <t>383-385</t>
  </si>
  <si>
    <t>60000745;60005837</t>
  </si>
  <si>
    <t>7401934487;7202452162</t>
  </si>
  <si>
    <t>Lo, Y. T.;Richards, W. F.</t>
  </si>
  <si>
    <t>Houston;Urbana</t>
  </si>
  <si>
    <t>University of Houston;University of Illinois Urbana-Champaign</t>
  </si>
  <si>
    <t>60005837;60000745</t>
  </si>
  <si>
    <t>Lo Y.</t>
  </si>
  <si>
    <t>Perturbation approach to design of circularly polarised microstrip antennas</t>
  </si>
  <si>
    <t>10.1049/el:19810269</t>
  </si>
  <si>
    <t>2-s2.0-0019565959</t>
  </si>
  <si>
    <t>['wind tunnel', 'whereas wing', 'vertical plane', 'vary significantly', 'stroke angle', 'small tortoiseshell', 'positively correlated', 'open loop', 'one flagellum', 'normal insects', 'normal animals', 'normal aglais', 'negatively correlated', 'moved synchronously', 'lift increase', 'lift depend', 'lift decreases', 'horizontal force', 'flight variables', 'flight speed', 'flight duration', 'flight balance', 'e .,', 'decreased relative', 'decrease simultaneously', 'closed loop', 'changed stepwise', 'body angle', 'beat frequency', 'antennal angle', 'also measured', 'air speed', '8 ).', '7 ).', '6 ).', '5 ).', '43 ¬∞', '4 ).', '3 ).', '2 ¬∞', '2 ).']</t>
  </si>
  <si>
    <t>1. In the Small Tortoiseshell (Aglais urticae L.), flying tethered on a flight balance in front of a wind tunnel (Fig. 1), different kinematic and aerodynamic flight variables were recorded under 'closed loop' conditions, i.e., when the butterfly's drag was compensated by its thrust. The wings are moved synchronously and nearly in a vertical plane (Fig. 2). Both 'flight speed' (in relation to the air) and lift depend on body angle (Fig. 3). Wing-beat frequency, wing-stroke angle, lift and flight speed do not vary significantly with flight duration in normal insects. Amputation of one flagellum does not influence this normal flight behavior. If both flagella are cut off, these variables remain independent of flight duration, but wing-beat frequency, wing-stroke angle and flight speed are increased, and lift is decreased relative to normal (Fig. 4). 2. Flight variables were also measured under 'open loop' conditions, i.e., air speed of the wind tunnel was changed stepwise between 0 and 2.5 m/s. In normal animals, wing-beat frequency and lift increase with increasing air speed, whereas wing-stroke angle and horizontal force (= thrust - drag) decrease simultaneously (Fig. 5). After cutting off the flagella, wing-beat frequency, wing-stroke angle and horizontal force increase with respect to normal, and lift decreases. In normal Aglais, the lift is positively correlated with wing-beat frequency, but negatively correlated with wing-stroke angle and horizontal force (Fig. 6). 3. The antennal angle during flight is about 43 ¬∞ and independent of air speed up to 2.0 m/s (Fig. 7). Under normal flight conditions, the passive antennal deflection is below 0.2 ¬∞ (Fig. 8). ¬© 1981 Springer-Verlag.</t>
  </si>
  <si>
    <t>249-256</t>
  </si>
  <si>
    <t>60025310;60025310</t>
  </si>
  <si>
    <t>6701785707;16488399900</t>
  </si>
  <si>
    <t>Gewecke, Michael;Niehaus, Monika</t>
  </si>
  <si>
    <t>Dusseldorf</t>
  </si>
  <si>
    <t>Heinrich-Heine-Universit√§t D√ºsseldorf</t>
  </si>
  <si>
    <t>Gewecke M.</t>
  </si>
  <si>
    <t>Flight and flight control by the antennae in the Small Tortoiseshell (Aglais urticae L., Lepidoptera) - I. Flight balance experiments</t>
  </si>
  <si>
    <t>10.1007/BF00605037</t>
  </si>
  <si>
    <t>2-s2.0-0010044231</t>
  </si>
  <si>
    <t>['tubular body', 'tp sensillum', 'tp ),', 'third proximally', 'terminates basally', 'sw 2', 'sw 1', 'sensory processes', 'sensillar type', 'np sensillum', 'np sensilla', 'np ).', 'like pores', 'large number', 'lamellar pattern', 'four single', 'following functions', 'external appearance', 'dw sensilla', 'branching pattern', 'apical slit', 'apical part']</t>
  </si>
  <si>
    <t>Agrotis segetum | Antennal sensilla | Fine structure</t>
  </si>
  <si>
    <t>The turnip moth Agrotis segetum possesses seven different types of sensilla: four single-walled (SW), one double-walled (DW), one terminal-pore (TP), and one poreless sensilla (NP). The SW 1 and SW 2 sensilla have the same external appearance, being long and slender, but differ in the branching pattern of the sensory processes: unbranched and branched in SW 1 and SW 2, respectively. The SW 3 sensilla are shorter, sickle-shaped, and contain a large number of branches from the sensory processes. These three sensillar types are innervated by 2-3 sensory cells. The SW 4 sensilla are raisin-shaped and possess three profusely branched sensory processes. The DW sensilla are short and have apical slit-like pores. This sensillar type has 5-6 sensory processes. The TP sensilla possess five sensory processes, one of them terminates basally in a tubular body, the others in the apical part of the long cuticular bristle. The NP sensilla are stout and have apical conelike structures. Two of the sensory processes terminate in the apical part, the third proximally. The third sensory process has a lamellar pattern. The fine structure indicates the following functions: SW and DW sensilla: chemoreception; TP sensillum: chemoreception and mechanoreception; NP sensillum: thermoreception and hygroreception. ¬© 1981 Springer-Verlag.</t>
  </si>
  <si>
    <t>209-218</t>
  </si>
  <si>
    <t>Hallberg, Eric</t>
  </si>
  <si>
    <t>Lund</t>
  </si>
  <si>
    <t>Lunds Universitet</t>
  </si>
  <si>
    <t>Hallberg E.</t>
  </si>
  <si>
    <t>Fine-structural characteristics of the antennal sensilla of Agrotis segetum (Insecta: Lepidoptera)</t>
  </si>
  <si>
    <t>10.1007/BF00210105</t>
  </si>
  <si>
    <t>2-s2.0-0019487552</t>
  </si>
  <si>
    <t>458-461</t>
  </si>
  <si>
    <t>36859947800;6602069673;6603265107;6508142512</t>
  </si>
  <si>
    <t>Korovin, A. V.;Nasyrov, A. M.;Proskurin, E. V.;Yagnov, N. N.</t>
  </si>
  <si>
    <t>Korovin A.V.</t>
  </si>
  <si>
    <t>Results of angular measurements in the scattering of ultrashort waves on artificial inhomogeneities</t>
  </si>
  <si>
    <t>10.1007/BF01034218</t>
  </si>
  <si>
    <t>2-s2.0-0019573130</t>
  </si>
  <si>
    <t>['wide range', 'total loss', 'torque generated', 'tethered flight', 'successive increases', 'progressive amputation', 'operated butterflies', 'free flight', 'fly consistently', 'flight speed', 'flight behavior', 'flagella results', 'butterfly keeps', 'amputated flagella', 'also investigated', '9 ).', '8 ).', '7 ).', '6 ).', '5 h', '5 ),', '4 ).', '3 ).', '10 ).']</t>
  </si>
  <si>
    <t>1. Normal Small Tortoiseshells tethered to a flight mill fly up to 5 h (Figs. 1,3). Following flagellar amputation (Fig. 2), flight speed increases significantly by about 30% (Fig. 4). Increased flight speed persists when the amputated flagella are attached to the frons (Fig. 5), but normal flight speed is restored when the amputated flagella are reattached to the proximal antennal stumps (Fig. 6). 2. Progressive amputation of parts of the flagella results in successive increases in flight speed (Fig. 7). Lengthening of the flagella decreases flight speed (Fig. 8). By varying its flight speed, the butterfly keeps the torque generated by drag in the pedicel-flagellum joint nearly constant over a wide range (Fig. 9). 3. A strong interaction exists between optical and aerodynamic sensory inputs. Normal butterflies lacking optical orientation make only short duration flights. However, flagellarless animals lacking optical information not only fly consistently, but show a further increase in flight speed compared to those with normal optical feedback (Fig. 10). 4. Flight speed (Fig. 11) and flight behavior of normal and operated butterflies were also investigated in free flight. All operations which in tethered flight are followed by changes in flight speed, lead to either a reduction or to a total loss of free flight ability. ¬© 1981 Springer-Verlag.</t>
  </si>
  <si>
    <t>257-264</t>
  </si>
  <si>
    <t>Niehaus, Monika</t>
  </si>
  <si>
    <t>Niehaus M.</t>
  </si>
  <si>
    <t>Flight and flight control by the antennae in the Small Tortoiseshell (Aglais urticae L., Lepidoptera) - II. Flight mill and free flight experiments</t>
  </si>
  <si>
    <t>10.1007/BF00605038</t>
  </si>
  <si>
    <t>2-s2.0-3242813045</t>
  </si>
  <si>
    <t>503-505</t>
  </si>
  <si>
    <t>Measurement Techniques</t>
  </si>
  <si>
    <t>57191866887;57197324269</t>
  </si>
  <si>
    <t>Pankratov, S. G.;Sokolov, A. A.</t>
  </si>
  <si>
    <t>Pankratov S.</t>
  </si>
  <si>
    <t>The biconical antenna as a source of standard pulsed electromagnetic fields</t>
  </si>
  <si>
    <t>10.1007/BF00825581</t>
  </si>
  <si>
    <t>2-s2.0-34250247301</t>
  </si>
  <si>
    <t>KBF 46</t>
  </si>
  <si>
    <t>['¬© 1981', 'x320 -,', 'type inhibitors', 'tunnel mechanism', 'transfer steps', 'transfer reactions', 'thylakoid membrane', 'sn 58132', 'slightly retards', 'salt depletion', 'reoxidation kinetics', 'relative levels', 'redox potentials', 'receptor site', 'proteinaceous component', 'plastoquinone molecules', 'photosystem ii', 'o2 evolution', 'markedly modify', 'greatly reduces', 'glutaraldehyde fixation', 'g .,', 'functional properties', 'functional mechanism', 'fluorescence yield', 'electron transport', 'completely presents', 'comparative measurements', 'binding properties', 'apoenzyme ),', 'antenna chlorophylls', 'adry effect', 'additionally modifies', 'additionally contains', 'acta 440', 'acceptor side', 'absorption changes', '300 ).']</t>
  </si>
  <si>
    <t>Electron transfer | Fluorescence induction | Oxygen evolution | Photosystem II | Plastoquinone | X320-B-apoprotein</t>
  </si>
  <si>
    <t>The electron-transfer reactions between the plastoquinone molecules of the acceptor side of photosystem II have been inferred to be regulated by a proteinaceous component (apoenzyme), which additionally contains the receptor site for DCMU-type inhibitors (Renger, G., (1976) Biochim. Biophys. Acta 440, 287-300). In order to reveal the functional properties of this apoenzyme, the effect of procedures which modify the structure of proteins on the photosystem II electron transport have been investigated in isolated spinach chloroplasts by comparative measurements of O2 evolution and absorption changes at 334 nm induced by repetitive flash excitation and of fluorescence induction curves caused by continuous actinic light. It was found that: (1) The release of blockage of O2 evolution by the DCMU-type inhibitor SN 58132 due to mild tryptic digestion correlates kinetically with the deterioration of the binding properties. (2) Glutaraldehyde fixation of chloroplasts does not markedly modify the reoxidation kinetics of the reduced primary plastoquinone acceptor component, X320-, of photosystem II, but it greatly reduces the fluorescence yield of the antenna chlorophylls and slightly retards the ADRY effect. Furthermore, it prevents the attack of trypsin on the apoenzyme. (3) Incubation of chloroplasts in 'low' salt medium markedly diminishes the ability of trypsin to release the blockage of O2 evolution by SN 58132 and completely presents the effect on inhibition by DCMU. Based on these results and taking into account recent findings of other groups, the functional mechanism of the electron transport on the acceptor side of photosystem II is discussed. Assuming a tunnel mechanism, the apoprotein is inferred to act as a dynamic regulator rather than changing only the relative levels of the redox potentials of the plastoquinone molecules involved in the transfer steps. It is further concluded that salt depletion does not only cause grana unstacking and a change of the excitation energy transfer probabilities, but it additionally modifies the orientation of functional membrane proteins of photosystem II and their structural interaction within the thylakoid membrane. ¬© 1981.</t>
  </si>
  <si>
    <t>60011604;60011604;60011604</t>
  </si>
  <si>
    <t>56216930900;24432759700;7801426872</t>
  </si>
  <si>
    <t>Renger, G.;Hagemann, R.;Dohnt, G.</t>
  </si>
  <si>
    <t>Berlin</t>
  </si>
  <si>
    <t>Technical University of Berlin</t>
  </si>
  <si>
    <t>Renger G.</t>
  </si>
  <si>
    <t>Properties of the proteinaceous component acting as apoenzyme for the functional plastoquinone redox groups on the acceptor side of system II</t>
  </si>
  <si>
    <t>10.1016/0005-2728(81)90070-0</t>
  </si>
  <si>
    <t>2-s2.0-0019878640</t>
  </si>
  <si>
    <t>['¬© 1981', 'wide range', 'rights reserved', 'experiment conducted', 'electrical engineers', 'broadband nature']</t>
  </si>
  <si>
    <t>Antennas | Ferrites | Microstrip</t>
  </si>
  <si>
    <t>Experiment conducted on a microstrip quarterwave antenna structure on a typical ferrite substrate reveals reduction in size, interesting radiation characteristics and a broadband nature over a wide range of frequencies in the lower UHF region. ¬© 1981, The Institution of Electrical Engineers. All rights reserved.</t>
  </si>
  <si>
    <t>441-442</t>
  </si>
  <si>
    <t>60020825;60020825</t>
  </si>
  <si>
    <t>8356522700;7006723977</t>
  </si>
  <si>
    <t>Das, N.;Chatterjee, J. S.</t>
  </si>
  <si>
    <t>Jadavpur University</t>
  </si>
  <si>
    <t>Das N.</t>
  </si>
  <si>
    <t>Quarterwave microstrip antenna on a ferrimagnetic substrate</t>
  </si>
  <si>
    <t>10.1049/el:19810309</t>
  </si>
  <si>
    <t>2-s2.0-0019581162</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</si>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</sst>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xf numFmtId="165" fontId="8" fillId="0" borderId="0" xfId="1" applyNumberFormat="1" applyFont="1" applyFill="1"/>
    <xf numFmtId="165" fontId="1" fillId="2" borderId="0" xfId="1" applyNumberFormat="1"/>
    <xf numFmtId="165" fontId="0" fillId="0" borderId="0" xfId="0" applyNumberForma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1FA3-AA63-974A-B928-40B75099B87E}">
  <dimension ref="A1:AW440"/>
  <sheetViews>
    <sheetView tabSelected="1" topLeftCell="F1" workbookViewId="0">
      <selection activeCell="AM26" sqref="AM26"/>
    </sheetView>
  </sheetViews>
  <sheetFormatPr baseColWidth="10" defaultRowHeight="16" x14ac:dyDescent="0.2"/>
  <cols>
    <col min="40" max="40" width="10.83203125" style="22"/>
  </cols>
  <sheetData>
    <row r="1" spans="1:49" s="11" customFormat="1" x14ac:dyDescent="0.2">
      <c r="A1" s="14"/>
      <c r="B1" s="14" t="s">
        <v>4785</v>
      </c>
      <c r="C1" s="14" t="s">
        <v>4784</v>
      </c>
      <c r="D1" s="14" t="s">
        <v>4783</v>
      </c>
      <c r="E1" s="14" t="s">
        <v>4782</v>
      </c>
      <c r="F1" s="14" t="s">
        <v>4781</v>
      </c>
      <c r="G1" s="14" t="s">
        <v>4780</v>
      </c>
      <c r="H1" s="14" t="s">
        <v>4779</v>
      </c>
      <c r="I1" s="14" t="s">
        <v>4778</v>
      </c>
      <c r="J1" s="14" t="s">
        <v>4777</v>
      </c>
      <c r="K1" s="14" t="s">
        <v>4776</v>
      </c>
      <c r="L1" s="14" t="s">
        <v>4775</v>
      </c>
      <c r="M1" s="14" t="s">
        <v>4774</v>
      </c>
      <c r="N1" s="14" t="s">
        <v>4773</v>
      </c>
      <c r="O1" s="14" t="s">
        <v>4772</v>
      </c>
      <c r="P1" s="14" t="s">
        <v>4771</v>
      </c>
      <c r="Q1" s="14" t="s">
        <v>4770</v>
      </c>
      <c r="R1" s="19" t="s">
        <v>4769</v>
      </c>
      <c r="S1" s="14" t="s">
        <v>4768</v>
      </c>
      <c r="T1" s="14" t="s">
        <v>4768</v>
      </c>
      <c r="U1" s="14" t="s">
        <v>4767</v>
      </c>
      <c r="V1" s="19" t="s">
        <v>4766</v>
      </c>
      <c r="W1" s="14" t="s">
        <v>4765</v>
      </c>
      <c r="X1" s="13" t="s">
        <v>4764</v>
      </c>
      <c r="Y1" s="18" t="s">
        <v>4763</v>
      </c>
      <c r="Z1" s="17" t="s">
        <v>4748</v>
      </c>
      <c r="AA1" s="14" t="s">
        <v>4762</v>
      </c>
      <c r="AB1" s="14" t="s">
        <v>4761</v>
      </c>
      <c r="AC1" s="14" t="s">
        <v>4760</v>
      </c>
      <c r="AD1" s="14" t="s">
        <v>4759</v>
      </c>
      <c r="AE1" s="14" t="s">
        <v>4758</v>
      </c>
      <c r="AF1" s="14" t="s">
        <v>4757</v>
      </c>
      <c r="AG1" s="14" t="s">
        <v>4756</v>
      </c>
      <c r="AH1" s="14" t="s">
        <v>4755</v>
      </c>
      <c r="AI1" s="14" t="s">
        <v>4754</v>
      </c>
      <c r="AJ1" s="14" t="s">
        <v>4753</v>
      </c>
      <c r="AK1" s="13" t="s">
        <v>4752</v>
      </c>
      <c r="AL1" s="14" t="s">
        <v>4751</v>
      </c>
      <c r="AM1" s="16" t="s">
        <v>4750</v>
      </c>
      <c r="AN1" s="20" t="s">
        <v>4749</v>
      </c>
      <c r="AO1" s="15" t="s">
        <v>4748</v>
      </c>
      <c r="AP1" s="14" t="s">
        <v>4747</v>
      </c>
      <c r="AQ1" s="14" t="s">
        <v>4746</v>
      </c>
      <c r="AR1" s="14" t="s">
        <v>4745</v>
      </c>
      <c r="AS1" s="14" t="s">
        <v>4744</v>
      </c>
      <c r="AT1" s="13" t="s">
        <v>4743</v>
      </c>
      <c r="AU1" s="12" t="s">
        <v>4742</v>
      </c>
      <c r="AV1" s="12" t="s">
        <v>4741</v>
      </c>
      <c r="AW1" s="12" t="s">
        <v>4740</v>
      </c>
    </row>
    <row r="2" spans="1:49" x14ac:dyDescent="0.2">
      <c r="A2">
        <v>0</v>
      </c>
      <c r="B2" t="s">
        <v>4739</v>
      </c>
      <c r="C2" t="s">
        <v>4738</v>
      </c>
      <c r="F2" t="s">
        <v>4737</v>
      </c>
      <c r="G2" t="s">
        <v>16</v>
      </c>
      <c r="H2" t="s">
        <v>15</v>
      </c>
      <c r="I2" t="s">
        <v>4736</v>
      </c>
      <c r="J2">
        <v>60020825</v>
      </c>
      <c r="K2" t="s">
        <v>4735</v>
      </c>
      <c r="L2" t="s">
        <v>1452</v>
      </c>
      <c r="M2" t="s">
        <v>577</v>
      </c>
      <c r="N2">
        <v>2</v>
      </c>
      <c r="O2" t="s">
        <v>4734</v>
      </c>
      <c r="P2" t="s">
        <v>4733</v>
      </c>
      <c r="Q2" t="s">
        <v>4732</v>
      </c>
      <c r="R2" s="6">
        <v>29762</v>
      </c>
      <c r="S2" s="7">
        <f t="shared" ref="S2:S65" si="0">YEAR(R2)</f>
        <v>1981</v>
      </c>
      <c r="T2" s="7">
        <v>1981</v>
      </c>
      <c r="U2" s="7">
        <f t="shared" ref="U2:U65" si="1">2022-T2</f>
        <v>41</v>
      </c>
      <c r="V2" s="6">
        <v>29762</v>
      </c>
      <c r="W2" t="s">
        <v>4298</v>
      </c>
      <c r="X2" s="2">
        <v>0.375</v>
      </c>
      <c r="Y2" s="5">
        <f>(X2-$Z$3)/($Z$2-$Z$4)</f>
        <v>1.0010410827260351E-2</v>
      </c>
      <c r="Z2">
        <v>37.460999999999999</v>
      </c>
      <c r="AA2">
        <v>135194</v>
      </c>
      <c r="AB2">
        <v>24918</v>
      </c>
      <c r="AD2" t="s">
        <v>5</v>
      </c>
      <c r="AE2">
        <v>17</v>
      </c>
      <c r="AF2">
        <v>13</v>
      </c>
      <c r="AH2" t="s">
        <v>4731</v>
      </c>
      <c r="AI2" t="s">
        <v>4730</v>
      </c>
      <c r="AJ2" t="s">
        <v>4729</v>
      </c>
      <c r="AK2" t="s">
        <v>4728</v>
      </c>
      <c r="AL2">
        <v>3</v>
      </c>
      <c r="AM2" s="4">
        <f t="shared" ref="AM2:AM65" si="2">AL2/U2</f>
        <v>7.3170731707317069E-2</v>
      </c>
      <c r="AN2" s="21">
        <f>(AM2-$AO$3)/($AO$2-$AO$3)</f>
        <v>1.1082276669037041E-4</v>
      </c>
      <c r="AO2" s="3">
        <v>660.25</v>
      </c>
      <c r="AP2">
        <v>0</v>
      </c>
      <c r="AR2" t="s">
        <v>1</v>
      </c>
      <c r="AT2" s="2">
        <v>1.3140000000000001</v>
      </c>
      <c r="AU2" s="1">
        <f t="shared" ref="AU2:AU65" si="3">(Y2*0.7+AN2*0.3)*100</f>
        <v>0.70405344090893573</v>
      </c>
      <c r="AV2" s="1">
        <f t="shared" ref="AV2:AV65" si="4">(Y2*0.5+AN2*0.5)*100</f>
        <v>0.50606167969753613</v>
      </c>
      <c r="AW2" s="1">
        <f t="shared" ref="AW2:AW65" si="5">(Y2*0.3+AN2*0.7)*100</f>
        <v>0.30806991848613646</v>
      </c>
    </row>
    <row r="3" spans="1:49" x14ac:dyDescent="0.2">
      <c r="A3">
        <v>1</v>
      </c>
      <c r="B3" t="s">
        <v>4727</v>
      </c>
      <c r="C3" t="s">
        <v>4726</v>
      </c>
      <c r="D3">
        <v>5272881900700</v>
      </c>
      <c r="E3">
        <v>7284341</v>
      </c>
      <c r="F3" t="s">
        <v>4725</v>
      </c>
      <c r="G3" t="s">
        <v>16</v>
      </c>
      <c r="H3" t="s">
        <v>15</v>
      </c>
      <c r="I3" t="s">
        <v>4724</v>
      </c>
      <c r="J3">
        <v>60011604</v>
      </c>
      <c r="K3" t="s">
        <v>4723</v>
      </c>
      <c r="L3" t="s">
        <v>4722</v>
      </c>
      <c r="M3" t="s">
        <v>92</v>
      </c>
      <c r="N3">
        <v>3</v>
      </c>
      <c r="O3" t="s">
        <v>4721</v>
      </c>
      <c r="P3" t="s">
        <v>4720</v>
      </c>
      <c r="Q3" t="s">
        <v>4719</v>
      </c>
      <c r="R3" s="6">
        <v>29749</v>
      </c>
      <c r="S3" s="7">
        <f t="shared" si="0"/>
        <v>1981</v>
      </c>
      <c r="T3" s="7">
        <v>1981</v>
      </c>
      <c r="U3" s="7">
        <f t="shared" si="1"/>
        <v>41</v>
      </c>
      <c r="V3" s="6">
        <v>29749</v>
      </c>
      <c r="W3" t="s">
        <v>498</v>
      </c>
      <c r="X3" s="2">
        <v>1.59</v>
      </c>
      <c r="Y3" s="5">
        <f t="shared" ref="Y3:Y66" si="6">(X3-$Z$3)/($Z$2-$Z$4)</f>
        <v>4.2444141907583888E-2</v>
      </c>
      <c r="Z3">
        <v>0</v>
      </c>
      <c r="AA3">
        <v>52728</v>
      </c>
      <c r="AB3">
        <v>16791</v>
      </c>
      <c r="AD3" t="s">
        <v>5</v>
      </c>
      <c r="AE3">
        <v>636</v>
      </c>
      <c r="AF3">
        <v>1</v>
      </c>
      <c r="AH3" t="s">
        <v>4348</v>
      </c>
      <c r="AI3" t="s">
        <v>4718</v>
      </c>
      <c r="AJ3" t="s">
        <v>4717</v>
      </c>
      <c r="AK3" t="s">
        <v>4716</v>
      </c>
      <c r="AL3">
        <v>28</v>
      </c>
      <c r="AM3" s="4">
        <f t="shared" si="2"/>
        <v>0.68292682926829273</v>
      </c>
      <c r="AN3" s="21">
        <f t="shared" ref="AN3:AN66" si="7">(AM3-$AO$3)/($AO$2-$AO$3)</f>
        <v>1.0343458224434574E-3</v>
      </c>
      <c r="AO3" s="3">
        <v>0</v>
      </c>
      <c r="AP3">
        <v>0</v>
      </c>
      <c r="AR3" t="s">
        <v>4715</v>
      </c>
      <c r="AT3" s="2" t="s">
        <v>0</v>
      </c>
      <c r="AU3" s="1">
        <f t="shared" si="3"/>
        <v>3.0021203082041756</v>
      </c>
      <c r="AV3" s="1">
        <f t="shared" si="4"/>
        <v>2.1739243865013673</v>
      </c>
      <c r="AW3" s="1">
        <f t="shared" si="5"/>
        <v>1.3457284647985586</v>
      </c>
    </row>
    <row r="4" spans="1:49" x14ac:dyDescent="0.2">
      <c r="A4">
        <v>2</v>
      </c>
      <c r="B4" t="s">
        <v>4714</v>
      </c>
      <c r="C4" t="s">
        <v>4713</v>
      </c>
      <c r="F4" t="s">
        <v>4712</v>
      </c>
      <c r="G4" t="s">
        <v>16</v>
      </c>
      <c r="H4" t="s">
        <v>15</v>
      </c>
      <c r="I4" t="s">
        <v>4711</v>
      </c>
      <c r="N4">
        <v>2</v>
      </c>
      <c r="O4" t="s">
        <v>4710</v>
      </c>
      <c r="P4" t="s">
        <v>4709</v>
      </c>
      <c r="Q4" t="s">
        <v>351</v>
      </c>
      <c r="R4" s="6">
        <v>29738</v>
      </c>
      <c r="S4" s="7">
        <f t="shared" si="0"/>
        <v>1981</v>
      </c>
      <c r="T4" s="7">
        <v>1981</v>
      </c>
      <c r="U4" s="7">
        <f t="shared" si="1"/>
        <v>41</v>
      </c>
      <c r="V4" s="6">
        <v>29738</v>
      </c>
      <c r="W4" t="s">
        <v>4708</v>
      </c>
      <c r="X4" s="2">
        <v>0.14899999999999999</v>
      </c>
      <c r="Y4" s="5">
        <f t="shared" si="6"/>
        <v>3.977469902031446E-3</v>
      </c>
      <c r="AA4">
        <v>5431972</v>
      </c>
      <c r="AB4">
        <v>15425</v>
      </c>
      <c r="AC4">
        <v>15738906</v>
      </c>
      <c r="AD4" t="s">
        <v>5</v>
      </c>
      <c r="AE4">
        <v>24</v>
      </c>
      <c r="AF4">
        <v>6</v>
      </c>
      <c r="AH4" t="s">
        <v>4707</v>
      </c>
      <c r="AL4">
        <v>0</v>
      </c>
      <c r="AM4" s="4">
        <f t="shared" si="2"/>
        <v>0</v>
      </c>
      <c r="AN4" s="21">
        <f t="shared" si="7"/>
        <v>0</v>
      </c>
      <c r="AO4" s="3"/>
      <c r="AP4">
        <v>0</v>
      </c>
      <c r="AR4" t="s">
        <v>1</v>
      </c>
      <c r="AT4" s="2" t="s">
        <v>0</v>
      </c>
      <c r="AU4" s="1">
        <f t="shared" si="3"/>
        <v>0.2784228931422012</v>
      </c>
      <c r="AV4" s="1">
        <f t="shared" si="4"/>
        <v>0.19887349510157229</v>
      </c>
      <c r="AW4" s="1">
        <f t="shared" si="5"/>
        <v>0.11932409706094337</v>
      </c>
    </row>
    <row r="5" spans="1:49" x14ac:dyDescent="0.2">
      <c r="A5">
        <v>3</v>
      </c>
      <c r="B5" t="s">
        <v>4706</v>
      </c>
      <c r="C5" t="s">
        <v>4705</v>
      </c>
      <c r="F5" t="s">
        <v>4704</v>
      </c>
      <c r="G5" t="s">
        <v>16</v>
      </c>
      <c r="H5" t="s">
        <v>15</v>
      </c>
      <c r="I5" t="s">
        <v>4703</v>
      </c>
      <c r="J5">
        <v>60025310</v>
      </c>
      <c r="K5" t="s">
        <v>4676</v>
      </c>
      <c r="L5" t="s">
        <v>4675</v>
      </c>
      <c r="M5" t="s">
        <v>92</v>
      </c>
      <c r="N5">
        <v>1</v>
      </c>
      <c r="O5" t="s">
        <v>4702</v>
      </c>
      <c r="P5">
        <v>16488399900</v>
      </c>
      <c r="Q5">
        <v>60025310</v>
      </c>
      <c r="R5" s="6">
        <v>29738</v>
      </c>
      <c r="S5" s="7">
        <f t="shared" si="0"/>
        <v>1981</v>
      </c>
      <c r="T5" s="7">
        <v>1981</v>
      </c>
      <c r="U5" s="7">
        <f t="shared" si="1"/>
        <v>41</v>
      </c>
      <c r="V5" s="6">
        <v>29738</v>
      </c>
      <c r="W5" t="s">
        <v>4338</v>
      </c>
      <c r="X5" s="2">
        <v>0.8</v>
      </c>
      <c r="Y5" s="5">
        <f t="shared" si="6"/>
        <v>2.1355543098155415E-2</v>
      </c>
      <c r="AA5">
        <v>3407594</v>
      </c>
      <c r="AB5">
        <v>23456</v>
      </c>
      <c r="AC5">
        <v>14321351</v>
      </c>
      <c r="AD5" t="s">
        <v>5</v>
      </c>
      <c r="AE5">
        <v>145</v>
      </c>
      <c r="AF5">
        <v>2</v>
      </c>
      <c r="AH5" t="s">
        <v>4701</v>
      </c>
      <c r="AI5" t="s">
        <v>4700</v>
      </c>
      <c r="AK5" t="s">
        <v>4699</v>
      </c>
      <c r="AL5">
        <v>24</v>
      </c>
      <c r="AM5" s="4">
        <f t="shared" si="2"/>
        <v>0.58536585365853655</v>
      </c>
      <c r="AN5" s="21">
        <f t="shared" si="7"/>
        <v>8.8658213352296332E-4</v>
      </c>
      <c r="AO5" s="3"/>
      <c r="AP5">
        <v>0</v>
      </c>
      <c r="AR5" t="s">
        <v>1</v>
      </c>
      <c r="AT5" s="2" t="s">
        <v>0</v>
      </c>
      <c r="AU5" s="1">
        <f t="shared" si="3"/>
        <v>1.5214854808765679</v>
      </c>
      <c r="AV5" s="1">
        <f t="shared" si="4"/>
        <v>1.112106261583919</v>
      </c>
      <c r="AW5" s="1">
        <f t="shared" si="5"/>
        <v>0.70272704229126981</v>
      </c>
    </row>
    <row r="6" spans="1:49" x14ac:dyDescent="0.2">
      <c r="A6">
        <v>4</v>
      </c>
      <c r="B6" t="s">
        <v>4698</v>
      </c>
      <c r="C6" t="s">
        <v>4697</v>
      </c>
      <c r="F6" t="s">
        <v>4696</v>
      </c>
      <c r="G6" t="s">
        <v>16</v>
      </c>
      <c r="H6" t="s">
        <v>15</v>
      </c>
      <c r="I6" t="s">
        <v>4695</v>
      </c>
      <c r="N6">
        <v>4</v>
      </c>
      <c r="O6" t="s">
        <v>4694</v>
      </c>
      <c r="P6" t="s">
        <v>4693</v>
      </c>
      <c r="Q6" t="s">
        <v>2136</v>
      </c>
      <c r="R6" s="6">
        <v>29738</v>
      </c>
      <c r="S6" s="7">
        <f t="shared" si="0"/>
        <v>1981</v>
      </c>
      <c r="T6" s="7">
        <v>1981</v>
      </c>
      <c r="U6" s="7">
        <f t="shared" si="1"/>
        <v>41</v>
      </c>
      <c r="V6" s="6">
        <v>29738</v>
      </c>
      <c r="W6" t="s">
        <v>477</v>
      </c>
      <c r="X6" s="2">
        <v>0.318</v>
      </c>
      <c r="Y6" s="5">
        <f t="shared" si="6"/>
        <v>8.4888283815167786E-3</v>
      </c>
      <c r="AA6">
        <v>338443</v>
      </c>
      <c r="AB6">
        <v>27160</v>
      </c>
      <c r="AC6">
        <v>15739120</v>
      </c>
      <c r="AD6" t="s">
        <v>5</v>
      </c>
      <c r="AE6">
        <v>24</v>
      </c>
      <c r="AF6">
        <v>6</v>
      </c>
      <c r="AH6" t="s">
        <v>4692</v>
      </c>
      <c r="AL6">
        <v>0</v>
      </c>
      <c r="AM6" s="4">
        <f t="shared" si="2"/>
        <v>0</v>
      </c>
      <c r="AN6" s="21">
        <f t="shared" si="7"/>
        <v>0</v>
      </c>
      <c r="AO6" s="3"/>
      <c r="AP6">
        <v>0</v>
      </c>
      <c r="AR6" t="s">
        <v>1</v>
      </c>
      <c r="AT6" s="2">
        <v>0.77</v>
      </c>
      <c r="AU6" s="1">
        <f t="shared" si="3"/>
        <v>0.59421798670617454</v>
      </c>
      <c r="AV6" s="1">
        <f t="shared" si="4"/>
        <v>0.42444141907583893</v>
      </c>
      <c r="AW6" s="1">
        <f t="shared" si="5"/>
        <v>0.25466485144550338</v>
      </c>
    </row>
    <row r="7" spans="1:49" x14ac:dyDescent="0.2">
      <c r="A7">
        <v>5</v>
      </c>
      <c r="B7" t="s">
        <v>4691</v>
      </c>
      <c r="C7" t="s">
        <v>4690</v>
      </c>
      <c r="E7">
        <v>7249062</v>
      </c>
      <c r="F7" t="s">
        <v>4689</v>
      </c>
      <c r="G7" t="s">
        <v>16</v>
      </c>
      <c r="H7" t="s">
        <v>15</v>
      </c>
      <c r="I7" t="s">
        <v>4688</v>
      </c>
      <c r="J7">
        <v>60029170</v>
      </c>
      <c r="K7" t="s">
        <v>4687</v>
      </c>
      <c r="L7" t="s">
        <v>4686</v>
      </c>
      <c r="M7" t="s">
        <v>299</v>
      </c>
      <c r="N7">
        <v>1</v>
      </c>
      <c r="O7" t="s">
        <v>4685</v>
      </c>
      <c r="P7">
        <v>7006062747</v>
      </c>
      <c r="Q7">
        <v>60029170</v>
      </c>
      <c r="R7" s="6">
        <v>29738</v>
      </c>
      <c r="S7" s="7">
        <f t="shared" si="0"/>
        <v>1981</v>
      </c>
      <c r="T7" s="7">
        <v>1981</v>
      </c>
      <c r="U7" s="7">
        <f t="shared" si="1"/>
        <v>41</v>
      </c>
      <c r="V7" s="6">
        <v>29738</v>
      </c>
      <c r="W7" t="s">
        <v>4362</v>
      </c>
      <c r="X7" s="2">
        <v>1.64</v>
      </c>
      <c r="Y7" s="5">
        <f t="shared" si="6"/>
        <v>4.3778863351218597E-2</v>
      </c>
      <c r="AA7" t="s">
        <v>4361</v>
      </c>
      <c r="AB7">
        <v>18446</v>
      </c>
      <c r="AC7">
        <v>14320878</v>
      </c>
      <c r="AD7" t="s">
        <v>5</v>
      </c>
      <c r="AE7">
        <v>218</v>
      </c>
      <c r="AF7">
        <v>1</v>
      </c>
      <c r="AH7" t="s">
        <v>4684</v>
      </c>
      <c r="AI7" t="s">
        <v>4683</v>
      </c>
      <c r="AJ7" t="s">
        <v>4682</v>
      </c>
      <c r="AK7" t="s">
        <v>4681</v>
      </c>
      <c r="AL7">
        <v>51</v>
      </c>
      <c r="AM7" s="4">
        <f t="shared" si="2"/>
        <v>1.2439024390243902</v>
      </c>
      <c r="AN7" s="21">
        <f t="shared" si="7"/>
        <v>1.8839870337362971E-3</v>
      </c>
      <c r="AO7" s="3"/>
      <c r="AP7">
        <v>0</v>
      </c>
      <c r="AR7" t="s">
        <v>1</v>
      </c>
      <c r="AT7" s="2">
        <v>5.2489999999999997</v>
      </c>
      <c r="AU7" s="1">
        <f t="shared" si="3"/>
        <v>3.1210400455973906</v>
      </c>
      <c r="AV7" s="1">
        <f t="shared" si="4"/>
        <v>2.2831425192477446</v>
      </c>
      <c r="AW7" s="1">
        <f t="shared" si="5"/>
        <v>1.4452449928980986</v>
      </c>
    </row>
    <row r="8" spans="1:49" x14ac:dyDescent="0.2">
      <c r="A8">
        <v>6</v>
      </c>
      <c r="B8" t="s">
        <v>4680</v>
      </c>
      <c r="C8" t="s">
        <v>4679</v>
      </c>
      <c r="F8" t="s">
        <v>4678</v>
      </c>
      <c r="G8" t="s">
        <v>16</v>
      </c>
      <c r="H8" t="s">
        <v>15</v>
      </c>
      <c r="I8" t="s">
        <v>4677</v>
      </c>
      <c r="J8">
        <v>60025310</v>
      </c>
      <c r="K8" t="s">
        <v>4676</v>
      </c>
      <c r="L8" t="s">
        <v>4675</v>
      </c>
      <c r="M8" t="s">
        <v>92</v>
      </c>
      <c r="N8">
        <v>2</v>
      </c>
      <c r="O8" t="s">
        <v>4674</v>
      </c>
      <c r="P8" t="s">
        <v>4673</v>
      </c>
      <c r="Q8" t="s">
        <v>4672</v>
      </c>
      <c r="R8" s="6">
        <v>29738</v>
      </c>
      <c r="S8" s="7">
        <f t="shared" si="0"/>
        <v>1981</v>
      </c>
      <c r="T8" s="7">
        <v>1981</v>
      </c>
      <c r="U8" s="7">
        <f t="shared" si="1"/>
        <v>41</v>
      </c>
      <c r="V8" s="6">
        <v>29738</v>
      </c>
      <c r="W8" t="s">
        <v>4338</v>
      </c>
      <c r="X8" s="2">
        <v>0.8</v>
      </c>
      <c r="Y8" s="5">
        <f t="shared" si="6"/>
        <v>2.1355543098155415E-2</v>
      </c>
      <c r="AA8">
        <v>3407594</v>
      </c>
      <c r="AB8">
        <v>23456</v>
      </c>
      <c r="AC8">
        <v>14321351</v>
      </c>
      <c r="AD8" t="s">
        <v>5</v>
      </c>
      <c r="AE8">
        <v>145</v>
      </c>
      <c r="AF8">
        <v>2</v>
      </c>
      <c r="AH8" t="s">
        <v>4671</v>
      </c>
      <c r="AI8" t="s">
        <v>4670</v>
      </c>
      <c r="AK8" t="s">
        <v>4669</v>
      </c>
      <c r="AL8">
        <v>25</v>
      </c>
      <c r="AM8" s="4">
        <f t="shared" si="2"/>
        <v>0.6097560975609756</v>
      </c>
      <c r="AN8" s="21">
        <f t="shared" si="7"/>
        <v>9.2352305575308681E-4</v>
      </c>
      <c r="AO8" s="3"/>
      <c r="AP8">
        <v>0</v>
      </c>
      <c r="AR8" t="s">
        <v>1</v>
      </c>
      <c r="AT8" s="2" t="s">
        <v>0</v>
      </c>
      <c r="AU8" s="1">
        <f t="shared" si="3"/>
        <v>1.5225937085434715</v>
      </c>
      <c r="AV8" s="1">
        <f t="shared" si="4"/>
        <v>1.1139533076954251</v>
      </c>
      <c r="AW8" s="1">
        <f t="shared" si="5"/>
        <v>0.70531290684737846</v>
      </c>
    </row>
    <row r="9" spans="1:49" x14ac:dyDescent="0.2">
      <c r="A9">
        <v>7</v>
      </c>
      <c r="B9" t="s">
        <v>4668</v>
      </c>
      <c r="C9" t="s">
        <v>4667</v>
      </c>
      <c r="F9" t="s">
        <v>4666</v>
      </c>
      <c r="G9" t="s">
        <v>16</v>
      </c>
      <c r="H9" t="s">
        <v>15</v>
      </c>
      <c r="I9" t="s">
        <v>4665</v>
      </c>
      <c r="J9" t="s">
        <v>4664</v>
      </c>
      <c r="K9" t="s">
        <v>4663</v>
      </c>
      <c r="L9" t="s">
        <v>4662</v>
      </c>
      <c r="M9" t="s">
        <v>277</v>
      </c>
      <c r="N9">
        <v>2</v>
      </c>
      <c r="O9" t="s">
        <v>4661</v>
      </c>
      <c r="P9" t="s">
        <v>4660</v>
      </c>
      <c r="Q9" t="s">
        <v>4659</v>
      </c>
      <c r="R9" s="6">
        <v>29734</v>
      </c>
      <c r="S9" s="7">
        <f t="shared" si="0"/>
        <v>1981</v>
      </c>
      <c r="T9" s="7">
        <v>1981</v>
      </c>
      <c r="U9" s="7">
        <f t="shared" si="1"/>
        <v>41</v>
      </c>
      <c r="V9" s="6">
        <v>29734</v>
      </c>
      <c r="W9" t="s">
        <v>4298</v>
      </c>
      <c r="X9" s="2">
        <v>0.375</v>
      </c>
      <c r="Y9" s="5">
        <f t="shared" si="6"/>
        <v>1.0010410827260351E-2</v>
      </c>
      <c r="AA9">
        <v>135194</v>
      </c>
      <c r="AB9">
        <v>24918</v>
      </c>
      <c r="AD9" t="s">
        <v>5</v>
      </c>
      <c r="AE9">
        <v>17</v>
      </c>
      <c r="AF9">
        <v>11</v>
      </c>
      <c r="AH9" t="s">
        <v>4658</v>
      </c>
      <c r="AI9" t="s">
        <v>4657</v>
      </c>
      <c r="AJ9" t="s">
        <v>4656</v>
      </c>
      <c r="AK9" t="s">
        <v>4655</v>
      </c>
      <c r="AL9">
        <v>20</v>
      </c>
      <c r="AM9" s="4">
        <f t="shared" si="2"/>
        <v>0.48780487804878048</v>
      </c>
      <c r="AN9" s="21">
        <f t="shared" si="7"/>
        <v>7.3881844460246945E-4</v>
      </c>
      <c r="AO9" s="3"/>
      <c r="AP9">
        <v>0</v>
      </c>
      <c r="AR9" t="s">
        <v>1</v>
      </c>
      <c r="AT9" s="2">
        <v>1.3140000000000001</v>
      </c>
      <c r="AU9" s="1">
        <f t="shared" si="3"/>
        <v>0.72289331124629863</v>
      </c>
      <c r="AV9" s="1">
        <f t="shared" si="4"/>
        <v>0.53746146359314106</v>
      </c>
      <c r="AW9" s="1">
        <f t="shared" si="5"/>
        <v>0.35202961593998339</v>
      </c>
    </row>
    <row r="10" spans="1:49" x14ac:dyDescent="0.2">
      <c r="A10">
        <v>8</v>
      </c>
      <c r="B10" t="s">
        <v>4654</v>
      </c>
      <c r="C10" t="s">
        <v>4653</v>
      </c>
      <c r="F10" t="s">
        <v>4652</v>
      </c>
      <c r="G10" t="s">
        <v>16</v>
      </c>
      <c r="H10" t="s">
        <v>15</v>
      </c>
      <c r="I10" t="s">
        <v>1614</v>
      </c>
      <c r="J10">
        <v>60030526</v>
      </c>
      <c r="K10" t="s">
        <v>1613</v>
      </c>
      <c r="L10" t="s">
        <v>313</v>
      </c>
      <c r="M10" t="s">
        <v>312</v>
      </c>
      <c r="N10">
        <v>2</v>
      </c>
      <c r="O10" t="s">
        <v>4651</v>
      </c>
      <c r="P10" t="s">
        <v>4650</v>
      </c>
      <c r="Q10" t="s">
        <v>4649</v>
      </c>
      <c r="R10" s="6">
        <v>29734</v>
      </c>
      <c r="S10" s="7">
        <f t="shared" si="0"/>
        <v>1981</v>
      </c>
      <c r="T10" s="7">
        <v>1981</v>
      </c>
      <c r="U10" s="7">
        <f t="shared" si="1"/>
        <v>41</v>
      </c>
      <c r="V10" s="6">
        <v>29734</v>
      </c>
      <c r="W10" t="s">
        <v>4298</v>
      </c>
      <c r="X10" s="2">
        <v>0.375</v>
      </c>
      <c r="Y10" s="5">
        <f t="shared" si="6"/>
        <v>1.0010410827260351E-2</v>
      </c>
      <c r="AA10">
        <v>135194</v>
      </c>
      <c r="AB10">
        <v>24918</v>
      </c>
      <c r="AD10" t="s">
        <v>5</v>
      </c>
      <c r="AE10">
        <v>17</v>
      </c>
      <c r="AF10">
        <v>11</v>
      </c>
      <c r="AH10" t="s">
        <v>4648</v>
      </c>
      <c r="AI10" t="s">
        <v>4647</v>
      </c>
      <c r="AJ10" t="s">
        <v>4646</v>
      </c>
      <c r="AK10" t="s">
        <v>4645</v>
      </c>
      <c r="AL10">
        <v>4</v>
      </c>
      <c r="AM10" s="4">
        <f t="shared" si="2"/>
        <v>9.7560975609756101E-2</v>
      </c>
      <c r="AN10" s="21">
        <f t="shared" si="7"/>
        <v>1.477636889204939E-4</v>
      </c>
      <c r="AO10" s="3"/>
      <c r="AP10">
        <v>0</v>
      </c>
      <c r="AR10" t="s">
        <v>1</v>
      </c>
      <c r="AT10" s="2">
        <v>1.3140000000000001</v>
      </c>
      <c r="AU10" s="1">
        <f t="shared" si="3"/>
        <v>0.7051616685758394</v>
      </c>
      <c r="AV10" s="1">
        <f t="shared" si="4"/>
        <v>0.50790872580904223</v>
      </c>
      <c r="AW10" s="1">
        <f t="shared" si="5"/>
        <v>0.31065578304224506</v>
      </c>
    </row>
    <row r="11" spans="1:49" x14ac:dyDescent="0.2">
      <c r="A11">
        <v>9</v>
      </c>
      <c r="B11" t="s">
        <v>4644</v>
      </c>
      <c r="C11" t="s">
        <v>4643</v>
      </c>
      <c r="F11" t="s">
        <v>4642</v>
      </c>
      <c r="G11" t="s">
        <v>16</v>
      </c>
      <c r="H11" t="s">
        <v>15</v>
      </c>
      <c r="I11" t="s">
        <v>4641</v>
      </c>
      <c r="J11">
        <v>60031126</v>
      </c>
      <c r="K11" t="s">
        <v>1682</v>
      </c>
      <c r="L11" t="s">
        <v>313</v>
      </c>
      <c r="M11" t="s">
        <v>312</v>
      </c>
      <c r="N11">
        <v>5</v>
      </c>
      <c r="O11" t="s">
        <v>4640</v>
      </c>
      <c r="P11" t="s">
        <v>4639</v>
      </c>
      <c r="Q11" t="s">
        <v>4638</v>
      </c>
      <c r="R11" s="6">
        <v>29734</v>
      </c>
      <c r="S11" s="7">
        <f t="shared" si="0"/>
        <v>1981</v>
      </c>
      <c r="T11" s="7">
        <v>1981</v>
      </c>
      <c r="U11" s="7">
        <f t="shared" si="1"/>
        <v>41</v>
      </c>
      <c r="V11" s="6">
        <v>29734</v>
      </c>
      <c r="W11" t="s">
        <v>4298</v>
      </c>
      <c r="X11" s="2">
        <v>0.375</v>
      </c>
      <c r="Y11" s="5">
        <f t="shared" si="6"/>
        <v>1.0010410827260351E-2</v>
      </c>
      <c r="AA11">
        <v>135194</v>
      </c>
      <c r="AB11">
        <v>24918</v>
      </c>
      <c r="AD11" t="s">
        <v>5</v>
      </c>
      <c r="AE11">
        <v>17</v>
      </c>
      <c r="AF11">
        <v>11</v>
      </c>
      <c r="AH11" t="s">
        <v>4637</v>
      </c>
      <c r="AI11" t="s">
        <v>4636</v>
      </c>
      <c r="AJ11" t="s">
        <v>4635</v>
      </c>
      <c r="AK11" t="s">
        <v>4634</v>
      </c>
      <c r="AL11">
        <v>27</v>
      </c>
      <c r="AM11" s="4">
        <f t="shared" si="2"/>
        <v>0.65853658536585369</v>
      </c>
      <c r="AN11" s="21">
        <f t="shared" si="7"/>
        <v>9.9740490021333391E-4</v>
      </c>
      <c r="AO11" s="3"/>
      <c r="AP11">
        <v>0</v>
      </c>
      <c r="AR11" t="s">
        <v>1</v>
      </c>
      <c r="AT11" s="2">
        <v>1.3140000000000001</v>
      </c>
      <c r="AU11" s="1">
        <f t="shared" si="3"/>
        <v>0.73065090491462459</v>
      </c>
      <c r="AV11" s="1">
        <f t="shared" si="4"/>
        <v>0.55039078637368433</v>
      </c>
      <c r="AW11" s="1">
        <f t="shared" si="5"/>
        <v>0.3701306678327439</v>
      </c>
    </row>
    <row r="12" spans="1:49" x14ac:dyDescent="0.2">
      <c r="A12">
        <v>10</v>
      </c>
      <c r="B12" t="s">
        <v>4633</v>
      </c>
      <c r="C12" t="s">
        <v>4632</v>
      </c>
      <c r="F12" t="s">
        <v>4631</v>
      </c>
      <c r="G12" t="s">
        <v>16</v>
      </c>
      <c r="H12" t="s">
        <v>15</v>
      </c>
      <c r="I12" t="s">
        <v>4630</v>
      </c>
      <c r="J12">
        <v>60031126</v>
      </c>
      <c r="K12" t="s">
        <v>1682</v>
      </c>
      <c r="L12" t="s">
        <v>313</v>
      </c>
      <c r="M12" t="s">
        <v>312</v>
      </c>
      <c r="N12">
        <v>4</v>
      </c>
      <c r="O12" t="s">
        <v>4629</v>
      </c>
      <c r="P12" t="s">
        <v>4628</v>
      </c>
      <c r="Q12" t="s">
        <v>4627</v>
      </c>
      <c r="R12" s="6">
        <v>29734</v>
      </c>
      <c r="S12" s="7">
        <f t="shared" si="0"/>
        <v>1981</v>
      </c>
      <c r="T12" s="7">
        <v>1981</v>
      </c>
      <c r="U12" s="7">
        <f t="shared" si="1"/>
        <v>41</v>
      </c>
      <c r="V12" s="6">
        <v>29734</v>
      </c>
      <c r="W12" t="s">
        <v>4298</v>
      </c>
      <c r="X12" s="2">
        <v>0.375</v>
      </c>
      <c r="Y12" s="5">
        <f t="shared" si="6"/>
        <v>1.0010410827260351E-2</v>
      </c>
      <c r="AA12">
        <v>135194</v>
      </c>
      <c r="AB12">
        <v>24918</v>
      </c>
      <c r="AD12" t="s">
        <v>5</v>
      </c>
      <c r="AE12">
        <v>17</v>
      </c>
      <c r="AF12">
        <v>11</v>
      </c>
      <c r="AH12" t="s">
        <v>4626</v>
      </c>
      <c r="AI12" t="s">
        <v>4625</v>
      </c>
      <c r="AJ12" t="s">
        <v>4624</v>
      </c>
      <c r="AK12" t="s">
        <v>4623</v>
      </c>
      <c r="AL12">
        <v>9</v>
      </c>
      <c r="AM12" s="4">
        <f t="shared" si="2"/>
        <v>0.21951219512195122</v>
      </c>
      <c r="AN12" s="21">
        <f t="shared" si="7"/>
        <v>3.3246830007111129E-4</v>
      </c>
      <c r="AO12" s="3"/>
      <c r="AP12">
        <v>0</v>
      </c>
      <c r="AR12" t="s">
        <v>1</v>
      </c>
      <c r="AT12" s="2">
        <v>1.3140000000000001</v>
      </c>
      <c r="AU12" s="1">
        <f t="shared" si="3"/>
        <v>0.71070280691035792</v>
      </c>
      <c r="AV12" s="1">
        <f t="shared" si="4"/>
        <v>0.51714395636657307</v>
      </c>
      <c r="AW12" s="1">
        <f t="shared" si="5"/>
        <v>0.32358510582278832</v>
      </c>
    </row>
    <row r="13" spans="1:49" x14ac:dyDescent="0.2">
      <c r="A13">
        <v>11</v>
      </c>
      <c r="B13" t="s">
        <v>4622</v>
      </c>
      <c r="C13" t="s">
        <v>4621</v>
      </c>
      <c r="F13" t="s">
        <v>4620</v>
      </c>
      <c r="G13" t="s">
        <v>16</v>
      </c>
      <c r="H13" t="s">
        <v>15</v>
      </c>
      <c r="I13" t="s">
        <v>4619</v>
      </c>
      <c r="J13">
        <v>60008447</v>
      </c>
      <c r="K13" t="s">
        <v>4618</v>
      </c>
      <c r="L13" t="s">
        <v>4617</v>
      </c>
      <c r="M13" t="s">
        <v>678</v>
      </c>
      <c r="N13">
        <v>3</v>
      </c>
      <c r="O13" t="s">
        <v>4616</v>
      </c>
      <c r="P13" t="s">
        <v>4615</v>
      </c>
      <c r="Q13" t="s">
        <v>4614</v>
      </c>
      <c r="R13" s="6">
        <v>29734</v>
      </c>
      <c r="S13" s="7">
        <f t="shared" si="0"/>
        <v>1981</v>
      </c>
      <c r="T13" s="7">
        <v>1981</v>
      </c>
      <c r="U13" s="7">
        <f t="shared" si="1"/>
        <v>41</v>
      </c>
      <c r="V13" s="6">
        <v>29734</v>
      </c>
      <c r="W13" t="s">
        <v>4298</v>
      </c>
      <c r="X13" s="2">
        <v>0.375</v>
      </c>
      <c r="Y13" s="5">
        <f t="shared" si="6"/>
        <v>1.0010410827260351E-2</v>
      </c>
      <c r="AA13">
        <v>135194</v>
      </c>
      <c r="AB13">
        <v>24918</v>
      </c>
      <c r="AD13" t="s">
        <v>5</v>
      </c>
      <c r="AE13">
        <v>17</v>
      </c>
      <c r="AF13">
        <v>11</v>
      </c>
      <c r="AH13" t="s">
        <v>4613</v>
      </c>
      <c r="AI13" t="s">
        <v>4612</v>
      </c>
      <c r="AJ13" t="s">
        <v>4611</v>
      </c>
      <c r="AK13" t="s">
        <v>4610</v>
      </c>
      <c r="AL13">
        <v>0</v>
      </c>
      <c r="AM13" s="4">
        <f t="shared" si="2"/>
        <v>0</v>
      </c>
      <c r="AN13" s="21">
        <f t="shared" si="7"/>
        <v>0</v>
      </c>
      <c r="AO13" s="3"/>
      <c r="AP13">
        <v>0</v>
      </c>
      <c r="AR13" t="s">
        <v>1</v>
      </c>
      <c r="AT13" s="2">
        <v>1.3140000000000001</v>
      </c>
      <c r="AU13" s="1">
        <f t="shared" si="3"/>
        <v>0.70072875790822453</v>
      </c>
      <c r="AV13" s="1">
        <f t="shared" si="4"/>
        <v>0.5005205413630176</v>
      </c>
      <c r="AW13" s="1">
        <f t="shared" si="5"/>
        <v>0.30031232481781051</v>
      </c>
    </row>
    <row r="14" spans="1:49" x14ac:dyDescent="0.2">
      <c r="A14">
        <v>12</v>
      </c>
      <c r="B14" t="s">
        <v>4609</v>
      </c>
      <c r="C14" t="s">
        <v>4608</v>
      </c>
      <c r="D14" t="s">
        <v>4607</v>
      </c>
      <c r="F14" t="s">
        <v>4606</v>
      </c>
      <c r="G14" t="s">
        <v>16</v>
      </c>
      <c r="H14" t="s">
        <v>15</v>
      </c>
      <c r="I14" t="s">
        <v>4605</v>
      </c>
      <c r="J14">
        <v>60000264</v>
      </c>
      <c r="K14" t="s">
        <v>704</v>
      </c>
      <c r="L14" t="s">
        <v>703</v>
      </c>
      <c r="M14" t="s">
        <v>312</v>
      </c>
      <c r="N14">
        <v>3</v>
      </c>
      <c r="O14" t="s">
        <v>4604</v>
      </c>
      <c r="P14" t="s">
        <v>4603</v>
      </c>
      <c r="Q14" t="s">
        <v>700</v>
      </c>
      <c r="R14" s="6">
        <v>29731</v>
      </c>
      <c r="S14" s="7">
        <f t="shared" si="0"/>
        <v>1981</v>
      </c>
      <c r="T14" s="7">
        <v>1981</v>
      </c>
      <c r="U14" s="7">
        <f t="shared" si="1"/>
        <v>41</v>
      </c>
      <c r="V14" s="6">
        <v>29731</v>
      </c>
      <c r="W14" t="s">
        <v>4272</v>
      </c>
      <c r="X14" s="2">
        <v>0.499</v>
      </c>
      <c r="Y14" s="5">
        <f t="shared" si="6"/>
        <v>1.332052000747444E-2</v>
      </c>
      <c r="AA14">
        <v>3759601</v>
      </c>
      <c r="AB14">
        <v>29464</v>
      </c>
      <c r="AD14" t="s">
        <v>5</v>
      </c>
      <c r="AE14">
        <v>83</v>
      </c>
      <c r="AF14">
        <v>4</v>
      </c>
      <c r="AH14" t="s">
        <v>4602</v>
      </c>
      <c r="AI14" t="s">
        <v>4601</v>
      </c>
      <c r="AK14" t="s">
        <v>4600</v>
      </c>
      <c r="AL14">
        <v>8</v>
      </c>
      <c r="AM14" s="4">
        <f t="shared" si="2"/>
        <v>0.1951219512195122</v>
      </c>
      <c r="AN14" s="21">
        <f t="shared" si="7"/>
        <v>2.9552737784098779E-4</v>
      </c>
      <c r="AO14" s="3"/>
      <c r="AP14">
        <v>0</v>
      </c>
      <c r="AR14">
        <v>504020</v>
      </c>
      <c r="AT14" s="2">
        <v>2.6539999999999999</v>
      </c>
      <c r="AU14" s="1">
        <f t="shared" si="3"/>
        <v>0.94130222185844037</v>
      </c>
      <c r="AV14" s="1">
        <f t="shared" si="4"/>
        <v>0.68080236926577142</v>
      </c>
      <c r="AW14" s="1">
        <f t="shared" si="5"/>
        <v>0.42030251667310231</v>
      </c>
    </row>
    <row r="15" spans="1:49" x14ac:dyDescent="0.2">
      <c r="A15">
        <v>13</v>
      </c>
      <c r="B15" t="s">
        <v>4599</v>
      </c>
      <c r="C15" t="s">
        <v>4598</v>
      </c>
      <c r="D15" t="s">
        <v>4597</v>
      </c>
      <c r="F15" t="s">
        <v>4596</v>
      </c>
      <c r="G15" t="s">
        <v>16</v>
      </c>
      <c r="H15" t="s">
        <v>15</v>
      </c>
      <c r="I15" t="s">
        <v>4595</v>
      </c>
      <c r="J15">
        <v>60015815</v>
      </c>
      <c r="K15" t="s">
        <v>4594</v>
      </c>
      <c r="L15" t="s">
        <v>4593</v>
      </c>
      <c r="M15" t="s">
        <v>92</v>
      </c>
      <c r="N15">
        <v>2</v>
      </c>
      <c r="O15" t="s">
        <v>4592</v>
      </c>
      <c r="P15" t="s">
        <v>4591</v>
      </c>
      <c r="Q15" t="s">
        <v>4590</v>
      </c>
      <c r="R15" s="6">
        <v>29710</v>
      </c>
      <c r="S15" s="7">
        <f t="shared" si="0"/>
        <v>1981</v>
      </c>
      <c r="T15" s="7">
        <v>1981</v>
      </c>
      <c r="U15" s="7">
        <f t="shared" si="1"/>
        <v>41</v>
      </c>
      <c r="V15" s="6">
        <v>29710</v>
      </c>
      <c r="W15" t="s">
        <v>4272</v>
      </c>
      <c r="X15" s="2">
        <v>0.499</v>
      </c>
      <c r="Y15" s="5">
        <f t="shared" si="6"/>
        <v>1.332052000747444E-2</v>
      </c>
      <c r="AA15">
        <v>3759601</v>
      </c>
      <c r="AB15">
        <v>29464</v>
      </c>
      <c r="AD15" t="s">
        <v>5</v>
      </c>
      <c r="AE15">
        <v>83</v>
      </c>
      <c r="AF15">
        <v>1</v>
      </c>
      <c r="AH15" t="s">
        <v>4589</v>
      </c>
      <c r="AI15" t="s">
        <v>4588</v>
      </c>
      <c r="AK15" t="s">
        <v>4587</v>
      </c>
      <c r="AL15">
        <v>1</v>
      </c>
      <c r="AM15" s="4">
        <f t="shared" si="2"/>
        <v>2.4390243902439025E-2</v>
      </c>
      <c r="AN15" s="21">
        <f t="shared" si="7"/>
        <v>3.6940922230123474E-5</v>
      </c>
      <c r="AO15" s="3"/>
      <c r="AP15">
        <v>0</v>
      </c>
      <c r="AR15" t="s">
        <v>1</v>
      </c>
      <c r="AT15" s="2">
        <v>2.6539999999999999</v>
      </c>
      <c r="AU15" s="1">
        <f t="shared" si="3"/>
        <v>0.93354462819011452</v>
      </c>
      <c r="AV15" s="1">
        <f t="shared" si="4"/>
        <v>0.66787304648522816</v>
      </c>
      <c r="AW15" s="1">
        <f t="shared" si="5"/>
        <v>0.40220146478034186</v>
      </c>
    </row>
    <row r="16" spans="1:49" x14ac:dyDescent="0.2">
      <c r="A16">
        <v>14</v>
      </c>
      <c r="B16" t="s">
        <v>4586</v>
      </c>
      <c r="C16" t="s">
        <v>4585</v>
      </c>
      <c r="F16" t="s">
        <v>4584</v>
      </c>
      <c r="G16" t="s">
        <v>16</v>
      </c>
      <c r="H16" t="s">
        <v>15</v>
      </c>
      <c r="I16" t="s">
        <v>4574</v>
      </c>
      <c r="J16" t="s">
        <v>3783</v>
      </c>
      <c r="K16" t="s">
        <v>3782</v>
      </c>
      <c r="L16" t="s">
        <v>3781</v>
      </c>
      <c r="M16" t="s">
        <v>3780</v>
      </c>
      <c r="N16">
        <v>5</v>
      </c>
      <c r="O16" t="s">
        <v>4583</v>
      </c>
      <c r="P16" t="s">
        <v>4582</v>
      </c>
      <c r="Q16" t="s">
        <v>4581</v>
      </c>
      <c r="R16" s="6">
        <v>29707</v>
      </c>
      <c r="S16" s="7">
        <f t="shared" si="0"/>
        <v>1981</v>
      </c>
      <c r="T16" s="7">
        <v>1981</v>
      </c>
      <c r="U16" s="7">
        <f t="shared" si="1"/>
        <v>41</v>
      </c>
      <c r="V16" s="6">
        <v>29707</v>
      </c>
      <c r="W16" t="s">
        <v>3776</v>
      </c>
      <c r="X16" s="2" t="s">
        <v>0</v>
      </c>
      <c r="Y16" s="5" t="e">
        <f t="shared" si="6"/>
        <v>#VALUE!</v>
      </c>
      <c r="AA16">
        <v>3905551</v>
      </c>
      <c r="AB16">
        <v>15400155600</v>
      </c>
      <c r="AD16" t="s">
        <v>5</v>
      </c>
      <c r="AE16">
        <v>4</v>
      </c>
      <c r="AF16">
        <v>3</v>
      </c>
      <c r="AH16" t="s">
        <v>4580</v>
      </c>
      <c r="AI16" t="s">
        <v>4579</v>
      </c>
      <c r="AK16" t="s">
        <v>4578</v>
      </c>
      <c r="AL16">
        <v>4</v>
      </c>
      <c r="AM16" s="4">
        <f t="shared" si="2"/>
        <v>9.7560975609756101E-2</v>
      </c>
      <c r="AN16" s="21">
        <f t="shared" si="7"/>
        <v>1.477636889204939E-4</v>
      </c>
      <c r="AO16" s="3"/>
      <c r="AP16">
        <v>0</v>
      </c>
      <c r="AR16" t="s">
        <v>1</v>
      </c>
      <c r="AT16" s="2" t="s">
        <v>0</v>
      </c>
      <c r="AU16" s="1" t="e">
        <f t="shared" si="3"/>
        <v>#VALUE!</v>
      </c>
      <c r="AV16" s="1" t="e">
        <f t="shared" si="4"/>
        <v>#VALUE!</v>
      </c>
      <c r="AW16" s="1" t="e">
        <f t="shared" si="5"/>
        <v>#VALUE!</v>
      </c>
    </row>
    <row r="17" spans="1:49" x14ac:dyDescent="0.2">
      <c r="A17">
        <v>15</v>
      </c>
      <c r="B17" t="s">
        <v>4577</v>
      </c>
      <c r="C17" t="s">
        <v>4576</v>
      </c>
      <c r="F17" t="s">
        <v>4575</v>
      </c>
      <c r="G17" t="s">
        <v>16</v>
      </c>
      <c r="H17" t="s">
        <v>15</v>
      </c>
      <c r="I17" t="s">
        <v>4574</v>
      </c>
      <c r="J17" t="s">
        <v>3783</v>
      </c>
      <c r="K17" t="s">
        <v>3782</v>
      </c>
      <c r="L17" t="s">
        <v>3781</v>
      </c>
      <c r="M17" t="s">
        <v>3780</v>
      </c>
      <c r="N17">
        <v>14</v>
      </c>
      <c r="O17" t="s">
        <v>4573</v>
      </c>
      <c r="P17" t="s">
        <v>4572</v>
      </c>
      <c r="Q17" t="s">
        <v>4571</v>
      </c>
      <c r="R17" s="6">
        <v>29707</v>
      </c>
      <c r="S17" s="7">
        <f t="shared" si="0"/>
        <v>1981</v>
      </c>
      <c r="T17" s="7">
        <v>1981</v>
      </c>
      <c r="U17" s="7">
        <f t="shared" si="1"/>
        <v>41</v>
      </c>
      <c r="V17" s="6">
        <v>29707</v>
      </c>
      <c r="W17" t="s">
        <v>3776</v>
      </c>
      <c r="X17" s="2" t="s">
        <v>0</v>
      </c>
      <c r="Y17" s="5" t="e">
        <f t="shared" si="6"/>
        <v>#VALUE!</v>
      </c>
      <c r="AA17">
        <v>3905551</v>
      </c>
      <c r="AB17">
        <v>15400155600</v>
      </c>
      <c r="AD17" t="s">
        <v>5</v>
      </c>
      <c r="AE17">
        <v>4</v>
      </c>
      <c r="AF17">
        <v>3</v>
      </c>
      <c r="AH17" t="s">
        <v>4570</v>
      </c>
      <c r="AI17" t="s">
        <v>4569</v>
      </c>
      <c r="AK17" t="s">
        <v>4568</v>
      </c>
      <c r="AL17">
        <v>6</v>
      </c>
      <c r="AM17" s="4">
        <f t="shared" si="2"/>
        <v>0.14634146341463414</v>
      </c>
      <c r="AN17" s="21">
        <f t="shared" si="7"/>
        <v>2.2164553338074083E-4</v>
      </c>
      <c r="AO17" s="3"/>
      <c r="AP17">
        <v>0</v>
      </c>
      <c r="AR17" t="s">
        <v>1</v>
      </c>
      <c r="AT17" s="2" t="s">
        <v>0</v>
      </c>
      <c r="AU17" s="1" t="e">
        <f t="shared" si="3"/>
        <v>#VALUE!</v>
      </c>
      <c r="AV17" s="1" t="e">
        <f t="shared" si="4"/>
        <v>#VALUE!</v>
      </c>
      <c r="AW17" s="1" t="e">
        <f t="shared" si="5"/>
        <v>#VALUE!</v>
      </c>
    </row>
    <row r="18" spans="1:49" x14ac:dyDescent="0.2">
      <c r="A18">
        <v>16</v>
      </c>
      <c r="B18" t="s">
        <v>4567</v>
      </c>
      <c r="C18" t="s">
        <v>4566</v>
      </c>
      <c r="F18" t="s">
        <v>4565</v>
      </c>
      <c r="G18" t="s">
        <v>16</v>
      </c>
      <c r="H18" t="s">
        <v>15</v>
      </c>
      <c r="I18" t="s">
        <v>4564</v>
      </c>
      <c r="J18" t="s">
        <v>3783</v>
      </c>
      <c r="K18" t="s">
        <v>3782</v>
      </c>
      <c r="L18" t="s">
        <v>3781</v>
      </c>
      <c r="M18" t="s">
        <v>3780</v>
      </c>
      <c r="N18">
        <v>2</v>
      </c>
      <c r="O18" t="s">
        <v>4563</v>
      </c>
      <c r="P18" t="s">
        <v>4562</v>
      </c>
      <c r="Q18" t="s">
        <v>4561</v>
      </c>
      <c r="R18" s="6">
        <v>29707</v>
      </c>
      <c r="S18" s="7">
        <f t="shared" si="0"/>
        <v>1981</v>
      </c>
      <c r="T18" s="7">
        <v>1981</v>
      </c>
      <c r="U18" s="7">
        <f t="shared" si="1"/>
        <v>41</v>
      </c>
      <c r="V18" s="6">
        <v>29707</v>
      </c>
      <c r="W18" t="s">
        <v>3776</v>
      </c>
      <c r="X18" s="2" t="s">
        <v>0</v>
      </c>
      <c r="Y18" s="5" t="e">
        <f t="shared" si="6"/>
        <v>#VALUE!</v>
      </c>
      <c r="AA18">
        <v>3905551</v>
      </c>
      <c r="AB18">
        <v>15400155600</v>
      </c>
      <c r="AD18" t="s">
        <v>5</v>
      </c>
      <c r="AE18">
        <v>4</v>
      </c>
      <c r="AF18">
        <v>3</v>
      </c>
      <c r="AH18" t="s">
        <v>4560</v>
      </c>
      <c r="AI18" t="s">
        <v>4559</v>
      </c>
      <c r="AK18" t="s">
        <v>4558</v>
      </c>
      <c r="AL18">
        <v>39</v>
      </c>
      <c r="AM18" s="4">
        <f t="shared" si="2"/>
        <v>0.95121951219512191</v>
      </c>
      <c r="AN18" s="21">
        <f t="shared" si="7"/>
        <v>1.4406959669748154E-3</v>
      </c>
      <c r="AO18" s="3"/>
      <c r="AP18">
        <v>0</v>
      </c>
      <c r="AR18" t="s">
        <v>1</v>
      </c>
      <c r="AT18" s="2" t="s">
        <v>0</v>
      </c>
      <c r="AU18" s="1" t="e">
        <f t="shared" si="3"/>
        <v>#VALUE!</v>
      </c>
      <c r="AV18" s="1" t="e">
        <f t="shared" si="4"/>
        <v>#VALUE!</v>
      </c>
      <c r="AW18" s="1" t="e">
        <f t="shared" si="5"/>
        <v>#VALUE!</v>
      </c>
    </row>
    <row r="19" spans="1:49" x14ac:dyDescent="0.2">
      <c r="A19">
        <v>17</v>
      </c>
      <c r="B19" t="s">
        <v>4557</v>
      </c>
      <c r="C19" t="s">
        <v>4556</v>
      </c>
      <c r="F19" t="s">
        <v>4555</v>
      </c>
      <c r="G19" t="s">
        <v>16</v>
      </c>
      <c r="H19" t="s">
        <v>15</v>
      </c>
      <c r="I19" t="s">
        <v>4554</v>
      </c>
      <c r="N19">
        <v>2</v>
      </c>
      <c r="O19" t="s">
        <v>4553</v>
      </c>
      <c r="P19" t="s">
        <v>4552</v>
      </c>
      <c r="Q19" t="s">
        <v>351</v>
      </c>
      <c r="R19" s="6">
        <v>29707</v>
      </c>
      <c r="S19" s="7">
        <f t="shared" si="0"/>
        <v>1981</v>
      </c>
      <c r="T19" s="7">
        <v>1981</v>
      </c>
      <c r="U19" s="7">
        <f t="shared" si="1"/>
        <v>41</v>
      </c>
      <c r="V19" s="6">
        <v>29707</v>
      </c>
      <c r="W19" t="s">
        <v>477</v>
      </c>
      <c r="X19" s="2">
        <v>0.318</v>
      </c>
      <c r="Y19" s="5">
        <f t="shared" si="6"/>
        <v>8.4888283815167786E-3</v>
      </c>
      <c r="AA19">
        <v>338443</v>
      </c>
      <c r="AB19">
        <v>27160</v>
      </c>
      <c r="AC19">
        <v>15739120</v>
      </c>
      <c r="AD19" t="s">
        <v>5</v>
      </c>
      <c r="AE19">
        <v>24</v>
      </c>
      <c r="AF19">
        <v>5</v>
      </c>
      <c r="AH19" t="s">
        <v>4551</v>
      </c>
      <c r="AL19">
        <v>0</v>
      </c>
      <c r="AM19" s="4">
        <f t="shared" si="2"/>
        <v>0</v>
      </c>
      <c r="AN19" s="21">
        <f t="shared" si="7"/>
        <v>0</v>
      </c>
      <c r="AO19" s="3"/>
      <c r="AP19">
        <v>0</v>
      </c>
      <c r="AR19" t="s">
        <v>1</v>
      </c>
      <c r="AT19" s="2">
        <v>0.77</v>
      </c>
      <c r="AU19" s="1">
        <f t="shared" si="3"/>
        <v>0.59421798670617454</v>
      </c>
      <c r="AV19" s="1">
        <f t="shared" si="4"/>
        <v>0.42444141907583893</v>
      </c>
      <c r="AW19" s="1">
        <f t="shared" si="5"/>
        <v>0.25466485144550338</v>
      </c>
    </row>
    <row r="20" spans="1:49" x14ac:dyDescent="0.2">
      <c r="A20">
        <v>18</v>
      </c>
      <c r="B20" t="s">
        <v>4550</v>
      </c>
      <c r="C20" t="s">
        <v>4549</v>
      </c>
      <c r="F20" t="s">
        <v>4548</v>
      </c>
      <c r="G20" t="s">
        <v>16</v>
      </c>
      <c r="H20" t="s">
        <v>15</v>
      </c>
      <c r="I20" t="s">
        <v>425</v>
      </c>
      <c r="J20">
        <v>60022109</v>
      </c>
      <c r="K20" t="s">
        <v>4547</v>
      </c>
      <c r="L20" t="s">
        <v>40</v>
      </c>
      <c r="M20" t="s">
        <v>39</v>
      </c>
      <c r="N20">
        <v>1</v>
      </c>
      <c r="O20" t="s">
        <v>4546</v>
      </c>
      <c r="P20">
        <v>7006192058</v>
      </c>
      <c r="Q20">
        <v>60022109</v>
      </c>
      <c r="R20" s="6">
        <v>29706</v>
      </c>
      <c r="S20" s="7">
        <f t="shared" si="0"/>
        <v>1981</v>
      </c>
      <c r="T20" s="7">
        <v>1981</v>
      </c>
      <c r="U20" s="7">
        <f t="shared" si="1"/>
        <v>41</v>
      </c>
      <c r="V20" s="6">
        <v>29706</v>
      </c>
      <c r="W20" t="s">
        <v>4298</v>
      </c>
      <c r="X20" s="2">
        <v>0.375</v>
      </c>
      <c r="Y20" s="5">
        <f t="shared" si="6"/>
        <v>1.0010410827260351E-2</v>
      </c>
      <c r="AA20">
        <v>135194</v>
      </c>
      <c r="AB20">
        <v>24918</v>
      </c>
      <c r="AD20" t="s">
        <v>5</v>
      </c>
      <c r="AE20">
        <v>17</v>
      </c>
      <c r="AF20">
        <v>9</v>
      </c>
      <c r="AH20" t="s">
        <v>4545</v>
      </c>
      <c r="AI20" t="s">
        <v>4544</v>
      </c>
      <c r="AJ20" t="s">
        <v>4543</v>
      </c>
      <c r="AK20" t="s">
        <v>4542</v>
      </c>
      <c r="AL20">
        <v>1</v>
      </c>
      <c r="AM20" s="4">
        <f t="shared" si="2"/>
        <v>2.4390243902439025E-2</v>
      </c>
      <c r="AN20" s="21">
        <f t="shared" si="7"/>
        <v>3.6940922230123474E-5</v>
      </c>
      <c r="AO20" s="3"/>
      <c r="AP20">
        <v>0</v>
      </c>
      <c r="AR20" t="s">
        <v>1</v>
      </c>
      <c r="AT20" s="2">
        <v>1.3140000000000001</v>
      </c>
      <c r="AU20" s="1">
        <f t="shared" si="3"/>
        <v>0.7018369855751283</v>
      </c>
      <c r="AV20" s="1">
        <f t="shared" si="4"/>
        <v>0.5023675874745237</v>
      </c>
      <c r="AW20" s="1">
        <f t="shared" si="5"/>
        <v>0.30289818937391916</v>
      </c>
    </row>
    <row r="21" spans="1:49" x14ac:dyDescent="0.2">
      <c r="A21">
        <v>19</v>
      </c>
      <c r="B21" t="s">
        <v>4541</v>
      </c>
      <c r="C21" t="s">
        <v>4540</v>
      </c>
      <c r="F21" t="s">
        <v>4539</v>
      </c>
      <c r="G21" t="s">
        <v>16</v>
      </c>
      <c r="H21" t="s">
        <v>15</v>
      </c>
      <c r="I21" t="s">
        <v>4538</v>
      </c>
      <c r="J21" t="s">
        <v>4537</v>
      </c>
      <c r="K21" t="s">
        <v>4536</v>
      </c>
      <c r="L21" t="s">
        <v>4535</v>
      </c>
      <c r="M21" t="s">
        <v>4534</v>
      </c>
      <c r="N21">
        <v>3</v>
      </c>
      <c r="O21" t="s">
        <v>4533</v>
      </c>
      <c r="P21" t="s">
        <v>4532</v>
      </c>
      <c r="Q21" t="s">
        <v>4531</v>
      </c>
      <c r="R21" s="6">
        <v>29706</v>
      </c>
      <c r="S21" s="7">
        <f t="shared" si="0"/>
        <v>1981</v>
      </c>
      <c r="T21" s="7">
        <v>1981</v>
      </c>
      <c r="U21" s="7">
        <f t="shared" si="1"/>
        <v>41</v>
      </c>
      <c r="V21" s="6">
        <v>29706</v>
      </c>
      <c r="W21" t="s">
        <v>4298</v>
      </c>
      <c r="X21" s="2">
        <v>0.375</v>
      </c>
      <c r="Y21" s="5">
        <f t="shared" si="6"/>
        <v>1.0010410827260351E-2</v>
      </c>
      <c r="AA21">
        <v>135194</v>
      </c>
      <c r="AB21">
        <v>24918</v>
      </c>
      <c r="AD21" t="s">
        <v>5</v>
      </c>
      <c r="AE21">
        <v>17</v>
      </c>
      <c r="AF21">
        <v>9</v>
      </c>
      <c r="AH21" t="s">
        <v>4530</v>
      </c>
      <c r="AI21" t="s">
        <v>4529</v>
      </c>
      <c r="AJ21" t="s">
        <v>4528</v>
      </c>
      <c r="AK21" t="s">
        <v>4527</v>
      </c>
      <c r="AL21">
        <v>0</v>
      </c>
      <c r="AM21" s="4">
        <f t="shared" si="2"/>
        <v>0</v>
      </c>
      <c r="AN21" s="21">
        <f t="shared" si="7"/>
        <v>0</v>
      </c>
      <c r="AO21" s="3"/>
      <c r="AP21">
        <v>0</v>
      </c>
      <c r="AR21" t="s">
        <v>1</v>
      </c>
      <c r="AT21" s="2">
        <v>1.3140000000000001</v>
      </c>
      <c r="AU21" s="1">
        <f t="shared" si="3"/>
        <v>0.70072875790822453</v>
      </c>
      <c r="AV21" s="1">
        <f t="shared" si="4"/>
        <v>0.5005205413630176</v>
      </c>
      <c r="AW21" s="1">
        <f t="shared" si="5"/>
        <v>0.30031232481781051</v>
      </c>
    </row>
    <row r="22" spans="1:49" x14ac:dyDescent="0.2">
      <c r="A22">
        <v>20</v>
      </c>
      <c r="B22" t="s">
        <v>4526</v>
      </c>
      <c r="C22" t="s">
        <v>4525</v>
      </c>
      <c r="F22" t="s">
        <v>4524</v>
      </c>
      <c r="G22" t="s">
        <v>16</v>
      </c>
      <c r="H22" t="s">
        <v>15</v>
      </c>
      <c r="I22" t="s">
        <v>4523</v>
      </c>
      <c r="J22">
        <v>60009697</v>
      </c>
      <c r="K22" t="s">
        <v>4522</v>
      </c>
      <c r="L22" t="s">
        <v>4521</v>
      </c>
      <c r="M22" t="s">
        <v>26</v>
      </c>
      <c r="N22">
        <v>3</v>
      </c>
      <c r="O22" t="s">
        <v>4520</v>
      </c>
      <c r="P22" t="s">
        <v>4519</v>
      </c>
      <c r="Q22" t="s">
        <v>4518</v>
      </c>
      <c r="R22" s="6">
        <v>29692</v>
      </c>
      <c r="S22" s="7">
        <f t="shared" si="0"/>
        <v>1981</v>
      </c>
      <c r="T22" s="7">
        <v>1981</v>
      </c>
      <c r="U22" s="7">
        <f t="shared" si="1"/>
        <v>41</v>
      </c>
      <c r="V22" s="6">
        <v>29692</v>
      </c>
      <c r="W22" t="s">
        <v>4298</v>
      </c>
      <c r="X22" s="2">
        <v>0.375</v>
      </c>
      <c r="Y22" s="5">
        <f t="shared" si="6"/>
        <v>1.0010410827260351E-2</v>
      </c>
      <c r="AA22">
        <v>135194</v>
      </c>
      <c r="AB22">
        <v>24918</v>
      </c>
      <c r="AD22" t="s">
        <v>5</v>
      </c>
      <c r="AE22">
        <v>17</v>
      </c>
      <c r="AF22">
        <v>8</v>
      </c>
      <c r="AH22" t="s">
        <v>4517</v>
      </c>
      <c r="AI22" t="s">
        <v>4516</v>
      </c>
      <c r="AJ22" t="s">
        <v>4497</v>
      </c>
      <c r="AK22" t="s">
        <v>4515</v>
      </c>
      <c r="AL22">
        <v>0</v>
      </c>
      <c r="AM22" s="4">
        <f t="shared" si="2"/>
        <v>0</v>
      </c>
      <c r="AN22" s="21">
        <f t="shared" si="7"/>
        <v>0</v>
      </c>
      <c r="AO22" s="3"/>
      <c r="AP22">
        <v>0</v>
      </c>
      <c r="AR22" t="s">
        <v>1</v>
      </c>
      <c r="AT22" s="2">
        <v>1.3140000000000001</v>
      </c>
      <c r="AU22" s="1">
        <f t="shared" si="3"/>
        <v>0.70072875790822453</v>
      </c>
      <c r="AV22" s="1">
        <f t="shared" si="4"/>
        <v>0.5005205413630176</v>
      </c>
      <c r="AW22" s="1">
        <f t="shared" si="5"/>
        <v>0.30031232481781051</v>
      </c>
    </row>
    <row r="23" spans="1:49" x14ac:dyDescent="0.2">
      <c r="A23">
        <v>21</v>
      </c>
      <c r="B23" t="s">
        <v>4514</v>
      </c>
      <c r="E23">
        <v>6782105</v>
      </c>
      <c r="F23" t="s">
        <v>4513</v>
      </c>
      <c r="G23" t="s">
        <v>16</v>
      </c>
      <c r="H23" t="s">
        <v>15</v>
      </c>
      <c r="I23" t="s">
        <v>4512</v>
      </c>
      <c r="N23">
        <v>3</v>
      </c>
      <c r="O23" t="s">
        <v>4511</v>
      </c>
      <c r="P23" t="s">
        <v>4510</v>
      </c>
      <c r="Q23" t="s">
        <v>116</v>
      </c>
      <c r="R23" s="6">
        <v>29686</v>
      </c>
      <c r="S23" s="7">
        <f t="shared" si="0"/>
        <v>1981</v>
      </c>
      <c r="T23" s="7">
        <v>1981</v>
      </c>
      <c r="U23" s="7">
        <f t="shared" si="1"/>
        <v>41</v>
      </c>
      <c r="V23" s="6">
        <v>29686</v>
      </c>
      <c r="W23" t="s">
        <v>4509</v>
      </c>
      <c r="X23" s="2">
        <v>2.3610000000000002</v>
      </c>
      <c r="Y23" s="5">
        <f t="shared" si="6"/>
        <v>6.3025546568431179E-2</v>
      </c>
      <c r="AA23">
        <v>219258</v>
      </c>
      <c r="AB23">
        <v>17592</v>
      </c>
      <c r="AD23" t="s">
        <v>5</v>
      </c>
      <c r="AE23">
        <v>256</v>
      </c>
      <c r="AF23">
        <v>7</v>
      </c>
      <c r="AH23" t="s">
        <v>4508</v>
      </c>
      <c r="AI23" t="s">
        <v>4507</v>
      </c>
      <c r="AK23" t="s">
        <v>4506</v>
      </c>
      <c r="AL23">
        <v>103</v>
      </c>
      <c r="AM23" s="4">
        <f t="shared" si="2"/>
        <v>2.5121951219512195</v>
      </c>
      <c r="AN23" s="21">
        <f t="shared" si="7"/>
        <v>3.8049149897027177E-3</v>
      </c>
      <c r="AO23" s="3"/>
      <c r="AP23">
        <v>0</v>
      </c>
      <c r="AR23" t="s">
        <v>1</v>
      </c>
      <c r="AT23" s="2">
        <v>5.157</v>
      </c>
      <c r="AU23" s="1">
        <f t="shared" si="3"/>
        <v>4.5259357094812636</v>
      </c>
      <c r="AV23" s="1">
        <f t="shared" si="4"/>
        <v>3.3415230779066949</v>
      </c>
      <c r="AW23" s="1">
        <f t="shared" si="5"/>
        <v>2.1571104463321258</v>
      </c>
    </row>
    <row r="24" spans="1:49" x14ac:dyDescent="0.2">
      <c r="A24">
        <v>22</v>
      </c>
      <c r="B24" t="s">
        <v>4505</v>
      </c>
      <c r="C24" t="s">
        <v>4504</v>
      </c>
      <c r="F24" t="s">
        <v>4503</v>
      </c>
      <c r="G24" t="s">
        <v>16</v>
      </c>
      <c r="H24" t="s">
        <v>15</v>
      </c>
      <c r="I24" t="s">
        <v>4502</v>
      </c>
      <c r="J24">
        <v>60084299</v>
      </c>
      <c r="K24" t="s">
        <v>4501</v>
      </c>
      <c r="L24" t="s">
        <v>743</v>
      </c>
      <c r="M24" t="s">
        <v>742</v>
      </c>
      <c r="N24">
        <v>1</v>
      </c>
      <c r="O24" t="s">
        <v>4500</v>
      </c>
      <c r="P24">
        <v>57225259613</v>
      </c>
      <c r="Q24">
        <v>60084299</v>
      </c>
      <c r="R24" s="6">
        <v>29678</v>
      </c>
      <c r="S24" s="7">
        <f t="shared" si="0"/>
        <v>1981</v>
      </c>
      <c r="T24" s="7">
        <v>1981</v>
      </c>
      <c r="U24" s="7">
        <f t="shared" si="1"/>
        <v>41</v>
      </c>
      <c r="V24" s="6">
        <v>29678</v>
      </c>
      <c r="W24" t="s">
        <v>4298</v>
      </c>
      <c r="X24" s="2">
        <v>0.375</v>
      </c>
      <c r="Y24" s="5">
        <f t="shared" si="6"/>
        <v>1.0010410827260351E-2</v>
      </c>
      <c r="AA24">
        <v>135194</v>
      </c>
      <c r="AB24">
        <v>24918</v>
      </c>
      <c r="AD24" t="s">
        <v>5</v>
      </c>
      <c r="AE24">
        <v>17</v>
      </c>
      <c r="AF24">
        <v>7</v>
      </c>
      <c r="AH24" t="s">
        <v>4499</v>
      </c>
      <c r="AI24" t="s">
        <v>4498</v>
      </c>
      <c r="AJ24" t="s">
        <v>4497</v>
      </c>
      <c r="AK24" t="s">
        <v>4496</v>
      </c>
      <c r="AL24">
        <v>4</v>
      </c>
      <c r="AM24" s="4">
        <f t="shared" si="2"/>
        <v>9.7560975609756101E-2</v>
      </c>
      <c r="AN24" s="21">
        <f t="shared" si="7"/>
        <v>1.477636889204939E-4</v>
      </c>
      <c r="AO24" s="3"/>
      <c r="AP24">
        <v>0</v>
      </c>
      <c r="AR24" t="s">
        <v>1</v>
      </c>
      <c r="AT24" s="2">
        <v>1.3140000000000001</v>
      </c>
      <c r="AU24" s="1">
        <f t="shared" si="3"/>
        <v>0.7051616685758394</v>
      </c>
      <c r="AV24" s="1">
        <f t="shared" si="4"/>
        <v>0.50790872580904223</v>
      </c>
      <c r="AW24" s="1">
        <f t="shared" si="5"/>
        <v>0.31065578304224506</v>
      </c>
    </row>
    <row r="25" spans="1:49" x14ac:dyDescent="0.2">
      <c r="A25">
        <v>23</v>
      </c>
      <c r="B25" t="s">
        <v>4495</v>
      </c>
      <c r="C25" t="s">
        <v>4494</v>
      </c>
      <c r="F25" t="s">
        <v>4493</v>
      </c>
      <c r="G25" t="s">
        <v>16</v>
      </c>
      <c r="H25" t="s">
        <v>15</v>
      </c>
      <c r="I25" t="s">
        <v>1211</v>
      </c>
      <c r="J25">
        <v>100333806</v>
      </c>
      <c r="K25" t="s">
        <v>4492</v>
      </c>
      <c r="L25" t="s">
        <v>1209</v>
      </c>
      <c r="M25" t="s">
        <v>11</v>
      </c>
      <c r="N25">
        <v>1</v>
      </c>
      <c r="O25" t="s">
        <v>1208</v>
      </c>
      <c r="P25">
        <v>24512080300</v>
      </c>
      <c r="Q25">
        <v>100333806</v>
      </c>
      <c r="R25" s="6">
        <v>29678</v>
      </c>
      <c r="S25" s="7">
        <f t="shared" si="0"/>
        <v>1981</v>
      </c>
      <c r="T25" s="7">
        <v>1981</v>
      </c>
      <c r="U25" s="7">
        <f t="shared" si="1"/>
        <v>41</v>
      </c>
      <c r="V25" s="6">
        <v>29678</v>
      </c>
      <c r="W25" t="s">
        <v>4298</v>
      </c>
      <c r="X25" s="2">
        <v>0.375</v>
      </c>
      <c r="Y25" s="5">
        <f t="shared" si="6"/>
        <v>1.0010410827260351E-2</v>
      </c>
      <c r="AA25">
        <v>135194</v>
      </c>
      <c r="AB25">
        <v>24918</v>
      </c>
      <c r="AD25" t="s">
        <v>5</v>
      </c>
      <c r="AE25">
        <v>17</v>
      </c>
      <c r="AF25">
        <v>7</v>
      </c>
      <c r="AH25" t="s">
        <v>4491</v>
      </c>
      <c r="AI25" t="s">
        <v>4490</v>
      </c>
      <c r="AJ25" t="s">
        <v>4489</v>
      </c>
      <c r="AK25" t="s">
        <v>4488</v>
      </c>
      <c r="AL25">
        <v>3</v>
      </c>
      <c r="AM25" s="4">
        <f t="shared" si="2"/>
        <v>7.3170731707317069E-2</v>
      </c>
      <c r="AN25" s="21">
        <f t="shared" si="7"/>
        <v>1.1082276669037041E-4</v>
      </c>
      <c r="AO25" s="3"/>
      <c r="AP25">
        <v>0</v>
      </c>
      <c r="AR25" t="s">
        <v>1</v>
      </c>
      <c r="AT25" s="2">
        <v>1.3140000000000001</v>
      </c>
      <c r="AU25" s="1">
        <f t="shared" si="3"/>
        <v>0.70405344090893573</v>
      </c>
      <c r="AV25" s="1">
        <f t="shared" si="4"/>
        <v>0.50606167969753613</v>
      </c>
      <c r="AW25" s="1">
        <f t="shared" si="5"/>
        <v>0.30806991848613646</v>
      </c>
    </row>
    <row r="26" spans="1:49" x14ac:dyDescent="0.2">
      <c r="A26">
        <v>24</v>
      </c>
      <c r="B26" t="s">
        <v>4487</v>
      </c>
      <c r="C26" t="s">
        <v>4486</v>
      </c>
      <c r="F26" t="s">
        <v>4485</v>
      </c>
      <c r="G26" t="s">
        <v>16</v>
      </c>
      <c r="H26" t="s">
        <v>15</v>
      </c>
      <c r="I26" t="s">
        <v>4484</v>
      </c>
      <c r="J26">
        <v>105615966</v>
      </c>
      <c r="K26" t="s">
        <v>4483</v>
      </c>
      <c r="L26" t="s">
        <v>4482</v>
      </c>
      <c r="M26" t="s">
        <v>39</v>
      </c>
      <c r="N26">
        <v>1</v>
      </c>
      <c r="O26" t="s">
        <v>4481</v>
      </c>
      <c r="P26">
        <v>55473024100</v>
      </c>
      <c r="Q26">
        <v>105615966</v>
      </c>
      <c r="R26" s="6">
        <v>29678</v>
      </c>
      <c r="S26" s="7">
        <f t="shared" si="0"/>
        <v>1981</v>
      </c>
      <c r="T26" s="7">
        <v>1981</v>
      </c>
      <c r="U26" s="7">
        <f t="shared" si="1"/>
        <v>41</v>
      </c>
      <c r="V26" s="6">
        <v>29678</v>
      </c>
      <c r="W26" t="s">
        <v>4298</v>
      </c>
      <c r="X26" s="2">
        <v>0.375</v>
      </c>
      <c r="Y26" s="5">
        <f t="shared" si="6"/>
        <v>1.0010410827260351E-2</v>
      </c>
      <c r="AA26">
        <v>135194</v>
      </c>
      <c r="AB26">
        <v>24918</v>
      </c>
      <c r="AD26" t="s">
        <v>5</v>
      </c>
      <c r="AE26">
        <v>17</v>
      </c>
      <c r="AF26">
        <v>7</v>
      </c>
      <c r="AH26" t="s">
        <v>4480</v>
      </c>
      <c r="AI26" t="s">
        <v>4479</v>
      </c>
      <c r="AJ26" t="s">
        <v>4478</v>
      </c>
      <c r="AK26" t="s">
        <v>4477</v>
      </c>
      <c r="AL26">
        <v>1</v>
      </c>
      <c r="AM26" s="4">
        <f t="shared" si="2"/>
        <v>2.4390243902439025E-2</v>
      </c>
      <c r="AN26" s="21">
        <f t="shared" si="7"/>
        <v>3.6940922230123474E-5</v>
      </c>
      <c r="AO26" s="3"/>
      <c r="AP26">
        <v>0</v>
      </c>
      <c r="AR26" t="s">
        <v>1</v>
      </c>
      <c r="AT26" s="2">
        <v>1.3140000000000001</v>
      </c>
      <c r="AU26" s="1">
        <f t="shared" si="3"/>
        <v>0.7018369855751283</v>
      </c>
      <c r="AV26" s="1">
        <f t="shared" si="4"/>
        <v>0.5023675874745237</v>
      </c>
      <c r="AW26" s="1">
        <f t="shared" si="5"/>
        <v>0.30289818937391916</v>
      </c>
    </row>
    <row r="27" spans="1:49" x14ac:dyDescent="0.2">
      <c r="A27">
        <v>25</v>
      </c>
      <c r="B27" t="s">
        <v>4476</v>
      </c>
      <c r="C27" t="s">
        <v>4475</v>
      </c>
      <c r="D27">
        <v>39602881900145</v>
      </c>
      <c r="F27" t="s">
        <v>4474</v>
      </c>
      <c r="G27" t="s">
        <v>16</v>
      </c>
      <c r="H27" t="s">
        <v>15</v>
      </c>
      <c r="I27" t="s">
        <v>4473</v>
      </c>
      <c r="J27">
        <v>60016849</v>
      </c>
      <c r="K27" t="s">
        <v>2697</v>
      </c>
      <c r="L27" t="s">
        <v>2696</v>
      </c>
      <c r="M27" t="s">
        <v>26</v>
      </c>
      <c r="N27">
        <v>1</v>
      </c>
      <c r="O27" t="s">
        <v>4472</v>
      </c>
      <c r="P27">
        <v>7103278358</v>
      </c>
      <c r="Q27">
        <v>60016849</v>
      </c>
      <c r="R27" s="6">
        <v>29678</v>
      </c>
      <c r="S27" s="7">
        <f t="shared" si="0"/>
        <v>1981</v>
      </c>
      <c r="T27" s="7">
        <v>1981</v>
      </c>
      <c r="U27" s="7">
        <f t="shared" si="1"/>
        <v>41</v>
      </c>
      <c r="V27" s="6">
        <v>29678</v>
      </c>
      <c r="W27" t="s">
        <v>4471</v>
      </c>
      <c r="X27" s="2">
        <v>0.56200000000000006</v>
      </c>
      <c r="Y27" s="5">
        <f t="shared" si="6"/>
        <v>1.5002269026454181E-2</v>
      </c>
      <c r="AA27">
        <v>396028</v>
      </c>
      <c r="AB27">
        <v>12284</v>
      </c>
      <c r="AD27" t="s">
        <v>5</v>
      </c>
      <c r="AE27">
        <v>105</v>
      </c>
      <c r="AF27" s="8">
        <v>44257</v>
      </c>
      <c r="AH27" t="s">
        <v>4470</v>
      </c>
      <c r="AI27" t="s">
        <v>4469</v>
      </c>
      <c r="AK27" t="s">
        <v>4468</v>
      </c>
      <c r="AL27">
        <v>103</v>
      </c>
      <c r="AM27" s="4">
        <f t="shared" si="2"/>
        <v>2.5121951219512195</v>
      </c>
      <c r="AN27" s="21">
        <f t="shared" si="7"/>
        <v>3.8049149897027177E-3</v>
      </c>
      <c r="AO27" s="3"/>
      <c r="AP27">
        <v>0</v>
      </c>
      <c r="AR27" t="s">
        <v>1</v>
      </c>
      <c r="AT27" s="2">
        <v>1.9419999999999999</v>
      </c>
      <c r="AU27" s="1">
        <f t="shared" si="3"/>
        <v>1.1643062815428742</v>
      </c>
      <c r="AV27" s="1">
        <f t="shared" si="4"/>
        <v>0.94035920080784496</v>
      </c>
      <c r="AW27" s="1">
        <f t="shared" si="5"/>
        <v>0.71641212007281563</v>
      </c>
    </row>
    <row r="28" spans="1:49" x14ac:dyDescent="0.2">
      <c r="A28">
        <v>26</v>
      </c>
      <c r="B28" t="s">
        <v>4467</v>
      </c>
      <c r="C28" t="s">
        <v>4466</v>
      </c>
      <c r="F28" t="s">
        <v>4465</v>
      </c>
      <c r="G28" t="s">
        <v>16</v>
      </c>
      <c r="H28" t="s">
        <v>15</v>
      </c>
      <c r="I28" t="s">
        <v>4464</v>
      </c>
      <c r="N28">
        <v>1</v>
      </c>
      <c r="O28" t="s">
        <v>4463</v>
      </c>
      <c r="P28">
        <v>6603633970</v>
      </c>
      <c r="R28" s="6">
        <v>29677</v>
      </c>
      <c r="S28" s="7">
        <f t="shared" si="0"/>
        <v>1981</v>
      </c>
      <c r="T28" s="7">
        <v>1981</v>
      </c>
      <c r="U28" s="7">
        <f t="shared" si="1"/>
        <v>41</v>
      </c>
      <c r="V28" s="6">
        <v>29677</v>
      </c>
      <c r="W28" t="s">
        <v>477</v>
      </c>
      <c r="X28" s="2">
        <v>0.318</v>
      </c>
      <c r="Y28" s="5">
        <f t="shared" si="6"/>
        <v>8.4888283815167786E-3</v>
      </c>
      <c r="AA28">
        <v>338443</v>
      </c>
      <c r="AB28">
        <v>27160</v>
      </c>
      <c r="AC28">
        <v>15739120</v>
      </c>
      <c r="AD28" t="s">
        <v>5</v>
      </c>
      <c r="AE28">
        <v>24</v>
      </c>
      <c r="AF28">
        <v>4</v>
      </c>
      <c r="AH28" t="s">
        <v>4462</v>
      </c>
      <c r="AL28">
        <v>0</v>
      </c>
      <c r="AM28" s="4">
        <f t="shared" si="2"/>
        <v>0</v>
      </c>
      <c r="AN28" s="21">
        <f t="shared" si="7"/>
        <v>0</v>
      </c>
      <c r="AO28" s="3"/>
      <c r="AP28">
        <v>0</v>
      </c>
      <c r="AR28" t="s">
        <v>1</v>
      </c>
      <c r="AT28" s="2">
        <v>0.77</v>
      </c>
      <c r="AU28" s="1">
        <f t="shared" si="3"/>
        <v>0.59421798670617454</v>
      </c>
      <c r="AV28" s="1">
        <f t="shared" si="4"/>
        <v>0.42444141907583893</v>
      </c>
      <c r="AW28" s="1">
        <f t="shared" si="5"/>
        <v>0.25466485144550338</v>
      </c>
    </row>
    <row r="29" spans="1:49" x14ac:dyDescent="0.2">
      <c r="A29">
        <v>27</v>
      </c>
      <c r="B29" t="s">
        <v>4461</v>
      </c>
      <c r="C29" t="s">
        <v>4460</v>
      </c>
      <c r="E29">
        <v>7237519</v>
      </c>
      <c r="F29" t="s">
        <v>4459</v>
      </c>
      <c r="G29" t="s">
        <v>16</v>
      </c>
      <c r="H29" t="s">
        <v>15</v>
      </c>
      <c r="I29" t="s">
        <v>4458</v>
      </c>
      <c r="J29">
        <v>60011047</v>
      </c>
      <c r="K29" t="s">
        <v>3338</v>
      </c>
      <c r="L29" t="s">
        <v>3337</v>
      </c>
      <c r="M29" t="s">
        <v>312</v>
      </c>
      <c r="N29">
        <v>1</v>
      </c>
      <c r="O29" t="s">
        <v>4457</v>
      </c>
      <c r="P29">
        <v>6602486562</v>
      </c>
      <c r="Q29">
        <v>60011047</v>
      </c>
      <c r="R29" s="6">
        <v>29677</v>
      </c>
      <c r="S29" s="7">
        <f t="shared" si="0"/>
        <v>1981</v>
      </c>
      <c r="T29" s="7">
        <v>1981</v>
      </c>
      <c r="U29" s="7">
        <f t="shared" si="1"/>
        <v>41</v>
      </c>
      <c r="V29" s="6">
        <v>29677</v>
      </c>
      <c r="W29" t="s">
        <v>4362</v>
      </c>
      <c r="X29" s="2">
        <v>1.64</v>
      </c>
      <c r="Y29" s="5">
        <f t="shared" si="6"/>
        <v>4.3778863351218597E-2</v>
      </c>
      <c r="AA29" t="s">
        <v>4361</v>
      </c>
      <c r="AB29">
        <v>18446</v>
      </c>
      <c r="AC29">
        <v>14320878</v>
      </c>
      <c r="AD29" t="s">
        <v>5</v>
      </c>
      <c r="AE29">
        <v>216</v>
      </c>
      <c r="AF29">
        <v>3</v>
      </c>
      <c r="AH29" t="s">
        <v>4456</v>
      </c>
      <c r="AI29" t="s">
        <v>4455</v>
      </c>
      <c r="AJ29" t="s">
        <v>4454</v>
      </c>
      <c r="AK29" t="s">
        <v>4453</v>
      </c>
      <c r="AL29">
        <v>76</v>
      </c>
      <c r="AM29" s="4">
        <f t="shared" si="2"/>
        <v>1.8536585365853659</v>
      </c>
      <c r="AN29" s="21">
        <f t="shared" si="7"/>
        <v>2.8075100894893843E-3</v>
      </c>
      <c r="AO29" s="3"/>
      <c r="AP29">
        <v>0</v>
      </c>
      <c r="AR29" t="s">
        <v>1</v>
      </c>
      <c r="AT29" s="2">
        <v>5.2489999999999997</v>
      </c>
      <c r="AU29" s="1">
        <f t="shared" si="3"/>
        <v>3.1487457372699832</v>
      </c>
      <c r="AV29" s="1">
        <f t="shared" si="4"/>
        <v>2.3293186720353991</v>
      </c>
      <c r="AW29" s="1">
        <f t="shared" si="5"/>
        <v>1.5098916068008148</v>
      </c>
    </row>
    <row r="30" spans="1:49" x14ac:dyDescent="0.2">
      <c r="A30">
        <v>28</v>
      </c>
      <c r="B30" t="s">
        <v>4452</v>
      </c>
      <c r="C30" t="s">
        <v>4451</v>
      </c>
      <c r="D30" t="s">
        <v>4450</v>
      </c>
      <c r="E30">
        <v>7213671</v>
      </c>
      <c r="F30" t="s">
        <v>4449</v>
      </c>
      <c r="G30" t="s">
        <v>16</v>
      </c>
      <c r="H30" t="s">
        <v>15</v>
      </c>
      <c r="I30" t="s">
        <v>4438</v>
      </c>
      <c r="J30">
        <v>60003878</v>
      </c>
      <c r="K30" t="s">
        <v>4068</v>
      </c>
      <c r="L30" t="s">
        <v>1519</v>
      </c>
      <c r="M30" t="s">
        <v>131</v>
      </c>
      <c r="N30">
        <v>2</v>
      </c>
      <c r="O30" t="s">
        <v>4448</v>
      </c>
      <c r="P30" t="s">
        <v>4447</v>
      </c>
      <c r="Q30" t="s">
        <v>4076</v>
      </c>
      <c r="R30" s="6">
        <v>29657</v>
      </c>
      <c r="S30" s="7">
        <f t="shared" si="0"/>
        <v>1981</v>
      </c>
      <c r="T30" s="7">
        <v>1981</v>
      </c>
      <c r="U30" s="7">
        <f t="shared" si="1"/>
        <v>41</v>
      </c>
      <c r="V30" s="6">
        <v>29657</v>
      </c>
      <c r="W30" t="s">
        <v>498</v>
      </c>
      <c r="X30" s="2">
        <v>1.59</v>
      </c>
      <c r="Y30" s="5">
        <f t="shared" si="6"/>
        <v>4.2444141907583888E-2</v>
      </c>
      <c r="AA30">
        <v>52728</v>
      </c>
      <c r="AB30">
        <v>16791</v>
      </c>
      <c r="AD30" t="s">
        <v>5</v>
      </c>
      <c r="AE30">
        <v>635</v>
      </c>
      <c r="AF30">
        <v>1</v>
      </c>
      <c r="AH30" t="s">
        <v>4446</v>
      </c>
      <c r="AI30" t="s">
        <v>4445</v>
      </c>
      <c r="AJ30" t="s">
        <v>4444</v>
      </c>
      <c r="AK30" t="s">
        <v>4443</v>
      </c>
      <c r="AL30">
        <v>95</v>
      </c>
      <c r="AM30" s="4">
        <f t="shared" si="2"/>
        <v>2.3170731707317072</v>
      </c>
      <c r="AN30" s="21">
        <f t="shared" si="7"/>
        <v>3.5093876118617298E-3</v>
      </c>
      <c r="AO30" s="3"/>
      <c r="AP30">
        <v>0</v>
      </c>
      <c r="AR30" t="s">
        <v>1</v>
      </c>
      <c r="AT30" s="2" t="s">
        <v>0</v>
      </c>
      <c r="AU30" s="1">
        <f t="shared" si="3"/>
        <v>3.0763715618867238</v>
      </c>
      <c r="AV30" s="1">
        <f t="shared" si="4"/>
        <v>2.2976764759722808</v>
      </c>
      <c r="AW30" s="1">
        <f t="shared" si="5"/>
        <v>1.5189813900578375</v>
      </c>
    </row>
    <row r="31" spans="1:49" x14ac:dyDescent="0.2">
      <c r="A31">
        <v>29</v>
      </c>
      <c r="B31" t="s">
        <v>4442</v>
      </c>
      <c r="C31" t="s">
        <v>4441</v>
      </c>
      <c r="D31" t="s">
        <v>4440</v>
      </c>
      <c r="E31">
        <v>7213672</v>
      </c>
      <c r="F31" t="s">
        <v>4439</v>
      </c>
      <c r="G31" t="s">
        <v>16</v>
      </c>
      <c r="H31" t="s">
        <v>15</v>
      </c>
      <c r="I31" t="s">
        <v>4438</v>
      </c>
      <c r="J31">
        <v>60003878</v>
      </c>
      <c r="K31" t="s">
        <v>4068</v>
      </c>
      <c r="L31" t="s">
        <v>1519</v>
      </c>
      <c r="M31" t="s">
        <v>131</v>
      </c>
      <c r="N31">
        <v>3</v>
      </c>
      <c r="O31" t="s">
        <v>4437</v>
      </c>
      <c r="P31" t="s">
        <v>4436</v>
      </c>
      <c r="Q31" t="s">
        <v>4435</v>
      </c>
      <c r="R31" s="6">
        <v>29657</v>
      </c>
      <c r="S31" s="7">
        <f t="shared" si="0"/>
        <v>1981</v>
      </c>
      <c r="T31" s="7">
        <v>1981</v>
      </c>
      <c r="U31" s="7">
        <f t="shared" si="1"/>
        <v>41</v>
      </c>
      <c r="V31" s="6">
        <v>29657</v>
      </c>
      <c r="W31" t="s">
        <v>498</v>
      </c>
      <c r="X31" s="2">
        <v>1.59</v>
      </c>
      <c r="Y31" s="5">
        <f t="shared" si="6"/>
        <v>4.2444141907583888E-2</v>
      </c>
      <c r="AA31">
        <v>52728</v>
      </c>
      <c r="AB31">
        <v>16791</v>
      </c>
      <c r="AD31" t="s">
        <v>5</v>
      </c>
      <c r="AE31">
        <v>635</v>
      </c>
      <c r="AF31">
        <v>1</v>
      </c>
      <c r="AH31" t="s">
        <v>4434</v>
      </c>
      <c r="AI31" t="s">
        <v>4433</v>
      </c>
      <c r="AJ31" t="s">
        <v>4432</v>
      </c>
      <c r="AK31" t="s">
        <v>4431</v>
      </c>
      <c r="AL31">
        <v>32</v>
      </c>
      <c r="AM31" s="4">
        <f t="shared" si="2"/>
        <v>0.78048780487804881</v>
      </c>
      <c r="AN31" s="21">
        <f t="shared" si="7"/>
        <v>1.1821095113639512E-3</v>
      </c>
      <c r="AO31" s="3"/>
      <c r="AP31">
        <v>0</v>
      </c>
      <c r="AQ31" t="s">
        <v>4430</v>
      </c>
      <c r="AR31" t="s">
        <v>1</v>
      </c>
      <c r="AS31" t="s">
        <v>4429</v>
      </c>
      <c r="AT31" s="2" t="s">
        <v>0</v>
      </c>
      <c r="AU31" s="1">
        <f t="shared" si="3"/>
        <v>3.0065532188717903</v>
      </c>
      <c r="AV31" s="1">
        <f t="shared" si="4"/>
        <v>2.1813125709473922</v>
      </c>
      <c r="AW31" s="1">
        <f t="shared" si="5"/>
        <v>1.3560719230229932</v>
      </c>
    </row>
    <row r="32" spans="1:49" x14ac:dyDescent="0.2">
      <c r="A32">
        <v>30</v>
      </c>
      <c r="B32" t="s">
        <v>4428</v>
      </c>
      <c r="C32" t="s">
        <v>4427</v>
      </c>
      <c r="D32" t="s">
        <v>4426</v>
      </c>
      <c r="E32">
        <v>6260161</v>
      </c>
      <c r="F32" t="s">
        <v>4425</v>
      </c>
      <c r="G32" t="s">
        <v>16</v>
      </c>
      <c r="H32" t="s">
        <v>15</v>
      </c>
      <c r="I32" t="s">
        <v>4424</v>
      </c>
      <c r="J32">
        <v>60006297</v>
      </c>
      <c r="K32" t="s">
        <v>1951</v>
      </c>
      <c r="L32" t="s">
        <v>1670</v>
      </c>
      <c r="M32" t="s">
        <v>11</v>
      </c>
      <c r="N32">
        <v>2</v>
      </c>
      <c r="O32" t="s">
        <v>4423</v>
      </c>
      <c r="P32" t="s">
        <v>4422</v>
      </c>
      <c r="Q32" t="s">
        <v>4421</v>
      </c>
      <c r="R32" s="6">
        <v>29657</v>
      </c>
      <c r="S32" s="7">
        <f t="shared" si="0"/>
        <v>1981</v>
      </c>
      <c r="T32" s="7">
        <v>1981</v>
      </c>
      <c r="U32" s="7">
        <f t="shared" si="1"/>
        <v>41</v>
      </c>
      <c r="V32" s="6">
        <v>29657</v>
      </c>
      <c r="W32" t="s">
        <v>498</v>
      </c>
      <c r="X32" s="2">
        <v>1.59</v>
      </c>
      <c r="Y32" s="5">
        <f t="shared" si="6"/>
        <v>4.2444141907583888E-2</v>
      </c>
      <c r="AA32">
        <v>52728</v>
      </c>
      <c r="AB32">
        <v>16791</v>
      </c>
      <c r="AD32" t="s">
        <v>5</v>
      </c>
      <c r="AE32">
        <v>635</v>
      </c>
      <c r="AF32">
        <v>1</v>
      </c>
      <c r="AH32" t="s">
        <v>4420</v>
      </c>
      <c r="AI32" t="s">
        <v>4419</v>
      </c>
      <c r="AJ32" t="s">
        <v>4418</v>
      </c>
      <c r="AK32" t="s">
        <v>4417</v>
      </c>
      <c r="AL32">
        <v>30</v>
      </c>
      <c r="AM32" s="4">
        <f t="shared" si="2"/>
        <v>0.73170731707317072</v>
      </c>
      <c r="AN32" s="21">
        <f t="shared" si="7"/>
        <v>1.1082276669037042E-3</v>
      </c>
      <c r="AO32" s="3"/>
      <c r="AP32">
        <v>0</v>
      </c>
      <c r="AQ32" t="s">
        <v>4416</v>
      </c>
      <c r="AR32" t="s">
        <v>4415</v>
      </c>
      <c r="AS32" t="s">
        <v>4414</v>
      </c>
      <c r="AT32" s="2" t="s">
        <v>0</v>
      </c>
      <c r="AU32" s="1">
        <f t="shared" si="3"/>
        <v>3.0043367635379834</v>
      </c>
      <c r="AV32" s="1">
        <f t="shared" si="4"/>
        <v>2.1776184787243795</v>
      </c>
      <c r="AW32" s="1">
        <f t="shared" si="5"/>
        <v>1.3509001939107759</v>
      </c>
    </row>
    <row r="33" spans="1:49" x14ac:dyDescent="0.2">
      <c r="A33">
        <v>31</v>
      </c>
      <c r="B33" t="s">
        <v>4413</v>
      </c>
      <c r="C33" t="s">
        <v>4412</v>
      </c>
      <c r="F33" t="s">
        <v>4411</v>
      </c>
      <c r="G33" t="s">
        <v>16</v>
      </c>
      <c r="H33" t="s">
        <v>15</v>
      </c>
      <c r="I33" t="s">
        <v>4410</v>
      </c>
      <c r="J33">
        <v>60016653</v>
      </c>
      <c r="K33" t="s">
        <v>4409</v>
      </c>
      <c r="L33" t="s">
        <v>4408</v>
      </c>
      <c r="M33" t="s">
        <v>92</v>
      </c>
      <c r="N33">
        <v>2</v>
      </c>
      <c r="O33" t="s">
        <v>4407</v>
      </c>
      <c r="P33" t="s">
        <v>4406</v>
      </c>
      <c r="Q33" t="s">
        <v>4405</v>
      </c>
      <c r="R33" s="6">
        <v>29650</v>
      </c>
      <c r="S33" s="7">
        <f t="shared" si="0"/>
        <v>1981</v>
      </c>
      <c r="T33" s="7">
        <v>1981</v>
      </c>
      <c r="U33" s="7">
        <f t="shared" si="1"/>
        <v>41</v>
      </c>
      <c r="V33" s="6">
        <v>29650</v>
      </c>
      <c r="W33" t="s">
        <v>4298</v>
      </c>
      <c r="X33" s="2">
        <v>0.375</v>
      </c>
      <c r="Y33" s="5">
        <f t="shared" si="6"/>
        <v>1.0010410827260351E-2</v>
      </c>
      <c r="AA33">
        <v>135194</v>
      </c>
      <c r="AB33">
        <v>24918</v>
      </c>
      <c r="AD33" t="s">
        <v>5</v>
      </c>
      <c r="AE33">
        <v>17</v>
      </c>
      <c r="AF33">
        <v>5</v>
      </c>
      <c r="AH33" t="s">
        <v>4404</v>
      </c>
      <c r="AI33" t="s">
        <v>4403</v>
      </c>
      <c r="AJ33" t="s">
        <v>4402</v>
      </c>
      <c r="AK33" t="s">
        <v>4401</v>
      </c>
      <c r="AL33">
        <v>0</v>
      </c>
      <c r="AM33" s="4">
        <f t="shared" si="2"/>
        <v>0</v>
      </c>
      <c r="AN33" s="21">
        <f t="shared" si="7"/>
        <v>0</v>
      </c>
      <c r="AO33" s="3"/>
      <c r="AP33">
        <v>0</v>
      </c>
      <c r="AR33" t="s">
        <v>1</v>
      </c>
      <c r="AT33" s="2">
        <v>1.3140000000000001</v>
      </c>
      <c r="AU33" s="1">
        <f t="shared" si="3"/>
        <v>0.70072875790822453</v>
      </c>
      <c r="AV33" s="1">
        <f t="shared" si="4"/>
        <v>0.5005205413630176</v>
      </c>
      <c r="AW33" s="1">
        <f t="shared" si="5"/>
        <v>0.30031232481781051</v>
      </c>
    </row>
    <row r="34" spans="1:49" x14ac:dyDescent="0.2">
      <c r="A34">
        <v>32</v>
      </c>
      <c r="B34" t="s">
        <v>4400</v>
      </c>
      <c r="C34" t="s">
        <v>4399</v>
      </c>
      <c r="F34" t="s">
        <v>4398</v>
      </c>
      <c r="G34" t="s">
        <v>16</v>
      </c>
      <c r="H34" t="s">
        <v>15</v>
      </c>
      <c r="I34" t="s">
        <v>4397</v>
      </c>
      <c r="J34">
        <v>60071147</v>
      </c>
      <c r="K34" t="s">
        <v>4396</v>
      </c>
      <c r="L34" t="s">
        <v>4395</v>
      </c>
      <c r="M34" t="s">
        <v>4394</v>
      </c>
      <c r="N34">
        <v>1</v>
      </c>
      <c r="O34" t="s">
        <v>4393</v>
      </c>
      <c r="P34">
        <v>16212630000</v>
      </c>
      <c r="Q34">
        <v>60071147</v>
      </c>
      <c r="R34" s="6">
        <v>29646</v>
      </c>
      <c r="S34" s="7">
        <f t="shared" si="0"/>
        <v>1981</v>
      </c>
      <c r="T34" s="7">
        <v>1981</v>
      </c>
      <c r="U34" s="7">
        <f t="shared" si="1"/>
        <v>41</v>
      </c>
      <c r="V34" s="6">
        <v>29646</v>
      </c>
      <c r="W34" t="s">
        <v>4392</v>
      </c>
      <c r="X34" s="2">
        <v>0.84299999999999997</v>
      </c>
      <c r="Y34" s="5">
        <f t="shared" si="6"/>
        <v>2.250340353968127E-2</v>
      </c>
      <c r="AA34">
        <v>188158</v>
      </c>
      <c r="AB34">
        <v>15168</v>
      </c>
      <c r="AC34">
        <v>15735117</v>
      </c>
      <c r="AD34" t="s">
        <v>5</v>
      </c>
      <c r="AE34">
        <v>78</v>
      </c>
      <c r="AF34">
        <v>2</v>
      </c>
      <c r="AH34" t="s">
        <v>4391</v>
      </c>
      <c r="AI34" t="s">
        <v>4390</v>
      </c>
      <c r="AJ34" t="s">
        <v>4389</v>
      </c>
      <c r="AK34" t="s">
        <v>4388</v>
      </c>
      <c r="AL34">
        <v>5</v>
      </c>
      <c r="AM34" s="4">
        <f t="shared" si="2"/>
        <v>0.12195121951219512</v>
      </c>
      <c r="AN34" s="21">
        <f t="shared" si="7"/>
        <v>1.8470461115061736E-4</v>
      </c>
      <c r="AO34" s="3"/>
      <c r="AP34">
        <v>0</v>
      </c>
      <c r="AR34" t="s">
        <v>1</v>
      </c>
      <c r="AT34" s="2">
        <v>2.694</v>
      </c>
      <c r="AU34" s="1">
        <f t="shared" si="3"/>
        <v>1.5807793861122073</v>
      </c>
      <c r="AV34" s="1">
        <f t="shared" si="4"/>
        <v>1.1344054075415944</v>
      </c>
      <c r="AW34" s="1">
        <f t="shared" si="5"/>
        <v>0.68803142897098135</v>
      </c>
    </row>
    <row r="35" spans="1:49" x14ac:dyDescent="0.2">
      <c r="A35">
        <v>33</v>
      </c>
      <c r="B35" t="s">
        <v>4387</v>
      </c>
      <c r="C35" t="s">
        <v>4386</v>
      </c>
      <c r="F35" t="s">
        <v>4385</v>
      </c>
      <c r="G35" t="s">
        <v>16</v>
      </c>
      <c r="H35" t="s">
        <v>15</v>
      </c>
      <c r="I35" t="s">
        <v>4384</v>
      </c>
      <c r="N35">
        <v>3</v>
      </c>
      <c r="O35" t="s">
        <v>4383</v>
      </c>
      <c r="P35" t="s">
        <v>4382</v>
      </c>
      <c r="Q35" t="s">
        <v>116</v>
      </c>
      <c r="R35" s="6">
        <v>29646</v>
      </c>
      <c r="S35" s="7">
        <f t="shared" si="0"/>
        <v>1981</v>
      </c>
      <c r="T35" s="7">
        <v>1981</v>
      </c>
      <c r="U35" s="7">
        <f t="shared" si="1"/>
        <v>41</v>
      </c>
      <c r="V35" s="6">
        <v>29646</v>
      </c>
      <c r="W35" t="s">
        <v>477</v>
      </c>
      <c r="X35" s="2">
        <v>0.318</v>
      </c>
      <c r="Y35" s="5">
        <f t="shared" si="6"/>
        <v>8.4888283815167786E-3</v>
      </c>
      <c r="AA35">
        <v>338443</v>
      </c>
      <c r="AB35">
        <v>27160</v>
      </c>
      <c r="AC35">
        <v>15739120</v>
      </c>
      <c r="AD35" t="s">
        <v>5</v>
      </c>
      <c r="AE35">
        <v>24</v>
      </c>
      <c r="AF35">
        <v>3</v>
      </c>
      <c r="AH35" t="s">
        <v>4381</v>
      </c>
      <c r="AL35">
        <v>0</v>
      </c>
      <c r="AM35" s="4">
        <f t="shared" si="2"/>
        <v>0</v>
      </c>
      <c r="AN35" s="21">
        <f t="shared" si="7"/>
        <v>0</v>
      </c>
      <c r="AO35" s="3"/>
      <c r="AP35">
        <v>0</v>
      </c>
      <c r="AR35" t="s">
        <v>1</v>
      </c>
      <c r="AT35" s="2">
        <v>0.77</v>
      </c>
      <c r="AU35" s="1">
        <f t="shared" si="3"/>
        <v>0.59421798670617454</v>
      </c>
      <c r="AV35" s="1">
        <f t="shared" si="4"/>
        <v>0.42444141907583893</v>
      </c>
      <c r="AW35" s="1">
        <f t="shared" si="5"/>
        <v>0.25466485144550338</v>
      </c>
    </row>
    <row r="36" spans="1:49" x14ac:dyDescent="0.2">
      <c r="A36">
        <v>34</v>
      </c>
      <c r="B36" t="s">
        <v>4380</v>
      </c>
      <c r="C36" t="s">
        <v>4379</v>
      </c>
      <c r="E36">
        <v>7214477</v>
      </c>
      <c r="F36" t="s">
        <v>4378</v>
      </c>
      <c r="G36" t="s">
        <v>16</v>
      </c>
      <c r="H36" t="s">
        <v>15</v>
      </c>
      <c r="I36" t="s">
        <v>4377</v>
      </c>
      <c r="J36">
        <v>60030807</v>
      </c>
      <c r="K36" t="s">
        <v>4365</v>
      </c>
      <c r="L36" t="s">
        <v>4364</v>
      </c>
      <c r="M36" t="s">
        <v>92</v>
      </c>
      <c r="N36">
        <v>3</v>
      </c>
      <c r="O36" t="s">
        <v>4376</v>
      </c>
      <c r="P36" t="s">
        <v>4375</v>
      </c>
      <c r="Q36" t="s">
        <v>4374</v>
      </c>
      <c r="R36" s="6">
        <v>29646</v>
      </c>
      <c r="S36" s="7">
        <f t="shared" si="0"/>
        <v>1981</v>
      </c>
      <c r="T36" s="7">
        <v>1981</v>
      </c>
      <c r="U36" s="7">
        <f t="shared" si="1"/>
        <v>41</v>
      </c>
      <c r="V36" s="6">
        <v>29646</v>
      </c>
      <c r="W36" t="s">
        <v>4362</v>
      </c>
      <c r="X36" s="2">
        <v>1.64</v>
      </c>
      <c r="Y36" s="5">
        <f t="shared" si="6"/>
        <v>4.3778863351218597E-2</v>
      </c>
      <c r="AA36" t="s">
        <v>4361</v>
      </c>
      <c r="AB36">
        <v>18446</v>
      </c>
      <c r="AC36">
        <v>14320878</v>
      </c>
      <c r="AD36" t="s">
        <v>5</v>
      </c>
      <c r="AE36">
        <v>215</v>
      </c>
      <c r="AF36">
        <v>2</v>
      </c>
      <c r="AH36" t="s">
        <v>4373</v>
      </c>
      <c r="AI36" t="s">
        <v>4372</v>
      </c>
      <c r="AJ36" t="s">
        <v>4371</v>
      </c>
      <c r="AK36" t="s">
        <v>4370</v>
      </c>
      <c r="AL36">
        <v>133</v>
      </c>
      <c r="AM36" s="4">
        <f t="shared" si="2"/>
        <v>3.2439024390243905</v>
      </c>
      <c r="AN36" s="21">
        <f t="shared" si="7"/>
        <v>4.9131426566064226E-3</v>
      </c>
      <c r="AO36" s="3"/>
      <c r="AP36">
        <v>0</v>
      </c>
      <c r="AR36" t="s">
        <v>1</v>
      </c>
      <c r="AT36" s="2">
        <v>5.2489999999999997</v>
      </c>
      <c r="AU36" s="1">
        <f t="shared" si="3"/>
        <v>3.2119147142834938</v>
      </c>
      <c r="AV36" s="1">
        <f t="shared" si="4"/>
        <v>2.4346003003912511</v>
      </c>
      <c r="AW36" s="1">
        <f t="shared" si="5"/>
        <v>1.6572858864990074</v>
      </c>
    </row>
    <row r="37" spans="1:49" x14ac:dyDescent="0.2">
      <c r="A37">
        <v>35</v>
      </c>
      <c r="B37" t="s">
        <v>4369</v>
      </c>
      <c r="C37" t="s">
        <v>4368</v>
      </c>
      <c r="E37">
        <v>7214496</v>
      </c>
      <c r="F37" t="s">
        <v>4367</v>
      </c>
      <c r="G37" t="s">
        <v>16</v>
      </c>
      <c r="H37" t="s">
        <v>15</v>
      </c>
      <c r="I37" t="s">
        <v>4366</v>
      </c>
      <c r="J37">
        <v>60030807</v>
      </c>
      <c r="K37" t="s">
        <v>4365</v>
      </c>
      <c r="L37" t="s">
        <v>4364</v>
      </c>
      <c r="M37" t="s">
        <v>92</v>
      </c>
      <c r="N37">
        <v>1</v>
      </c>
      <c r="O37" t="s">
        <v>4363</v>
      </c>
      <c r="P37">
        <v>7801522299</v>
      </c>
      <c r="Q37">
        <v>60030807</v>
      </c>
      <c r="R37" s="6">
        <v>29646</v>
      </c>
      <c r="S37" s="7">
        <f t="shared" si="0"/>
        <v>1981</v>
      </c>
      <c r="T37" s="7">
        <v>1981</v>
      </c>
      <c r="U37" s="7">
        <f t="shared" si="1"/>
        <v>41</v>
      </c>
      <c r="V37" s="6">
        <v>29646</v>
      </c>
      <c r="W37" t="s">
        <v>4362</v>
      </c>
      <c r="X37" s="2">
        <v>1.64</v>
      </c>
      <c r="Y37" s="5">
        <f t="shared" si="6"/>
        <v>4.3778863351218597E-2</v>
      </c>
      <c r="AA37" t="s">
        <v>4361</v>
      </c>
      <c r="AB37">
        <v>18446</v>
      </c>
      <c r="AC37">
        <v>14320878</v>
      </c>
      <c r="AD37" t="s">
        <v>5</v>
      </c>
      <c r="AE37">
        <v>215</v>
      </c>
      <c r="AF37">
        <v>3</v>
      </c>
      <c r="AH37" t="s">
        <v>4360</v>
      </c>
      <c r="AI37" t="s">
        <v>4359</v>
      </c>
      <c r="AJ37" t="s">
        <v>4358</v>
      </c>
      <c r="AK37" t="s">
        <v>4357</v>
      </c>
      <c r="AL37">
        <v>44</v>
      </c>
      <c r="AM37" s="4">
        <f t="shared" si="2"/>
        <v>1.0731707317073171</v>
      </c>
      <c r="AN37" s="21">
        <f t="shared" si="7"/>
        <v>1.6254005781254331E-3</v>
      </c>
      <c r="AO37" s="3"/>
      <c r="AP37">
        <v>0</v>
      </c>
      <c r="AR37" t="s">
        <v>1</v>
      </c>
      <c r="AT37" s="2">
        <v>5.2489999999999997</v>
      </c>
      <c r="AU37" s="1">
        <f t="shared" si="3"/>
        <v>3.1132824519290647</v>
      </c>
      <c r="AV37" s="1">
        <f t="shared" si="4"/>
        <v>2.2702131964672017</v>
      </c>
      <c r="AW37" s="1">
        <f t="shared" si="5"/>
        <v>1.4271439410053381</v>
      </c>
    </row>
    <row r="38" spans="1:49" x14ac:dyDescent="0.2">
      <c r="A38">
        <v>36</v>
      </c>
      <c r="B38" t="s">
        <v>4356</v>
      </c>
      <c r="C38" t="s">
        <v>4355</v>
      </c>
      <c r="F38" t="s">
        <v>4354</v>
      </c>
      <c r="G38" t="s">
        <v>16</v>
      </c>
      <c r="H38" t="s">
        <v>15</v>
      </c>
      <c r="I38" t="s">
        <v>4353</v>
      </c>
      <c r="J38">
        <v>60011226</v>
      </c>
      <c r="K38" t="s">
        <v>4352</v>
      </c>
      <c r="L38" t="s">
        <v>809</v>
      </c>
      <c r="M38" t="s">
        <v>92</v>
      </c>
      <c r="N38">
        <v>2</v>
      </c>
      <c r="O38" t="s">
        <v>4351</v>
      </c>
      <c r="P38" t="s">
        <v>4350</v>
      </c>
      <c r="Q38" t="s">
        <v>4349</v>
      </c>
      <c r="R38" s="6">
        <v>29646</v>
      </c>
      <c r="S38" s="7">
        <f t="shared" si="0"/>
        <v>1981</v>
      </c>
      <c r="T38" s="7">
        <v>1981</v>
      </c>
      <c r="U38" s="7">
        <f t="shared" si="1"/>
        <v>41</v>
      </c>
      <c r="V38" s="6">
        <v>29646</v>
      </c>
      <c r="W38" t="s">
        <v>4338</v>
      </c>
      <c r="X38" s="2">
        <v>0.8</v>
      </c>
      <c r="Y38" s="5">
        <f t="shared" si="6"/>
        <v>2.1355543098155415E-2</v>
      </c>
      <c r="AA38">
        <v>3407594</v>
      </c>
      <c r="AB38">
        <v>23456</v>
      </c>
      <c r="AC38">
        <v>14321351</v>
      </c>
      <c r="AD38" t="s">
        <v>5</v>
      </c>
      <c r="AE38">
        <v>143</v>
      </c>
      <c r="AF38">
        <v>1</v>
      </c>
      <c r="AH38" t="s">
        <v>4348</v>
      </c>
      <c r="AI38" t="s">
        <v>4347</v>
      </c>
      <c r="AK38" t="s">
        <v>4346</v>
      </c>
      <c r="AL38">
        <v>52</v>
      </c>
      <c r="AM38" s="4">
        <f t="shared" si="2"/>
        <v>1.2682926829268293</v>
      </c>
      <c r="AN38" s="21">
        <f t="shared" si="7"/>
        <v>1.9209279559664208E-3</v>
      </c>
      <c r="AO38" s="3"/>
      <c r="AP38">
        <v>0</v>
      </c>
      <c r="AR38" t="s">
        <v>1</v>
      </c>
      <c r="AT38" s="2" t="s">
        <v>0</v>
      </c>
      <c r="AU38" s="1">
        <f t="shared" si="3"/>
        <v>1.5525158555498715</v>
      </c>
      <c r="AV38" s="1">
        <f t="shared" si="4"/>
        <v>1.1638235527060918</v>
      </c>
      <c r="AW38" s="1">
        <f t="shared" si="5"/>
        <v>0.77513124986231186</v>
      </c>
    </row>
    <row r="39" spans="1:49" x14ac:dyDescent="0.2">
      <c r="A39">
        <v>37</v>
      </c>
      <c r="B39" t="s">
        <v>4345</v>
      </c>
      <c r="C39" t="s">
        <v>4344</v>
      </c>
      <c r="F39" t="s">
        <v>4343</v>
      </c>
      <c r="G39" t="s">
        <v>16</v>
      </c>
      <c r="H39" t="s">
        <v>15</v>
      </c>
      <c r="I39" t="s">
        <v>4342</v>
      </c>
      <c r="J39">
        <v>60015481</v>
      </c>
      <c r="K39" t="s">
        <v>4341</v>
      </c>
      <c r="L39" t="s">
        <v>4340</v>
      </c>
      <c r="M39" t="s">
        <v>11</v>
      </c>
      <c r="N39">
        <v>1</v>
      </c>
      <c r="O39" t="s">
        <v>4339</v>
      </c>
      <c r="P39">
        <v>6602980158</v>
      </c>
      <c r="Q39">
        <v>60015481</v>
      </c>
      <c r="R39" s="6">
        <v>29646</v>
      </c>
      <c r="S39" s="7">
        <f t="shared" si="0"/>
        <v>1981</v>
      </c>
      <c r="T39" s="7">
        <v>1981</v>
      </c>
      <c r="U39" s="7">
        <f t="shared" si="1"/>
        <v>41</v>
      </c>
      <c r="V39" s="6">
        <v>29646</v>
      </c>
      <c r="W39" t="s">
        <v>4338</v>
      </c>
      <c r="X39" s="2">
        <v>0.8</v>
      </c>
      <c r="Y39" s="5">
        <f t="shared" si="6"/>
        <v>2.1355543098155415E-2</v>
      </c>
      <c r="AA39">
        <v>3407594</v>
      </c>
      <c r="AB39">
        <v>23456</v>
      </c>
      <c r="AC39">
        <v>14321351</v>
      </c>
      <c r="AD39" t="s">
        <v>5</v>
      </c>
      <c r="AE39">
        <v>142</v>
      </c>
      <c r="AF39">
        <v>1</v>
      </c>
      <c r="AH39" t="s">
        <v>4337</v>
      </c>
      <c r="AI39" t="s">
        <v>4336</v>
      </c>
      <c r="AK39" t="s">
        <v>4335</v>
      </c>
      <c r="AL39">
        <v>29</v>
      </c>
      <c r="AM39" s="4">
        <f t="shared" si="2"/>
        <v>0.70731707317073167</v>
      </c>
      <c r="AN39" s="21">
        <f t="shared" si="7"/>
        <v>1.0712867446735807E-3</v>
      </c>
      <c r="AO39" s="3"/>
      <c r="AP39">
        <v>0</v>
      </c>
      <c r="AR39" t="s">
        <v>1</v>
      </c>
      <c r="AT39" s="2" t="s">
        <v>0</v>
      </c>
      <c r="AU39" s="1">
        <f t="shared" si="3"/>
        <v>1.5270266192110864</v>
      </c>
      <c r="AV39" s="1">
        <f t="shared" si="4"/>
        <v>1.1213414921414497</v>
      </c>
      <c r="AW39" s="1">
        <f t="shared" si="5"/>
        <v>0.71565636507181307</v>
      </c>
    </row>
    <row r="40" spans="1:49" x14ac:dyDescent="0.2">
      <c r="A40">
        <v>38</v>
      </c>
      <c r="B40" t="s">
        <v>4334</v>
      </c>
      <c r="C40" t="s">
        <v>4333</v>
      </c>
      <c r="D40" t="s">
        <v>4332</v>
      </c>
      <c r="F40" t="s">
        <v>4331</v>
      </c>
      <c r="G40" t="s">
        <v>16</v>
      </c>
      <c r="H40" t="s">
        <v>15</v>
      </c>
      <c r="I40" t="s">
        <v>4330</v>
      </c>
      <c r="J40" t="s">
        <v>4329</v>
      </c>
      <c r="K40" t="s">
        <v>4328</v>
      </c>
      <c r="L40" t="s">
        <v>4327</v>
      </c>
      <c r="M40" t="s">
        <v>277</v>
      </c>
      <c r="N40">
        <v>1</v>
      </c>
      <c r="O40" t="s">
        <v>4326</v>
      </c>
      <c r="P40">
        <v>22977903300</v>
      </c>
      <c r="Q40" t="s">
        <v>4325</v>
      </c>
      <c r="R40" s="6">
        <v>29640</v>
      </c>
      <c r="S40" s="7">
        <f t="shared" si="0"/>
        <v>1981</v>
      </c>
      <c r="T40" s="7">
        <v>1981</v>
      </c>
      <c r="U40" s="7">
        <f t="shared" si="1"/>
        <v>41</v>
      </c>
      <c r="V40" s="6">
        <v>29640</v>
      </c>
      <c r="W40" t="s">
        <v>4272</v>
      </c>
      <c r="X40" s="2">
        <v>0.499</v>
      </c>
      <c r="Y40" s="5">
        <f t="shared" si="6"/>
        <v>1.332052000747444E-2</v>
      </c>
      <c r="AA40">
        <v>3759601</v>
      </c>
      <c r="AB40">
        <v>29464</v>
      </c>
      <c r="AD40" t="s">
        <v>5</v>
      </c>
      <c r="AE40">
        <v>81</v>
      </c>
      <c r="AF40">
        <v>9</v>
      </c>
      <c r="AH40" t="s">
        <v>4324</v>
      </c>
      <c r="AI40" t="s">
        <v>4323</v>
      </c>
      <c r="AK40" t="s">
        <v>4322</v>
      </c>
      <c r="AL40">
        <v>7</v>
      </c>
      <c r="AM40" s="4">
        <f t="shared" si="2"/>
        <v>0.17073170731707318</v>
      </c>
      <c r="AN40" s="21">
        <f t="shared" si="7"/>
        <v>2.5858645561086435E-4</v>
      </c>
      <c r="AO40" s="3"/>
      <c r="AP40">
        <v>0</v>
      </c>
      <c r="AQ40" t="s">
        <v>4321</v>
      </c>
      <c r="AR40" t="s">
        <v>1</v>
      </c>
      <c r="AS40" t="s">
        <v>4320</v>
      </c>
      <c r="AT40" s="2">
        <v>2.6539999999999999</v>
      </c>
      <c r="AU40" s="1">
        <f t="shared" si="3"/>
        <v>0.94019399419153671</v>
      </c>
      <c r="AV40" s="1">
        <f t="shared" si="4"/>
        <v>0.67895532315426521</v>
      </c>
      <c r="AW40" s="1">
        <f t="shared" si="5"/>
        <v>0.41771665211699377</v>
      </c>
    </row>
    <row r="41" spans="1:49" x14ac:dyDescent="0.2">
      <c r="A41">
        <v>39</v>
      </c>
      <c r="B41" t="s">
        <v>4319</v>
      </c>
      <c r="C41" t="s">
        <v>4318</v>
      </c>
      <c r="F41" t="s">
        <v>4317</v>
      </c>
      <c r="G41" t="s">
        <v>16</v>
      </c>
      <c r="H41" t="s">
        <v>15</v>
      </c>
      <c r="I41" t="s">
        <v>4316</v>
      </c>
      <c r="J41">
        <v>60022148</v>
      </c>
      <c r="K41" t="s">
        <v>4315</v>
      </c>
      <c r="L41" t="s">
        <v>40</v>
      </c>
      <c r="M41" t="s">
        <v>39</v>
      </c>
      <c r="N41">
        <v>2</v>
      </c>
      <c r="O41" t="s">
        <v>4314</v>
      </c>
      <c r="P41" t="s">
        <v>4313</v>
      </c>
      <c r="Q41" t="s">
        <v>4312</v>
      </c>
      <c r="R41" s="6">
        <v>29622</v>
      </c>
      <c r="S41" s="7">
        <f t="shared" si="0"/>
        <v>1981</v>
      </c>
      <c r="T41" s="7">
        <v>1981</v>
      </c>
      <c r="U41" s="7">
        <f t="shared" si="1"/>
        <v>41</v>
      </c>
      <c r="V41" s="6">
        <v>29622</v>
      </c>
      <c r="W41" t="s">
        <v>4298</v>
      </c>
      <c r="X41" s="2">
        <v>0.375</v>
      </c>
      <c r="Y41" s="5">
        <f t="shared" si="6"/>
        <v>1.0010410827260351E-2</v>
      </c>
      <c r="AA41">
        <v>135194</v>
      </c>
      <c r="AB41">
        <v>24918</v>
      </c>
      <c r="AD41" t="s">
        <v>5</v>
      </c>
      <c r="AE41">
        <v>17</v>
      </c>
      <c r="AF41">
        <v>3</v>
      </c>
      <c r="AH41" t="s">
        <v>4311</v>
      </c>
      <c r="AI41" t="s">
        <v>4310</v>
      </c>
      <c r="AJ41" t="s">
        <v>4309</v>
      </c>
      <c r="AK41" t="s">
        <v>4308</v>
      </c>
      <c r="AL41">
        <v>3</v>
      </c>
      <c r="AM41" s="4">
        <f t="shared" si="2"/>
        <v>7.3170731707317069E-2</v>
      </c>
      <c r="AN41" s="21">
        <f t="shared" si="7"/>
        <v>1.1082276669037041E-4</v>
      </c>
      <c r="AO41" s="3"/>
      <c r="AP41">
        <v>0</v>
      </c>
      <c r="AR41" t="s">
        <v>1</v>
      </c>
      <c r="AT41" s="2">
        <v>1.3140000000000001</v>
      </c>
      <c r="AU41" s="1">
        <f t="shared" si="3"/>
        <v>0.70405344090893573</v>
      </c>
      <c r="AV41" s="1">
        <f t="shared" si="4"/>
        <v>0.50606167969753613</v>
      </c>
      <c r="AW41" s="1">
        <f t="shared" si="5"/>
        <v>0.30806991848613646</v>
      </c>
    </row>
    <row r="42" spans="1:49" x14ac:dyDescent="0.2">
      <c r="A42">
        <v>40</v>
      </c>
      <c r="B42" t="s">
        <v>4307</v>
      </c>
      <c r="C42" t="s">
        <v>4306</v>
      </c>
      <c r="F42" t="s">
        <v>4305</v>
      </c>
      <c r="G42" t="s">
        <v>16</v>
      </c>
      <c r="H42" t="s">
        <v>15</v>
      </c>
      <c r="I42" t="s">
        <v>4304</v>
      </c>
      <c r="J42">
        <v>116025276</v>
      </c>
      <c r="K42" t="s">
        <v>4303</v>
      </c>
      <c r="L42" t="s">
        <v>4302</v>
      </c>
      <c r="M42" t="s">
        <v>39</v>
      </c>
      <c r="N42">
        <v>3</v>
      </c>
      <c r="O42" t="s">
        <v>4301</v>
      </c>
      <c r="P42" t="s">
        <v>4300</v>
      </c>
      <c r="Q42" t="s">
        <v>4299</v>
      </c>
      <c r="R42" s="6">
        <v>29622</v>
      </c>
      <c r="S42" s="7">
        <f t="shared" si="0"/>
        <v>1981</v>
      </c>
      <c r="T42" s="7">
        <v>1981</v>
      </c>
      <c r="U42" s="7">
        <f t="shared" si="1"/>
        <v>41</v>
      </c>
      <c r="V42" s="6">
        <v>29622</v>
      </c>
      <c r="W42" t="s">
        <v>4298</v>
      </c>
      <c r="X42" s="2">
        <v>0.375</v>
      </c>
      <c r="Y42" s="5">
        <f t="shared" si="6"/>
        <v>1.0010410827260351E-2</v>
      </c>
      <c r="AA42">
        <v>135194</v>
      </c>
      <c r="AB42">
        <v>24918</v>
      </c>
      <c r="AD42" t="s">
        <v>5</v>
      </c>
      <c r="AE42">
        <v>17</v>
      </c>
      <c r="AF42">
        <v>3</v>
      </c>
      <c r="AH42" t="s">
        <v>4297</v>
      </c>
      <c r="AI42" t="s">
        <v>4296</v>
      </c>
      <c r="AJ42" t="s">
        <v>4295</v>
      </c>
      <c r="AK42" t="s">
        <v>4294</v>
      </c>
      <c r="AL42">
        <v>2</v>
      </c>
      <c r="AM42" s="4">
        <f t="shared" si="2"/>
        <v>4.878048780487805E-2</v>
      </c>
      <c r="AN42" s="21">
        <f t="shared" si="7"/>
        <v>7.3881844460246948E-5</v>
      </c>
      <c r="AO42" s="3"/>
      <c r="AP42">
        <v>0</v>
      </c>
      <c r="AR42" t="s">
        <v>1</v>
      </c>
      <c r="AT42" s="2">
        <v>1.3140000000000001</v>
      </c>
      <c r="AU42" s="1">
        <f t="shared" si="3"/>
        <v>0.70294521324203196</v>
      </c>
      <c r="AV42" s="1">
        <f t="shared" si="4"/>
        <v>0.50421463358602991</v>
      </c>
      <c r="AW42" s="1">
        <f t="shared" si="5"/>
        <v>0.30548405393002781</v>
      </c>
    </row>
    <row r="43" spans="1:49" x14ac:dyDescent="0.2">
      <c r="A43">
        <v>41</v>
      </c>
      <c r="B43" t="s">
        <v>4293</v>
      </c>
      <c r="C43" t="s">
        <v>4292</v>
      </c>
      <c r="F43" t="s">
        <v>4291</v>
      </c>
      <c r="G43" t="s">
        <v>16</v>
      </c>
      <c r="H43" t="s">
        <v>15</v>
      </c>
      <c r="I43" t="s">
        <v>4290</v>
      </c>
      <c r="N43">
        <v>1</v>
      </c>
      <c r="O43" t="s">
        <v>4289</v>
      </c>
      <c r="P43">
        <v>6506808603</v>
      </c>
      <c r="R43" s="6">
        <v>29618</v>
      </c>
      <c r="S43" s="7">
        <f t="shared" si="0"/>
        <v>1981</v>
      </c>
      <c r="T43" s="7">
        <v>1981</v>
      </c>
      <c r="U43" s="7">
        <f t="shared" si="1"/>
        <v>41</v>
      </c>
      <c r="V43" s="6">
        <v>29618</v>
      </c>
      <c r="W43" t="s">
        <v>477</v>
      </c>
      <c r="X43" s="2">
        <v>0.318</v>
      </c>
      <c r="Y43" s="5">
        <f t="shared" si="6"/>
        <v>8.4888283815167786E-3</v>
      </c>
      <c r="AA43">
        <v>338443</v>
      </c>
      <c r="AB43">
        <v>27160</v>
      </c>
      <c r="AC43">
        <v>15739120</v>
      </c>
      <c r="AD43" t="s">
        <v>5</v>
      </c>
      <c r="AE43">
        <v>24</v>
      </c>
      <c r="AF43">
        <v>2</v>
      </c>
      <c r="AH43" t="s">
        <v>4288</v>
      </c>
      <c r="AL43">
        <v>3</v>
      </c>
      <c r="AM43" s="4">
        <f t="shared" si="2"/>
        <v>7.3170731707317069E-2</v>
      </c>
      <c r="AN43" s="21">
        <f t="shared" si="7"/>
        <v>1.1082276669037041E-4</v>
      </c>
      <c r="AO43" s="3"/>
      <c r="AP43">
        <v>0</v>
      </c>
      <c r="AR43" t="s">
        <v>1</v>
      </c>
      <c r="AT43" s="2">
        <v>0.77</v>
      </c>
      <c r="AU43" s="1">
        <f t="shared" si="3"/>
        <v>0.59754266970688563</v>
      </c>
      <c r="AV43" s="1">
        <f t="shared" si="4"/>
        <v>0.42998255741035746</v>
      </c>
      <c r="AW43" s="1">
        <f t="shared" si="5"/>
        <v>0.26242244511382928</v>
      </c>
    </row>
    <row r="44" spans="1:49" x14ac:dyDescent="0.2">
      <c r="A44">
        <v>42</v>
      </c>
      <c r="B44" t="s">
        <v>4287</v>
      </c>
      <c r="C44" t="s">
        <v>4286</v>
      </c>
      <c r="F44" t="s">
        <v>4285</v>
      </c>
      <c r="G44" t="s">
        <v>16</v>
      </c>
      <c r="H44" t="s">
        <v>15</v>
      </c>
      <c r="I44" t="s">
        <v>4284</v>
      </c>
      <c r="N44">
        <v>2</v>
      </c>
      <c r="O44" t="s">
        <v>4283</v>
      </c>
      <c r="P44" t="s">
        <v>4282</v>
      </c>
      <c r="Q44" t="s">
        <v>351</v>
      </c>
      <c r="R44" s="6">
        <v>29618</v>
      </c>
      <c r="S44" s="7">
        <f t="shared" si="0"/>
        <v>1981</v>
      </c>
      <c r="T44" s="7">
        <v>1981</v>
      </c>
      <c r="U44" s="7">
        <f t="shared" si="1"/>
        <v>41</v>
      </c>
      <c r="V44" s="6">
        <v>29618</v>
      </c>
      <c r="W44" t="s">
        <v>477</v>
      </c>
      <c r="X44" s="2">
        <v>0.318</v>
      </c>
      <c r="Y44" s="5">
        <f t="shared" si="6"/>
        <v>8.4888283815167786E-3</v>
      </c>
      <c r="AA44">
        <v>338443</v>
      </c>
      <c r="AB44">
        <v>27160</v>
      </c>
      <c r="AC44">
        <v>15739120</v>
      </c>
      <c r="AD44" t="s">
        <v>5</v>
      </c>
      <c r="AE44">
        <v>24</v>
      </c>
      <c r="AF44">
        <v>2</v>
      </c>
      <c r="AH44" t="s">
        <v>4281</v>
      </c>
      <c r="AL44">
        <v>0</v>
      </c>
      <c r="AM44" s="4">
        <f t="shared" si="2"/>
        <v>0</v>
      </c>
      <c r="AN44" s="21">
        <f t="shared" si="7"/>
        <v>0</v>
      </c>
      <c r="AO44" s="3"/>
      <c r="AP44">
        <v>0</v>
      </c>
      <c r="AR44" t="s">
        <v>1</v>
      </c>
      <c r="AT44" s="2">
        <v>0.77</v>
      </c>
      <c r="AU44" s="1">
        <f t="shared" si="3"/>
        <v>0.59421798670617454</v>
      </c>
      <c r="AV44" s="1">
        <f t="shared" si="4"/>
        <v>0.42444141907583893</v>
      </c>
      <c r="AW44" s="1">
        <f t="shared" si="5"/>
        <v>0.25466485144550338</v>
      </c>
    </row>
    <row r="45" spans="1:49" x14ac:dyDescent="0.2">
      <c r="A45">
        <v>43</v>
      </c>
      <c r="B45" t="s">
        <v>4280</v>
      </c>
      <c r="C45" t="s">
        <v>4279</v>
      </c>
      <c r="D45" t="s">
        <v>4278</v>
      </c>
      <c r="F45" t="s">
        <v>4277</v>
      </c>
      <c r="G45" t="s">
        <v>16</v>
      </c>
      <c r="H45" t="s">
        <v>15</v>
      </c>
      <c r="I45" t="s">
        <v>4276</v>
      </c>
      <c r="J45">
        <v>60025272</v>
      </c>
      <c r="K45" t="s">
        <v>3457</v>
      </c>
      <c r="L45" t="s">
        <v>313</v>
      </c>
      <c r="M45" t="s">
        <v>312</v>
      </c>
      <c r="N45">
        <v>3</v>
      </c>
      <c r="O45" t="s">
        <v>4275</v>
      </c>
      <c r="P45" t="s">
        <v>4274</v>
      </c>
      <c r="Q45" t="s">
        <v>4273</v>
      </c>
      <c r="R45" s="6">
        <v>29612</v>
      </c>
      <c r="S45" s="7">
        <f t="shared" si="0"/>
        <v>1981</v>
      </c>
      <c r="T45" s="7">
        <v>1981</v>
      </c>
      <c r="U45" s="7">
        <f t="shared" si="1"/>
        <v>41</v>
      </c>
      <c r="V45" s="6">
        <v>29612</v>
      </c>
      <c r="W45" t="s">
        <v>4272</v>
      </c>
      <c r="X45" s="2">
        <v>0.499</v>
      </c>
      <c r="Y45" s="5">
        <f t="shared" si="6"/>
        <v>1.332052000747444E-2</v>
      </c>
      <c r="AA45">
        <v>3759601</v>
      </c>
      <c r="AB45">
        <v>29464</v>
      </c>
      <c r="AD45" t="s">
        <v>5</v>
      </c>
      <c r="AE45">
        <v>81</v>
      </c>
      <c r="AF45">
        <v>5</v>
      </c>
      <c r="AH45" t="s">
        <v>4271</v>
      </c>
      <c r="AI45" t="s">
        <v>4270</v>
      </c>
      <c r="AK45" t="s">
        <v>4269</v>
      </c>
      <c r="AL45">
        <v>22</v>
      </c>
      <c r="AM45" s="4">
        <f t="shared" si="2"/>
        <v>0.53658536585365857</v>
      </c>
      <c r="AN45" s="21">
        <f t="shared" si="7"/>
        <v>8.1270028906271655E-4</v>
      </c>
      <c r="AO45" s="3"/>
      <c r="AP45">
        <v>0</v>
      </c>
      <c r="AR45" t="s">
        <v>1</v>
      </c>
      <c r="AS45" t="s">
        <v>4268</v>
      </c>
      <c r="AT45" s="2">
        <v>2.6539999999999999</v>
      </c>
      <c r="AU45" s="1">
        <f t="shared" si="3"/>
        <v>0.95681740919509228</v>
      </c>
      <c r="AV45" s="1">
        <f t="shared" si="4"/>
        <v>0.70666101482685784</v>
      </c>
      <c r="AW45" s="1">
        <f t="shared" si="5"/>
        <v>0.45650462045862339</v>
      </c>
    </row>
    <row r="46" spans="1:49" x14ac:dyDescent="0.2">
      <c r="A46">
        <v>44</v>
      </c>
      <c r="B46" t="s">
        <v>4267</v>
      </c>
      <c r="C46" t="s">
        <v>4266</v>
      </c>
      <c r="D46" t="s">
        <v>4265</v>
      </c>
      <c r="E46">
        <v>6780396</v>
      </c>
      <c r="F46" t="s">
        <v>4264</v>
      </c>
      <c r="G46" t="s">
        <v>16</v>
      </c>
      <c r="H46" t="s">
        <v>15</v>
      </c>
      <c r="I46" t="s">
        <v>4263</v>
      </c>
      <c r="J46" t="s">
        <v>4262</v>
      </c>
      <c r="K46" t="s">
        <v>4261</v>
      </c>
      <c r="L46" t="s">
        <v>4260</v>
      </c>
      <c r="M46" t="s">
        <v>277</v>
      </c>
      <c r="N46">
        <v>4</v>
      </c>
      <c r="O46" t="s">
        <v>4259</v>
      </c>
      <c r="P46" t="s">
        <v>4258</v>
      </c>
      <c r="Q46" t="s">
        <v>4257</v>
      </c>
      <c r="R46" s="6">
        <v>29601</v>
      </c>
      <c r="S46" s="7">
        <f t="shared" si="0"/>
        <v>1981</v>
      </c>
      <c r="T46" s="7">
        <v>1981</v>
      </c>
      <c r="U46" s="7">
        <f t="shared" si="1"/>
        <v>41</v>
      </c>
      <c r="V46" s="6">
        <v>29601</v>
      </c>
      <c r="W46" t="s">
        <v>79</v>
      </c>
      <c r="X46" s="2">
        <v>1.77</v>
      </c>
      <c r="Y46" s="5">
        <f t="shared" si="6"/>
        <v>4.7249139104668859E-2</v>
      </c>
      <c r="AA46">
        <v>121606</v>
      </c>
      <c r="AB46">
        <v>14536</v>
      </c>
      <c r="AD46" t="s">
        <v>5</v>
      </c>
      <c r="AE46">
        <v>81</v>
      </c>
      <c r="AF46">
        <v>1</v>
      </c>
      <c r="AH46" t="s">
        <v>4256</v>
      </c>
      <c r="AI46" t="s">
        <v>4255</v>
      </c>
      <c r="AK46" t="s">
        <v>4254</v>
      </c>
      <c r="AL46">
        <v>40</v>
      </c>
      <c r="AM46" s="4">
        <f t="shared" si="2"/>
        <v>0.97560975609756095</v>
      </c>
      <c r="AN46" s="21">
        <f t="shared" si="7"/>
        <v>1.4776368892049389E-3</v>
      </c>
      <c r="AO46" s="3"/>
      <c r="AP46">
        <v>0</v>
      </c>
      <c r="AQ46" t="s">
        <v>75</v>
      </c>
      <c r="AR46" t="s">
        <v>4253</v>
      </c>
      <c r="AS46" t="s">
        <v>74</v>
      </c>
      <c r="AT46" s="2">
        <v>3.5819999999999999</v>
      </c>
      <c r="AU46" s="1">
        <f t="shared" si="3"/>
        <v>3.3517688440029683</v>
      </c>
      <c r="AV46" s="1">
        <f t="shared" si="4"/>
        <v>2.4363387996936896</v>
      </c>
      <c r="AW46" s="1">
        <f t="shared" si="5"/>
        <v>1.5209087553844114</v>
      </c>
    </row>
    <row r="47" spans="1:49" x14ac:dyDescent="0.2">
      <c r="A47">
        <v>45</v>
      </c>
      <c r="B47" t="s">
        <v>4252</v>
      </c>
      <c r="C47" t="s">
        <v>4251</v>
      </c>
      <c r="D47">
        <v>22098181901453</v>
      </c>
      <c r="F47" t="s">
        <v>4250</v>
      </c>
      <c r="G47" t="s">
        <v>16</v>
      </c>
      <c r="H47" t="s">
        <v>15</v>
      </c>
      <c r="I47" t="s">
        <v>3522</v>
      </c>
      <c r="J47">
        <v>60014176</v>
      </c>
      <c r="K47" t="s">
        <v>3521</v>
      </c>
      <c r="L47" t="s">
        <v>3520</v>
      </c>
      <c r="M47" t="s">
        <v>39</v>
      </c>
      <c r="N47">
        <v>1</v>
      </c>
      <c r="O47" t="s">
        <v>3519</v>
      </c>
      <c r="P47">
        <v>55900158000</v>
      </c>
      <c r="Q47">
        <v>60014176</v>
      </c>
      <c r="R47" s="6">
        <v>29594</v>
      </c>
      <c r="S47" s="7">
        <f t="shared" si="0"/>
        <v>1981</v>
      </c>
      <c r="T47" s="7">
        <v>1981</v>
      </c>
      <c r="U47" s="7">
        <f t="shared" si="1"/>
        <v>41</v>
      </c>
      <c r="V47" s="6">
        <v>29594</v>
      </c>
      <c r="W47" t="s">
        <v>4249</v>
      </c>
      <c r="X47" s="2">
        <v>0.96499999999999997</v>
      </c>
      <c r="Y47" s="5">
        <f t="shared" si="6"/>
        <v>2.5760123862149969E-2</v>
      </c>
      <c r="AA47">
        <v>220981</v>
      </c>
      <c r="AB47">
        <v>29606</v>
      </c>
      <c r="AD47" t="s">
        <v>5</v>
      </c>
      <c r="AE47">
        <v>49</v>
      </c>
      <c r="AF47">
        <v>1</v>
      </c>
      <c r="AH47" s="9">
        <v>18264</v>
      </c>
      <c r="AI47" t="s">
        <v>4248</v>
      </c>
      <c r="AK47" t="s">
        <v>4247</v>
      </c>
      <c r="AL47">
        <v>94</v>
      </c>
      <c r="AM47" s="4">
        <f t="shared" si="2"/>
        <v>2.2926829268292681</v>
      </c>
      <c r="AN47" s="21">
        <f t="shared" si="7"/>
        <v>3.4724466896316063E-3</v>
      </c>
      <c r="AO47" s="3"/>
      <c r="AP47">
        <v>0</v>
      </c>
      <c r="AR47" t="s">
        <v>1</v>
      </c>
      <c r="AT47" s="2" t="s">
        <v>0</v>
      </c>
      <c r="AU47" s="1">
        <f t="shared" si="3"/>
        <v>1.9073820710394456</v>
      </c>
      <c r="AV47" s="1">
        <f t="shared" si="4"/>
        <v>1.4616285275890788</v>
      </c>
      <c r="AW47" s="1">
        <f t="shared" si="5"/>
        <v>1.0158749841387114</v>
      </c>
    </row>
    <row r="48" spans="1:49" x14ac:dyDescent="0.2">
      <c r="A48">
        <v>46</v>
      </c>
      <c r="B48" t="s">
        <v>4246</v>
      </c>
      <c r="F48" t="s">
        <v>4245</v>
      </c>
      <c r="G48" t="s">
        <v>16</v>
      </c>
      <c r="H48" t="s">
        <v>15</v>
      </c>
      <c r="I48" t="s">
        <v>4244</v>
      </c>
      <c r="N48">
        <v>3</v>
      </c>
      <c r="O48" t="s">
        <v>4243</v>
      </c>
      <c r="P48" t="s">
        <v>4242</v>
      </c>
      <c r="Q48" t="s">
        <v>116</v>
      </c>
      <c r="R48" s="6">
        <v>29587</v>
      </c>
      <c r="S48" s="7">
        <f t="shared" si="0"/>
        <v>1981</v>
      </c>
      <c r="T48" s="7">
        <v>1981</v>
      </c>
      <c r="U48" s="7">
        <f t="shared" si="1"/>
        <v>41</v>
      </c>
      <c r="V48" s="6" t="s">
        <v>3070</v>
      </c>
      <c r="W48" t="s">
        <v>4233</v>
      </c>
      <c r="X48" s="2" t="s">
        <v>0</v>
      </c>
      <c r="Y48" s="5" t="e">
        <f t="shared" si="6"/>
        <v>#VALUE!</v>
      </c>
      <c r="AB48">
        <v>31674</v>
      </c>
      <c r="AD48" t="s">
        <v>5</v>
      </c>
      <c r="AF48" t="s">
        <v>4241</v>
      </c>
      <c r="AI48" t="s">
        <v>4240</v>
      </c>
      <c r="AK48" t="s">
        <v>4239</v>
      </c>
      <c r="AL48">
        <v>0</v>
      </c>
      <c r="AM48" s="4">
        <f t="shared" si="2"/>
        <v>0</v>
      </c>
      <c r="AN48" s="21">
        <f t="shared" si="7"/>
        <v>0</v>
      </c>
      <c r="AO48" s="3"/>
      <c r="AP48">
        <v>0</v>
      </c>
      <c r="AR48" t="s">
        <v>1</v>
      </c>
      <c r="AT48" s="2" t="s">
        <v>0</v>
      </c>
      <c r="AU48" s="1" t="e">
        <f t="shared" si="3"/>
        <v>#VALUE!</v>
      </c>
      <c r="AV48" s="1" t="e">
        <f t="shared" si="4"/>
        <v>#VALUE!</v>
      </c>
      <c r="AW48" s="1" t="e">
        <f t="shared" si="5"/>
        <v>#VALUE!</v>
      </c>
    </row>
    <row r="49" spans="1:49" x14ac:dyDescent="0.2">
      <c r="A49">
        <v>47</v>
      </c>
      <c r="B49" t="s">
        <v>4238</v>
      </c>
      <c r="F49" t="s">
        <v>4237</v>
      </c>
      <c r="G49" t="s">
        <v>16</v>
      </c>
      <c r="H49" t="s">
        <v>15</v>
      </c>
      <c r="I49" t="s">
        <v>4236</v>
      </c>
      <c r="N49">
        <v>2</v>
      </c>
      <c r="O49" t="s">
        <v>4235</v>
      </c>
      <c r="P49" t="s">
        <v>4234</v>
      </c>
      <c r="Q49" t="s">
        <v>351</v>
      </c>
      <c r="R49" s="6">
        <v>29587</v>
      </c>
      <c r="S49" s="7">
        <f t="shared" si="0"/>
        <v>1981</v>
      </c>
      <c r="T49" s="7">
        <v>1981</v>
      </c>
      <c r="U49" s="7">
        <f t="shared" si="1"/>
        <v>41</v>
      </c>
      <c r="V49" s="6" t="s">
        <v>1596</v>
      </c>
      <c r="W49" t="s">
        <v>4233</v>
      </c>
      <c r="X49" s="2" t="s">
        <v>0</v>
      </c>
      <c r="Y49" s="5" t="e">
        <f t="shared" si="6"/>
        <v>#VALUE!</v>
      </c>
      <c r="AB49">
        <v>31674</v>
      </c>
      <c r="AD49" t="s">
        <v>5</v>
      </c>
      <c r="AF49" t="s">
        <v>4232</v>
      </c>
      <c r="AI49" t="s">
        <v>4231</v>
      </c>
      <c r="AK49" t="s">
        <v>4230</v>
      </c>
      <c r="AL49">
        <v>0</v>
      </c>
      <c r="AM49" s="4">
        <f t="shared" si="2"/>
        <v>0</v>
      </c>
      <c r="AN49" s="21">
        <f t="shared" si="7"/>
        <v>0</v>
      </c>
      <c r="AO49" s="3"/>
      <c r="AP49">
        <v>0</v>
      </c>
      <c r="AR49" t="s">
        <v>1</v>
      </c>
      <c r="AT49" s="2" t="s">
        <v>0</v>
      </c>
      <c r="AU49" s="1" t="e">
        <f t="shared" si="3"/>
        <v>#VALUE!</v>
      </c>
      <c r="AV49" s="1" t="e">
        <f t="shared" si="4"/>
        <v>#VALUE!</v>
      </c>
      <c r="AW49" s="1" t="e">
        <f t="shared" si="5"/>
        <v>#VALUE!</v>
      </c>
    </row>
    <row r="50" spans="1:49" x14ac:dyDescent="0.2">
      <c r="A50">
        <v>48</v>
      </c>
      <c r="B50" t="s">
        <v>4229</v>
      </c>
      <c r="C50" t="s">
        <v>4228</v>
      </c>
      <c r="F50" t="s">
        <v>4227</v>
      </c>
      <c r="G50" t="s">
        <v>16</v>
      </c>
      <c r="H50" t="s">
        <v>15</v>
      </c>
      <c r="I50" t="s">
        <v>4226</v>
      </c>
      <c r="J50" t="s">
        <v>4225</v>
      </c>
      <c r="K50" t="s">
        <v>4224</v>
      </c>
      <c r="L50" t="s">
        <v>4223</v>
      </c>
      <c r="M50" t="s">
        <v>1703</v>
      </c>
      <c r="N50">
        <v>4</v>
      </c>
      <c r="O50" t="s">
        <v>4222</v>
      </c>
      <c r="P50" t="s">
        <v>4221</v>
      </c>
      <c r="Q50" t="s">
        <v>4220</v>
      </c>
      <c r="R50" s="6">
        <v>29587</v>
      </c>
      <c r="S50" s="7">
        <f t="shared" si="0"/>
        <v>1981</v>
      </c>
      <c r="T50" s="7">
        <v>1981</v>
      </c>
      <c r="U50" s="7">
        <f t="shared" si="1"/>
        <v>41</v>
      </c>
      <c r="V50" s="6">
        <v>1981</v>
      </c>
      <c r="W50" t="s">
        <v>4219</v>
      </c>
      <c r="X50" s="2">
        <v>0.36299999999999999</v>
      </c>
      <c r="Y50" s="5">
        <f t="shared" si="6"/>
        <v>9.6900776807880198E-3</v>
      </c>
      <c r="AA50">
        <v>214914</v>
      </c>
      <c r="AB50">
        <v>21042</v>
      </c>
      <c r="AC50">
        <v>13476068</v>
      </c>
      <c r="AD50" t="s">
        <v>5</v>
      </c>
      <c r="AE50">
        <v>25</v>
      </c>
      <c r="AF50">
        <v>1</v>
      </c>
      <c r="AH50" t="s">
        <v>4218</v>
      </c>
      <c r="AI50" t="s">
        <v>4217</v>
      </c>
      <c r="AK50" t="s">
        <v>4216</v>
      </c>
      <c r="AL50">
        <v>15</v>
      </c>
      <c r="AM50" s="4">
        <f t="shared" si="2"/>
        <v>0.36585365853658536</v>
      </c>
      <c r="AN50" s="21">
        <f t="shared" si="7"/>
        <v>5.5411383345185209E-4</v>
      </c>
      <c r="AO50" s="3"/>
      <c r="AP50">
        <v>1</v>
      </c>
      <c r="AR50" t="s">
        <v>1</v>
      </c>
      <c r="AT50" s="2" t="s">
        <v>0</v>
      </c>
      <c r="AU50" s="1">
        <f t="shared" si="3"/>
        <v>0.69492885265871696</v>
      </c>
      <c r="AV50" s="1">
        <f t="shared" si="4"/>
        <v>0.51220957571199366</v>
      </c>
      <c r="AW50" s="1">
        <f t="shared" si="5"/>
        <v>0.32949029876527025</v>
      </c>
    </row>
    <row r="51" spans="1:49" x14ac:dyDescent="0.2">
      <c r="A51">
        <v>49</v>
      </c>
      <c r="B51" t="s">
        <v>4215</v>
      </c>
      <c r="C51" t="s">
        <v>4214</v>
      </c>
      <c r="F51" t="s">
        <v>4213</v>
      </c>
      <c r="G51" t="s">
        <v>16</v>
      </c>
      <c r="H51" t="s">
        <v>15</v>
      </c>
      <c r="I51" t="s">
        <v>4212</v>
      </c>
      <c r="J51">
        <v>60030788</v>
      </c>
      <c r="K51" t="s">
        <v>4211</v>
      </c>
      <c r="L51" t="s">
        <v>4210</v>
      </c>
      <c r="M51" t="s">
        <v>312</v>
      </c>
      <c r="N51">
        <v>1</v>
      </c>
      <c r="O51" t="s">
        <v>4209</v>
      </c>
      <c r="P51">
        <v>57192329994</v>
      </c>
      <c r="Q51">
        <v>60030788</v>
      </c>
      <c r="R51" s="6">
        <v>29587</v>
      </c>
      <c r="S51" s="7">
        <f t="shared" si="0"/>
        <v>1981</v>
      </c>
      <c r="T51" s="7">
        <v>1981</v>
      </c>
      <c r="U51" s="7">
        <f t="shared" si="1"/>
        <v>41</v>
      </c>
      <c r="V51" s="6">
        <v>1981</v>
      </c>
      <c r="W51" t="s">
        <v>4208</v>
      </c>
      <c r="X51" s="2" t="s">
        <v>0</v>
      </c>
      <c r="Y51" s="5" t="e">
        <f t="shared" si="6"/>
        <v>#VALUE!</v>
      </c>
      <c r="AA51">
        <v>215392</v>
      </c>
      <c r="AB51">
        <v>17714</v>
      </c>
      <c r="AC51" t="s">
        <v>4207</v>
      </c>
      <c r="AD51" t="s">
        <v>5</v>
      </c>
      <c r="AE51">
        <v>47</v>
      </c>
      <c r="AF51">
        <v>6</v>
      </c>
      <c r="AH51" t="s">
        <v>4206</v>
      </c>
      <c r="AI51" t="s">
        <v>4205</v>
      </c>
      <c r="AK51" t="s">
        <v>4204</v>
      </c>
      <c r="AL51">
        <v>4</v>
      </c>
      <c r="AM51" s="4">
        <f t="shared" si="2"/>
        <v>9.7560975609756101E-2</v>
      </c>
      <c r="AN51" s="21">
        <f t="shared" si="7"/>
        <v>1.477636889204939E-4</v>
      </c>
      <c r="AO51" s="3"/>
      <c r="AP51">
        <v>1</v>
      </c>
      <c r="AR51" t="s">
        <v>1</v>
      </c>
      <c r="AT51" s="2">
        <v>0.26700000000000002</v>
      </c>
      <c r="AU51" s="1" t="e">
        <f t="shared" si="3"/>
        <v>#VALUE!</v>
      </c>
      <c r="AV51" s="1" t="e">
        <f t="shared" si="4"/>
        <v>#VALUE!</v>
      </c>
      <c r="AW51" s="1" t="e">
        <f t="shared" si="5"/>
        <v>#VALUE!</v>
      </c>
    </row>
    <row r="52" spans="1:49" x14ac:dyDescent="0.2">
      <c r="A52">
        <v>50</v>
      </c>
      <c r="B52" t="s">
        <v>4203</v>
      </c>
      <c r="C52" t="s">
        <v>4202</v>
      </c>
      <c r="F52" t="s">
        <v>4201</v>
      </c>
      <c r="G52" t="s">
        <v>16</v>
      </c>
      <c r="H52" t="s">
        <v>15</v>
      </c>
      <c r="I52" t="s">
        <v>4200</v>
      </c>
      <c r="J52" t="s">
        <v>4199</v>
      </c>
      <c r="K52" t="s">
        <v>4198</v>
      </c>
      <c r="L52" t="s">
        <v>4197</v>
      </c>
      <c r="M52" t="s">
        <v>1703</v>
      </c>
      <c r="N52">
        <v>3</v>
      </c>
      <c r="O52" t="s">
        <v>4196</v>
      </c>
      <c r="P52" t="s">
        <v>4195</v>
      </c>
      <c r="Q52" t="s">
        <v>4194</v>
      </c>
      <c r="R52" s="6">
        <v>29587</v>
      </c>
      <c r="S52" s="7">
        <f t="shared" si="0"/>
        <v>1981</v>
      </c>
      <c r="T52" s="7">
        <v>1981</v>
      </c>
      <c r="U52" s="7">
        <f t="shared" si="1"/>
        <v>41</v>
      </c>
      <c r="V52" s="6">
        <v>1981</v>
      </c>
      <c r="W52" t="s">
        <v>3453</v>
      </c>
      <c r="X52" s="2" t="s">
        <v>0</v>
      </c>
      <c r="Y52" s="5" t="e">
        <f t="shared" si="6"/>
        <v>#VALUE!</v>
      </c>
      <c r="AA52">
        <v>221392</v>
      </c>
      <c r="AB52">
        <v>34890</v>
      </c>
      <c r="AD52" t="s">
        <v>5</v>
      </c>
      <c r="AE52">
        <v>33</v>
      </c>
      <c r="AF52">
        <v>1</v>
      </c>
      <c r="AH52" t="s">
        <v>4193</v>
      </c>
      <c r="AI52" t="s">
        <v>4192</v>
      </c>
      <c r="AK52" t="s">
        <v>4191</v>
      </c>
      <c r="AL52">
        <v>36</v>
      </c>
      <c r="AM52" s="4">
        <f t="shared" si="2"/>
        <v>0.87804878048780488</v>
      </c>
      <c r="AN52" s="21">
        <f t="shared" si="7"/>
        <v>1.3298732002844451E-3</v>
      </c>
      <c r="AO52" s="3"/>
      <c r="AP52">
        <v>1</v>
      </c>
      <c r="AR52" t="s">
        <v>1</v>
      </c>
      <c r="AT52" s="2" t="s">
        <v>0</v>
      </c>
      <c r="AU52" s="1" t="e">
        <f t="shared" si="3"/>
        <v>#VALUE!</v>
      </c>
      <c r="AV52" s="1" t="e">
        <f t="shared" si="4"/>
        <v>#VALUE!</v>
      </c>
      <c r="AW52" s="1" t="e">
        <f t="shared" si="5"/>
        <v>#VALUE!</v>
      </c>
    </row>
    <row r="53" spans="1:49" x14ac:dyDescent="0.2">
      <c r="A53">
        <v>51</v>
      </c>
      <c r="B53" t="s">
        <v>4190</v>
      </c>
      <c r="C53" t="s">
        <v>4189</v>
      </c>
      <c r="F53" t="s">
        <v>4188</v>
      </c>
      <c r="G53" t="s">
        <v>16</v>
      </c>
      <c r="H53" t="s">
        <v>15</v>
      </c>
      <c r="I53" t="s">
        <v>4187</v>
      </c>
      <c r="J53">
        <v>100584132</v>
      </c>
      <c r="K53" t="s">
        <v>4186</v>
      </c>
      <c r="L53" t="s">
        <v>4185</v>
      </c>
      <c r="M53" t="s">
        <v>312</v>
      </c>
      <c r="N53">
        <v>1</v>
      </c>
      <c r="O53" t="s">
        <v>4184</v>
      </c>
      <c r="P53">
        <v>7401570710</v>
      </c>
      <c r="Q53">
        <v>100584132</v>
      </c>
      <c r="R53" s="6">
        <v>29587</v>
      </c>
      <c r="S53" s="7">
        <f t="shared" si="0"/>
        <v>1981</v>
      </c>
      <c r="T53" s="7">
        <v>1981</v>
      </c>
      <c r="U53" s="7">
        <f t="shared" si="1"/>
        <v>41</v>
      </c>
      <c r="V53" s="6">
        <v>1981</v>
      </c>
      <c r="W53" t="s">
        <v>4183</v>
      </c>
      <c r="X53" s="2">
        <v>0.46300000000000002</v>
      </c>
      <c r="Y53" s="5">
        <f t="shared" si="6"/>
        <v>1.2359520568057447E-2</v>
      </c>
      <c r="AA53">
        <v>36862</v>
      </c>
      <c r="AB53">
        <v>19141</v>
      </c>
      <c r="AC53" t="s">
        <v>4182</v>
      </c>
      <c r="AD53" t="s">
        <v>5</v>
      </c>
      <c r="AE53">
        <v>16</v>
      </c>
      <c r="AF53">
        <v>4</v>
      </c>
      <c r="AH53" t="s">
        <v>4181</v>
      </c>
      <c r="AI53" t="s">
        <v>4180</v>
      </c>
      <c r="AK53" t="s">
        <v>4179</v>
      </c>
      <c r="AL53">
        <v>4</v>
      </c>
      <c r="AM53" s="4">
        <f t="shared" si="2"/>
        <v>9.7560975609756101E-2</v>
      </c>
      <c r="AN53" s="21">
        <f t="shared" si="7"/>
        <v>1.477636889204939E-4</v>
      </c>
      <c r="AO53" s="3"/>
      <c r="AP53">
        <v>1</v>
      </c>
      <c r="AR53" t="s">
        <v>1</v>
      </c>
      <c r="AT53" s="2">
        <v>1.403</v>
      </c>
      <c r="AU53" s="1">
        <f t="shared" si="3"/>
        <v>0.86959935043163605</v>
      </c>
      <c r="AV53" s="1">
        <f t="shared" si="4"/>
        <v>0.62536421284889709</v>
      </c>
      <c r="AW53" s="1">
        <f t="shared" si="5"/>
        <v>0.38112907526615797</v>
      </c>
    </row>
    <row r="54" spans="1:49" x14ac:dyDescent="0.2">
      <c r="A54">
        <v>52</v>
      </c>
      <c r="B54" t="s">
        <v>4178</v>
      </c>
      <c r="C54" t="s">
        <v>4177</v>
      </c>
      <c r="F54" t="s">
        <v>4176</v>
      </c>
      <c r="G54" t="s">
        <v>16</v>
      </c>
      <c r="H54" t="s">
        <v>15</v>
      </c>
      <c r="I54" t="s">
        <v>4175</v>
      </c>
      <c r="J54">
        <v>60011001</v>
      </c>
      <c r="K54" t="s">
        <v>1187</v>
      </c>
      <c r="L54" t="s">
        <v>1186</v>
      </c>
      <c r="M54" t="s">
        <v>312</v>
      </c>
      <c r="N54">
        <v>2</v>
      </c>
      <c r="O54" t="s">
        <v>4174</v>
      </c>
      <c r="P54" t="s">
        <v>4173</v>
      </c>
      <c r="Q54" t="s">
        <v>4172</v>
      </c>
      <c r="R54" s="6">
        <v>29587</v>
      </c>
      <c r="S54" s="7">
        <f t="shared" si="0"/>
        <v>1981</v>
      </c>
      <c r="T54" s="7">
        <v>1981</v>
      </c>
      <c r="U54" s="7">
        <f t="shared" si="1"/>
        <v>41</v>
      </c>
      <c r="V54" s="6">
        <v>1981</v>
      </c>
      <c r="W54" t="s">
        <v>3453</v>
      </c>
      <c r="X54" s="2" t="s">
        <v>0</v>
      </c>
      <c r="Y54" s="5" t="e">
        <f t="shared" si="6"/>
        <v>#VALUE!</v>
      </c>
      <c r="AA54">
        <v>221392</v>
      </c>
      <c r="AB54">
        <v>34890</v>
      </c>
      <c r="AD54" t="s">
        <v>5</v>
      </c>
      <c r="AE54">
        <v>33</v>
      </c>
      <c r="AF54">
        <v>1</v>
      </c>
      <c r="AH54" t="s">
        <v>4171</v>
      </c>
      <c r="AI54" t="s">
        <v>4170</v>
      </c>
      <c r="AK54" t="s">
        <v>4169</v>
      </c>
      <c r="AL54">
        <v>4</v>
      </c>
      <c r="AM54" s="4">
        <f t="shared" si="2"/>
        <v>9.7560975609756101E-2</v>
      </c>
      <c r="AN54" s="21">
        <f t="shared" si="7"/>
        <v>1.477636889204939E-4</v>
      </c>
      <c r="AO54" s="3"/>
      <c r="AP54">
        <v>1</v>
      </c>
      <c r="AR54" t="s">
        <v>1</v>
      </c>
      <c r="AT54" s="2" t="s">
        <v>0</v>
      </c>
      <c r="AU54" s="1" t="e">
        <f t="shared" si="3"/>
        <v>#VALUE!</v>
      </c>
      <c r="AV54" s="1" t="e">
        <f t="shared" si="4"/>
        <v>#VALUE!</v>
      </c>
      <c r="AW54" s="1" t="e">
        <f t="shared" si="5"/>
        <v>#VALUE!</v>
      </c>
    </row>
    <row r="55" spans="1:49" x14ac:dyDescent="0.2">
      <c r="A55">
        <v>53</v>
      </c>
      <c r="B55" t="s">
        <v>4168</v>
      </c>
      <c r="C55" t="s">
        <v>4167</v>
      </c>
      <c r="F55" t="s">
        <v>4166</v>
      </c>
      <c r="G55" t="s">
        <v>16</v>
      </c>
      <c r="H55" t="s">
        <v>15</v>
      </c>
      <c r="I55" t="s">
        <v>252</v>
      </c>
      <c r="J55" t="s">
        <v>4165</v>
      </c>
      <c r="K55" t="s">
        <v>4164</v>
      </c>
      <c r="L55" t="s">
        <v>4163</v>
      </c>
      <c r="M55" t="s">
        <v>277</v>
      </c>
      <c r="N55">
        <v>2</v>
      </c>
      <c r="O55" t="s">
        <v>249</v>
      </c>
      <c r="P55" t="s">
        <v>248</v>
      </c>
      <c r="Q55" t="s">
        <v>4162</v>
      </c>
      <c r="R55" s="6">
        <v>29587</v>
      </c>
      <c r="S55" s="7">
        <f t="shared" si="0"/>
        <v>1981</v>
      </c>
      <c r="T55" s="7">
        <v>1981</v>
      </c>
      <c r="U55" s="7">
        <f t="shared" si="1"/>
        <v>41</v>
      </c>
      <c r="V55" s="6">
        <v>29738</v>
      </c>
      <c r="W55" t="s">
        <v>3321</v>
      </c>
      <c r="X55" s="2">
        <v>0.65200000000000002</v>
      </c>
      <c r="Y55" s="5">
        <f t="shared" si="6"/>
        <v>1.7404767624996664E-2</v>
      </c>
      <c r="AA55">
        <v>3622525</v>
      </c>
      <c r="AB55">
        <v>29629</v>
      </c>
      <c r="AC55">
        <v>10974687</v>
      </c>
      <c r="AD55" t="s">
        <v>5</v>
      </c>
      <c r="AE55">
        <v>168</v>
      </c>
      <c r="AF55">
        <v>3</v>
      </c>
      <c r="AH55" t="s">
        <v>4161</v>
      </c>
      <c r="AI55" t="s">
        <v>4160</v>
      </c>
      <c r="AK55" t="s">
        <v>4159</v>
      </c>
      <c r="AL55">
        <v>22</v>
      </c>
      <c r="AM55" s="4">
        <f t="shared" si="2"/>
        <v>0.53658536585365857</v>
      </c>
      <c r="AN55" s="21">
        <f t="shared" si="7"/>
        <v>8.1270028906271655E-4</v>
      </c>
      <c r="AO55" s="3"/>
      <c r="AP55">
        <v>0</v>
      </c>
      <c r="AR55" t="s">
        <v>1</v>
      </c>
      <c r="AT55" s="2">
        <v>1.804</v>
      </c>
      <c r="AU55" s="1">
        <f t="shared" si="3"/>
        <v>1.2427147424216478</v>
      </c>
      <c r="AV55" s="1">
        <f t="shared" si="4"/>
        <v>0.9108733957029691</v>
      </c>
      <c r="AW55" s="1">
        <f t="shared" si="5"/>
        <v>0.57903204898429006</v>
      </c>
    </row>
    <row r="56" spans="1:49" x14ac:dyDescent="0.2">
      <c r="A56">
        <v>54</v>
      </c>
      <c r="B56" t="s">
        <v>4158</v>
      </c>
      <c r="C56" t="s">
        <v>4157</v>
      </c>
      <c r="F56" t="s">
        <v>4156</v>
      </c>
      <c r="G56" t="s">
        <v>16</v>
      </c>
      <c r="H56" t="s">
        <v>15</v>
      </c>
      <c r="I56" t="s">
        <v>4155</v>
      </c>
      <c r="J56" t="s">
        <v>4154</v>
      </c>
      <c r="K56" t="s">
        <v>4153</v>
      </c>
      <c r="L56" t="s">
        <v>4152</v>
      </c>
      <c r="M56" t="s">
        <v>277</v>
      </c>
      <c r="N56">
        <v>2</v>
      </c>
      <c r="O56" t="s">
        <v>4151</v>
      </c>
      <c r="P56" t="s">
        <v>4150</v>
      </c>
      <c r="Q56" t="s">
        <v>4149</v>
      </c>
      <c r="R56" s="6">
        <v>29587</v>
      </c>
      <c r="S56" s="7">
        <f t="shared" si="0"/>
        <v>1981</v>
      </c>
      <c r="T56" s="7">
        <v>1981</v>
      </c>
      <c r="U56" s="7">
        <f t="shared" si="1"/>
        <v>41</v>
      </c>
      <c r="V56" s="6">
        <v>29707</v>
      </c>
      <c r="W56" t="s">
        <v>1947</v>
      </c>
      <c r="X56" s="2" t="s">
        <v>0</v>
      </c>
      <c r="Y56" s="5" t="e">
        <f t="shared" si="6"/>
        <v>#VALUE!</v>
      </c>
      <c r="AA56" t="s">
        <v>1946</v>
      </c>
      <c r="AB56">
        <v>35950</v>
      </c>
      <c r="AC56" t="s">
        <v>1945</v>
      </c>
      <c r="AD56" t="s">
        <v>5</v>
      </c>
      <c r="AE56">
        <v>216</v>
      </c>
      <c r="AF56">
        <v>2</v>
      </c>
      <c r="AH56" t="s">
        <v>4148</v>
      </c>
      <c r="AI56" t="s">
        <v>4147</v>
      </c>
      <c r="AK56" t="s">
        <v>4146</v>
      </c>
      <c r="AL56">
        <v>6</v>
      </c>
      <c r="AM56" s="4">
        <f t="shared" si="2"/>
        <v>0.14634146341463414</v>
      </c>
      <c r="AN56" s="21">
        <f t="shared" si="7"/>
        <v>2.2164553338074083E-4</v>
      </c>
      <c r="AO56" s="3"/>
      <c r="AP56">
        <v>0</v>
      </c>
      <c r="AR56" t="s">
        <v>1</v>
      </c>
      <c r="AT56" s="2" t="s">
        <v>0</v>
      </c>
      <c r="AU56" s="1" t="e">
        <f t="shared" si="3"/>
        <v>#VALUE!</v>
      </c>
      <c r="AV56" s="1" t="e">
        <f t="shared" si="4"/>
        <v>#VALUE!</v>
      </c>
      <c r="AW56" s="1" t="e">
        <f t="shared" si="5"/>
        <v>#VALUE!</v>
      </c>
    </row>
    <row r="57" spans="1:49" x14ac:dyDescent="0.2">
      <c r="A57">
        <v>55</v>
      </c>
      <c r="B57" t="s">
        <v>4145</v>
      </c>
      <c r="C57" t="s">
        <v>4144</v>
      </c>
      <c r="F57" t="s">
        <v>4143</v>
      </c>
      <c r="G57" t="s">
        <v>16</v>
      </c>
      <c r="H57" t="s">
        <v>15</v>
      </c>
      <c r="I57" t="s">
        <v>4142</v>
      </c>
      <c r="J57" t="s">
        <v>4141</v>
      </c>
      <c r="K57" t="s">
        <v>4140</v>
      </c>
      <c r="L57" t="s">
        <v>4139</v>
      </c>
      <c r="M57" t="s">
        <v>1703</v>
      </c>
      <c r="N57">
        <v>4</v>
      </c>
      <c r="O57" t="s">
        <v>4138</v>
      </c>
      <c r="P57" t="s">
        <v>4137</v>
      </c>
      <c r="Q57" t="s">
        <v>4136</v>
      </c>
      <c r="R57" s="6">
        <v>29587</v>
      </c>
      <c r="S57" s="7">
        <f t="shared" si="0"/>
        <v>1981</v>
      </c>
      <c r="T57" s="7">
        <v>1981</v>
      </c>
      <c r="U57" s="7">
        <f t="shared" si="1"/>
        <v>41</v>
      </c>
      <c r="V57" s="6">
        <v>29587</v>
      </c>
      <c r="W57" t="s">
        <v>4135</v>
      </c>
      <c r="X57" s="2">
        <v>0.246</v>
      </c>
      <c r="Y57" s="5">
        <f t="shared" si="6"/>
        <v>6.5668295026827901E-3</v>
      </c>
      <c r="AA57">
        <v>3854213</v>
      </c>
      <c r="AB57">
        <v>3300147407</v>
      </c>
      <c r="AC57">
        <v>13488147</v>
      </c>
      <c r="AD57" t="s">
        <v>5</v>
      </c>
      <c r="AE57">
        <v>101</v>
      </c>
      <c r="AF57">
        <v>7</v>
      </c>
      <c r="AH57" t="s">
        <v>4134</v>
      </c>
      <c r="AL57">
        <v>1</v>
      </c>
      <c r="AM57" s="4">
        <f t="shared" si="2"/>
        <v>2.4390243902439025E-2</v>
      </c>
      <c r="AN57" s="21">
        <f t="shared" si="7"/>
        <v>3.6940922230123474E-5</v>
      </c>
      <c r="AO57" s="3"/>
      <c r="AP57">
        <v>1</v>
      </c>
      <c r="AR57" t="s">
        <v>1</v>
      </c>
      <c r="AT57" s="2" t="s">
        <v>0</v>
      </c>
      <c r="AU57" s="1">
        <f t="shared" si="3"/>
        <v>0.46078629285469902</v>
      </c>
      <c r="AV57" s="1">
        <f t="shared" si="4"/>
        <v>0.33018852124564568</v>
      </c>
      <c r="AW57" s="1">
        <f t="shared" si="5"/>
        <v>0.19959074963659235</v>
      </c>
    </row>
    <row r="58" spans="1:49" x14ac:dyDescent="0.2">
      <c r="A58">
        <v>56</v>
      </c>
      <c r="B58" t="s">
        <v>4133</v>
      </c>
      <c r="C58" t="s">
        <v>4132</v>
      </c>
      <c r="F58" t="s">
        <v>4131</v>
      </c>
      <c r="G58" t="s">
        <v>16</v>
      </c>
      <c r="H58" t="s">
        <v>15</v>
      </c>
      <c r="I58" t="s">
        <v>4130</v>
      </c>
      <c r="J58" t="s">
        <v>4129</v>
      </c>
      <c r="K58" t="s">
        <v>4128</v>
      </c>
      <c r="L58" t="s">
        <v>4127</v>
      </c>
      <c r="M58" t="s">
        <v>1703</v>
      </c>
      <c r="N58">
        <v>5</v>
      </c>
      <c r="O58" t="s">
        <v>4126</v>
      </c>
      <c r="P58" t="s">
        <v>4125</v>
      </c>
      <c r="Q58" t="s">
        <v>4124</v>
      </c>
      <c r="R58" s="6">
        <v>29587</v>
      </c>
      <c r="S58" s="7">
        <f t="shared" si="0"/>
        <v>1981</v>
      </c>
      <c r="T58" s="7">
        <v>1981</v>
      </c>
      <c r="U58" s="7">
        <f t="shared" si="1"/>
        <v>41</v>
      </c>
      <c r="V58" s="6">
        <v>29860</v>
      </c>
      <c r="W58" t="s">
        <v>4098</v>
      </c>
      <c r="X58" s="2">
        <v>0.81799999999999995</v>
      </c>
      <c r="Y58" s="5">
        <f t="shared" si="6"/>
        <v>2.1836042817863912E-2</v>
      </c>
      <c r="AA58">
        <v>318655</v>
      </c>
      <c r="AB58">
        <v>27010</v>
      </c>
      <c r="AC58">
        <v>17511097</v>
      </c>
      <c r="AD58" t="s">
        <v>5</v>
      </c>
      <c r="AE58">
        <v>34</v>
      </c>
      <c r="AF58">
        <v>4</v>
      </c>
      <c r="AH58" t="s">
        <v>4123</v>
      </c>
      <c r="AI58" t="s">
        <v>4122</v>
      </c>
      <c r="AK58" t="s">
        <v>4121</v>
      </c>
      <c r="AL58">
        <v>10</v>
      </c>
      <c r="AM58" s="4">
        <f t="shared" si="2"/>
        <v>0.24390243902439024</v>
      </c>
      <c r="AN58" s="21">
        <f t="shared" si="7"/>
        <v>3.6940922230123473E-4</v>
      </c>
      <c r="AO58" s="3"/>
      <c r="AP58">
        <v>0</v>
      </c>
      <c r="AR58" t="s">
        <v>1</v>
      </c>
      <c r="AT58" s="2">
        <v>3.4209999999999998</v>
      </c>
      <c r="AU58" s="1">
        <f t="shared" si="3"/>
        <v>1.5396052739195107</v>
      </c>
      <c r="AV58" s="1">
        <f t="shared" si="4"/>
        <v>1.1102726020082574</v>
      </c>
      <c r="AW58" s="1">
        <f t="shared" si="5"/>
        <v>0.68093993009700382</v>
      </c>
    </row>
    <row r="59" spans="1:49" x14ac:dyDescent="0.2">
      <c r="A59">
        <v>57</v>
      </c>
      <c r="B59" t="s">
        <v>4120</v>
      </c>
      <c r="C59" t="s">
        <v>4119</v>
      </c>
      <c r="F59" t="s">
        <v>4118</v>
      </c>
      <c r="G59" t="s">
        <v>16</v>
      </c>
      <c r="H59" t="s">
        <v>15</v>
      </c>
      <c r="I59" t="s">
        <v>4117</v>
      </c>
      <c r="J59" t="s">
        <v>4116</v>
      </c>
      <c r="K59" t="s">
        <v>4115</v>
      </c>
      <c r="L59" t="s">
        <v>4114</v>
      </c>
      <c r="M59" t="s">
        <v>277</v>
      </c>
      <c r="N59">
        <v>4</v>
      </c>
      <c r="O59" t="s">
        <v>4113</v>
      </c>
      <c r="P59" t="s">
        <v>4112</v>
      </c>
      <c r="Q59" t="s">
        <v>4111</v>
      </c>
      <c r="R59" s="6">
        <v>29587</v>
      </c>
      <c r="S59" s="7">
        <f t="shared" si="0"/>
        <v>1981</v>
      </c>
      <c r="T59" s="7">
        <v>1981</v>
      </c>
      <c r="U59" s="7">
        <f t="shared" si="1"/>
        <v>41</v>
      </c>
      <c r="V59" s="6">
        <v>29891</v>
      </c>
      <c r="W59" t="s">
        <v>4098</v>
      </c>
      <c r="X59" s="2">
        <v>0.81799999999999995</v>
      </c>
      <c r="Y59" s="5">
        <f t="shared" si="6"/>
        <v>2.1836042817863912E-2</v>
      </c>
      <c r="AA59">
        <v>318655</v>
      </c>
      <c r="AB59">
        <v>27010</v>
      </c>
      <c r="AC59">
        <v>17511097</v>
      </c>
      <c r="AD59" t="s">
        <v>5</v>
      </c>
      <c r="AE59">
        <v>34</v>
      </c>
      <c r="AF59">
        <v>5</v>
      </c>
      <c r="AH59" t="s">
        <v>4110</v>
      </c>
      <c r="AI59" t="s">
        <v>4109</v>
      </c>
      <c r="AK59" t="s">
        <v>4108</v>
      </c>
      <c r="AL59">
        <v>43</v>
      </c>
      <c r="AM59" s="4">
        <f t="shared" si="2"/>
        <v>1.0487804878048781</v>
      </c>
      <c r="AN59" s="21">
        <f t="shared" si="7"/>
        <v>1.5884596558953094E-3</v>
      </c>
      <c r="AO59" s="3"/>
      <c r="AP59">
        <v>0</v>
      </c>
      <c r="AR59" t="s">
        <v>1</v>
      </c>
      <c r="AT59" s="2">
        <v>3.4209999999999998</v>
      </c>
      <c r="AU59" s="1">
        <f t="shared" si="3"/>
        <v>1.5761767869273329</v>
      </c>
      <c r="AV59" s="1">
        <f t="shared" si="4"/>
        <v>1.1712251236879612</v>
      </c>
      <c r="AW59" s="1">
        <f t="shared" si="5"/>
        <v>0.76627346044858902</v>
      </c>
    </row>
    <row r="60" spans="1:49" x14ac:dyDescent="0.2">
      <c r="A60">
        <v>58</v>
      </c>
      <c r="B60" t="s">
        <v>4107</v>
      </c>
      <c r="C60" t="s">
        <v>4106</v>
      </c>
      <c r="F60" t="s">
        <v>4105</v>
      </c>
      <c r="G60" t="s">
        <v>16</v>
      </c>
      <c r="H60" t="s">
        <v>15</v>
      </c>
      <c r="I60" t="s">
        <v>4104</v>
      </c>
      <c r="J60">
        <v>60009731</v>
      </c>
      <c r="K60" t="s">
        <v>4103</v>
      </c>
      <c r="L60" t="s">
        <v>4102</v>
      </c>
      <c r="M60" t="s">
        <v>92</v>
      </c>
      <c r="N60">
        <v>2</v>
      </c>
      <c r="O60" t="s">
        <v>4101</v>
      </c>
      <c r="P60" t="s">
        <v>4100</v>
      </c>
      <c r="Q60" t="s">
        <v>4099</v>
      </c>
      <c r="R60" s="6">
        <v>29587</v>
      </c>
      <c r="S60" s="7">
        <f t="shared" si="0"/>
        <v>1981</v>
      </c>
      <c r="T60" s="7">
        <v>1981</v>
      </c>
      <c r="U60" s="7">
        <f t="shared" si="1"/>
        <v>41</v>
      </c>
      <c r="V60" s="6">
        <v>29799</v>
      </c>
      <c r="W60" t="s">
        <v>4098</v>
      </c>
      <c r="X60" s="2">
        <v>0.81799999999999995</v>
      </c>
      <c r="Y60" s="5">
        <f t="shared" si="6"/>
        <v>2.1836042817863912E-2</v>
      </c>
      <c r="AA60">
        <v>318655</v>
      </c>
      <c r="AB60">
        <v>27010</v>
      </c>
      <c r="AC60">
        <v>17511097</v>
      </c>
      <c r="AD60" t="s">
        <v>5</v>
      </c>
      <c r="AE60">
        <v>34</v>
      </c>
      <c r="AF60">
        <v>2</v>
      </c>
      <c r="AH60" t="s">
        <v>4097</v>
      </c>
      <c r="AI60" t="s">
        <v>4096</v>
      </c>
      <c r="AK60" t="s">
        <v>4095</v>
      </c>
      <c r="AL60">
        <v>38</v>
      </c>
      <c r="AM60" s="4">
        <f t="shared" si="2"/>
        <v>0.92682926829268297</v>
      </c>
      <c r="AN60" s="21">
        <f t="shared" si="7"/>
        <v>1.4037550447446921E-3</v>
      </c>
      <c r="AO60" s="3"/>
      <c r="AP60">
        <v>0</v>
      </c>
      <c r="AR60" t="s">
        <v>1</v>
      </c>
      <c r="AT60" s="2">
        <v>3.4209999999999998</v>
      </c>
      <c r="AU60" s="1">
        <f t="shared" si="3"/>
        <v>1.5706356485928146</v>
      </c>
      <c r="AV60" s="1">
        <f t="shared" si="4"/>
        <v>1.1619898931304302</v>
      </c>
      <c r="AW60" s="1">
        <f t="shared" si="5"/>
        <v>0.75334413766804575</v>
      </c>
    </row>
    <row r="61" spans="1:49" x14ac:dyDescent="0.2">
      <c r="A61">
        <v>59</v>
      </c>
      <c r="B61" t="s">
        <v>4094</v>
      </c>
      <c r="C61" t="s">
        <v>4093</v>
      </c>
      <c r="F61" t="s">
        <v>4092</v>
      </c>
      <c r="G61" t="s">
        <v>16</v>
      </c>
      <c r="H61" t="s">
        <v>15</v>
      </c>
      <c r="I61" t="s">
        <v>4091</v>
      </c>
      <c r="J61">
        <v>60027165</v>
      </c>
      <c r="K61" t="s">
        <v>4090</v>
      </c>
      <c r="L61" t="s">
        <v>4089</v>
      </c>
      <c r="M61" t="s">
        <v>11</v>
      </c>
      <c r="N61">
        <v>2</v>
      </c>
      <c r="O61" t="s">
        <v>4088</v>
      </c>
      <c r="P61" t="s">
        <v>4087</v>
      </c>
      <c r="Q61" t="s">
        <v>4086</v>
      </c>
      <c r="R61" s="6">
        <v>29587</v>
      </c>
      <c r="S61" s="7">
        <f t="shared" si="0"/>
        <v>1981</v>
      </c>
      <c r="T61" s="7">
        <v>1981</v>
      </c>
      <c r="U61" s="7">
        <f t="shared" si="1"/>
        <v>41</v>
      </c>
      <c r="V61" s="6">
        <v>1981</v>
      </c>
      <c r="W61" t="s">
        <v>4064</v>
      </c>
      <c r="X61" s="2">
        <v>0.90800000000000003</v>
      </c>
      <c r="Y61" s="5">
        <f t="shared" si="6"/>
        <v>2.4238541416406398E-2</v>
      </c>
      <c r="AA61">
        <v>212148</v>
      </c>
      <c r="AB61">
        <v>24139</v>
      </c>
      <c r="AC61">
        <v>18695868</v>
      </c>
      <c r="AD61" t="s">
        <v>5</v>
      </c>
      <c r="AE61">
        <v>21</v>
      </c>
      <c r="AF61">
        <v>4</v>
      </c>
      <c r="AH61" t="s">
        <v>4085</v>
      </c>
      <c r="AI61" t="s">
        <v>4084</v>
      </c>
      <c r="AK61" t="s">
        <v>4083</v>
      </c>
      <c r="AL61">
        <v>32</v>
      </c>
      <c r="AM61" s="4">
        <f t="shared" si="2"/>
        <v>0.78048780487804881</v>
      </c>
      <c r="AN61" s="21">
        <f t="shared" si="7"/>
        <v>1.1821095113639512E-3</v>
      </c>
      <c r="AO61" s="3"/>
      <c r="AP61">
        <v>0</v>
      </c>
      <c r="AR61" t="s">
        <v>1</v>
      </c>
      <c r="AT61" s="2">
        <v>3.3330000000000002</v>
      </c>
      <c r="AU61" s="1">
        <f t="shared" si="3"/>
        <v>1.7321611844893663</v>
      </c>
      <c r="AV61" s="1">
        <f t="shared" si="4"/>
        <v>1.2710325463885175</v>
      </c>
      <c r="AW61" s="1">
        <f t="shared" si="5"/>
        <v>0.80990390828766856</v>
      </c>
    </row>
    <row r="62" spans="1:49" x14ac:dyDescent="0.2">
      <c r="A62">
        <v>60</v>
      </c>
      <c r="B62" t="s">
        <v>4082</v>
      </c>
      <c r="C62" t="s">
        <v>4081</v>
      </c>
      <c r="F62" t="s">
        <v>4080</v>
      </c>
      <c r="G62" t="s">
        <v>16</v>
      </c>
      <c r="H62" t="s">
        <v>15</v>
      </c>
      <c r="I62" t="s">
        <v>4079</v>
      </c>
      <c r="J62">
        <v>60003878</v>
      </c>
      <c r="K62" t="s">
        <v>4068</v>
      </c>
      <c r="L62" t="s">
        <v>1519</v>
      </c>
      <c r="M62" t="s">
        <v>131</v>
      </c>
      <c r="N62">
        <v>2</v>
      </c>
      <c r="O62" t="s">
        <v>4078</v>
      </c>
      <c r="P62" t="s">
        <v>4077</v>
      </c>
      <c r="Q62" t="s">
        <v>4076</v>
      </c>
      <c r="R62" s="6">
        <v>29587</v>
      </c>
      <c r="S62" s="7">
        <f t="shared" si="0"/>
        <v>1981</v>
      </c>
      <c r="T62" s="7">
        <v>1981</v>
      </c>
      <c r="U62" s="7">
        <f t="shared" si="1"/>
        <v>41</v>
      </c>
      <c r="V62" s="6">
        <v>1981</v>
      </c>
      <c r="W62" t="s">
        <v>4064</v>
      </c>
      <c r="X62" s="2">
        <v>0.90800000000000003</v>
      </c>
      <c r="Y62" s="5">
        <f t="shared" si="6"/>
        <v>2.4238541416406398E-2</v>
      </c>
      <c r="AA62">
        <v>212148</v>
      </c>
      <c r="AB62">
        <v>24139</v>
      </c>
      <c r="AC62">
        <v>18695868</v>
      </c>
      <c r="AD62" t="s">
        <v>5</v>
      </c>
      <c r="AE62">
        <v>21</v>
      </c>
      <c r="AF62">
        <v>4</v>
      </c>
      <c r="AH62" t="s">
        <v>4075</v>
      </c>
      <c r="AI62" t="s">
        <v>4074</v>
      </c>
      <c r="AK62" t="s">
        <v>4073</v>
      </c>
      <c r="AL62">
        <v>6</v>
      </c>
      <c r="AM62" s="4">
        <f t="shared" si="2"/>
        <v>0.14634146341463414</v>
      </c>
      <c r="AN62" s="21">
        <f t="shared" si="7"/>
        <v>2.2164553338074083E-4</v>
      </c>
      <c r="AO62" s="3"/>
      <c r="AP62">
        <v>0</v>
      </c>
      <c r="AR62" t="s">
        <v>1</v>
      </c>
      <c r="AT62" s="2">
        <v>3.3330000000000002</v>
      </c>
      <c r="AU62" s="1">
        <f t="shared" si="3"/>
        <v>1.70334726514987</v>
      </c>
      <c r="AV62" s="1">
        <f t="shared" si="4"/>
        <v>1.2230093474893571</v>
      </c>
      <c r="AW62" s="1">
        <f t="shared" si="5"/>
        <v>0.74267142982884382</v>
      </c>
    </row>
    <row r="63" spans="1:49" x14ac:dyDescent="0.2">
      <c r="A63">
        <v>61</v>
      </c>
      <c r="B63" t="s">
        <v>4072</v>
      </c>
      <c r="C63" t="s">
        <v>4071</v>
      </c>
      <c r="F63" t="s">
        <v>4070</v>
      </c>
      <c r="G63" t="s">
        <v>16</v>
      </c>
      <c r="H63" t="s">
        <v>15</v>
      </c>
      <c r="I63" t="s">
        <v>4069</v>
      </c>
      <c r="J63">
        <v>60003878</v>
      </c>
      <c r="K63" t="s">
        <v>4068</v>
      </c>
      <c r="L63" t="s">
        <v>1519</v>
      </c>
      <c r="M63" t="s">
        <v>131</v>
      </c>
      <c r="N63">
        <v>4</v>
      </c>
      <c r="O63" t="s">
        <v>4067</v>
      </c>
      <c r="P63" t="s">
        <v>4066</v>
      </c>
      <c r="Q63" t="s">
        <v>4065</v>
      </c>
      <c r="R63" s="6">
        <v>29587</v>
      </c>
      <c r="S63" s="7">
        <f t="shared" si="0"/>
        <v>1981</v>
      </c>
      <c r="T63" s="7">
        <v>1981</v>
      </c>
      <c r="U63" s="7">
        <f t="shared" si="1"/>
        <v>41</v>
      </c>
      <c r="V63" s="6">
        <v>1981</v>
      </c>
      <c r="W63" t="s">
        <v>4064</v>
      </c>
      <c r="X63" s="2">
        <v>0.90800000000000003</v>
      </c>
      <c r="Y63" s="5">
        <f t="shared" si="6"/>
        <v>2.4238541416406398E-2</v>
      </c>
      <c r="AA63">
        <v>212148</v>
      </c>
      <c r="AB63">
        <v>24139</v>
      </c>
      <c r="AC63">
        <v>18695868</v>
      </c>
      <c r="AD63" t="s">
        <v>5</v>
      </c>
      <c r="AE63">
        <v>21</v>
      </c>
      <c r="AF63">
        <v>4</v>
      </c>
      <c r="AH63" t="s">
        <v>4063</v>
      </c>
      <c r="AI63" t="s">
        <v>4062</v>
      </c>
      <c r="AK63" t="s">
        <v>4061</v>
      </c>
      <c r="AL63">
        <v>18</v>
      </c>
      <c r="AM63" s="4">
        <f t="shared" si="2"/>
        <v>0.43902439024390244</v>
      </c>
      <c r="AN63" s="21">
        <f t="shared" si="7"/>
        <v>6.6493660014222257E-4</v>
      </c>
      <c r="AO63" s="3"/>
      <c r="AP63">
        <v>0</v>
      </c>
      <c r="AR63" t="s">
        <v>1</v>
      </c>
      <c r="AT63" s="2">
        <v>3.3330000000000002</v>
      </c>
      <c r="AU63" s="1">
        <f t="shared" si="3"/>
        <v>1.7166459971527146</v>
      </c>
      <c r="AV63" s="1">
        <f t="shared" si="4"/>
        <v>1.245173900827431</v>
      </c>
      <c r="AW63" s="1">
        <f t="shared" si="5"/>
        <v>0.77370180450214754</v>
      </c>
    </row>
    <row r="64" spans="1:49" x14ac:dyDescent="0.2">
      <c r="A64">
        <v>62</v>
      </c>
      <c r="B64" t="s">
        <v>4060</v>
      </c>
      <c r="C64" t="s">
        <v>4059</v>
      </c>
      <c r="F64" t="s">
        <v>4058</v>
      </c>
      <c r="G64" t="s">
        <v>16</v>
      </c>
      <c r="H64" t="s">
        <v>15</v>
      </c>
      <c r="I64" t="s">
        <v>4057</v>
      </c>
      <c r="J64">
        <v>60025709</v>
      </c>
      <c r="K64" t="s">
        <v>3979</v>
      </c>
      <c r="L64" t="s">
        <v>3978</v>
      </c>
      <c r="M64" t="s">
        <v>2481</v>
      </c>
      <c r="N64">
        <v>2</v>
      </c>
      <c r="O64" t="s">
        <v>4056</v>
      </c>
      <c r="P64" t="s">
        <v>4055</v>
      </c>
      <c r="Q64" t="s">
        <v>4054</v>
      </c>
      <c r="R64" s="6">
        <v>29587</v>
      </c>
      <c r="S64" s="7">
        <f t="shared" si="0"/>
        <v>1981</v>
      </c>
      <c r="T64" s="7">
        <v>1981</v>
      </c>
      <c r="U64" s="7">
        <f t="shared" si="1"/>
        <v>41</v>
      </c>
      <c r="V64" s="6">
        <v>29618</v>
      </c>
      <c r="W64" t="s">
        <v>4045</v>
      </c>
      <c r="X64" s="2" t="s">
        <v>0</v>
      </c>
      <c r="Y64" s="5" t="e">
        <f t="shared" si="6"/>
        <v>#VALUE!</v>
      </c>
      <c r="AA64">
        <v>13266756</v>
      </c>
      <c r="AB64">
        <v>19190</v>
      </c>
      <c r="AC64">
        <v>14406055</v>
      </c>
      <c r="AD64" t="s">
        <v>5</v>
      </c>
      <c r="AE64">
        <v>20</v>
      </c>
      <c r="AF64">
        <v>1</v>
      </c>
      <c r="AH64" s="8">
        <v>44539</v>
      </c>
      <c r="AI64" t="s">
        <v>4053</v>
      </c>
      <c r="AK64" t="s">
        <v>4052</v>
      </c>
      <c r="AL64">
        <v>2</v>
      </c>
      <c r="AM64" s="4">
        <f t="shared" si="2"/>
        <v>4.878048780487805E-2</v>
      </c>
      <c r="AN64" s="21">
        <f t="shared" si="7"/>
        <v>7.3881844460246948E-5</v>
      </c>
      <c r="AO64" s="3"/>
      <c r="AP64">
        <v>1</v>
      </c>
      <c r="AR64" t="s">
        <v>1</v>
      </c>
      <c r="AT64" s="2" t="s">
        <v>0</v>
      </c>
      <c r="AU64" s="1" t="e">
        <f t="shared" si="3"/>
        <v>#VALUE!</v>
      </c>
      <c r="AV64" s="1" t="e">
        <f t="shared" si="4"/>
        <v>#VALUE!</v>
      </c>
      <c r="AW64" s="1" t="e">
        <f t="shared" si="5"/>
        <v>#VALUE!</v>
      </c>
    </row>
    <row r="65" spans="1:49" x14ac:dyDescent="0.2">
      <c r="A65">
        <v>63</v>
      </c>
      <c r="B65" t="s">
        <v>4051</v>
      </c>
      <c r="C65" t="s">
        <v>4050</v>
      </c>
      <c r="F65" t="s">
        <v>4049</v>
      </c>
      <c r="G65" t="s">
        <v>16</v>
      </c>
      <c r="H65" t="s">
        <v>15</v>
      </c>
      <c r="I65" t="s">
        <v>4048</v>
      </c>
      <c r="J65">
        <v>60028311</v>
      </c>
      <c r="K65" t="s">
        <v>4047</v>
      </c>
      <c r="L65" t="s">
        <v>3401</v>
      </c>
      <c r="M65" t="s">
        <v>678</v>
      </c>
      <c r="N65">
        <v>1</v>
      </c>
      <c r="O65" t="s">
        <v>4046</v>
      </c>
      <c r="P65">
        <v>6602454443</v>
      </c>
      <c r="Q65">
        <v>60028311</v>
      </c>
      <c r="R65" s="6">
        <v>29587</v>
      </c>
      <c r="S65" s="7">
        <f t="shared" si="0"/>
        <v>1981</v>
      </c>
      <c r="T65" s="7">
        <v>1981</v>
      </c>
      <c r="U65" s="7">
        <f t="shared" si="1"/>
        <v>41</v>
      </c>
      <c r="V65" s="6">
        <v>29799</v>
      </c>
      <c r="W65" t="s">
        <v>4045</v>
      </c>
      <c r="X65" s="2" t="s">
        <v>0</v>
      </c>
      <c r="Y65" s="5" t="e">
        <f t="shared" si="6"/>
        <v>#VALUE!</v>
      </c>
      <c r="AA65">
        <v>13266756</v>
      </c>
      <c r="AB65">
        <v>19190</v>
      </c>
      <c r="AC65">
        <v>14406055</v>
      </c>
      <c r="AD65" t="s">
        <v>5</v>
      </c>
      <c r="AE65">
        <v>20</v>
      </c>
      <c r="AF65">
        <v>3</v>
      </c>
      <c r="AH65" t="s">
        <v>4044</v>
      </c>
      <c r="AI65" t="s">
        <v>4043</v>
      </c>
      <c r="AK65" t="s">
        <v>4042</v>
      </c>
      <c r="AL65">
        <v>1</v>
      </c>
      <c r="AM65" s="4">
        <f t="shared" si="2"/>
        <v>2.4390243902439025E-2</v>
      </c>
      <c r="AN65" s="21">
        <f t="shared" si="7"/>
        <v>3.6940922230123474E-5</v>
      </c>
      <c r="AO65" s="3"/>
      <c r="AP65">
        <v>1</v>
      </c>
      <c r="AR65" t="s">
        <v>1</v>
      </c>
      <c r="AT65" s="2" t="s">
        <v>0</v>
      </c>
      <c r="AU65" s="1" t="e">
        <f t="shared" si="3"/>
        <v>#VALUE!</v>
      </c>
      <c r="AV65" s="1" t="e">
        <f t="shared" si="4"/>
        <v>#VALUE!</v>
      </c>
      <c r="AW65" s="1" t="e">
        <f t="shared" si="5"/>
        <v>#VALUE!</v>
      </c>
    </row>
    <row r="66" spans="1:49" x14ac:dyDescent="0.2">
      <c r="A66">
        <v>64</v>
      </c>
      <c r="B66" t="s">
        <v>4041</v>
      </c>
      <c r="C66" t="s">
        <v>4040</v>
      </c>
      <c r="F66" t="s">
        <v>4039</v>
      </c>
      <c r="G66" t="s">
        <v>16</v>
      </c>
      <c r="H66" t="s">
        <v>15</v>
      </c>
      <c r="I66" t="s">
        <v>4038</v>
      </c>
      <c r="J66" t="s">
        <v>4037</v>
      </c>
      <c r="K66" t="s">
        <v>4036</v>
      </c>
      <c r="L66" t="s">
        <v>4035</v>
      </c>
      <c r="M66" t="s">
        <v>3701</v>
      </c>
      <c r="N66">
        <v>2</v>
      </c>
      <c r="O66" t="s">
        <v>4034</v>
      </c>
      <c r="P66" t="s">
        <v>4033</v>
      </c>
      <c r="Q66" t="s">
        <v>4032</v>
      </c>
      <c r="R66" s="6">
        <v>29587</v>
      </c>
      <c r="S66" s="7">
        <f t="shared" ref="S66:S129" si="8">YEAR(R66)</f>
        <v>1981</v>
      </c>
      <c r="T66" s="7">
        <v>1981</v>
      </c>
      <c r="U66" s="7">
        <f t="shared" ref="U66:U129" si="9">2022-T66</f>
        <v>41</v>
      </c>
      <c r="V66" s="6">
        <v>29860</v>
      </c>
      <c r="W66" t="s">
        <v>4031</v>
      </c>
      <c r="X66" s="2">
        <v>1.552</v>
      </c>
      <c r="Y66" s="5">
        <f t="shared" si="6"/>
        <v>4.1429753610421505E-2</v>
      </c>
      <c r="AA66">
        <v>3076970</v>
      </c>
      <c r="AB66">
        <v>21594</v>
      </c>
      <c r="AC66">
        <v>13653113</v>
      </c>
      <c r="AD66" t="s">
        <v>5</v>
      </c>
      <c r="AE66">
        <v>6</v>
      </c>
      <c r="AF66">
        <v>4</v>
      </c>
      <c r="AH66" t="s">
        <v>4030</v>
      </c>
      <c r="AI66" t="s">
        <v>4029</v>
      </c>
      <c r="AK66" t="s">
        <v>4028</v>
      </c>
      <c r="AL66">
        <v>6</v>
      </c>
      <c r="AM66" s="4">
        <f t="shared" ref="AM66:AM129" si="10">AL66/U66</f>
        <v>0.14634146341463414</v>
      </c>
      <c r="AN66" s="21">
        <f t="shared" si="7"/>
        <v>2.2164553338074083E-4</v>
      </c>
      <c r="AO66" s="3"/>
      <c r="AP66">
        <v>0</v>
      </c>
      <c r="AR66" t="s">
        <v>1</v>
      </c>
      <c r="AT66" s="2">
        <v>3.8439999999999999</v>
      </c>
      <c r="AU66" s="1">
        <f t="shared" ref="AU66:AU129" si="11">(Y66*0.7+AN66*0.3)*100</f>
        <v>2.9067321187309272</v>
      </c>
      <c r="AV66" s="1">
        <f t="shared" ref="AV66:AV129" si="12">(Y66*0.5+AN66*0.5)*100</f>
        <v>2.0825699571901124</v>
      </c>
      <c r="AW66" s="1">
        <f t="shared" ref="AW66:AW129" si="13">(Y66*0.3+AN66*0.7)*100</f>
        <v>1.2584077956492972</v>
      </c>
    </row>
    <row r="67" spans="1:49" x14ac:dyDescent="0.2">
      <c r="A67">
        <v>65</v>
      </c>
      <c r="B67" t="s">
        <v>4027</v>
      </c>
      <c r="C67" t="s">
        <v>4026</v>
      </c>
      <c r="F67" t="s">
        <v>4025</v>
      </c>
      <c r="G67" t="s">
        <v>16</v>
      </c>
      <c r="H67" t="s">
        <v>15</v>
      </c>
      <c r="I67" t="s">
        <v>4024</v>
      </c>
      <c r="J67">
        <v>60010806</v>
      </c>
      <c r="K67" t="s">
        <v>4023</v>
      </c>
      <c r="L67" t="s">
        <v>4022</v>
      </c>
      <c r="M67" t="s">
        <v>11</v>
      </c>
      <c r="N67">
        <v>1</v>
      </c>
      <c r="O67" t="s">
        <v>4021</v>
      </c>
      <c r="P67">
        <v>7202728769</v>
      </c>
      <c r="Q67">
        <v>60010806</v>
      </c>
      <c r="R67" s="6">
        <v>29587</v>
      </c>
      <c r="S67" s="7">
        <f t="shared" si="8"/>
        <v>1981</v>
      </c>
      <c r="T67" s="7">
        <v>1981</v>
      </c>
      <c r="U67" s="7">
        <f t="shared" si="9"/>
        <v>41</v>
      </c>
      <c r="V67" s="6">
        <v>1981</v>
      </c>
      <c r="W67" t="s">
        <v>4020</v>
      </c>
      <c r="X67" s="2">
        <v>0.69299999999999995</v>
      </c>
      <c r="Y67" s="5">
        <f t="shared" ref="Y67:Y130" si="14">(X67-$Z$3)/($Z$2-$Z$4)</f>
        <v>1.8499239208777128E-2</v>
      </c>
      <c r="AA67">
        <v>13231650</v>
      </c>
      <c r="AB67">
        <v>27846</v>
      </c>
      <c r="AD67" t="s">
        <v>5</v>
      </c>
      <c r="AE67">
        <v>32</v>
      </c>
      <c r="AF67">
        <v>3</v>
      </c>
      <c r="AH67" t="s">
        <v>4019</v>
      </c>
      <c r="AI67" t="s">
        <v>4018</v>
      </c>
      <c r="AK67" t="s">
        <v>4017</v>
      </c>
      <c r="AL67">
        <v>64</v>
      </c>
      <c r="AM67" s="4">
        <f t="shared" si="10"/>
        <v>1.5609756097560976</v>
      </c>
      <c r="AN67" s="21">
        <f t="shared" ref="AN67:AN130" si="15">(AM67-$AO$3)/($AO$2-$AO$3)</f>
        <v>2.3642190227279023E-3</v>
      </c>
      <c r="AO67" s="3"/>
      <c r="AP67">
        <v>0</v>
      </c>
      <c r="AR67" t="s">
        <v>1</v>
      </c>
      <c r="AT67" s="2">
        <v>2.0699999999999998</v>
      </c>
      <c r="AU67" s="1">
        <f t="shared" si="11"/>
        <v>1.3658733152962359</v>
      </c>
      <c r="AV67" s="1">
        <f t="shared" si="12"/>
        <v>1.0431729115752515</v>
      </c>
      <c r="AW67" s="1">
        <f t="shared" si="13"/>
        <v>0.72047250785426697</v>
      </c>
    </row>
    <row r="68" spans="1:49" x14ac:dyDescent="0.2">
      <c r="A68">
        <v>66</v>
      </c>
      <c r="B68" t="s">
        <v>4016</v>
      </c>
      <c r="C68" t="s">
        <v>4015</v>
      </c>
      <c r="F68" t="s">
        <v>4014</v>
      </c>
      <c r="G68" t="s">
        <v>16</v>
      </c>
      <c r="H68" t="s">
        <v>15</v>
      </c>
      <c r="I68" t="s">
        <v>4013</v>
      </c>
      <c r="J68">
        <v>60031514</v>
      </c>
      <c r="K68" t="s">
        <v>4012</v>
      </c>
      <c r="L68" t="s">
        <v>93</v>
      </c>
      <c r="M68" t="s">
        <v>92</v>
      </c>
      <c r="N68">
        <v>1</v>
      </c>
      <c r="O68" t="s">
        <v>4011</v>
      </c>
      <c r="P68">
        <v>16489474700</v>
      </c>
      <c r="Q68">
        <v>60031514</v>
      </c>
      <c r="R68" s="6">
        <v>29587</v>
      </c>
      <c r="S68" s="7">
        <f t="shared" si="8"/>
        <v>1981</v>
      </c>
      <c r="T68" s="7">
        <v>1981</v>
      </c>
      <c r="U68" s="7">
        <f t="shared" si="9"/>
        <v>41</v>
      </c>
      <c r="V68" s="6" t="s">
        <v>4010</v>
      </c>
      <c r="W68" t="s">
        <v>4009</v>
      </c>
      <c r="X68" s="2" t="s">
        <v>0</v>
      </c>
      <c r="Y68" s="5" t="e">
        <f t="shared" si="14"/>
        <v>#VALUE!</v>
      </c>
      <c r="AA68">
        <v>442240</v>
      </c>
      <c r="AB68">
        <v>21100829285</v>
      </c>
      <c r="AC68">
        <v>14390418</v>
      </c>
      <c r="AD68" t="s">
        <v>5</v>
      </c>
      <c r="AE68">
        <v>92</v>
      </c>
      <c r="AF68" s="8">
        <v>44317</v>
      </c>
      <c r="AH68" t="s">
        <v>4008</v>
      </c>
      <c r="AI68" t="s">
        <v>4007</v>
      </c>
      <c r="AK68" t="s">
        <v>4006</v>
      </c>
      <c r="AL68">
        <v>17</v>
      </c>
      <c r="AM68" s="4">
        <f t="shared" si="10"/>
        <v>0.41463414634146339</v>
      </c>
      <c r="AN68" s="21">
        <f t="shared" si="15"/>
        <v>6.2799567791209908E-4</v>
      </c>
      <c r="AO68" s="3"/>
      <c r="AP68">
        <v>0</v>
      </c>
      <c r="AR68" t="s">
        <v>1</v>
      </c>
      <c r="AT68" s="2" t="s">
        <v>0</v>
      </c>
      <c r="AU68" s="1" t="e">
        <f t="shared" si="11"/>
        <v>#VALUE!</v>
      </c>
      <c r="AV68" s="1" t="e">
        <f t="shared" si="12"/>
        <v>#VALUE!</v>
      </c>
      <c r="AW68" s="1" t="e">
        <f t="shared" si="13"/>
        <v>#VALUE!</v>
      </c>
    </row>
    <row r="69" spans="1:49" x14ac:dyDescent="0.2">
      <c r="A69">
        <v>67</v>
      </c>
      <c r="B69" t="s">
        <v>4005</v>
      </c>
      <c r="C69" t="s">
        <v>4004</v>
      </c>
      <c r="F69" t="s">
        <v>4003</v>
      </c>
      <c r="G69" t="s">
        <v>16</v>
      </c>
      <c r="H69" t="s">
        <v>15</v>
      </c>
      <c r="I69" t="s">
        <v>4002</v>
      </c>
      <c r="J69">
        <v>60002838</v>
      </c>
      <c r="K69" t="s">
        <v>4001</v>
      </c>
      <c r="L69" t="s">
        <v>4000</v>
      </c>
      <c r="M69" t="s">
        <v>742</v>
      </c>
      <c r="N69">
        <v>2</v>
      </c>
      <c r="O69" t="s">
        <v>3999</v>
      </c>
      <c r="P69">
        <v>7006743823</v>
      </c>
      <c r="Q69">
        <v>60002838</v>
      </c>
      <c r="R69" s="6">
        <v>29587</v>
      </c>
      <c r="S69" s="7">
        <f t="shared" si="8"/>
        <v>1981</v>
      </c>
      <c r="T69" s="7">
        <v>1981</v>
      </c>
      <c r="U69" s="7">
        <f t="shared" si="9"/>
        <v>41</v>
      </c>
      <c r="V69" s="6">
        <v>1981</v>
      </c>
      <c r="W69" t="s">
        <v>3998</v>
      </c>
      <c r="X69" s="2" t="s">
        <v>0</v>
      </c>
      <c r="Y69" s="5" t="e">
        <f t="shared" si="14"/>
        <v>#VALUE!</v>
      </c>
      <c r="AA69">
        <v>3749444</v>
      </c>
      <c r="AB69">
        <v>21100446504</v>
      </c>
      <c r="AD69" t="s">
        <v>5</v>
      </c>
      <c r="AE69">
        <v>14</v>
      </c>
      <c r="AF69">
        <v>1</v>
      </c>
      <c r="AH69" t="s">
        <v>3997</v>
      </c>
      <c r="AI69" t="s">
        <v>3996</v>
      </c>
      <c r="AK69" t="s">
        <v>3995</v>
      </c>
      <c r="AL69">
        <v>0</v>
      </c>
      <c r="AM69" s="4">
        <f t="shared" si="10"/>
        <v>0</v>
      </c>
      <c r="AN69" s="21">
        <f t="shared" si="15"/>
        <v>0</v>
      </c>
      <c r="AO69" s="3"/>
      <c r="AP69">
        <v>1</v>
      </c>
      <c r="AR69" t="s">
        <v>1</v>
      </c>
      <c r="AT69" s="2" t="s">
        <v>0</v>
      </c>
      <c r="AU69" s="1" t="e">
        <f t="shared" si="11"/>
        <v>#VALUE!</v>
      </c>
      <c r="AV69" s="1" t="e">
        <f t="shared" si="12"/>
        <v>#VALUE!</v>
      </c>
      <c r="AW69" s="1" t="e">
        <f t="shared" si="13"/>
        <v>#VALUE!</v>
      </c>
    </row>
    <row r="70" spans="1:49" x14ac:dyDescent="0.2">
      <c r="A70">
        <v>68</v>
      </c>
      <c r="B70" t="s">
        <v>3994</v>
      </c>
      <c r="C70" t="s">
        <v>3993</v>
      </c>
      <c r="F70" t="s">
        <v>3992</v>
      </c>
      <c r="G70" t="s">
        <v>16</v>
      </c>
      <c r="H70" t="s">
        <v>15</v>
      </c>
      <c r="I70" t="s">
        <v>3991</v>
      </c>
      <c r="J70" t="s">
        <v>3990</v>
      </c>
      <c r="K70" t="s">
        <v>3989</v>
      </c>
      <c r="L70" t="s">
        <v>3988</v>
      </c>
      <c r="M70" t="s">
        <v>2213</v>
      </c>
      <c r="N70">
        <v>3</v>
      </c>
      <c r="O70" t="s">
        <v>3987</v>
      </c>
      <c r="P70" t="s">
        <v>3986</v>
      </c>
      <c r="Q70" t="s">
        <v>3985</v>
      </c>
      <c r="R70" s="6">
        <v>29587</v>
      </c>
      <c r="S70" s="7">
        <f t="shared" si="8"/>
        <v>1981</v>
      </c>
      <c r="T70" s="7">
        <v>1981</v>
      </c>
      <c r="U70" s="7">
        <f t="shared" si="9"/>
        <v>41</v>
      </c>
      <c r="V70" s="6" t="s">
        <v>642</v>
      </c>
      <c r="W70" t="s">
        <v>3984</v>
      </c>
      <c r="X70" s="2" t="s">
        <v>0</v>
      </c>
      <c r="Y70" s="5" t="e">
        <f t="shared" si="14"/>
        <v>#VALUE!</v>
      </c>
      <c r="AA70">
        <v>170070</v>
      </c>
      <c r="AB70">
        <v>68722</v>
      </c>
      <c r="AD70" t="s">
        <v>5</v>
      </c>
      <c r="AE70">
        <v>115</v>
      </c>
      <c r="AF70">
        <v>1</v>
      </c>
      <c r="AH70">
        <v>61</v>
      </c>
      <c r="AL70">
        <v>0</v>
      </c>
      <c r="AM70" s="4">
        <f t="shared" si="10"/>
        <v>0</v>
      </c>
      <c r="AN70" s="21">
        <f t="shared" si="15"/>
        <v>0</v>
      </c>
      <c r="AO70" s="3"/>
      <c r="AP70">
        <v>0</v>
      </c>
      <c r="AR70" t="s">
        <v>1</v>
      </c>
      <c r="AT70" s="2" t="s">
        <v>0</v>
      </c>
      <c r="AU70" s="1" t="e">
        <f t="shared" si="11"/>
        <v>#VALUE!</v>
      </c>
      <c r="AV70" s="1" t="e">
        <f t="shared" si="12"/>
        <v>#VALUE!</v>
      </c>
      <c r="AW70" s="1" t="e">
        <f t="shared" si="13"/>
        <v>#VALUE!</v>
      </c>
    </row>
    <row r="71" spans="1:49" x14ac:dyDescent="0.2">
      <c r="A71">
        <v>69</v>
      </c>
      <c r="B71" t="s">
        <v>3983</v>
      </c>
      <c r="C71" t="s">
        <v>3982</v>
      </c>
      <c r="F71" t="s">
        <v>3981</v>
      </c>
      <c r="G71" t="s">
        <v>16</v>
      </c>
      <c r="H71" t="s">
        <v>15</v>
      </c>
      <c r="I71" t="s">
        <v>3980</v>
      </c>
      <c r="J71">
        <v>60025709</v>
      </c>
      <c r="K71" t="s">
        <v>3979</v>
      </c>
      <c r="L71" t="s">
        <v>3978</v>
      </c>
      <c r="M71" t="s">
        <v>2481</v>
      </c>
      <c r="N71">
        <v>1</v>
      </c>
      <c r="O71" t="s">
        <v>3977</v>
      </c>
      <c r="P71">
        <v>57085141100</v>
      </c>
      <c r="Q71">
        <v>60025709</v>
      </c>
      <c r="R71" s="6">
        <v>29587</v>
      </c>
      <c r="S71" s="7">
        <f t="shared" si="8"/>
        <v>1981</v>
      </c>
      <c r="T71" s="7">
        <v>1981</v>
      </c>
      <c r="U71" s="7">
        <f t="shared" si="9"/>
        <v>41</v>
      </c>
      <c r="V71" s="6">
        <v>1981</v>
      </c>
      <c r="W71" t="s">
        <v>3976</v>
      </c>
      <c r="X71" s="2">
        <v>0.27800000000000002</v>
      </c>
      <c r="Y71" s="5">
        <f t="shared" si="14"/>
        <v>7.4210512266090073E-3</v>
      </c>
      <c r="AA71" t="s">
        <v>3975</v>
      </c>
      <c r="AB71">
        <v>21402</v>
      </c>
      <c r="AC71">
        <v>15685403</v>
      </c>
      <c r="AD71" t="s">
        <v>5</v>
      </c>
      <c r="AE71">
        <v>40</v>
      </c>
      <c r="AF71">
        <v>1</v>
      </c>
      <c r="AH71" s="8">
        <v>44287</v>
      </c>
      <c r="AI71" t="s">
        <v>3974</v>
      </c>
      <c r="AK71" t="s">
        <v>3973</v>
      </c>
      <c r="AL71">
        <v>0</v>
      </c>
      <c r="AM71" s="4">
        <f t="shared" si="10"/>
        <v>0</v>
      </c>
      <c r="AN71" s="21">
        <f t="shared" si="15"/>
        <v>0</v>
      </c>
      <c r="AO71" s="3"/>
      <c r="AP71">
        <v>0</v>
      </c>
      <c r="AR71" t="s">
        <v>1</v>
      </c>
      <c r="AT71" s="2">
        <v>0.52900000000000003</v>
      </c>
      <c r="AU71" s="1">
        <f t="shared" si="11"/>
        <v>0.51947358586263048</v>
      </c>
      <c r="AV71" s="1">
        <f t="shared" si="12"/>
        <v>0.37105256133045039</v>
      </c>
      <c r="AW71" s="1">
        <f t="shared" si="13"/>
        <v>0.22263153679827019</v>
      </c>
    </row>
    <row r="72" spans="1:49" x14ac:dyDescent="0.2">
      <c r="A72">
        <v>70</v>
      </c>
      <c r="B72" t="s">
        <v>3972</v>
      </c>
      <c r="C72" t="s">
        <v>3971</v>
      </c>
      <c r="F72" t="s">
        <v>3970</v>
      </c>
      <c r="G72" t="s">
        <v>16</v>
      </c>
      <c r="H72" t="s">
        <v>15</v>
      </c>
      <c r="I72" t="s">
        <v>3969</v>
      </c>
      <c r="J72">
        <v>60018735</v>
      </c>
      <c r="K72" t="s">
        <v>1937</v>
      </c>
      <c r="L72" t="s">
        <v>313</v>
      </c>
      <c r="M72" t="s">
        <v>312</v>
      </c>
      <c r="N72">
        <v>3</v>
      </c>
      <c r="O72" t="s">
        <v>3968</v>
      </c>
      <c r="P72" t="s">
        <v>3967</v>
      </c>
      <c r="Q72" t="s">
        <v>3966</v>
      </c>
      <c r="R72" s="6">
        <v>29587</v>
      </c>
      <c r="S72" s="7">
        <f t="shared" si="8"/>
        <v>1981</v>
      </c>
      <c r="T72" s="7">
        <v>1981</v>
      </c>
      <c r="U72" s="7">
        <f t="shared" si="9"/>
        <v>41</v>
      </c>
      <c r="V72" s="6">
        <v>1981</v>
      </c>
      <c r="W72" t="s">
        <v>3965</v>
      </c>
      <c r="X72" s="2" t="s">
        <v>0</v>
      </c>
      <c r="Y72" s="5" t="e">
        <f t="shared" si="14"/>
        <v>#VALUE!</v>
      </c>
      <c r="AA72">
        <v>3053091</v>
      </c>
      <c r="AB72">
        <v>34113</v>
      </c>
      <c r="AD72" t="s">
        <v>5</v>
      </c>
      <c r="AE72">
        <v>8</v>
      </c>
      <c r="AF72" s="8">
        <v>44289</v>
      </c>
      <c r="AH72" t="s">
        <v>3964</v>
      </c>
      <c r="AI72" t="s">
        <v>3963</v>
      </c>
      <c r="AK72" t="s">
        <v>3962</v>
      </c>
      <c r="AL72">
        <v>0</v>
      </c>
      <c r="AM72" s="4">
        <f t="shared" si="10"/>
        <v>0</v>
      </c>
      <c r="AN72" s="21">
        <f t="shared" si="15"/>
        <v>0</v>
      </c>
      <c r="AO72" s="3"/>
      <c r="AP72">
        <v>1</v>
      </c>
      <c r="AR72" t="s">
        <v>1</v>
      </c>
      <c r="AT72" s="2" t="s">
        <v>0</v>
      </c>
      <c r="AU72" s="1" t="e">
        <f t="shared" si="11"/>
        <v>#VALUE!</v>
      </c>
      <c r="AV72" s="1" t="e">
        <f t="shared" si="12"/>
        <v>#VALUE!</v>
      </c>
      <c r="AW72" s="1" t="e">
        <f t="shared" si="13"/>
        <v>#VALUE!</v>
      </c>
    </row>
    <row r="73" spans="1:49" x14ac:dyDescent="0.2">
      <c r="A73">
        <v>71</v>
      </c>
      <c r="B73" t="s">
        <v>3961</v>
      </c>
      <c r="C73" t="s">
        <v>3960</v>
      </c>
      <c r="F73" t="s">
        <v>3959</v>
      </c>
      <c r="G73" t="s">
        <v>16</v>
      </c>
      <c r="H73" t="s">
        <v>15</v>
      </c>
      <c r="I73" t="s">
        <v>3958</v>
      </c>
      <c r="J73">
        <v>60033089</v>
      </c>
      <c r="K73" t="s">
        <v>3957</v>
      </c>
      <c r="L73" t="s">
        <v>1586</v>
      </c>
      <c r="M73" t="s">
        <v>312</v>
      </c>
      <c r="N73">
        <v>1</v>
      </c>
      <c r="O73" t="s">
        <v>3956</v>
      </c>
      <c r="P73">
        <v>36345974600</v>
      </c>
      <c r="Q73">
        <v>60033089</v>
      </c>
      <c r="R73" s="6">
        <v>29587</v>
      </c>
      <c r="S73" s="7">
        <f t="shared" si="8"/>
        <v>1981</v>
      </c>
      <c r="T73" s="7">
        <v>1981</v>
      </c>
      <c r="U73" s="7">
        <f t="shared" si="9"/>
        <v>41</v>
      </c>
      <c r="V73" s="6">
        <v>1981</v>
      </c>
      <c r="W73" t="s">
        <v>3955</v>
      </c>
      <c r="X73" s="2">
        <v>0.48699999999999999</v>
      </c>
      <c r="Y73" s="5">
        <f t="shared" si="14"/>
        <v>1.3000186861002109E-2</v>
      </c>
      <c r="AA73">
        <v>214922</v>
      </c>
      <c r="AB73">
        <v>130262</v>
      </c>
      <c r="AC73">
        <v>13474065</v>
      </c>
      <c r="AD73" t="s">
        <v>5</v>
      </c>
      <c r="AE73">
        <v>20</v>
      </c>
      <c r="AF73">
        <v>2</v>
      </c>
      <c r="AH73" t="s">
        <v>3954</v>
      </c>
      <c r="AL73">
        <v>0</v>
      </c>
      <c r="AM73" s="4">
        <f t="shared" si="10"/>
        <v>0</v>
      </c>
      <c r="AN73" s="21">
        <f t="shared" si="15"/>
        <v>0</v>
      </c>
      <c r="AO73" s="3"/>
      <c r="AP73">
        <v>0</v>
      </c>
      <c r="AR73" t="s">
        <v>1</v>
      </c>
      <c r="AT73" s="2" t="s">
        <v>0</v>
      </c>
      <c r="AU73" s="1">
        <f t="shared" si="11"/>
        <v>0.9100130802701476</v>
      </c>
      <c r="AV73" s="1">
        <f t="shared" si="12"/>
        <v>0.65000934305010538</v>
      </c>
      <c r="AW73" s="1">
        <f t="shared" si="13"/>
        <v>0.39000560583006322</v>
      </c>
    </row>
    <row r="74" spans="1:49" x14ac:dyDescent="0.2">
      <c r="A74">
        <v>72</v>
      </c>
      <c r="B74" t="s">
        <v>3953</v>
      </c>
      <c r="C74" t="s">
        <v>3952</v>
      </c>
      <c r="F74" t="s">
        <v>3951</v>
      </c>
      <c r="G74" t="s">
        <v>16</v>
      </c>
      <c r="H74" t="s">
        <v>15</v>
      </c>
      <c r="I74" t="s">
        <v>3950</v>
      </c>
      <c r="J74">
        <v>60074706</v>
      </c>
      <c r="K74" t="s">
        <v>3949</v>
      </c>
      <c r="L74" t="s">
        <v>3948</v>
      </c>
      <c r="M74" t="s">
        <v>11</v>
      </c>
      <c r="N74">
        <v>2</v>
      </c>
      <c r="O74" t="s">
        <v>3947</v>
      </c>
      <c r="P74" t="s">
        <v>3946</v>
      </c>
      <c r="Q74" t="s">
        <v>3945</v>
      </c>
      <c r="R74" s="6">
        <v>29587</v>
      </c>
      <c r="S74" s="7">
        <f t="shared" si="8"/>
        <v>1981</v>
      </c>
      <c r="T74" s="7">
        <v>1981</v>
      </c>
      <c r="U74" s="7">
        <f t="shared" si="9"/>
        <v>41</v>
      </c>
      <c r="V74" s="6">
        <v>1981</v>
      </c>
      <c r="W74" t="s">
        <v>167</v>
      </c>
      <c r="X74" s="2">
        <v>0.22500000000000001</v>
      </c>
      <c r="Y74" s="5">
        <f t="shared" si="14"/>
        <v>6.0062464963562111E-3</v>
      </c>
      <c r="AA74">
        <v>2726343</v>
      </c>
      <c r="AB74">
        <v>16128</v>
      </c>
      <c r="AC74" t="s">
        <v>166</v>
      </c>
      <c r="AD74" t="s">
        <v>5</v>
      </c>
      <c r="AE74">
        <v>1</v>
      </c>
      <c r="AF74">
        <v>3</v>
      </c>
      <c r="AH74" t="s">
        <v>3944</v>
      </c>
      <c r="AI74" t="s">
        <v>3943</v>
      </c>
      <c r="AK74" t="s">
        <v>3942</v>
      </c>
      <c r="AL74">
        <v>0</v>
      </c>
      <c r="AM74" s="4">
        <f t="shared" si="10"/>
        <v>0</v>
      </c>
      <c r="AN74" s="21">
        <f t="shared" si="15"/>
        <v>0</v>
      </c>
      <c r="AO74" s="3"/>
      <c r="AP74">
        <v>0</v>
      </c>
      <c r="AR74" t="s">
        <v>1</v>
      </c>
      <c r="AT74" s="2">
        <v>1.099</v>
      </c>
      <c r="AU74" s="1">
        <f t="shared" si="11"/>
        <v>0.42043725474493476</v>
      </c>
      <c r="AV74" s="1">
        <f t="shared" si="12"/>
        <v>0.30031232481781056</v>
      </c>
      <c r="AW74" s="1">
        <f t="shared" si="13"/>
        <v>0.18018739489068633</v>
      </c>
    </row>
    <row r="75" spans="1:49" x14ac:dyDescent="0.2">
      <c r="A75">
        <v>73</v>
      </c>
      <c r="B75" t="s">
        <v>3941</v>
      </c>
      <c r="C75" t="s">
        <v>3940</v>
      </c>
      <c r="F75" t="s">
        <v>3939</v>
      </c>
      <c r="G75" t="s">
        <v>16</v>
      </c>
      <c r="H75" t="s">
        <v>15</v>
      </c>
      <c r="I75" t="s">
        <v>3938</v>
      </c>
      <c r="J75">
        <v>100416677</v>
      </c>
      <c r="K75" t="s">
        <v>3937</v>
      </c>
      <c r="L75" t="s">
        <v>3936</v>
      </c>
      <c r="M75" t="s">
        <v>11</v>
      </c>
      <c r="N75">
        <v>1</v>
      </c>
      <c r="O75" t="s">
        <v>3935</v>
      </c>
      <c r="P75">
        <v>57217435310</v>
      </c>
      <c r="Q75">
        <v>100416677</v>
      </c>
      <c r="R75" s="6">
        <v>29587</v>
      </c>
      <c r="S75" s="7">
        <f t="shared" si="8"/>
        <v>1981</v>
      </c>
      <c r="T75" s="7">
        <v>1981</v>
      </c>
      <c r="U75" s="7">
        <f t="shared" si="9"/>
        <v>41</v>
      </c>
      <c r="V75" s="6">
        <v>29587</v>
      </c>
      <c r="W75" t="s">
        <v>167</v>
      </c>
      <c r="X75" s="2">
        <v>0.22500000000000001</v>
      </c>
      <c r="Y75" s="5">
        <f t="shared" si="14"/>
        <v>6.0062464963562111E-3</v>
      </c>
      <c r="AA75">
        <v>2726343</v>
      </c>
      <c r="AB75">
        <v>16128</v>
      </c>
      <c r="AC75" t="s">
        <v>166</v>
      </c>
      <c r="AD75" t="s">
        <v>5</v>
      </c>
      <c r="AE75">
        <v>1</v>
      </c>
      <c r="AF75">
        <v>4</v>
      </c>
      <c r="AH75" t="s">
        <v>3934</v>
      </c>
      <c r="AL75">
        <v>0</v>
      </c>
      <c r="AM75" s="4">
        <f t="shared" si="10"/>
        <v>0</v>
      </c>
      <c r="AN75" s="21">
        <f t="shared" si="15"/>
        <v>0</v>
      </c>
      <c r="AO75" s="3"/>
      <c r="AP75">
        <v>0</v>
      </c>
      <c r="AR75" t="s">
        <v>1</v>
      </c>
      <c r="AT75" s="2">
        <v>1.099</v>
      </c>
      <c r="AU75" s="1">
        <f t="shared" si="11"/>
        <v>0.42043725474493476</v>
      </c>
      <c r="AV75" s="1">
        <f t="shared" si="12"/>
        <v>0.30031232481781056</v>
      </c>
      <c r="AW75" s="1">
        <f t="shared" si="13"/>
        <v>0.18018739489068633</v>
      </c>
    </row>
    <row r="76" spans="1:49" x14ac:dyDescent="0.2">
      <c r="A76">
        <v>74</v>
      </c>
      <c r="B76" t="s">
        <v>3933</v>
      </c>
      <c r="C76" t="s">
        <v>3932</v>
      </c>
      <c r="F76" t="s">
        <v>3931</v>
      </c>
      <c r="G76" t="s">
        <v>16</v>
      </c>
      <c r="H76" t="s">
        <v>15</v>
      </c>
      <c r="I76" t="s">
        <v>3930</v>
      </c>
      <c r="J76">
        <v>60016302</v>
      </c>
      <c r="K76" t="s">
        <v>3929</v>
      </c>
      <c r="M76" t="s">
        <v>3928</v>
      </c>
      <c r="N76">
        <v>1</v>
      </c>
      <c r="O76" t="s">
        <v>3927</v>
      </c>
      <c r="P76">
        <v>7202060932</v>
      </c>
      <c r="Q76">
        <v>60016302</v>
      </c>
      <c r="R76" s="6">
        <v>29587</v>
      </c>
      <c r="S76" s="7">
        <f t="shared" si="8"/>
        <v>1981</v>
      </c>
      <c r="T76" s="7">
        <v>1981</v>
      </c>
      <c r="U76" s="7">
        <f t="shared" si="9"/>
        <v>41</v>
      </c>
      <c r="V76" s="6">
        <v>29646</v>
      </c>
      <c r="W76" t="s">
        <v>3926</v>
      </c>
      <c r="X76" s="2">
        <v>0.39200000000000002</v>
      </c>
      <c r="Y76" s="5">
        <f t="shared" si="14"/>
        <v>1.0464216118096155E-2</v>
      </c>
      <c r="AA76">
        <v>3036758</v>
      </c>
      <c r="AB76">
        <v>23030</v>
      </c>
      <c r="AD76" t="s">
        <v>5</v>
      </c>
      <c r="AE76">
        <v>11</v>
      </c>
      <c r="AF76">
        <v>1</v>
      </c>
      <c r="AH76" s="8">
        <v>44474</v>
      </c>
      <c r="AI76" t="s">
        <v>3925</v>
      </c>
      <c r="AK76" t="s">
        <v>3924</v>
      </c>
      <c r="AL76">
        <v>1</v>
      </c>
      <c r="AM76" s="4">
        <f t="shared" si="10"/>
        <v>2.4390243902439025E-2</v>
      </c>
      <c r="AN76" s="21">
        <f t="shared" si="15"/>
        <v>3.6940922230123474E-5</v>
      </c>
      <c r="AO76" s="3"/>
      <c r="AP76">
        <v>0</v>
      </c>
      <c r="AR76" t="s">
        <v>1</v>
      </c>
      <c r="AT76" s="2" t="s">
        <v>0</v>
      </c>
      <c r="AU76" s="1">
        <f t="shared" si="11"/>
        <v>0.73360335593363446</v>
      </c>
      <c r="AV76" s="1">
        <f t="shared" si="12"/>
        <v>0.52505785201631383</v>
      </c>
      <c r="AW76" s="1">
        <f t="shared" si="13"/>
        <v>0.31651234809899331</v>
      </c>
    </row>
    <row r="77" spans="1:49" x14ac:dyDescent="0.2">
      <c r="A77">
        <v>75</v>
      </c>
      <c r="B77" t="s">
        <v>3923</v>
      </c>
      <c r="C77" t="s">
        <v>3922</v>
      </c>
      <c r="F77" t="s">
        <v>3921</v>
      </c>
      <c r="G77" t="s">
        <v>16</v>
      </c>
      <c r="H77" t="s">
        <v>15</v>
      </c>
      <c r="I77" t="s">
        <v>3920</v>
      </c>
      <c r="J77" t="s">
        <v>3919</v>
      </c>
      <c r="K77" t="s">
        <v>3918</v>
      </c>
      <c r="L77" t="s">
        <v>3917</v>
      </c>
      <c r="M77" t="s">
        <v>277</v>
      </c>
      <c r="N77">
        <v>3</v>
      </c>
      <c r="O77" t="s">
        <v>3916</v>
      </c>
      <c r="P77" t="s">
        <v>3915</v>
      </c>
      <c r="Q77" t="s">
        <v>3914</v>
      </c>
      <c r="R77" s="6">
        <v>29587</v>
      </c>
      <c r="S77" s="7">
        <f t="shared" si="8"/>
        <v>1981</v>
      </c>
      <c r="T77" s="7">
        <v>1981</v>
      </c>
      <c r="U77" s="7">
        <f t="shared" si="9"/>
        <v>41</v>
      </c>
      <c r="V77" s="6">
        <v>29587</v>
      </c>
      <c r="W77" t="s">
        <v>167</v>
      </c>
      <c r="X77" s="2">
        <v>0.22500000000000001</v>
      </c>
      <c r="Y77" s="5">
        <f t="shared" si="14"/>
        <v>6.0062464963562111E-3</v>
      </c>
      <c r="AA77">
        <v>2726343</v>
      </c>
      <c r="AB77">
        <v>16128</v>
      </c>
      <c r="AC77" t="s">
        <v>166</v>
      </c>
      <c r="AD77" t="s">
        <v>5</v>
      </c>
      <c r="AE77">
        <v>1</v>
      </c>
      <c r="AF77">
        <v>1</v>
      </c>
      <c r="AH77" t="s">
        <v>3913</v>
      </c>
      <c r="AI77" t="s">
        <v>3912</v>
      </c>
      <c r="AK77" t="s">
        <v>3911</v>
      </c>
      <c r="AL77">
        <v>17</v>
      </c>
      <c r="AM77" s="4">
        <f t="shared" si="10"/>
        <v>0.41463414634146339</v>
      </c>
      <c r="AN77" s="21">
        <f t="shared" si="15"/>
        <v>6.2799567791209908E-4</v>
      </c>
      <c r="AO77" s="3"/>
      <c r="AP77">
        <v>0</v>
      </c>
      <c r="AR77" t="s">
        <v>3910</v>
      </c>
      <c r="AS77" t="s">
        <v>1892</v>
      </c>
      <c r="AT77" s="2">
        <v>1.099</v>
      </c>
      <c r="AU77" s="1">
        <f t="shared" si="11"/>
        <v>0.43927712508229771</v>
      </c>
      <c r="AV77" s="1">
        <f t="shared" si="12"/>
        <v>0.3317121087134155</v>
      </c>
      <c r="AW77" s="1">
        <f t="shared" si="13"/>
        <v>0.22414709234453326</v>
      </c>
    </row>
    <row r="78" spans="1:49" x14ac:dyDescent="0.2">
      <c r="A78">
        <v>76</v>
      </c>
      <c r="B78" t="s">
        <v>3909</v>
      </c>
      <c r="C78" t="s">
        <v>3908</v>
      </c>
      <c r="F78" t="s">
        <v>281</v>
      </c>
      <c r="G78" t="s">
        <v>16</v>
      </c>
      <c r="H78" t="s">
        <v>15</v>
      </c>
      <c r="I78" t="s">
        <v>3907</v>
      </c>
      <c r="J78">
        <v>60010003</v>
      </c>
      <c r="K78" t="s">
        <v>3906</v>
      </c>
      <c r="L78" t="s">
        <v>67</v>
      </c>
      <c r="M78" t="s">
        <v>11</v>
      </c>
      <c r="N78">
        <v>2</v>
      </c>
      <c r="O78" t="s">
        <v>276</v>
      </c>
      <c r="P78" t="s">
        <v>275</v>
      </c>
      <c r="Q78" t="s">
        <v>3905</v>
      </c>
      <c r="R78" s="6">
        <v>29587</v>
      </c>
      <c r="S78" s="7">
        <f t="shared" si="8"/>
        <v>1981</v>
      </c>
      <c r="T78" s="7">
        <v>1981</v>
      </c>
      <c r="U78" s="7">
        <f t="shared" si="9"/>
        <v>41</v>
      </c>
      <c r="V78" s="6">
        <v>29799</v>
      </c>
      <c r="W78" t="s">
        <v>1778</v>
      </c>
      <c r="X78" s="2">
        <v>0.65500000000000003</v>
      </c>
      <c r="Y78" s="5">
        <f t="shared" si="14"/>
        <v>1.7484850911614749E-2</v>
      </c>
      <c r="AA78">
        <v>189375</v>
      </c>
      <c r="AB78">
        <v>26051</v>
      </c>
      <c r="AC78" t="s">
        <v>1777</v>
      </c>
      <c r="AD78" t="s">
        <v>5</v>
      </c>
      <c r="AE78" t="s">
        <v>1776</v>
      </c>
      <c r="AF78">
        <v>3</v>
      </c>
      <c r="AH78" t="s">
        <v>3904</v>
      </c>
      <c r="AI78" t="s">
        <v>3903</v>
      </c>
      <c r="AK78" t="s">
        <v>3902</v>
      </c>
      <c r="AL78">
        <v>0</v>
      </c>
      <c r="AM78" s="4">
        <f t="shared" si="10"/>
        <v>0</v>
      </c>
      <c r="AN78" s="21">
        <f t="shared" si="15"/>
        <v>0</v>
      </c>
      <c r="AO78" s="3"/>
      <c r="AP78">
        <v>0</v>
      </c>
      <c r="AR78" t="s">
        <v>1</v>
      </c>
      <c r="AT78" s="2" t="s">
        <v>0</v>
      </c>
      <c r="AU78" s="1">
        <f t="shared" si="11"/>
        <v>1.2239395638130324</v>
      </c>
      <c r="AV78" s="1">
        <f t="shared" si="12"/>
        <v>0.87424254558073744</v>
      </c>
      <c r="AW78" s="1">
        <f t="shared" si="13"/>
        <v>0.52454552734844251</v>
      </c>
    </row>
    <row r="79" spans="1:49" x14ac:dyDescent="0.2">
      <c r="A79">
        <v>77</v>
      </c>
      <c r="B79" t="s">
        <v>3901</v>
      </c>
      <c r="C79" t="s">
        <v>3900</v>
      </c>
      <c r="F79" t="s">
        <v>3899</v>
      </c>
      <c r="G79" t="s">
        <v>16</v>
      </c>
      <c r="H79" t="s">
        <v>15</v>
      </c>
      <c r="I79" t="s">
        <v>2355</v>
      </c>
      <c r="J79">
        <v>60003500</v>
      </c>
      <c r="K79" t="s">
        <v>565</v>
      </c>
      <c r="L79" t="s">
        <v>564</v>
      </c>
      <c r="M79" t="s">
        <v>11</v>
      </c>
      <c r="N79">
        <v>2</v>
      </c>
      <c r="O79" t="s">
        <v>3898</v>
      </c>
      <c r="P79" t="s">
        <v>3897</v>
      </c>
      <c r="Q79" t="s">
        <v>561</v>
      </c>
      <c r="R79" s="6">
        <v>29587</v>
      </c>
      <c r="S79" s="7">
        <f t="shared" si="8"/>
        <v>1981</v>
      </c>
      <c r="T79" s="7">
        <v>1981</v>
      </c>
      <c r="U79" s="7">
        <f t="shared" si="9"/>
        <v>41</v>
      </c>
      <c r="V79" s="6">
        <v>29891</v>
      </c>
      <c r="W79" t="s">
        <v>235</v>
      </c>
      <c r="X79" s="2">
        <v>1.6519999999999999</v>
      </c>
      <c r="Y79" s="5">
        <f t="shared" si="14"/>
        <v>4.409919649769093E-2</v>
      </c>
      <c r="AA79" t="s">
        <v>234</v>
      </c>
      <c r="AB79">
        <v>17337</v>
      </c>
      <c r="AC79">
        <v>15582221</v>
      </c>
      <c r="AD79" t="s">
        <v>5</v>
      </c>
      <c r="AE79">
        <v>29</v>
      </c>
      <c r="AF79">
        <v>6</v>
      </c>
      <c r="AH79" t="s">
        <v>3896</v>
      </c>
      <c r="AI79" t="s">
        <v>3895</v>
      </c>
      <c r="AK79" t="s">
        <v>3894</v>
      </c>
      <c r="AL79">
        <v>125</v>
      </c>
      <c r="AM79" s="4">
        <f t="shared" si="10"/>
        <v>3.0487804878048781</v>
      </c>
      <c r="AN79" s="21">
        <f t="shared" si="15"/>
        <v>4.6176152787654346E-3</v>
      </c>
      <c r="AO79" s="3"/>
      <c r="AP79">
        <v>0</v>
      </c>
      <c r="AR79" t="s">
        <v>1</v>
      </c>
      <c r="AT79" s="2" t="s">
        <v>0</v>
      </c>
      <c r="AU79" s="1">
        <f t="shared" si="11"/>
        <v>3.225472213201328</v>
      </c>
      <c r="AV79" s="1">
        <f t="shared" si="12"/>
        <v>2.4358405888228183</v>
      </c>
      <c r="AW79" s="1">
        <f t="shared" si="13"/>
        <v>1.6462089644443081</v>
      </c>
    </row>
    <row r="80" spans="1:49" x14ac:dyDescent="0.2">
      <c r="A80">
        <v>78</v>
      </c>
      <c r="B80" t="s">
        <v>3893</v>
      </c>
      <c r="C80" t="s">
        <v>3892</v>
      </c>
      <c r="F80" t="s">
        <v>3891</v>
      </c>
      <c r="G80" t="s">
        <v>16</v>
      </c>
      <c r="H80" t="s">
        <v>15</v>
      </c>
      <c r="I80" t="s">
        <v>3890</v>
      </c>
      <c r="N80">
        <v>1</v>
      </c>
      <c r="O80" t="s">
        <v>3889</v>
      </c>
      <c r="P80">
        <v>56700695200</v>
      </c>
      <c r="R80" s="6">
        <v>29587</v>
      </c>
      <c r="S80" s="7">
        <f t="shared" si="8"/>
        <v>1981</v>
      </c>
      <c r="T80" s="7">
        <v>1981</v>
      </c>
      <c r="U80" s="7">
        <f t="shared" si="9"/>
        <v>41</v>
      </c>
      <c r="V80" s="6">
        <v>29860</v>
      </c>
      <c r="W80" s="10" t="s">
        <v>3888</v>
      </c>
      <c r="X80" s="2">
        <v>1.3280000000000001</v>
      </c>
      <c r="Y80" s="5">
        <f t="shared" si="14"/>
        <v>3.5450201542937994E-2</v>
      </c>
      <c r="AA80">
        <v>21680329</v>
      </c>
      <c r="AB80">
        <v>21100399421</v>
      </c>
      <c r="AD80" t="s">
        <v>5</v>
      </c>
      <c r="AE80">
        <v>23</v>
      </c>
      <c r="AF80">
        <v>5</v>
      </c>
      <c r="AH80" s="9">
        <v>41913</v>
      </c>
      <c r="AL80">
        <v>0</v>
      </c>
      <c r="AM80" s="4">
        <f t="shared" si="10"/>
        <v>0</v>
      </c>
      <c r="AN80" s="21">
        <f t="shared" si="15"/>
        <v>0</v>
      </c>
      <c r="AO80" s="3"/>
      <c r="AP80">
        <v>0</v>
      </c>
      <c r="AR80" t="s">
        <v>1</v>
      </c>
      <c r="AT80" s="2" t="s">
        <v>0</v>
      </c>
      <c r="AU80" s="1">
        <f t="shared" si="11"/>
        <v>2.4815141080056597</v>
      </c>
      <c r="AV80" s="1">
        <f t="shared" si="12"/>
        <v>1.7725100771468998</v>
      </c>
      <c r="AW80" s="1">
        <f t="shared" si="13"/>
        <v>1.0635060462881398</v>
      </c>
    </row>
    <row r="81" spans="1:49" x14ac:dyDescent="0.2">
      <c r="A81">
        <v>79</v>
      </c>
      <c r="B81" t="s">
        <v>3887</v>
      </c>
      <c r="C81" t="s">
        <v>3886</v>
      </c>
      <c r="F81" t="s">
        <v>3885</v>
      </c>
      <c r="G81" t="s">
        <v>16</v>
      </c>
      <c r="H81" t="s">
        <v>15</v>
      </c>
      <c r="I81" t="s">
        <v>3501</v>
      </c>
      <c r="J81">
        <v>60009037</v>
      </c>
      <c r="K81" t="s">
        <v>3795</v>
      </c>
      <c r="L81" t="s">
        <v>3794</v>
      </c>
      <c r="M81" t="s">
        <v>11</v>
      </c>
      <c r="N81">
        <v>3</v>
      </c>
      <c r="O81" t="s">
        <v>3884</v>
      </c>
      <c r="P81" t="s">
        <v>3883</v>
      </c>
      <c r="Q81" t="s">
        <v>3882</v>
      </c>
      <c r="R81" s="6">
        <v>29587</v>
      </c>
      <c r="S81" s="7">
        <f t="shared" si="8"/>
        <v>1981</v>
      </c>
      <c r="T81" s="7">
        <v>1981</v>
      </c>
      <c r="U81" s="7">
        <f t="shared" si="9"/>
        <v>41</v>
      </c>
      <c r="V81" s="6">
        <v>29587</v>
      </c>
      <c r="W81" t="s">
        <v>167</v>
      </c>
      <c r="X81" s="2">
        <v>0.22500000000000001</v>
      </c>
      <c r="Y81" s="5">
        <f t="shared" si="14"/>
        <v>6.0062464963562111E-3</v>
      </c>
      <c r="AA81">
        <v>2726343</v>
      </c>
      <c r="AB81">
        <v>16128</v>
      </c>
      <c r="AC81" t="s">
        <v>166</v>
      </c>
      <c r="AD81" t="s">
        <v>5</v>
      </c>
      <c r="AE81">
        <v>1</v>
      </c>
      <c r="AF81">
        <v>2</v>
      </c>
      <c r="AH81" t="s">
        <v>3881</v>
      </c>
      <c r="AI81" t="s">
        <v>3880</v>
      </c>
      <c r="AK81" t="s">
        <v>3879</v>
      </c>
      <c r="AL81">
        <v>12</v>
      </c>
      <c r="AM81" s="4">
        <f t="shared" si="10"/>
        <v>0.29268292682926828</v>
      </c>
      <c r="AN81" s="21">
        <f t="shared" si="15"/>
        <v>4.4329106676148166E-4</v>
      </c>
      <c r="AO81" s="3"/>
      <c r="AP81">
        <v>0</v>
      </c>
      <c r="AQ81" t="s">
        <v>3878</v>
      </c>
      <c r="AR81" t="s">
        <v>1</v>
      </c>
      <c r="AS81" t="s">
        <v>2113</v>
      </c>
      <c r="AT81" s="2">
        <v>1.099</v>
      </c>
      <c r="AU81" s="1">
        <f t="shared" si="11"/>
        <v>0.43373598674777919</v>
      </c>
      <c r="AV81" s="1">
        <f t="shared" si="12"/>
        <v>0.32247687815588466</v>
      </c>
      <c r="AW81" s="1">
        <f t="shared" si="13"/>
        <v>0.21121776956399005</v>
      </c>
    </row>
    <row r="82" spans="1:49" x14ac:dyDescent="0.2">
      <c r="A82">
        <v>80</v>
      </c>
      <c r="B82" t="s">
        <v>3877</v>
      </c>
      <c r="C82" t="s">
        <v>3876</v>
      </c>
      <c r="F82" t="s">
        <v>3875</v>
      </c>
      <c r="G82" t="s">
        <v>16</v>
      </c>
      <c r="H82" t="s">
        <v>15</v>
      </c>
      <c r="I82" t="s">
        <v>3874</v>
      </c>
      <c r="J82" t="s">
        <v>3873</v>
      </c>
      <c r="K82" t="s">
        <v>3872</v>
      </c>
      <c r="L82" t="s">
        <v>3871</v>
      </c>
      <c r="M82" t="s">
        <v>3870</v>
      </c>
      <c r="N82">
        <v>7</v>
      </c>
      <c r="O82" t="s">
        <v>3869</v>
      </c>
      <c r="P82" t="s">
        <v>3868</v>
      </c>
      <c r="Q82" t="s">
        <v>3867</v>
      </c>
      <c r="R82" s="6">
        <v>29587</v>
      </c>
      <c r="S82" s="7">
        <f t="shared" si="8"/>
        <v>1981</v>
      </c>
      <c r="T82" s="7">
        <v>1981</v>
      </c>
      <c r="U82" s="7">
        <f t="shared" si="9"/>
        <v>41</v>
      </c>
      <c r="V82" s="6">
        <v>1981</v>
      </c>
      <c r="W82" t="s">
        <v>3453</v>
      </c>
      <c r="X82" s="2" t="s">
        <v>0</v>
      </c>
      <c r="Y82" s="5" t="e">
        <f t="shared" si="14"/>
        <v>#VALUE!</v>
      </c>
      <c r="AA82">
        <v>221392</v>
      </c>
      <c r="AB82">
        <v>34890</v>
      </c>
      <c r="AD82" t="s">
        <v>5</v>
      </c>
      <c r="AE82">
        <v>33</v>
      </c>
      <c r="AF82">
        <v>1</v>
      </c>
      <c r="AH82" t="s">
        <v>3866</v>
      </c>
      <c r="AI82" t="s">
        <v>3865</v>
      </c>
      <c r="AK82" t="s">
        <v>3864</v>
      </c>
      <c r="AL82">
        <v>2</v>
      </c>
      <c r="AM82" s="4">
        <f t="shared" si="10"/>
        <v>4.878048780487805E-2</v>
      </c>
      <c r="AN82" s="21">
        <f t="shared" si="15"/>
        <v>7.3881844460246948E-5</v>
      </c>
      <c r="AO82" s="3"/>
      <c r="AP82">
        <v>1</v>
      </c>
      <c r="AR82" t="s">
        <v>1</v>
      </c>
      <c r="AT82" s="2" t="s">
        <v>0</v>
      </c>
      <c r="AU82" s="1" t="e">
        <f t="shared" si="11"/>
        <v>#VALUE!</v>
      </c>
      <c r="AV82" s="1" t="e">
        <f t="shared" si="12"/>
        <v>#VALUE!</v>
      </c>
      <c r="AW82" s="1" t="e">
        <f t="shared" si="13"/>
        <v>#VALUE!</v>
      </c>
    </row>
    <row r="83" spans="1:49" x14ac:dyDescent="0.2">
      <c r="A83">
        <v>81</v>
      </c>
      <c r="B83" t="s">
        <v>3863</v>
      </c>
      <c r="C83" t="s">
        <v>3862</v>
      </c>
      <c r="F83" t="s">
        <v>3861</v>
      </c>
      <c r="G83" t="s">
        <v>16</v>
      </c>
      <c r="H83" t="s">
        <v>15</v>
      </c>
      <c r="I83" t="s">
        <v>3860</v>
      </c>
      <c r="J83">
        <v>60004923</v>
      </c>
      <c r="K83" t="s">
        <v>3859</v>
      </c>
      <c r="L83" t="s">
        <v>3858</v>
      </c>
      <c r="M83" t="s">
        <v>11</v>
      </c>
      <c r="N83">
        <v>1</v>
      </c>
      <c r="O83" t="s">
        <v>3857</v>
      </c>
      <c r="P83">
        <v>7005771814</v>
      </c>
      <c r="Q83">
        <v>60004923</v>
      </c>
      <c r="R83" s="6">
        <v>29587</v>
      </c>
      <c r="S83" s="7">
        <f t="shared" si="8"/>
        <v>1981</v>
      </c>
      <c r="T83" s="7">
        <v>1981</v>
      </c>
      <c r="U83" s="7">
        <f t="shared" si="9"/>
        <v>41</v>
      </c>
      <c r="V83" s="6">
        <v>29587</v>
      </c>
      <c r="W83" t="s">
        <v>3856</v>
      </c>
      <c r="X83" s="2">
        <v>0.312</v>
      </c>
      <c r="Y83" s="5">
        <f t="shared" si="14"/>
        <v>8.3286618082806119E-3</v>
      </c>
      <c r="AA83">
        <v>1650521</v>
      </c>
      <c r="AB83">
        <v>23986</v>
      </c>
      <c r="AC83">
        <v>17445140</v>
      </c>
      <c r="AD83" t="s">
        <v>5</v>
      </c>
      <c r="AE83">
        <v>16</v>
      </c>
      <c r="AF83">
        <v>1</v>
      </c>
      <c r="AH83" t="s">
        <v>3855</v>
      </c>
      <c r="AI83" t="s">
        <v>3854</v>
      </c>
      <c r="AK83" t="s">
        <v>3853</v>
      </c>
      <c r="AL83">
        <v>1</v>
      </c>
      <c r="AM83" s="4">
        <f t="shared" si="10"/>
        <v>2.4390243902439025E-2</v>
      </c>
      <c r="AN83" s="21">
        <f t="shared" si="15"/>
        <v>3.6940922230123474E-5</v>
      </c>
      <c r="AO83" s="3"/>
      <c r="AP83">
        <v>0</v>
      </c>
      <c r="AR83" t="s">
        <v>1</v>
      </c>
      <c r="AT83" s="2" t="s">
        <v>0</v>
      </c>
      <c r="AU83" s="1">
        <f t="shared" si="11"/>
        <v>0.58411455424654657</v>
      </c>
      <c r="AV83" s="1">
        <f t="shared" si="12"/>
        <v>0.41828013652553675</v>
      </c>
      <c r="AW83" s="1">
        <f t="shared" si="13"/>
        <v>0.25244571880452699</v>
      </c>
    </row>
    <row r="84" spans="1:49" x14ac:dyDescent="0.2">
      <c r="A84">
        <v>82</v>
      </c>
      <c r="B84" t="s">
        <v>3852</v>
      </c>
      <c r="C84" t="s">
        <v>3851</v>
      </c>
      <c r="F84" t="s">
        <v>3850</v>
      </c>
      <c r="G84" t="s">
        <v>16</v>
      </c>
      <c r="H84" t="s">
        <v>15</v>
      </c>
      <c r="I84" t="s">
        <v>3849</v>
      </c>
      <c r="N84">
        <v>1</v>
      </c>
      <c r="O84" t="s">
        <v>3848</v>
      </c>
      <c r="P84">
        <v>24512080300</v>
      </c>
      <c r="R84" s="6">
        <v>29587</v>
      </c>
      <c r="S84" s="7">
        <f t="shared" si="8"/>
        <v>1981</v>
      </c>
      <c r="T84" s="7">
        <v>1981</v>
      </c>
      <c r="U84" s="7">
        <f t="shared" si="9"/>
        <v>41</v>
      </c>
      <c r="V84" s="6">
        <v>29860</v>
      </c>
      <c r="W84" t="s">
        <v>1207</v>
      </c>
      <c r="X84" s="2">
        <v>2.383</v>
      </c>
      <c r="Y84" s="5">
        <f t="shared" si="14"/>
        <v>6.3612824003630442E-2</v>
      </c>
      <c r="AA84">
        <v>189219</v>
      </c>
      <c r="AB84">
        <v>17915</v>
      </c>
      <c r="AC84">
        <v>15582256</v>
      </c>
      <c r="AD84" t="s">
        <v>5</v>
      </c>
      <c r="AE84">
        <v>69</v>
      </c>
      <c r="AF84">
        <v>10</v>
      </c>
      <c r="AH84" t="s">
        <v>3847</v>
      </c>
      <c r="AI84" t="s">
        <v>3846</v>
      </c>
      <c r="AK84" t="s">
        <v>3845</v>
      </c>
      <c r="AL84">
        <v>7</v>
      </c>
      <c r="AM84" s="4">
        <f t="shared" si="10"/>
        <v>0.17073170731707318</v>
      </c>
      <c r="AN84" s="21">
        <f t="shared" si="15"/>
        <v>2.5858645561086435E-4</v>
      </c>
      <c r="AO84" s="3"/>
      <c r="AP84">
        <v>0</v>
      </c>
      <c r="AR84" t="s">
        <v>1</v>
      </c>
      <c r="AT84" s="2">
        <v>10.961</v>
      </c>
      <c r="AU84" s="1">
        <f t="shared" si="11"/>
        <v>4.4606552739224572</v>
      </c>
      <c r="AV84" s="1">
        <f t="shared" si="12"/>
        <v>3.193570522962065</v>
      </c>
      <c r="AW84" s="1">
        <f t="shared" si="13"/>
        <v>1.9264857720016737</v>
      </c>
    </row>
    <row r="85" spans="1:49" x14ac:dyDescent="0.2">
      <c r="A85">
        <v>83</v>
      </c>
      <c r="B85" t="s">
        <v>3844</v>
      </c>
      <c r="C85" t="s">
        <v>3843</v>
      </c>
      <c r="F85" t="s">
        <v>3842</v>
      </c>
      <c r="G85" t="s">
        <v>16</v>
      </c>
      <c r="H85" t="s">
        <v>15</v>
      </c>
      <c r="I85" t="s">
        <v>3841</v>
      </c>
      <c r="J85" t="s">
        <v>3840</v>
      </c>
      <c r="K85" t="s">
        <v>3839</v>
      </c>
      <c r="L85" t="s">
        <v>3838</v>
      </c>
      <c r="M85" t="s">
        <v>1753</v>
      </c>
      <c r="N85">
        <v>2</v>
      </c>
      <c r="O85" t="s">
        <v>3837</v>
      </c>
      <c r="P85" t="s">
        <v>3836</v>
      </c>
      <c r="Q85" t="s">
        <v>3835</v>
      </c>
      <c r="R85" s="6">
        <v>29587</v>
      </c>
      <c r="S85" s="7">
        <f t="shared" si="8"/>
        <v>1981</v>
      </c>
      <c r="T85" s="7">
        <v>1981</v>
      </c>
      <c r="U85" s="7">
        <f t="shared" si="9"/>
        <v>41</v>
      </c>
      <c r="V85" s="6">
        <v>1981</v>
      </c>
      <c r="W85" t="s">
        <v>3834</v>
      </c>
      <c r="X85" s="2">
        <v>0.64</v>
      </c>
      <c r="Y85" s="5">
        <f t="shared" si="14"/>
        <v>1.7084434478524334E-2</v>
      </c>
      <c r="AA85">
        <v>7055900</v>
      </c>
      <c r="AB85">
        <v>12090</v>
      </c>
      <c r="AC85">
        <v>14809214</v>
      </c>
      <c r="AD85" t="s">
        <v>5</v>
      </c>
      <c r="AE85">
        <v>19</v>
      </c>
      <c r="AF85">
        <v>2</v>
      </c>
      <c r="AH85" t="s">
        <v>3833</v>
      </c>
      <c r="AI85" t="s">
        <v>3832</v>
      </c>
      <c r="AK85" t="s">
        <v>3831</v>
      </c>
      <c r="AL85">
        <v>1</v>
      </c>
      <c r="AM85" s="4">
        <f t="shared" si="10"/>
        <v>2.4390243902439025E-2</v>
      </c>
      <c r="AN85" s="21">
        <f t="shared" si="15"/>
        <v>3.6940922230123474E-5</v>
      </c>
      <c r="AO85" s="3"/>
      <c r="AP85">
        <v>1</v>
      </c>
      <c r="AR85" t="s">
        <v>1</v>
      </c>
      <c r="AT85" s="2" t="s">
        <v>0</v>
      </c>
      <c r="AU85" s="1">
        <f t="shared" si="11"/>
        <v>1.197018641163607</v>
      </c>
      <c r="AV85" s="1">
        <f t="shared" si="12"/>
        <v>0.85606877003772297</v>
      </c>
      <c r="AW85" s="1">
        <f t="shared" si="13"/>
        <v>0.5151188989118386</v>
      </c>
    </row>
    <row r="86" spans="1:49" x14ac:dyDescent="0.2">
      <c r="A86">
        <v>84</v>
      </c>
      <c r="B86" t="s">
        <v>3830</v>
      </c>
      <c r="C86" t="s">
        <v>3829</v>
      </c>
      <c r="F86" t="s">
        <v>3828</v>
      </c>
      <c r="G86" t="s">
        <v>16</v>
      </c>
      <c r="H86" t="s">
        <v>15</v>
      </c>
      <c r="I86" t="s">
        <v>3827</v>
      </c>
      <c r="J86">
        <v>60013959</v>
      </c>
      <c r="K86" t="s">
        <v>3826</v>
      </c>
      <c r="L86" t="s">
        <v>3825</v>
      </c>
      <c r="M86" t="s">
        <v>11</v>
      </c>
      <c r="N86">
        <v>1</v>
      </c>
      <c r="O86" t="s">
        <v>3824</v>
      </c>
      <c r="P86">
        <v>16467842900</v>
      </c>
      <c r="Q86">
        <v>60013959</v>
      </c>
      <c r="R86" s="6">
        <v>29587</v>
      </c>
      <c r="S86" s="7">
        <f t="shared" si="8"/>
        <v>1981</v>
      </c>
      <c r="T86" s="7">
        <v>1981</v>
      </c>
      <c r="U86" s="7">
        <f t="shared" si="9"/>
        <v>41</v>
      </c>
      <c r="V86" s="6" t="s">
        <v>3823</v>
      </c>
      <c r="W86" t="s">
        <v>3822</v>
      </c>
      <c r="X86" s="2">
        <v>0.99</v>
      </c>
      <c r="Y86" s="5">
        <f t="shared" si="14"/>
        <v>2.6427484583967327E-2</v>
      </c>
      <c r="AA86">
        <v>221503</v>
      </c>
      <c r="AB86">
        <v>18926</v>
      </c>
      <c r="AD86" t="s">
        <v>5</v>
      </c>
      <c r="AE86">
        <v>72</v>
      </c>
      <c r="AF86">
        <v>5</v>
      </c>
      <c r="AH86" t="s">
        <v>3821</v>
      </c>
      <c r="AI86" t="s">
        <v>3820</v>
      </c>
      <c r="AK86" t="s">
        <v>3819</v>
      </c>
      <c r="AL86">
        <v>2</v>
      </c>
      <c r="AM86" s="4">
        <f t="shared" si="10"/>
        <v>4.878048780487805E-2</v>
      </c>
      <c r="AN86" s="21">
        <f t="shared" si="15"/>
        <v>7.3881844460246948E-5</v>
      </c>
      <c r="AO86" s="3"/>
      <c r="AP86">
        <v>0</v>
      </c>
      <c r="AR86" t="s">
        <v>1</v>
      </c>
      <c r="AT86" s="2">
        <v>2.645</v>
      </c>
      <c r="AU86" s="1">
        <f t="shared" si="11"/>
        <v>1.8521403762115203</v>
      </c>
      <c r="AV86" s="1">
        <f t="shared" si="12"/>
        <v>1.3250683214213788</v>
      </c>
      <c r="AW86" s="1">
        <f t="shared" si="13"/>
        <v>0.79799626663123702</v>
      </c>
    </row>
    <row r="87" spans="1:49" x14ac:dyDescent="0.2">
      <c r="A87">
        <v>85</v>
      </c>
      <c r="B87" t="s">
        <v>3818</v>
      </c>
      <c r="C87" t="s">
        <v>3817</v>
      </c>
      <c r="D87" t="s">
        <v>3816</v>
      </c>
      <c r="F87" t="s">
        <v>3815</v>
      </c>
      <c r="G87" t="s">
        <v>16</v>
      </c>
      <c r="H87" t="s">
        <v>15</v>
      </c>
      <c r="I87" t="s">
        <v>3814</v>
      </c>
      <c r="J87">
        <v>60025997</v>
      </c>
      <c r="K87" t="s">
        <v>2386</v>
      </c>
      <c r="L87" t="s">
        <v>313</v>
      </c>
      <c r="M87" t="s">
        <v>312</v>
      </c>
      <c r="N87">
        <v>3</v>
      </c>
      <c r="O87" t="s">
        <v>3813</v>
      </c>
      <c r="P87" t="s">
        <v>3812</v>
      </c>
      <c r="Q87" t="s">
        <v>2383</v>
      </c>
      <c r="R87" s="6">
        <v>29587</v>
      </c>
      <c r="S87" s="7">
        <f t="shared" si="8"/>
        <v>1981</v>
      </c>
      <c r="T87" s="7">
        <v>1981</v>
      </c>
      <c r="U87" s="7">
        <f t="shared" si="9"/>
        <v>41</v>
      </c>
      <c r="V87" s="6">
        <v>29799</v>
      </c>
      <c r="W87" t="s">
        <v>3811</v>
      </c>
      <c r="X87" s="2">
        <v>1.2609999999999999</v>
      </c>
      <c r="Y87" s="5">
        <f t="shared" si="14"/>
        <v>3.3661674808467469E-2</v>
      </c>
      <c r="AA87">
        <v>33472</v>
      </c>
      <c r="AB87">
        <v>24580</v>
      </c>
      <c r="AD87" t="s">
        <v>5</v>
      </c>
      <c r="AE87">
        <v>29</v>
      </c>
      <c r="AF87">
        <v>3</v>
      </c>
      <c r="AH87" t="s">
        <v>3810</v>
      </c>
      <c r="AI87" t="s">
        <v>3809</v>
      </c>
      <c r="AK87" t="s">
        <v>3808</v>
      </c>
      <c r="AL87">
        <v>6</v>
      </c>
      <c r="AM87" s="4">
        <f t="shared" si="10"/>
        <v>0.14634146341463414</v>
      </c>
      <c r="AN87" s="21">
        <f t="shared" si="15"/>
        <v>2.2164553338074083E-4</v>
      </c>
      <c r="AO87" s="3"/>
      <c r="AP87">
        <v>0</v>
      </c>
      <c r="AR87" t="s">
        <v>1</v>
      </c>
      <c r="AT87" s="2">
        <v>2.8439999999999999</v>
      </c>
      <c r="AU87" s="1">
        <f t="shared" si="11"/>
        <v>2.3629666025941449</v>
      </c>
      <c r="AV87" s="1">
        <f t="shared" si="12"/>
        <v>1.6941660170924107</v>
      </c>
      <c r="AW87" s="1">
        <f t="shared" si="13"/>
        <v>1.0253654315906759</v>
      </c>
    </row>
    <row r="88" spans="1:49" x14ac:dyDescent="0.2">
      <c r="A88">
        <v>86</v>
      </c>
      <c r="B88" t="s">
        <v>3807</v>
      </c>
      <c r="C88" t="s">
        <v>3806</v>
      </c>
      <c r="F88" t="s">
        <v>3805</v>
      </c>
      <c r="G88" t="s">
        <v>16</v>
      </c>
      <c r="H88" t="s">
        <v>15</v>
      </c>
      <c r="I88" t="s">
        <v>3804</v>
      </c>
      <c r="J88">
        <v>60021378</v>
      </c>
      <c r="K88" t="s">
        <v>553</v>
      </c>
      <c r="L88" t="s">
        <v>552</v>
      </c>
      <c r="M88" t="s">
        <v>11</v>
      </c>
      <c r="N88">
        <v>1</v>
      </c>
      <c r="O88" t="s">
        <v>3803</v>
      </c>
      <c r="P88">
        <v>6602613579</v>
      </c>
      <c r="Q88">
        <v>60021378</v>
      </c>
      <c r="R88" s="6">
        <v>29587</v>
      </c>
      <c r="S88" s="7">
        <f t="shared" si="8"/>
        <v>1981</v>
      </c>
      <c r="T88" s="7">
        <v>1981</v>
      </c>
      <c r="U88" s="7">
        <f t="shared" si="9"/>
        <v>41</v>
      </c>
      <c r="V88" s="6">
        <v>29891</v>
      </c>
      <c r="W88" t="s">
        <v>235</v>
      </c>
      <c r="X88" s="2">
        <v>1.6519999999999999</v>
      </c>
      <c r="Y88" s="5">
        <f t="shared" si="14"/>
        <v>4.409919649769093E-2</v>
      </c>
      <c r="AA88" t="s">
        <v>234</v>
      </c>
      <c r="AB88">
        <v>17337</v>
      </c>
      <c r="AC88">
        <v>15582221</v>
      </c>
      <c r="AD88" t="s">
        <v>5</v>
      </c>
      <c r="AE88">
        <v>29</v>
      </c>
      <c r="AF88">
        <v>6</v>
      </c>
      <c r="AH88" t="s">
        <v>3802</v>
      </c>
      <c r="AI88" t="s">
        <v>3801</v>
      </c>
      <c r="AK88" t="s">
        <v>3800</v>
      </c>
      <c r="AL88">
        <v>3</v>
      </c>
      <c r="AM88" s="4">
        <f t="shared" si="10"/>
        <v>7.3170731707317069E-2</v>
      </c>
      <c r="AN88" s="21">
        <f t="shared" si="15"/>
        <v>1.1082276669037041E-4</v>
      </c>
      <c r="AO88" s="3"/>
      <c r="AP88">
        <v>0</v>
      </c>
      <c r="AR88" t="s">
        <v>1</v>
      </c>
      <c r="AT88" s="2" t="s">
        <v>0</v>
      </c>
      <c r="AU88" s="1">
        <f t="shared" si="11"/>
        <v>3.0902684378390761</v>
      </c>
      <c r="AV88" s="1">
        <f t="shared" si="12"/>
        <v>2.2105009632190651</v>
      </c>
      <c r="AW88" s="1">
        <f t="shared" si="13"/>
        <v>1.3307334885990536</v>
      </c>
    </row>
    <row r="89" spans="1:49" x14ac:dyDescent="0.2">
      <c r="A89">
        <v>87</v>
      </c>
      <c r="B89" t="s">
        <v>3799</v>
      </c>
      <c r="C89" t="s">
        <v>3798</v>
      </c>
      <c r="F89" t="s">
        <v>3797</v>
      </c>
      <c r="G89" t="s">
        <v>16</v>
      </c>
      <c r="H89" t="s">
        <v>15</v>
      </c>
      <c r="I89" t="s">
        <v>3796</v>
      </c>
      <c r="J89">
        <v>60009037</v>
      </c>
      <c r="K89" t="s">
        <v>3795</v>
      </c>
      <c r="L89" t="s">
        <v>3794</v>
      </c>
      <c r="M89" t="s">
        <v>11</v>
      </c>
      <c r="N89">
        <v>2</v>
      </c>
      <c r="O89" t="s">
        <v>3793</v>
      </c>
      <c r="P89" t="s">
        <v>3792</v>
      </c>
      <c r="Q89" t="s">
        <v>3791</v>
      </c>
      <c r="R89" s="6">
        <v>29587</v>
      </c>
      <c r="S89" s="7">
        <f t="shared" si="8"/>
        <v>1981</v>
      </c>
      <c r="T89" s="7">
        <v>1981</v>
      </c>
      <c r="U89" s="7">
        <f t="shared" si="9"/>
        <v>41</v>
      </c>
      <c r="V89" s="6">
        <v>29891</v>
      </c>
      <c r="W89" t="s">
        <v>235</v>
      </c>
      <c r="X89" s="2">
        <v>1.6519999999999999</v>
      </c>
      <c r="Y89" s="5">
        <f t="shared" si="14"/>
        <v>4.409919649769093E-2</v>
      </c>
      <c r="AA89" t="s">
        <v>234</v>
      </c>
      <c r="AB89">
        <v>17337</v>
      </c>
      <c r="AC89">
        <v>15582221</v>
      </c>
      <c r="AD89" t="s">
        <v>5</v>
      </c>
      <c r="AE89">
        <v>29</v>
      </c>
      <c r="AF89">
        <v>6</v>
      </c>
      <c r="AH89" t="s">
        <v>3790</v>
      </c>
      <c r="AI89" t="s">
        <v>3789</v>
      </c>
      <c r="AK89" t="s">
        <v>3788</v>
      </c>
      <c r="AL89">
        <v>24</v>
      </c>
      <c r="AM89" s="4">
        <f t="shared" si="10"/>
        <v>0.58536585365853655</v>
      </c>
      <c r="AN89" s="21">
        <f t="shared" si="15"/>
        <v>8.8658213352296332E-4</v>
      </c>
      <c r="AO89" s="3"/>
      <c r="AP89">
        <v>0</v>
      </c>
      <c r="AR89" t="s">
        <v>1</v>
      </c>
      <c r="AT89" s="2" t="s">
        <v>0</v>
      </c>
      <c r="AU89" s="1">
        <f t="shared" si="11"/>
        <v>3.1135412188440537</v>
      </c>
      <c r="AV89" s="1">
        <f t="shared" si="12"/>
        <v>2.2492889315606943</v>
      </c>
      <c r="AW89" s="1">
        <f t="shared" si="13"/>
        <v>1.3850366442773352</v>
      </c>
    </row>
    <row r="90" spans="1:49" x14ac:dyDescent="0.2">
      <c r="A90">
        <v>88</v>
      </c>
      <c r="B90" t="s">
        <v>3787</v>
      </c>
      <c r="C90" t="s">
        <v>3786</v>
      </c>
      <c r="F90" t="s">
        <v>3785</v>
      </c>
      <c r="G90" t="s">
        <v>16</v>
      </c>
      <c r="H90" t="s">
        <v>15</v>
      </c>
      <c r="I90" t="s">
        <v>3784</v>
      </c>
      <c r="J90" t="s">
        <v>3783</v>
      </c>
      <c r="K90" t="s">
        <v>3782</v>
      </c>
      <c r="L90" t="s">
        <v>3781</v>
      </c>
      <c r="M90" t="s">
        <v>3780</v>
      </c>
      <c r="N90">
        <v>2</v>
      </c>
      <c r="O90" t="s">
        <v>3779</v>
      </c>
      <c r="P90" t="s">
        <v>3778</v>
      </c>
      <c r="Q90" t="s">
        <v>3777</v>
      </c>
      <c r="R90" s="6">
        <v>29587</v>
      </c>
      <c r="S90" s="7">
        <f t="shared" si="8"/>
        <v>1981</v>
      </c>
      <c r="T90" s="7">
        <v>1981</v>
      </c>
      <c r="U90" s="7">
        <f t="shared" si="9"/>
        <v>41</v>
      </c>
      <c r="V90" s="6">
        <v>29587</v>
      </c>
      <c r="W90" t="s">
        <v>3776</v>
      </c>
      <c r="X90" s="2" t="s">
        <v>0</v>
      </c>
      <c r="Y90" s="5" t="e">
        <f t="shared" si="14"/>
        <v>#VALUE!</v>
      </c>
      <c r="AA90">
        <v>3905551</v>
      </c>
      <c r="AB90">
        <v>15400155600</v>
      </c>
      <c r="AD90" t="s">
        <v>5</v>
      </c>
      <c r="AE90">
        <v>4</v>
      </c>
      <c r="AF90">
        <v>1</v>
      </c>
      <c r="AH90" t="s">
        <v>3775</v>
      </c>
      <c r="AI90" t="s">
        <v>3774</v>
      </c>
      <c r="AK90" t="s">
        <v>3773</v>
      </c>
      <c r="AL90">
        <v>10</v>
      </c>
      <c r="AM90" s="4">
        <f t="shared" si="10"/>
        <v>0.24390243902439024</v>
      </c>
      <c r="AN90" s="21">
        <f t="shared" si="15"/>
        <v>3.6940922230123473E-4</v>
      </c>
      <c r="AO90" s="3"/>
      <c r="AP90">
        <v>0</v>
      </c>
      <c r="AR90" t="s">
        <v>1</v>
      </c>
      <c r="AT90" s="2" t="s">
        <v>0</v>
      </c>
      <c r="AU90" s="1" t="e">
        <f t="shared" si="11"/>
        <v>#VALUE!</v>
      </c>
      <c r="AV90" s="1" t="e">
        <f t="shared" si="12"/>
        <v>#VALUE!</v>
      </c>
      <c r="AW90" s="1" t="e">
        <f t="shared" si="13"/>
        <v>#VALUE!</v>
      </c>
    </row>
    <row r="91" spans="1:49" x14ac:dyDescent="0.2">
      <c r="A91">
        <v>89</v>
      </c>
      <c r="B91" t="s">
        <v>3772</v>
      </c>
      <c r="C91" t="s">
        <v>3771</v>
      </c>
      <c r="F91" t="s">
        <v>3770</v>
      </c>
      <c r="G91" t="s">
        <v>16</v>
      </c>
      <c r="H91" t="s">
        <v>15</v>
      </c>
      <c r="I91" t="s">
        <v>3769</v>
      </c>
      <c r="J91">
        <v>60031806</v>
      </c>
      <c r="K91" t="s">
        <v>3768</v>
      </c>
      <c r="L91" t="s">
        <v>3767</v>
      </c>
      <c r="M91" t="s">
        <v>2481</v>
      </c>
      <c r="N91">
        <v>2</v>
      </c>
      <c r="O91" t="s">
        <v>3766</v>
      </c>
      <c r="P91" t="s">
        <v>3765</v>
      </c>
      <c r="Q91" t="s">
        <v>3764</v>
      </c>
      <c r="R91" s="6">
        <v>29587</v>
      </c>
      <c r="S91" s="7">
        <f t="shared" si="8"/>
        <v>1981</v>
      </c>
      <c r="T91" s="7">
        <v>1981</v>
      </c>
      <c r="U91" s="7">
        <f t="shared" si="9"/>
        <v>41</v>
      </c>
      <c r="V91" s="6">
        <v>29587</v>
      </c>
      <c r="W91" t="s">
        <v>3763</v>
      </c>
      <c r="X91" s="2" t="s">
        <v>0</v>
      </c>
      <c r="Y91" s="5" t="e">
        <f t="shared" si="14"/>
        <v>#VALUE!</v>
      </c>
      <c r="AA91">
        <v>3693554</v>
      </c>
      <c r="AB91">
        <v>29862</v>
      </c>
      <c r="AC91">
        <v>18269877</v>
      </c>
      <c r="AD91" t="s">
        <v>5</v>
      </c>
      <c r="AE91">
        <v>61</v>
      </c>
      <c r="AF91">
        <v>1</v>
      </c>
      <c r="AH91" t="s">
        <v>3762</v>
      </c>
      <c r="AI91" t="s">
        <v>3761</v>
      </c>
      <c r="AK91" t="s">
        <v>3760</v>
      </c>
      <c r="AL91">
        <v>9</v>
      </c>
      <c r="AM91" s="4">
        <f t="shared" si="10"/>
        <v>0.21951219512195122</v>
      </c>
      <c r="AN91" s="21">
        <f t="shared" si="15"/>
        <v>3.3246830007111129E-4</v>
      </c>
      <c r="AO91" s="3"/>
      <c r="AP91">
        <v>0</v>
      </c>
      <c r="AR91" t="s">
        <v>1</v>
      </c>
      <c r="AT91" s="2" t="s">
        <v>0</v>
      </c>
      <c r="AU91" s="1" t="e">
        <f t="shared" si="11"/>
        <v>#VALUE!</v>
      </c>
      <c r="AV91" s="1" t="e">
        <f t="shared" si="12"/>
        <v>#VALUE!</v>
      </c>
      <c r="AW91" s="1" t="e">
        <f t="shared" si="13"/>
        <v>#VALUE!</v>
      </c>
    </row>
    <row r="92" spans="1:49" x14ac:dyDescent="0.2">
      <c r="A92">
        <v>90</v>
      </c>
      <c r="B92" t="s">
        <v>3759</v>
      </c>
      <c r="C92" t="s">
        <v>3758</v>
      </c>
      <c r="D92">
        <v>19103581901913</v>
      </c>
      <c r="F92" t="s">
        <v>3757</v>
      </c>
      <c r="G92" t="s">
        <v>16</v>
      </c>
      <c r="H92" t="s">
        <v>15</v>
      </c>
      <c r="I92" t="s">
        <v>3756</v>
      </c>
      <c r="J92">
        <v>60006337</v>
      </c>
      <c r="K92" t="s">
        <v>238</v>
      </c>
      <c r="L92" t="s">
        <v>237</v>
      </c>
      <c r="M92" t="s">
        <v>11</v>
      </c>
      <c r="N92">
        <v>4</v>
      </c>
      <c r="O92" t="s">
        <v>3755</v>
      </c>
      <c r="P92" t="s">
        <v>3754</v>
      </c>
      <c r="Q92" t="s">
        <v>3753</v>
      </c>
      <c r="R92" s="6">
        <v>29587</v>
      </c>
      <c r="S92" s="7">
        <f t="shared" si="8"/>
        <v>1981</v>
      </c>
      <c r="T92" s="7">
        <v>1981</v>
      </c>
      <c r="U92" s="7">
        <f t="shared" si="9"/>
        <v>41</v>
      </c>
      <c r="V92" s="6">
        <v>29830</v>
      </c>
      <c r="W92" t="s">
        <v>3752</v>
      </c>
      <c r="X92" s="2">
        <v>1.5249999999999999</v>
      </c>
      <c r="Y92" s="5">
        <f t="shared" si="14"/>
        <v>4.070900403085876E-2</v>
      </c>
      <c r="AA92">
        <v>191035</v>
      </c>
      <c r="AB92">
        <v>27241</v>
      </c>
      <c r="AC92">
        <v>10902643</v>
      </c>
      <c r="AD92" t="s">
        <v>5</v>
      </c>
      <c r="AE92">
        <v>47</v>
      </c>
      <c r="AF92">
        <v>3</v>
      </c>
      <c r="AH92" t="s">
        <v>3751</v>
      </c>
      <c r="AI92" t="s">
        <v>3750</v>
      </c>
      <c r="AK92" t="s">
        <v>3749</v>
      </c>
      <c r="AL92">
        <v>0</v>
      </c>
      <c r="AM92" s="4">
        <f t="shared" si="10"/>
        <v>0</v>
      </c>
      <c r="AN92" s="21">
        <f t="shared" si="15"/>
        <v>0</v>
      </c>
      <c r="AO92" s="3"/>
      <c r="AP92">
        <v>0</v>
      </c>
      <c r="AR92" t="s">
        <v>1</v>
      </c>
      <c r="AT92" s="2">
        <v>3.508</v>
      </c>
      <c r="AU92" s="1">
        <f t="shared" si="11"/>
        <v>2.8496302821601129</v>
      </c>
      <c r="AV92" s="1">
        <f t="shared" si="12"/>
        <v>2.0354502015429379</v>
      </c>
      <c r="AW92" s="1">
        <f t="shared" si="13"/>
        <v>1.2212701209257628</v>
      </c>
    </row>
    <row r="93" spans="1:49" x14ac:dyDescent="0.2">
      <c r="A93">
        <v>91</v>
      </c>
      <c r="B93" t="s">
        <v>3748</v>
      </c>
      <c r="C93" t="s">
        <v>3747</v>
      </c>
      <c r="D93">
        <v>273117781902994</v>
      </c>
      <c r="F93" t="s">
        <v>3746</v>
      </c>
      <c r="G93" t="s">
        <v>16</v>
      </c>
      <c r="H93" t="s">
        <v>15</v>
      </c>
      <c r="I93" t="s">
        <v>3745</v>
      </c>
      <c r="J93">
        <v>60018714</v>
      </c>
      <c r="K93" t="s">
        <v>3744</v>
      </c>
      <c r="L93" t="s">
        <v>27</v>
      </c>
      <c r="M93" t="s">
        <v>26</v>
      </c>
      <c r="N93">
        <v>1</v>
      </c>
      <c r="O93" t="s">
        <v>3743</v>
      </c>
      <c r="P93">
        <v>55663947600</v>
      </c>
      <c r="Q93">
        <v>60018714</v>
      </c>
      <c r="R93" s="6">
        <v>29587</v>
      </c>
      <c r="S93" s="7">
        <f t="shared" si="8"/>
        <v>1981</v>
      </c>
      <c r="T93" s="7">
        <v>1981</v>
      </c>
      <c r="U93" s="7">
        <f t="shared" si="9"/>
        <v>41</v>
      </c>
      <c r="V93" s="6">
        <v>1981</v>
      </c>
      <c r="W93" t="s">
        <v>190</v>
      </c>
      <c r="X93" s="2">
        <v>0.68200000000000005</v>
      </c>
      <c r="Y93" s="5">
        <f t="shared" si="14"/>
        <v>1.8205600491177493E-2</v>
      </c>
      <c r="AA93">
        <v>2731177</v>
      </c>
      <c r="AB93">
        <v>12375</v>
      </c>
      <c r="AD93" t="s">
        <v>5</v>
      </c>
      <c r="AE93">
        <v>1</v>
      </c>
      <c r="AF93">
        <v>2</v>
      </c>
      <c r="AH93" t="s">
        <v>3742</v>
      </c>
      <c r="AI93" t="s">
        <v>3741</v>
      </c>
      <c r="AK93" t="s">
        <v>3740</v>
      </c>
      <c r="AL93">
        <v>1</v>
      </c>
      <c r="AM93" s="4">
        <f t="shared" si="10"/>
        <v>2.4390243902439025E-2</v>
      </c>
      <c r="AN93" s="21">
        <f t="shared" si="15"/>
        <v>3.6940922230123474E-5</v>
      </c>
      <c r="AO93" s="3"/>
      <c r="AP93">
        <v>0</v>
      </c>
      <c r="AR93" t="s">
        <v>1</v>
      </c>
      <c r="AS93" t="s">
        <v>2113</v>
      </c>
      <c r="AT93" s="2">
        <v>2.1520000000000001</v>
      </c>
      <c r="AU93" s="1">
        <f t="shared" si="11"/>
        <v>1.2755002620493281</v>
      </c>
      <c r="AV93" s="1">
        <f t="shared" si="12"/>
        <v>0.9121270706703809</v>
      </c>
      <c r="AW93" s="1">
        <f t="shared" si="13"/>
        <v>0.54875387929143338</v>
      </c>
    </row>
    <row r="94" spans="1:49" x14ac:dyDescent="0.2">
      <c r="A94">
        <v>92</v>
      </c>
      <c r="B94" t="s">
        <v>3739</v>
      </c>
      <c r="C94" t="s">
        <v>3738</v>
      </c>
      <c r="D94" t="s">
        <v>3737</v>
      </c>
      <c r="F94" t="s">
        <v>3736</v>
      </c>
      <c r="G94" t="s">
        <v>16</v>
      </c>
      <c r="H94" t="s">
        <v>15</v>
      </c>
      <c r="I94" t="s">
        <v>3735</v>
      </c>
      <c r="J94">
        <v>60018179</v>
      </c>
      <c r="K94" t="s">
        <v>3734</v>
      </c>
      <c r="L94" t="s">
        <v>3733</v>
      </c>
      <c r="M94" t="s">
        <v>11</v>
      </c>
      <c r="N94">
        <v>2</v>
      </c>
      <c r="O94" t="s">
        <v>3732</v>
      </c>
      <c r="P94" t="s">
        <v>3731</v>
      </c>
      <c r="Q94" t="s">
        <v>3730</v>
      </c>
      <c r="R94" s="6">
        <v>29587</v>
      </c>
      <c r="S94" s="7">
        <f t="shared" si="8"/>
        <v>1981</v>
      </c>
      <c r="T94" s="7">
        <v>1981</v>
      </c>
      <c r="U94" s="7">
        <f t="shared" si="9"/>
        <v>41</v>
      </c>
      <c r="V94" s="6">
        <v>1981</v>
      </c>
      <c r="W94" t="s">
        <v>3729</v>
      </c>
      <c r="X94" s="2" t="s">
        <v>0</v>
      </c>
      <c r="Y94" s="5" t="e">
        <f t="shared" si="14"/>
        <v>#VALUE!</v>
      </c>
      <c r="AA94">
        <v>5848547</v>
      </c>
      <c r="AB94">
        <v>24532</v>
      </c>
      <c r="AD94" t="s">
        <v>5</v>
      </c>
      <c r="AE94">
        <v>36</v>
      </c>
      <c r="AF94">
        <v>9</v>
      </c>
      <c r="AH94" t="s">
        <v>3728</v>
      </c>
      <c r="AI94" t="s">
        <v>3727</v>
      </c>
      <c r="AK94" t="s">
        <v>3726</v>
      </c>
      <c r="AL94">
        <v>13</v>
      </c>
      <c r="AM94" s="4">
        <f t="shared" si="10"/>
        <v>0.31707317073170732</v>
      </c>
      <c r="AN94" s="21">
        <f t="shared" si="15"/>
        <v>4.8023198899160521E-4</v>
      </c>
      <c r="AO94" s="3"/>
      <c r="AP94">
        <v>0</v>
      </c>
      <c r="AQ94" t="s">
        <v>75</v>
      </c>
      <c r="AR94" t="s">
        <v>3725</v>
      </c>
      <c r="AS94" t="s">
        <v>74</v>
      </c>
      <c r="AT94" s="2" t="s">
        <v>0</v>
      </c>
      <c r="AU94" s="1" t="e">
        <f t="shared" si="11"/>
        <v>#VALUE!</v>
      </c>
      <c r="AV94" s="1" t="e">
        <f t="shared" si="12"/>
        <v>#VALUE!</v>
      </c>
      <c r="AW94" s="1" t="e">
        <f t="shared" si="13"/>
        <v>#VALUE!</v>
      </c>
    </row>
    <row r="95" spans="1:49" x14ac:dyDescent="0.2">
      <c r="A95">
        <v>93</v>
      </c>
      <c r="B95" t="s">
        <v>3724</v>
      </c>
      <c r="C95" t="s">
        <v>3723</v>
      </c>
      <c r="D95" t="s">
        <v>3722</v>
      </c>
      <c r="F95" t="s">
        <v>3721</v>
      </c>
      <c r="G95" t="s">
        <v>16</v>
      </c>
      <c r="H95" t="s">
        <v>15</v>
      </c>
      <c r="I95" t="s">
        <v>3720</v>
      </c>
      <c r="J95" t="s">
        <v>3719</v>
      </c>
      <c r="K95" t="s">
        <v>3718</v>
      </c>
      <c r="L95" t="s">
        <v>3717</v>
      </c>
      <c r="M95" t="s">
        <v>277</v>
      </c>
      <c r="N95">
        <v>4</v>
      </c>
      <c r="O95" t="s">
        <v>3716</v>
      </c>
      <c r="P95" t="s">
        <v>3715</v>
      </c>
      <c r="Q95" t="s">
        <v>3714</v>
      </c>
      <c r="R95" s="6">
        <v>29587</v>
      </c>
      <c r="S95" s="7">
        <f t="shared" si="8"/>
        <v>1981</v>
      </c>
      <c r="T95" s="7">
        <v>1981</v>
      </c>
      <c r="U95" s="7">
        <f t="shared" si="9"/>
        <v>41</v>
      </c>
      <c r="V95" s="6">
        <v>1981</v>
      </c>
      <c r="W95" t="s">
        <v>190</v>
      </c>
      <c r="X95" s="2">
        <v>0.68200000000000005</v>
      </c>
      <c r="Y95" s="5">
        <f t="shared" si="14"/>
        <v>1.8205600491177493E-2</v>
      </c>
      <c r="AA95">
        <v>2731177</v>
      </c>
      <c r="AB95">
        <v>12375</v>
      </c>
      <c r="AD95" t="s">
        <v>5</v>
      </c>
      <c r="AE95">
        <v>1</v>
      </c>
      <c r="AF95">
        <v>2</v>
      </c>
      <c r="AH95" t="s">
        <v>3713</v>
      </c>
      <c r="AI95" t="s">
        <v>3712</v>
      </c>
      <c r="AK95" t="s">
        <v>3711</v>
      </c>
      <c r="AL95">
        <v>2</v>
      </c>
      <c r="AM95" s="4">
        <f t="shared" si="10"/>
        <v>4.878048780487805E-2</v>
      </c>
      <c r="AN95" s="21">
        <f t="shared" si="15"/>
        <v>7.3881844460246948E-5</v>
      </c>
      <c r="AO95" s="3"/>
      <c r="AP95">
        <v>0</v>
      </c>
      <c r="AR95" t="s">
        <v>3710</v>
      </c>
      <c r="AS95" t="s">
        <v>3709</v>
      </c>
      <c r="AT95" s="2">
        <v>2.1520000000000001</v>
      </c>
      <c r="AU95" s="1">
        <f t="shared" si="11"/>
        <v>1.276608489716232</v>
      </c>
      <c r="AV95" s="1">
        <f t="shared" si="12"/>
        <v>0.913974116781887</v>
      </c>
      <c r="AW95" s="1">
        <f t="shared" si="13"/>
        <v>0.55133974384754203</v>
      </c>
    </row>
    <row r="96" spans="1:49" x14ac:dyDescent="0.2">
      <c r="A96">
        <v>94</v>
      </c>
      <c r="B96" t="s">
        <v>3708</v>
      </c>
      <c r="C96" t="s">
        <v>3707</v>
      </c>
      <c r="D96">
        <v>11227581902319</v>
      </c>
      <c r="F96" t="s">
        <v>3706</v>
      </c>
      <c r="G96" t="s">
        <v>16</v>
      </c>
      <c r="H96" t="s">
        <v>15</v>
      </c>
      <c r="I96" t="s">
        <v>3705</v>
      </c>
      <c r="J96" t="s">
        <v>3704</v>
      </c>
      <c r="K96" t="s">
        <v>3703</v>
      </c>
      <c r="L96" t="s">
        <v>3702</v>
      </c>
      <c r="M96" t="s">
        <v>3701</v>
      </c>
      <c r="N96">
        <v>6</v>
      </c>
      <c r="O96" t="s">
        <v>3700</v>
      </c>
      <c r="P96" t="s">
        <v>3699</v>
      </c>
      <c r="Q96" t="s">
        <v>3698</v>
      </c>
      <c r="R96" s="6">
        <v>29587</v>
      </c>
      <c r="S96" s="7">
        <f t="shared" si="8"/>
        <v>1981</v>
      </c>
      <c r="T96" s="7">
        <v>1981</v>
      </c>
      <c r="U96" s="7">
        <f t="shared" si="9"/>
        <v>41</v>
      </c>
      <c r="V96" s="6">
        <v>29860</v>
      </c>
      <c r="W96" t="s">
        <v>3697</v>
      </c>
      <c r="X96" s="2">
        <v>0.66900000000000004</v>
      </c>
      <c r="Y96" s="5">
        <f t="shared" si="14"/>
        <v>1.7858572915832469E-2</v>
      </c>
      <c r="AA96">
        <v>112275</v>
      </c>
      <c r="AB96">
        <v>13713</v>
      </c>
      <c r="AD96" t="s">
        <v>5</v>
      </c>
      <c r="AE96">
        <v>21</v>
      </c>
      <c r="AF96">
        <v>10</v>
      </c>
      <c r="AH96" t="s">
        <v>3696</v>
      </c>
      <c r="AI96" t="s">
        <v>3695</v>
      </c>
      <c r="AK96" t="s">
        <v>3694</v>
      </c>
      <c r="AL96">
        <v>3</v>
      </c>
      <c r="AM96" s="4">
        <f t="shared" si="10"/>
        <v>7.3170731707317069E-2</v>
      </c>
      <c r="AN96" s="21">
        <f t="shared" si="15"/>
        <v>1.1082276669037041E-4</v>
      </c>
      <c r="AO96" s="3"/>
      <c r="AP96">
        <v>0</v>
      </c>
      <c r="AR96" t="s">
        <v>1</v>
      </c>
      <c r="AT96" s="2">
        <v>2.226</v>
      </c>
      <c r="AU96" s="1">
        <f t="shared" si="11"/>
        <v>1.2534247871089836</v>
      </c>
      <c r="AV96" s="1">
        <f t="shared" si="12"/>
        <v>0.89846978412614198</v>
      </c>
      <c r="AW96" s="1">
        <f t="shared" si="13"/>
        <v>0.54351478114329999</v>
      </c>
    </row>
    <row r="97" spans="1:49" x14ac:dyDescent="0.2">
      <c r="A97">
        <v>95</v>
      </c>
      <c r="B97" t="s">
        <v>3693</v>
      </c>
      <c r="C97" t="s">
        <v>3692</v>
      </c>
      <c r="D97">
        <v>273117781904919</v>
      </c>
      <c r="F97" t="s">
        <v>3691</v>
      </c>
      <c r="G97" t="s">
        <v>16</v>
      </c>
      <c r="H97" t="s">
        <v>15</v>
      </c>
      <c r="I97" t="s">
        <v>3690</v>
      </c>
      <c r="J97">
        <v>60002286</v>
      </c>
      <c r="K97" t="s">
        <v>1520</v>
      </c>
      <c r="L97" t="s">
        <v>1519</v>
      </c>
      <c r="M97" t="s">
        <v>131</v>
      </c>
      <c r="N97">
        <v>3</v>
      </c>
      <c r="O97" t="s">
        <v>3689</v>
      </c>
      <c r="P97" t="s">
        <v>3688</v>
      </c>
      <c r="Q97" t="s">
        <v>3687</v>
      </c>
      <c r="R97" s="6">
        <v>29587</v>
      </c>
      <c r="S97" s="7">
        <f t="shared" si="8"/>
        <v>1981</v>
      </c>
      <c r="T97" s="7">
        <v>1981</v>
      </c>
      <c r="U97" s="7">
        <f t="shared" si="9"/>
        <v>41</v>
      </c>
      <c r="V97" s="6">
        <v>1981</v>
      </c>
      <c r="W97" t="s">
        <v>190</v>
      </c>
      <c r="X97" s="2">
        <v>0.68200000000000005</v>
      </c>
      <c r="Y97" s="5">
        <f t="shared" si="14"/>
        <v>1.8205600491177493E-2</v>
      </c>
      <c r="AA97">
        <v>2731177</v>
      </c>
      <c r="AB97">
        <v>12375</v>
      </c>
      <c r="AD97" t="s">
        <v>5</v>
      </c>
      <c r="AE97">
        <v>1</v>
      </c>
      <c r="AF97">
        <v>8</v>
      </c>
      <c r="AH97" t="s">
        <v>3686</v>
      </c>
      <c r="AI97" t="s">
        <v>3685</v>
      </c>
      <c r="AJ97" t="s">
        <v>3684</v>
      </c>
      <c r="AK97" t="s">
        <v>3683</v>
      </c>
      <c r="AL97">
        <v>0</v>
      </c>
      <c r="AM97" s="4">
        <f t="shared" si="10"/>
        <v>0</v>
      </c>
      <c r="AN97" s="21">
        <f t="shared" si="15"/>
        <v>0</v>
      </c>
      <c r="AO97" s="3"/>
      <c r="AP97">
        <v>0</v>
      </c>
      <c r="AR97" t="s">
        <v>1</v>
      </c>
      <c r="AT97" s="2">
        <v>2.1520000000000001</v>
      </c>
      <c r="AU97" s="1">
        <f t="shared" si="11"/>
        <v>1.2743920343824244</v>
      </c>
      <c r="AV97" s="1">
        <f t="shared" si="12"/>
        <v>0.91028002455887469</v>
      </c>
      <c r="AW97" s="1">
        <f t="shared" si="13"/>
        <v>0.54616801473532472</v>
      </c>
    </row>
    <row r="98" spans="1:49" x14ac:dyDescent="0.2">
      <c r="A98">
        <v>96</v>
      </c>
      <c r="B98" t="s">
        <v>3682</v>
      </c>
      <c r="C98" t="s">
        <v>3681</v>
      </c>
      <c r="D98" t="s">
        <v>3680</v>
      </c>
      <c r="F98" t="s">
        <v>3679</v>
      </c>
      <c r="G98" t="s">
        <v>16</v>
      </c>
      <c r="H98" t="s">
        <v>15</v>
      </c>
      <c r="I98" t="s">
        <v>3678</v>
      </c>
      <c r="N98">
        <v>1</v>
      </c>
      <c r="O98" t="s">
        <v>3677</v>
      </c>
      <c r="P98">
        <v>16477462400</v>
      </c>
      <c r="R98" s="6">
        <v>29587</v>
      </c>
      <c r="S98" s="7">
        <f t="shared" si="8"/>
        <v>1981</v>
      </c>
      <c r="T98" s="7">
        <v>1981</v>
      </c>
      <c r="U98" s="7">
        <f t="shared" si="9"/>
        <v>41</v>
      </c>
      <c r="V98" s="6">
        <v>1981</v>
      </c>
      <c r="W98" t="s">
        <v>3676</v>
      </c>
      <c r="X98" s="2" t="s">
        <v>0</v>
      </c>
      <c r="Y98" s="5" t="e">
        <f t="shared" si="14"/>
        <v>#VALUE!</v>
      </c>
      <c r="AA98">
        <v>2700255</v>
      </c>
      <c r="AB98">
        <v>38292</v>
      </c>
      <c r="AD98" t="s">
        <v>5</v>
      </c>
      <c r="AE98">
        <v>2</v>
      </c>
      <c r="AF98">
        <v>4</v>
      </c>
      <c r="AH98" t="s">
        <v>3675</v>
      </c>
      <c r="AI98" t="s">
        <v>3674</v>
      </c>
      <c r="AK98" t="s">
        <v>3673</v>
      </c>
      <c r="AL98">
        <v>1</v>
      </c>
      <c r="AM98" s="4">
        <f t="shared" si="10"/>
        <v>2.4390243902439025E-2</v>
      </c>
      <c r="AN98" s="21">
        <f t="shared" si="15"/>
        <v>3.6940922230123474E-5</v>
      </c>
      <c r="AO98" s="3"/>
      <c r="AP98">
        <v>1</v>
      </c>
      <c r="AR98" t="s">
        <v>1</v>
      </c>
      <c r="AT98" s="2" t="s">
        <v>0</v>
      </c>
      <c r="AU98" s="1" t="e">
        <f t="shared" si="11"/>
        <v>#VALUE!</v>
      </c>
      <c r="AV98" s="1" t="e">
        <f t="shared" si="12"/>
        <v>#VALUE!</v>
      </c>
      <c r="AW98" s="1" t="e">
        <f t="shared" si="13"/>
        <v>#VALUE!</v>
      </c>
    </row>
    <row r="99" spans="1:49" x14ac:dyDescent="0.2">
      <c r="A99">
        <v>97</v>
      </c>
      <c r="B99" t="s">
        <v>3672</v>
      </c>
      <c r="C99" t="s">
        <v>3671</v>
      </c>
      <c r="D99">
        <v>273117781903082</v>
      </c>
      <c r="F99" t="s">
        <v>3670</v>
      </c>
      <c r="G99" t="s">
        <v>16</v>
      </c>
      <c r="H99" t="s">
        <v>15</v>
      </c>
      <c r="I99" t="s">
        <v>3669</v>
      </c>
      <c r="J99">
        <v>106060455</v>
      </c>
      <c r="K99" t="s">
        <v>3668</v>
      </c>
      <c r="L99" t="s">
        <v>3667</v>
      </c>
      <c r="M99" t="s">
        <v>678</v>
      </c>
      <c r="N99">
        <v>1</v>
      </c>
      <c r="O99" t="s">
        <v>3666</v>
      </c>
      <c r="P99">
        <v>7103354742</v>
      </c>
      <c r="Q99">
        <v>106060455</v>
      </c>
      <c r="R99" s="6">
        <v>29587</v>
      </c>
      <c r="S99" s="7">
        <f t="shared" si="8"/>
        <v>1981</v>
      </c>
      <c r="T99" s="7">
        <v>1981</v>
      </c>
      <c r="U99" s="7">
        <f t="shared" si="9"/>
        <v>41</v>
      </c>
      <c r="V99" s="6">
        <v>1981</v>
      </c>
      <c r="W99" t="s">
        <v>190</v>
      </c>
      <c r="X99" s="2">
        <v>0.68200000000000005</v>
      </c>
      <c r="Y99" s="5">
        <f t="shared" si="14"/>
        <v>1.8205600491177493E-2</v>
      </c>
      <c r="AA99">
        <v>2731177</v>
      </c>
      <c r="AB99">
        <v>12375</v>
      </c>
      <c r="AD99" t="s">
        <v>5</v>
      </c>
      <c r="AE99">
        <v>1</v>
      </c>
      <c r="AF99">
        <v>2</v>
      </c>
      <c r="AH99" t="s">
        <v>3665</v>
      </c>
      <c r="AI99" t="s">
        <v>3664</v>
      </c>
      <c r="AK99" t="s">
        <v>3663</v>
      </c>
      <c r="AL99">
        <v>1</v>
      </c>
      <c r="AM99" s="4">
        <f t="shared" si="10"/>
        <v>2.4390243902439025E-2</v>
      </c>
      <c r="AN99" s="21">
        <f t="shared" si="15"/>
        <v>3.6940922230123474E-5</v>
      </c>
      <c r="AO99" s="3"/>
      <c r="AP99">
        <v>0</v>
      </c>
      <c r="AR99" t="s">
        <v>1</v>
      </c>
      <c r="AT99" s="2">
        <v>2.1520000000000001</v>
      </c>
      <c r="AU99" s="1">
        <f t="shared" si="11"/>
        <v>1.2755002620493281</v>
      </c>
      <c r="AV99" s="1">
        <f t="shared" si="12"/>
        <v>0.9121270706703809</v>
      </c>
      <c r="AW99" s="1">
        <f t="shared" si="13"/>
        <v>0.54875387929143338</v>
      </c>
    </row>
    <row r="100" spans="1:49" x14ac:dyDescent="0.2">
      <c r="A100">
        <v>98</v>
      </c>
      <c r="B100" t="s">
        <v>3662</v>
      </c>
      <c r="C100" t="s">
        <v>3661</v>
      </c>
      <c r="D100" t="s">
        <v>3660</v>
      </c>
      <c r="F100" t="s">
        <v>3659</v>
      </c>
      <c r="G100" t="s">
        <v>16</v>
      </c>
      <c r="H100" t="s">
        <v>15</v>
      </c>
      <c r="I100" t="s">
        <v>3658</v>
      </c>
      <c r="J100">
        <v>60012708</v>
      </c>
      <c r="K100" t="s">
        <v>3439</v>
      </c>
      <c r="L100" t="s">
        <v>3438</v>
      </c>
      <c r="M100" t="s">
        <v>11</v>
      </c>
      <c r="N100">
        <v>4</v>
      </c>
      <c r="O100" t="s">
        <v>3657</v>
      </c>
      <c r="P100" t="s">
        <v>3656</v>
      </c>
      <c r="Q100" t="s">
        <v>3435</v>
      </c>
      <c r="R100" s="6">
        <v>29587</v>
      </c>
      <c r="S100" s="7">
        <f t="shared" si="8"/>
        <v>1981</v>
      </c>
      <c r="T100" s="7">
        <v>1981</v>
      </c>
      <c r="U100" s="7">
        <f t="shared" si="9"/>
        <v>41</v>
      </c>
      <c r="V100" s="6" t="s">
        <v>3655</v>
      </c>
      <c r="W100" t="s">
        <v>3654</v>
      </c>
      <c r="X100" s="2" t="s">
        <v>0</v>
      </c>
      <c r="Y100" s="5" t="e">
        <f t="shared" si="14"/>
        <v>#VALUE!</v>
      </c>
      <c r="AA100">
        <v>3784363</v>
      </c>
      <c r="AB100">
        <v>33292</v>
      </c>
      <c r="AD100" t="s">
        <v>5</v>
      </c>
      <c r="AE100">
        <v>107</v>
      </c>
      <c r="AF100" s="8">
        <v>44256</v>
      </c>
      <c r="AH100" t="s">
        <v>3653</v>
      </c>
      <c r="AI100" t="s">
        <v>3652</v>
      </c>
      <c r="AK100" t="s">
        <v>3651</v>
      </c>
      <c r="AL100">
        <v>5</v>
      </c>
      <c r="AM100" s="4">
        <f t="shared" si="10"/>
        <v>0.12195121951219512</v>
      </c>
      <c r="AN100" s="21">
        <f t="shared" si="15"/>
        <v>1.8470461115061736E-4</v>
      </c>
      <c r="AO100" s="3"/>
      <c r="AP100">
        <v>0</v>
      </c>
      <c r="AR100" t="s">
        <v>1</v>
      </c>
      <c r="AT100" s="2" t="s">
        <v>0</v>
      </c>
      <c r="AU100" s="1" t="e">
        <f t="shared" si="11"/>
        <v>#VALUE!</v>
      </c>
      <c r="AV100" s="1" t="e">
        <f t="shared" si="12"/>
        <v>#VALUE!</v>
      </c>
      <c r="AW100" s="1" t="e">
        <f t="shared" si="13"/>
        <v>#VALUE!</v>
      </c>
    </row>
    <row r="101" spans="1:49" x14ac:dyDescent="0.2">
      <c r="A101">
        <v>99</v>
      </c>
      <c r="B101" t="s">
        <v>3650</v>
      </c>
      <c r="C101" t="s">
        <v>3649</v>
      </c>
      <c r="D101" t="s">
        <v>3648</v>
      </c>
      <c r="F101" t="s">
        <v>3647</v>
      </c>
      <c r="G101" t="s">
        <v>16</v>
      </c>
      <c r="H101" t="s">
        <v>15</v>
      </c>
      <c r="I101" t="s">
        <v>3646</v>
      </c>
      <c r="J101">
        <v>60032179</v>
      </c>
      <c r="K101" t="s">
        <v>3041</v>
      </c>
      <c r="L101" t="s">
        <v>3040</v>
      </c>
      <c r="M101" t="s">
        <v>11</v>
      </c>
      <c r="N101">
        <v>2</v>
      </c>
      <c r="O101" t="s">
        <v>3645</v>
      </c>
      <c r="P101" t="s">
        <v>3644</v>
      </c>
      <c r="Q101" t="s">
        <v>3037</v>
      </c>
      <c r="R101" s="6">
        <v>29587</v>
      </c>
      <c r="S101" s="7">
        <f t="shared" si="8"/>
        <v>1981</v>
      </c>
      <c r="T101" s="7">
        <v>1981</v>
      </c>
      <c r="U101" s="7">
        <f t="shared" si="9"/>
        <v>41</v>
      </c>
      <c r="V101" s="6">
        <v>1981</v>
      </c>
      <c r="W101" t="s">
        <v>3643</v>
      </c>
      <c r="X101" s="2" t="s">
        <v>0</v>
      </c>
      <c r="Y101" s="5" t="e">
        <f t="shared" si="14"/>
        <v>#VALUE!</v>
      </c>
      <c r="AA101">
        <v>201790</v>
      </c>
      <c r="AB101">
        <v>9800153163</v>
      </c>
      <c r="AD101" t="s">
        <v>5</v>
      </c>
      <c r="AE101">
        <v>11</v>
      </c>
      <c r="AF101">
        <v>6</v>
      </c>
      <c r="AH101" t="s">
        <v>3642</v>
      </c>
      <c r="AI101" t="s">
        <v>3641</v>
      </c>
      <c r="AJ101" t="s">
        <v>3640</v>
      </c>
      <c r="AK101" t="s">
        <v>3639</v>
      </c>
      <c r="AL101">
        <v>5</v>
      </c>
      <c r="AM101" s="4">
        <f t="shared" si="10"/>
        <v>0.12195121951219512</v>
      </c>
      <c r="AN101" s="21">
        <f t="shared" si="15"/>
        <v>1.8470461115061736E-4</v>
      </c>
      <c r="AO101" s="3"/>
      <c r="AP101">
        <v>0</v>
      </c>
      <c r="AR101" t="s">
        <v>1</v>
      </c>
      <c r="AT101" s="2" t="s">
        <v>0</v>
      </c>
      <c r="AU101" s="1" t="e">
        <f t="shared" si="11"/>
        <v>#VALUE!</v>
      </c>
      <c r="AV101" s="1" t="e">
        <f t="shared" si="12"/>
        <v>#VALUE!</v>
      </c>
      <c r="AW101" s="1" t="e">
        <f t="shared" si="13"/>
        <v>#VALUE!</v>
      </c>
    </row>
    <row r="102" spans="1:49" x14ac:dyDescent="0.2">
      <c r="A102">
        <v>100</v>
      </c>
      <c r="B102" t="s">
        <v>3638</v>
      </c>
      <c r="C102" t="s">
        <v>3637</v>
      </c>
      <c r="F102" t="s">
        <v>3636</v>
      </c>
      <c r="G102" t="s">
        <v>16</v>
      </c>
      <c r="H102" t="s">
        <v>15</v>
      </c>
      <c r="I102" t="s">
        <v>3635</v>
      </c>
      <c r="J102">
        <v>60024185</v>
      </c>
      <c r="K102" t="s">
        <v>3634</v>
      </c>
      <c r="L102" t="s">
        <v>3633</v>
      </c>
      <c r="M102" t="s">
        <v>11</v>
      </c>
      <c r="N102">
        <v>1</v>
      </c>
      <c r="O102" t="s">
        <v>3632</v>
      </c>
      <c r="P102">
        <v>6602324891</v>
      </c>
      <c r="Q102">
        <v>60024185</v>
      </c>
      <c r="R102" s="6">
        <v>29587</v>
      </c>
      <c r="S102" s="7">
        <f t="shared" si="8"/>
        <v>1981</v>
      </c>
      <c r="T102" s="7">
        <v>1981</v>
      </c>
      <c r="U102" s="7">
        <f t="shared" si="9"/>
        <v>41</v>
      </c>
      <c r="V102" s="6">
        <v>29891</v>
      </c>
      <c r="W102" t="s">
        <v>235</v>
      </c>
      <c r="X102" s="2">
        <v>1.6519999999999999</v>
      </c>
      <c r="Y102" s="5">
        <f t="shared" si="14"/>
        <v>4.409919649769093E-2</v>
      </c>
      <c r="AA102" t="s">
        <v>234</v>
      </c>
      <c r="AB102">
        <v>17337</v>
      </c>
      <c r="AC102">
        <v>15582221</v>
      </c>
      <c r="AD102" t="s">
        <v>5</v>
      </c>
      <c r="AE102">
        <v>29</v>
      </c>
      <c r="AF102">
        <v>6</v>
      </c>
      <c r="AH102" t="s">
        <v>3631</v>
      </c>
      <c r="AI102" t="s">
        <v>3630</v>
      </c>
      <c r="AK102" t="s">
        <v>3629</v>
      </c>
      <c r="AL102">
        <v>8</v>
      </c>
      <c r="AM102" s="4">
        <f t="shared" si="10"/>
        <v>0.1951219512195122</v>
      </c>
      <c r="AN102" s="21">
        <f t="shared" si="15"/>
        <v>2.9552737784098779E-4</v>
      </c>
      <c r="AO102" s="3"/>
      <c r="AP102">
        <v>0</v>
      </c>
      <c r="AR102" t="s">
        <v>1</v>
      </c>
      <c r="AT102" s="2" t="s">
        <v>0</v>
      </c>
      <c r="AU102" s="1">
        <f t="shared" si="11"/>
        <v>3.0958095761735946</v>
      </c>
      <c r="AV102" s="1">
        <f t="shared" si="12"/>
        <v>2.2197361937765958</v>
      </c>
      <c r="AW102" s="1">
        <f t="shared" si="13"/>
        <v>1.343662811379597</v>
      </c>
    </row>
    <row r="103" spans="1:49" x14ac:dyDescent="0.2">
      <c r="A103">
        <v>101</v>
      </c>
      <c r="B103" t="s">
        <v>3628</v>
      </c>
      <c r="C103" t="s">
        <v>3627</v>
      </c>
      <c r="F103" t="s">
        <v>3626</v>
      </c>
      <c r="G103" t="s">
        <v>16</v>
      </c>
      <c r="H103" t="s">
        <v>15</v>
      </c>
      <c r="I103" t="s">
        <v>3625</v>
      </c>
      <c r="J103">
        <v>60025272</v>
      </c>
      <c r="K103" t="s">
        <v>3457</v>
      </c>
      <c r="L103" t="s">
        <v>313</v>
      </c>
      <c r="M103" t="s">
        <v>312</v>
      </c>
      <c r="N103">
        <v>4</v>
      </c>
      <c r="O103" t="s">
        <v>3624</v>
      </c>
      <c r="P103" t="s">
        <v>3623</v>
      </c>
      <c r="Q103" t="s">
        <v>3622</v>
      </c>
      <c r="R103" s="6">
        <v>29587</v>
      </c>
      <c r="S103" s="7">
        <f t="shared" si="8"/>
        <v>1981</v>
      </c>
      <c r="T103" s="7">
        <v>1981</v>
      </c>
      <c r="U103" s="7">
        <f t="shared" si="9"/>
        <v>41</v>
      </c>
      <c r="V103" s="6">
        <v>29768</v>
      </c>
      <c r="W103" t="s">
        <v>699</v>
      </c>
      <c r="X103" s="2">
        <v>0.371</v>
      </c>
      <c r="Y103" s="5">
        <f t="shared" si="14"/>
        <v>9.9036331117695747E-3</v>
      </c>
      <c r="AA103">
        <v>214922</v>
      </c>
      <c r="AB103">
        <v>130262</v>
      </c>
      <c r="AC103">
        <v>13474065</v>
      </c>
      <c r="AD103" t="s">
        <v>5</v>
      </c>
      <c r="AE103">
        <v>20</v>
      </c>
      <c r="AF103">
        <v>7</v>
      </c>
      <c r="AH103" t="s">
        <v>3621</v>
      </c>
      <c r="AI103" t="s">
        <v>3620</v>
      </c>
      <c r="AK103" t="s">
        <v>3619</v>
      </c>
      <c r="AL103">
        <v>8</v>
      </c>
      <c r="AM103" s="4">
        <f t="shared" si="10"/>
        <v>0.1951219512195122</v>
      </c>
      <c r="AN103" s="21">
        <f t="shared" si="15"/>
        <v>2.9552737784098779E-4</v>
      </c>
      <c r="AO103" s="3"/>
      <c r="AP103">
        <v>0</v>
      </c>
      <c r="AR103" t="s">
        <v>1</v>
      </c>
      <c r="AT103" s="2">
        <v>1.48</v>
      </c>
      <c r="AU103" s="1">
        <f t="shared" si="11"/>
        <v>0.70212013915909977</v>
      </c>
      <c r="AV103" s="1">
        <f t="shared" si="12"/>
        <v>0.50995802448052818</v>
      </c>
      <c r="AW103" s="1">
        <f t="shared" si="13"/>
        <v>0.31779590980195638</v>
      </c>
    </row>
    <row r="104" spans="1:49" x14ac:dyDescent="0.2">
      <c r="A104">
        <v>102</v>
      </c>
      <c r="B104" t="s">
        <v>3618</v>
      </c>
      <c r="C104" t="s">
        <v>3617</v>
      </c>
      <c r="D104" t="s">
        <v>3616</v>
      </c>
      <c r="F104" t="s">
        <v>3615</v>
      </c>
      <c r="G104" t="s">
        <v>16</v>
      </c>
      <c r="H104" t="s">
        <v>15</v>
      </c>
      <c r="I104" t="s">
        <v>3614</v>
      </c>
      <c r="J104">
        <v>60031004</v>
      </c>
      <c r="K104" t="s">
        <v>2483</v>
      </c>
      <c r="L104" t="s">
        <v>2482</v>
      </c>
      <c r="M104" t="s">
        <v>2481</v>
      </c>
      <c r="N104">
        <v>1</v>
      </c>
      <c r="O104" t="s">
        <v>3613</v>
      </c>
      <c r="P104">
        <v>24356044800</v>
      </c>
      <c r="Q104">
        <v>60031004</v>
      </c>
      <c r="R104" s="6">
        <v>29587</v>
      </c>
      <c r="S104" s="7">
        <f t="shared" si="8"/>
        <v>1981</v>
      </c>
      <c r="T104" s="7">
        <v>1981</v>
      </c>
      <c r="U104" s="7">
        <f t="shared" si="9"/>
        <v>41</v>
      </c>
      <c r="V104" s="6">
        <v>29860</v>
      </c>
      <c r="W104" t="s">
        <v>90</v>
      </c>
      <c r="X104" s="2">
        <v>0.51500000000000001</v>
      </c>
      <c r="Y104" s="5">
        <f t="shared" si="14"/>
        <v>1.374763086943755E-2</v>
      </c>
      <c r="AA104">
        <v>219169</v>
      </c>
      <c r="AB104">
        <v>30966</v>
      </c>
      <c r="AD104" t="s">
        <v>5</v>
      </c>
      <c r="AE104">
        <v>43</v>
      </c>
      <c r="AF104">
        <v>10</v>
      </c>
      <c r="AH104" t="s">
        <v>3612</v>
      </c>
      <c r="AI104" t="s">
        <v>3611</v>
      </c>
      <c r="AK104" t="s">
        <v>3610</v>
      </c>
      <c r="AL104">
        <v>11</v>
      </c>
      <c r="AM104" s="4">
        <f t="shared" si="10"/>
        <v>0.26829268292682928</v>
      </c>
      <c r="AN104" s="21">
        <f t="shared" si="15"/>
        <v>4.0635014453135827E-4</v>
      </c>
      <c r="AO104" s="3"/>
      <c r="AP104">
        <v>0</v>
      </c>
      <c r="AQ104" t="s">
        <v>3609</v>
      </c>
      <c r="AR104" t="s">
        <v>1</v>
      </c>
      <c r="AS104" t="s">
        <v>3608</v>
      </c>
      <c r="AT104" s="2" t="s">
        <v>0</v>
      </c>
      <c r="AU104" s="1">
        <f t="shared" si="11"/>
        <v>0.97452466519656911</v>
      </c>
      <c r="AV104" s="1">
        <f t="shared" si="12"/>
        <v>0.70769905069844541</v>
      </c>
      <c r="AW104" s="1">
        <f t="shared" si="13"/>
        <v>0.44087343620032154</v>
      </c>
    </row>
    <row r="105" spans="1:49" x14ac:dyDescent="0.2">
      <c r="A105">
        <v>103</v>
      </c>
      <c r="B105" t="s">
        <v>3607</v>
      </c>
      <c r="C105" t="s">
        <v>3606</v>
      </c>
      <c r="F105" t="s">
        <v>3605</v>
      </c>
      <c r="G105" t="s">
        <v>16</v>
      </c>
      <c r="H105" t="s">
        <v>15</v>
      </c>
      <c r="I105" t="s">
        <v>3604</v>
      </c>
      <c r="J105">
        <v>60025038</v>
      </c>
      <c r="K105" t="s">
        <v>3603</v>
      </c>
      <c r="L105" t="s">
        <v>3480</v>
      </c>
      <c r="M105" t="s">
        <v>11</v>
      </c>
      <c r="N105">
        <v>1</v>
      </c>
      <c r="O105" t="s">
        <v>3602</v>
      </c>
      <c r="P105">
        <v>7005427293</v>
      </c>
      <c r="Q105">
        <v>60025038</v>
      </c>
      <c r="R105" s="6">
        <v>29587</v>
      </c>
      <c r="S105" s="7">
        <f t="shared" si="8"/>
        <v>1981</v>
      </c>
      <c r="T105" s="7">
        <v>1981</v>
      </c>
      <c r="U105" s="7">
        <f t="shared" si="9"/>
        <v>41</v>
      </c>
      <c r="V105" s="6">
        <v>1981</v>
      </c>
      <c r="W105" t="s">
        <v>3601</v>
      </c>
      <c r="X105" s="2">
        <v>3.6880000000000002</v>
      </c>
      <c r="Y105" s="5">
        <f t="shared" si="14"/>
        <v>9.8449053682496471E-2</v>
      </c>
      <c r="AA105">
        <v>319007</v>
      </c>
      <c r="AB105">
        <v>29150</v>
      </c>
      <c r="AD105" t="s">
        <v>5</v>
      </c>
      <c r="AE105">
        <v>47</v>
      </c>
      <c r="AF105">
        <v>7</v>
      </c>
      <c r="AH105" t="s">
        <v>3600</v>
      </c>
      <c r="AI105" t="s">
        <v>3599</v>
      </c>
      <c r="AK105" t="s">
        <v>3598</v>
      </c>
      <c r="AL105">
        <v>30</v>
      </c>
      <c r="AM105" s="4">
        <f t="shared" si="10"/>
        <v>0.73170731707317072</v>
      </c>
      <c r="AN105" s="21">
        <f t="shared" si="15"/>
        <v>1.1082276669037042E-3</v>
      </c>
      <c r="AO105" s="3"/>
      <c r="AP105">
        <v>0</v>
      </c>
      <c r="AR105" t="s">
        <v>1</v>
      </c>
      <c r="AT105" s="2">
        <v>9.1609999999999996</v>
      </c>
      <c r="AU105" s="1">
        <f t="shared" si="11"/>
        <v>6.9246805877818636</v>
      </c>
      <c r="AV105" s="1">
        <f t="shared" si="12"/>
        <v>4.9778640674700085</v>
      </c>
      <c r="AW105" s="1">
        <f t="shared" si="13"/>
        <v>3.0310475471581535</v>
      </c>
    </row>
    <row r="106" spans="1:49" x14ac:dyDescent="0.2">
      <c r="A106">
        <v>104</v>
      </c>
      <c r="B106" t="s">
        <v>3597</v>
      </c>
      <c r="C106" t="s">
        <v>3596</v>
      </c>
      <c r="F106" t="s">
        <v>3595</v>
      </c>
      <c r="G106" t="s">
        <v>16</v>
      </c>
      <c r="H106" t="s">
        <v>15</v>
      </c>
      <c r="I106" t="s">
        <v>3594</v>
      </c>
      <c r="J106">
        <v>60012317</v>
      </c>
      <c r="K106" t="s">
        <v>3593</v>
      </c>
      <c r="L106" t="s">
        <v>3592</v>
      </c>
      <c r="M106" t="s">
        <v>11</v>
      </c>
      <c r="N106">
        <v>1</v>
      </c>
      <c r="O106" t="s">
        <v>3591</v>
      </c>
      <c r="P106">
        <v>6603846141</v>
      </c>
      <c r="Q106">
        <v>60012317</v>
      </c>
      <c r="R106" s="6">
        <v>29587</v>
      </c>
      <c r="S106" s="7">
        <f t="shared" si="8"/>
        <v>1981</v>
      </c>
      <c r="T106" s="7">
        <v>1981</v>
      </c>
      <c r="U106" s="7">
        <f t="shared" si="9"/>
        <v>41</v>
      </c>
      <c r="V106" s="6">
        <v>1981</v>
      </c>
      <c r="W106" t="s">
        <v>3590</v>
      </c>
      <c r="X106" s="2" t="s">
        <v>0</v>
      </c>
      <c r="Y106" s="5" t="e">
        <f t="shared" si="14"/>
        <v>#VALUE!</v>
      </c>
      <c r="AA106">
        <v>219606</v>
      </c>
      <c r="AB106">
        <v>28134</v>
      </c>
      <c r="AD106" t="s">
        <v>5</v>
      </c>
      <c r="AE106">
        <v>75</v>
      </c>
      <c r="AF106">
        <v>12</v>
      </c>
      <c r="AH106" t="s">
        <v>3589</v>
      </c>
      <c r="AI106" t="s">
        <v>3588</v>
      </c>
      <c r="AK106" t="s">
        <v>3587</v>
      </c>
      <c r="AL106">
        <v>6</v>
      </c>
      <c r="AM106" s="4">
        <f t="shared" si="10"/>
        <v>0.14634146341463414</v>
      </c>
      <c r="AN106" s="21">
        <f t="shared" si="15"/>
        <v>2.2164553338074083E-4</v>
      </c>
      <c r="AO106" s="3"/>
      <c r="AP106">
        <v>0</v>
      </c>
      <c r="AR106" t="s">
        <v>1</v>
      </c>
      <c r="AT106" s="2" t="s">
        <v>0</v>
      </c>
      <c r="AU106" s="1" t="e">
        <f t="shared" si="11"/>
        <v>#VALUE!</v>
      </c>
      <c r="AV106" s="1" t="e">
        <f t="shared" si="12"/>
        <v>#VALUE!</v>
      </c>
      <c r="AW106" s="1" t="e">
        <f t="shared" si="13"/>
        <v>#VALUE!</v>
      </c>
    </row>
    <row r="107" spans="1:49" x14ac:dyDescent="0.2">
      <c r="A107">
        <v>105</v>
      </c>
      <c r="B107" t="s">
        <v>3586</v>
      </c>
      <c r="C107" t="s">
        <v>3585</v>
      </c>
      <c r="F107" t="s">
        <v>3584</v>
      </c>
      <c r="G107" t="s">
        <v>16</v>
      </c>
      <c r="H107" t="s">
        <v>15</v>
      </c>
      <c r="I107" t="s">
        <v>3583</v>
      </c>
      <c r="J107">
        <v>60007801</v>
      </c>
      <c r="K107" t="s">
        <v>3582</v>
      </c>
      <c r="L107" t="s">
        <v>3581</v>
      </c>
      <c r="M107" t="s">
        <v>11</v>
      </c>
      <c r="N107">
        <v>1</v>
      </c>
      <c r="O107" t="s">
        <v>3580</v>
      </c>
      <c r="P107">
        <v>7006776374</v>
      </c>
      <c r="Q107">
        <v>60007801</v>
      </c>
      <c r="R107" s="6">
        <v>29587</v>
      </c>
      <c r="S107" s="7">
        <f t="shared" si="8"/>
        <v>1981</v>
      </c>
      <c r="T107" s="7">
        <v>1981</v>
      </c>
      <c r="U107" s="7">
        <f t="shared" si="9"/>
        <v>41</v>
      </c>
      <c r="V107" s="6">
        <v>1981</v>
      </c>
      <c r="W107" t="s">
        <v>3571</v>
      </c>
      <c r="X107" s="2">
        <v>0.70799999999999996</v>
      </c>
      <c r="Y107" s="5">
        <f t="shared" si="14"/>
        <v>1.8899655641867543E-2</v>
      </c>
      <c r="AA107">
        <v>222488</v>
      </c>
      <c r="AB107">
        <v>28544</v>
      </c>
      <c r="AD107" t="s">
        <v>5</v>
      </c>
      <c r="AE107">
        <v>23</v>
      </c>
      <c r="AF107">
        <v>9</v>
      </c>
      <c r="AH107" t="s">
        <v>3579</v>
      </c>
      <c r="AI107" t="s">
        <v>3578</v>
      </c>
      <c r="AK107" t="s">
        <v>3577</v>
      </c>
      <c r="AL107">
        <v>1</v>
      </c>
      <c r="AM107" s="4">
        <f t="shared" si="10"/>
        <v>2.4390243902439025E-2</v>
      </c>
      <c r="AN107" s="21">
        <f t="shared" si="15"/>
        <v>3.6940922230123474E-5</v>
      </c>
      <c r="AO107" s="3"/>
      <c r="AP107">
        <v>0</v>
      </c>
      <c r="AR107" t="s">
        <v>1</v>
      </c>
      <c r="AT107" s="2">
        <v>1.488</v>
      </c>
      <c r="AU107" s="1">
        <f t="shared" si="11"/>
        <v>1.3240841225976316</v>
      </c>
      <c r="AV107" s="1">
        <f t="shared" si="12"/>
        <v>0.94682982820488337</v>
      </c>
      <c r="AW107" s="1">
        <f t="shared" si="13"/>
        <v>0.56957553381213488</v>
      </c>
    </row>
    <row r="108" spans="1:49" x14ac:dyDescent="0.2">
      <c r="A108">
        <v>106</v>
      </c>
      <c r="B108" t="s">
        <v>3576</v>
      </c>
      <c r="C108" t="s">
        <v>3575</v>
      </c>
      <c r="F108" t="s">
        <v>3574</v>
      </c>
      <c r="G108" t="s">
        <v>16</v>
      </c>
      <c r="H108" t="s">
        <v>15</v>
      </c>
      <c r="I108" t="s">
        <v>3573</v>
      </c>
      <c r="J108">
        <v>60001439</v>
      </c>
      <c r="K108" t="s">
        <v>1574</v>
      </c>
      <c r="L108" t="s">
        <v>1573</v>
      </c>
      <c r="M108" t="s">
        <v>11</v>
      </c>
      <c r="N108">
        <v>1</v>
      </c>
      <c r="O108" t="s">
        <v>3572</v>
      </c>
      <c r="P108">
        <v>7202271239</v>
      </c>
      <c r="Q108">
        <v>60001439</v>
      </c>
      <c r="R108" s="6">
        <v>29587</v>
      </c>
      <c r="S108" s="7">
        <f t="shared" si="8"/>
        <v>1981</v>
      </c>
      <c r="T108" s="7">
        <v>1981</v>
      </c>
      <c r="U108" s="7">
        <f t="shared" si="9"/>
        <v>41</v>
      </c>
      <c r="V108" s="6">
        <v>1981</v>
      </c>
      <c r="W108" t="s">
        <v>3571</v>
      </c>
      <c r="X108" s="2">
        <v>0.70799999999999996</v>
      </c>
      <c r="Y108" s="5">
        <f t="shared" si="14"/>
        <v>1.8899655641867543E-2</v>
      </c>
      <c r="AA108">
        <v>222488</v>
      </c>
      <c r="AB108">
        <v>28544</v>
      </c>
      <c r="AD108" t="s">
        <v>5</v>
      </c>
      <c r="AE108">
        <v>23</v>
      </c>
      <c r="AF108">
        <v>5</v>
      </c>
      <c r="AH108" t="s">
        <v>3570</v>
      </c>
      <c r="AI108" t="s">
        <v>3569</v>
      </c>
      <c r="AK108" t="s">
        <v>3568</v>
      </c>
      <c r="AL108">
        <v>13</v>
      </c>
      <c r="AM108" s="4">
        <f t="shared" si="10"/>
        <v>0.31707317073170732</v>
      </c>
      <c r="AN108" s="21">
        <f t="shared" si="15"/>
        <v>4.8023198899160521E-4</v>
      </c>
      <c r="AO108" s="3"/>
      <c r="AP108">
        <v>0</v>
      </c>
      <c r="AR108" t="s">
        <v>1</v>
      </c>
      <c r="AT108" s="2">
        <v>1.488</v>
      </c>
      <c r="AU108" s="1">
        <f t="shared" si="11"/>
        <v>1.3373828546004762</v>
      </c>
      <c r="AV108" s="1">
        <f t="shared" si="12"/>
        <v>0.96899438154295736</v>
      </c>
      <c r="AW108" s="1">
        <f t="shared" si="13"/>
        <v>0.6006059084854386</v>
      </c>
    </row>
    <row r="109" spans="1:49" x14ac:dyDescent="0.2">
      <c r="A109">
        <v>107</v>
      </c>
      <c r="B109" t="s">
        <v>3567</v>
      </c>
      <c r="C109" t="s">
        <v>3566</v>
      </c>
      <c r="F109" t="s">
        <v>3565</v>
      </c>
      <c r="G109" t="s">
        <v>16</v>
      </c>
      <c r="H109" t="s">
        <v>15</v>
      </c>
      <c r="I109" t="s">
        <v>3564</v>
      </c>
      <c r="J109">
        <v>60011976</v>
      </c>
      <c r="K109" t="s">
        <v>3563</v>
      </c>
      <c r="L109" t="s">
        <v>3562</v>
      </c>
      <c r="M109" t="s">
        <v>11</v>
      </c>
      <c r="N109">
        <v>2</v>
      </c>
      <c r="O109" t="s">
        <v>3561</v>
      </c>
      <c r="P109" t="s">
        <v>3560</v>
      </c>
      <c r="Q109" t="s">
        <v>3559</v>
      </c>
      <c r="R109" s="6">
        <v>29587</v>
      </c>
      <c r="S109" s="7">
        <f t="shared" si="8"/>
        <v>1981</v>
      </c>
      <c r="T109" s="7">
        <v>1981</v>
      </c>
      <c r="U109" s="7">
        <f t="shared" si="9"/>
        <v>41</v>
      </c>
      <c r="V109" s="6">
        <v>29587</v>
      </c>
      <c r="W109" t="s">
        <v>3558</v>
      </c>
      <c r="X109" s="2" t="s">
        <v>0</v>
      </c>
      <c r="Y109" s="5" t="e">
        <f t="shared" si="14"/>
        <v>#VALUE!</v>
      </c>
      <c r="AA109">
        <v>364827</v>
      </c>
      <c r="AB109">
        <v>13626</v>
      </c>
      <c r="AD109" t="s">
        <v>5</v>
      </c>
      <c r="AE109">
        <v>66</v>
      </c>
      <c r="AF109">
        <v>1</v>
      </c>
      <c r="AH109" s="9">
        <v>43282</v>
      </c>
      <c r="AI109" t="s">
        <v>3557</v>
      </c>
      <c r="AK109" t="s">
        <v>3556</v>
      </c>
      <c r="AL109">
        <v>4</v>
      </c>
      <c r="AM109" s="4">
        <f t="shared" si="10"/>
        <v>9.7560975609756101E-2</v>
      </c>
      <c r="AN109" s="21">
        <f t="shared" si="15"/>
        <v>1.477636889204939E-4</v>
      </c>
      <c r="AO109" s="3"/>
      <c r="AP109">
        <v>0</v>
      </c>
      <c r="AR109" t="s">
        <v>1</v>
      </c>
      <c r="AT109" s="2" t="s">
        <v>0</v>
      </c>
      <c r="AU109" s="1" t="e">
        <f t="shared" si="11"/>
        <v>#VALUE!</v>
      </c>
      <c r="AV109" s="1" t="e">
        <f t="shared" si="12"/>
        <v>#VALUE!</v>
      </c>
      <c r="AW109" s="1" t="e">
        <f t="shared" si="13"/>
        <v>#VALUE!</v>
      </c>
    </row>
    <row r="110" spans="1:49" x14ac:dyDescent="0.2">
      <c r="A110">
        <v>108</v>
      </c>
      <c r="B110" t="s">
        <v>3555</v>
      </c>
      <c r="C110" t="s">
        <v>3554</v>
      </c>
      <c r="D110">
        <v>21916981901550</v>
      </c>
      <c r="F110" t="s">
        <v>3553</v>
      </c>
      <c r="G110" t="s">
        <v>16</v>
      </c>
      <c r="H110" t="s">
        <v>15</v>
      </c>
      <c r="I110" t="s">
        <v>3552</v>
      </c>
      <c r="J110">
        <v>60031004</v>
      </c>
      <c r="K110" t="s">
        <v>2483</v>
      </c>
      <c r="L110" t="s">
        <v>2482</v>
      </c>
      <c r="M110" t="s">
        <v>2481</v>
      </c>
      <c r="N110">
        <v>2</v>
      </c>
      <c r="O110" t="s">
        <v>3551</v>
      </c>
      <c r="P110" t="s">
        <v>3550</v>
      </c>
      <c r="Q110" t="s">
        <v>2478</v>
      </c>
      <c r="R110" s="6">
        <v>29587</v>
      </c>
      <c r="S110" s="7">
        <f t="shared" si="8"/>
        <v>1981</v>
      </c>
      <c r="T110" s="7">
        <v>1981</v>
      </c>
      <c r="U110" s="7">
        <f t="shared" si="9"/>
        <v>41</v>
      </c>
      <c r="V110" s="6">
        <v>29921</v>
      </c>
      <c r="W110" t="s">
        <v>90</v>
      </c>
      <c r="X110" s="2">
        <v>0.51500000000000001</v>
      </c>
      <c r="Y110" s="5">
        <f t="shared" si="14"/>
        <v>1.374763086943755E-2</v>
      </c>
      <c r="AA110">
        <v>219169</v>
      </c>
      <c r="AB110">
        <v>30966</v>
      </c>
      <c r="AD110" t="s">
        <v>5</v>
      </c>
      <c r="AE110">
        <v>43</v>
      </c>
      <c r="AF110">
        <v>12</v>
      </c>
      <c r="AH110" t="s">
        <v>3549</v>
      </c>
      <c r="AI110" t="s">
        <v>3548</v>
      </c>
      <c r="AK110" t="s">
        <v>3547</v>
      </c>
      <c r="AL110">
        <v>13</v>
      </c>
      <c r="AM110" s="4">
        <f t="shared" si="10"/>
        <v>0.31707317073170732</v>
      </c>
      <c r="AN110" s="21">
        <f t="shared" si="15"/>
        <v>4.8023198899160521E-4</v>
      </c>
      <c r="AO110" s="3"/>
      <c r="AP110">
        <v>0</v>
      </c>
      <c r="AR110" t="s">
        <v>1</v>
      </c>
      <c r="AS110" t="s">
        <v>3546</v>
      </c>
      <c r="AT110" s="2" t="s">
        <v>0</v>
      </c>
      <c r="AU110" s="1">
        <f t="shared" si="11"/>
        <v>0.97674112053037654</v>
      </c>
      <c r="AV110" s="1">
        <f t="shared" si="12"/>
        <v>0.71139314292145772</v>
      </c>
      <c r="AW110" s="1">
        <f t="shared" si="13"/>
        <v>0.44604516531253885</v>
      </c>
    </row>
    <row r="111" spans="1:49" x14ac:dyDescent="0.2">
      <c r="A111">
        <v>109</v>
      </c>
      <c r="B111" t="s">
        <v>3545</v>
      </c>
      <c r="C111" t="s">
        <v>3544</v>
      </c>
      <c r="D111" t="s">
        <v>3543</v>
      </c>
      <c r="F111" t="s">
        <v>3542</v>
      </c>
      <c r="G111" t="s">
        <v>16</v>
      </c>
      <c r="H111" t="s">
        <v>15</v>
      </c>
      <c r="I111" t="s">
        <v>3541</v>
      </c>
      <c r="J111">
        <v>60006832</v>
      </c>
      <c r="K111" t="s">
        <v>3540</v>
      </c>
      <c r="L111" t="s">
        <v>3539</v>
      </c>
      <c r="M111" t="s">
        <v>11</v>
      </c>
      <c r="N111">
        <v>1</v>
      </c>
      <c r="O111" t="s">
        <v>3538</v>
      </c>
      <c r="P111">
        <v>16424002600</v>
      </c>
      <c r="Q111">
        <v>60006832</v>
      </c>
      <c r="R111" s="6">
        <v>29587</v>
      </c>
      <c r="S111" s="7">
        <f t="shared" si="8"/>
        <v>1981</v>
      </c>
      <c r="T111" s="7">
        <v>1981</v>
      </c>
      <c r="U111" s="7">
        <f t="shared" si="9"/>
        <v>41</v>
      </c>
      <c r="V111" s="6">
        <v>1981</v>
      </c>
      <c r="W111" t="s">
        <v>51</v>
      </c>
      <c r="X111" s="2">
        <v>0.998</v>
      </c>
      <c r="Y111" s="5">
        <f t="shared" si="14"/>
        <v>2.664104001494888E-2</v>
      </c>
      <c r="AA111">
        <v>207322</v>
      </c>
      <c r="AB111">
        <v>90127</v>
      </c>
      <c r="AD111" t="s">
        <v>5</v>
      </c>
      <c r="AE111">
        <v>10</v>
      </c>
      <c r="AF111">
        <v>1</v>
      </c>
      <c r="AH111" t="s">
        <v>3537</v>
      </c>
      <c r="AI111" t="s">
        <v>3536</v>
      </c>
      <c r="AJ111" t="s">
        <v>3535</v>
      </c>
      <c r="AK111" t="s">
        <v>3534</v>
      </c>
      <c r="AL111">
        <v>29</v>
      </c>
      <c r="AM111" s="4">
        <f t="shared" si="10"/>
        <v>0.70731707317073167</v>
      </c>
      <c r="AN111" s="21">
        <f t="shared" si="15"/>
        <v>1.0712867446735807E-3</v>
      </c>
      <c r="AO111" s="3"/>
      <c r="AP111">
        <v>0</v>
      </c>
      <c r="AR111" t="s">
        <v>1</v>
      </c>
      <c r="AT111" s="2" t="s">
        <v>0</v>
      </c>
      <c r="AU111" s="1">
        <f t="shared" si="11"/>
        <v>1.8970114033866292</v>
      </c>
      <c r="AV111" s="1">
        <f t="shared" si="12"/>
        <v>1.385616337981123</v>
      </c>
      <c r="AW111" s="1">
        <f t="shared" si="13"/>
        <v>0.87422127257561699</v>
      </c>
    </row>
    <row r="112" spans="1:49" x14ac:dyDescent="0.2">
      <c r="A112">
        <v>110</v>
      </c>
      <c r="B112" t="s">
        <v>3533</v>
      </c>
      <c r="C112" t="s">
        <v>3532</v>
      </c>
      <c r="F112" t="s">
        <v>3531</v>
      </c>
      <c r="G112" t="s">
        <v>16</v>
      </c>
      <c r="H112" t="s">
        <v>15</v>
      </c>
      <c r="I112" t="s">
        <v>3530</v>
      </c>
      <c r="J112">
        <v>60025352</v>
      </c>
      <c r="K112" t="s">
        <v>144</v>
      </c>
      <c r="L112" t="s">
        <v>40</v>
      </c>
      <c r="M112" t="s">
        <v>39</v>
      </c>
      <c r="N112">
        <v>1</v>
      </c>
      <c r="O112" t="s">
        <v>3529</v>
      </c>
      <c r="P112">
        <v>7402133103</v>
      </c>
      <c r="Q112">
        <v>60025352</v>
      </c>
      <c r="R112" s="6">
        <v>29587</v>
      </c>
      <c r="S112" s="7">
        <f t="shared" si="8"/>
        <v>1981</v>
      </c>
      <c r="T112" s="7">
        <v>1981</v>
      </c>
      <c r="U112" s="7">
        <f t="shared" si="9"/>
        <v>41</v>
      </c>
      <c r="V112" s="6" t="s">
        <v>324</v>
      </c>
      <c r="W112" t="s">
        <v>141</v>
      </c>
      <c r="X112" s="2">
        <v>0.51100000000000001</v>
      </c>
      <c r="Y112" s="5">
        <f t="shared" si="14"/>
        <v>1.3640853153946772E-2</v>
      </c>
      <c r="AA112">
        <v>222933</v>
      </c>
      <c r="AB112">
        <v>29630</v>
      </c>
      <c r="AC112">
        <v>14645262</v>
      </c>
      <c r="AD112" t="s">
        <v>5</v>
      </c>
      <c r="AE112">
        <v>15</v>
      </c>
      <c r="AF112">
        <v>5</v>
      </c>
      <c r="AH112" t="s">
        <v>3528</v>
      </c>
      <c r="AI112" t="s">
        <v>3527</v>
      </c>
      <c r="AK112" t="s">
        <v>3526</v>
      </c>
      <c r="AL112">
        <v>6</v>
      </c>
      <c r="AM112" s="4">
        <f t="shared" si="10"/>
        <v>0.14634146341463414</v>
      </c>
      <c r="AN112" s="21">
        <f t="shared" si="15"/>
        <v>2.2164553338074083E-4</v>
      </c>
      <c r="AO112" s="3"/>
      <c r="AP112">
        <v>0</v>
      </c>
      <c r="AR112" t="s">
        <v>1</v>
      </c>
      <c r="AT112" s="2">
        <v>1.016</v>
      </c>
      <c r="AU112" s="1">
        <f t="shared" si="11"/>
        <v>0.96150908677769631</v>
      </c>
      <c r="AV112" s="1">
        <f t="shared" si="12"/>
        <v>0.69312493436637557</v>
      </c>
      <c r="AW112" s="1">
        <f t="shared" si="13"/>
        <v>0.42474078195505505</v>
      </c>
    </row>
    <row r="113" spans="1:49" x14ac:dyDescent="0.2">
      <c r="A113">
        <v>111</v>
      </c>
      <c r="B113" t="s">
        <v>3525</v>
      </c>
      <c r="C113" t="s">
        <v>3524</v>
      </c>
      <c r="F113" t="s">
        <v>3523</v>
      </c>
      <c r="G113" t="s">
        <v>16</v>
      </c>
      <c r="H113" t="s">
        <v>15</v>
      </c>
      <c r="I113" t="s">
        <v>3522</v>
      </c>
      <c r="J113">
        <v>60014176</v>
      </c>
      <c r="K113" t="s">
        <v>3521</v>
      </c>
      <c r="L113" t="s">
        <v>3520</v>
      </c>
      <c r="M113" t="s">
        <v>39</v>
      </c>
      <c r="N113">
        <v>1</v>
      </c>
      <c r="O113" t="s">
        <v>3519</v>
      </c>
      <c r="P113">
        <v>7403684917</v>
      </c>
      <c r="Q113">
        <v>60014176</v>
      </c>
      <c r="R113" s="6">
        <v>29587</v>
      </c>
      <c r="S113" s="7">
        <f t="shared" si="8"/>
        <v>1981</v>
      </c>
      <c r="T113" s="7">
        <v>1981</v>
      </c>
      <c r="U113" s="7">
        <f t="shared" si="9"/>
        <v>41</v>
      </c>
      <c r="V113" s="6">
        <v>1981</v>
      </c>
      <c r="W113" t="s">
        <v>3518</v>
      </c>
      <c r="X113" s="2">
        <v>0.5</v>
      </c>
      <c r="Y113" s="5">
        <f t="shared" si="14"/>
        <v>1.3347214436347135E-2</v>
      </c>
      <c r="AA113">
        <v>253154</v>
      </c>
      <c r="AB113">
        <v>12162</v>
      </c>
      <c r="AC113">
        <v>14697769</v>
      </c>
      <c r="AD113" t="s">
        <v>5</v>
      </c>
      <c r="AE113">
        <v>61</v>
      </c>
      <c r="AF113">
        <v>3</v>
      </c>
      <c r="AH113" t="s">
        <v>3517</v>
      </c>
      <c r="AI113" t="s">
        <v>3516</v>
      </c>
      <c r="AK113" t="s">
        <v>3515</v>
      </c>
      <c r="AL113">
        <v>7</v>
      </c>
      <c r="AM113" s="4">
        <f t="shared" si="10"/>
        <v>0.17073170731707318</v>
      </c>
      <c r="AN113" s="21">
        <f t="shared" si="15"/>
        <v>2.5858645561086435E-4</v>
      </c>
      <c r="AO113" s="3"/>
      <c r="AP113">
        <v>0</v>
      </c>
      <c r="AR113" t="s">
        <v>1</v>
      </c>
      <c r="AT113" s="2" t="s">
        <v>0</v>
      </c>
      <c r="AU113" s="1">
        <f t="shared" si="11"/>
        <v>0.94206260421262522</v>
      </c>
      <c r="AV113" s="1">
        <f t="shared" si="12"/>
        <v>0.68029004459789999</v>
      </c>
      <c r="AW113" s="1">
        <f t="shared" si="13"/>
        <v>0.41851748498317454</v>
      </c>
    </row>
    <row r="114" spans="1:49" x14ac:dyDescent="0.2">
      <c r="A114">
        <v>112</v>
      </c>
      <c r="B114" t="s">
        <v>3514</v>
      </c>
      <c r="C114" t="s">
        <v>3513</v>
      </c>
      <c r="F114" t="s">
        <v>3512</v>
      </c>
      <c r="G114" t="s">
        <v>16</v>
      </c>
      <c r="H114" t="s">
        <v>15</v>
      </c>
      <c r="I114" t="s">
        <v>3511</v>
      </c>
      <c r="J114">
        <v>60023018</v>
      </c>
      <c r="K114" t="s">
        <v>3510</v>
      </c>
      <c r="L114" t="s">
        <v>3468</v>
      </c>
      <c r="M114" t="s">
        <v>11</v>
      </c>
      <c r="N114">
        <v>1</v>
      </c>
      <c r="O114" t="s">
        <v>3509</v>
      </c>
      <c r="P114">
        <v>6603774140</v>
      </c>
      <c r="Q114">
        <v>60023018</v>
      </c>
      <c r="R114" s="6">
        <v>29587</v>
      </c>
      <c r="S114" s="7">
        <f t="shared" si="8"/>
        <v>1981</v>
      </c>
      <c r="T114" s="7">
        <v>1981</v>
      </c>
      <c r="U114" s="7">
        <f t="shared" si="9"/>
        <v>41</v>
      </c>
      <c r="V114" s="6" t="s">
        <v>350</v>
      </c>
      <c r="W114" t="s">
        <v>141</v>
      </c>
      <c r="X114" s="2">
        <v>0.51100000000000001</v>
      </c>
      <c r="Y114" s="5">
        <f t="shared" si="14"/>
        <v>1.3640853153946772E-2</v>
      </c>
      <c r="AA114">
        <v>222933</v>
      </c>
      <c r="AB114">
        <v>29630</v>
      </c>
      <c r="AC114">
        <v>14645262</v>
      </c>
      <c r="AD114" t="s">
        <v>5</v>
      </c>
      <c r="AE114">
        <v>15</v>
      </c>
      <c r="AF114">
        <v>6</v>
      </c>
      <c r="AH114" t="s">
        <v>3508</v>
      </c>
      <c r="AI114" t="s">
        <v>3507</v>
      </c>
      <c r="AK114" t="s">
        <v>3506</v>
      </c>
      <c r="AL114">
        <v>20</v>
      </c>
      <c r="AM114" s="4">
        <f t="shared" si="10"/>
        <v>0.48780487804878048</v>
      </c>
      <c r="AN114" s="21">
        <f t="shared" si="15"/>
        <v>7.3881844460246945E-4</v>
      </c>
      <c r="AO114" s="3"/>
      <c r="AP114">
        <v>0</v>
      </c>
      <c r="AQ114" t="s">
        <v>75</v>
      </c>
      <c r="AR114" t="s">
        <v>3505</v>
      </c>
      <c r="AS114" t="s">
        <v>74</v>
      </c>
      <c r="AT114" s="2">
        <v>1.016</v>
      </c>
      <c r="AU114" s="1">
        <f t="shared" si="11"/>
        <v>0.977024274114348</v>
      </c>
      <c r="AV114" s="1">
        <f t="shared" si="12"/>
        <v>0.71898357992746209</v>
      </c>
      <c r="AW114" s="1">
        <f t="shared" si="13"/>
        <v>0.46094288574057607</v>
      </c>
    </row>
    <row r="115" spans="1:49" x14ac:dyDescent="0.2">
      <c r="A115">
        <v>113</v>
      </c>
      <c r="B115" t="s">
        <v>3504</v>
      </c>
      <c r="C115" t="s">
        <v>3503</v>
      </c>
      <c r="F115" t="s">
        <v>3502</v>
      </c>
      <c r="G115" t="s">
        <v>16</v>
      </c>
      <c r="H115" t="s">
        <v>15</v>
      </c>
      <c r="I115" t="s">
        <v>3501</v>
      </c>
      <c r="J115" t="s">
        <v>1970</v>
      </c>
      <c r="K115" t="s">
        <v>1969</v>
      </c>
      <c r="L115" t="s">
        <v>1968</v>
      </c>
      <c r="M115" t="s">
        <v>277</v>
      </c>
      <c r="N115">
        <v>3</v>
      </c>
      <c r="O115" t="s">
        <v>3500</v>
      </c>
      <c r="P115" t="s">
        <v>3499</v>
      </c>
      <c r="Q115" t="s">
        <v>3498</v>
      </c>
      <c r="R115" s="6">
        <v>29587</v>
      </c>
      <c r="S115" s="7">
        <f t="shared" si="8"/>
        <v>1981</v>
      </c>
      <c r="T115" s="7">
        <v>1981</v>
      </c>
      <c r="U115" s="7">
        <f t="shared" si="9"/>
        <v>41</v>
      </c>
      <c r="V115" s="6">
        <v>29891</v>
      </c>
      <c r="W115" t="s">
        <v>235</v>
      </c>
      <c r="X115" s="2">
        <v>1.6519999999999999</v>
      </c>
      <c r="Y115" s="5">
        <f t="shared" si="14"/>
        <v>4.409919649769093E-2</v>
      </c>
      <c r="AA115" t="s">
        <v>234</v>
      </c>
      <c r="AB115">
        <v>17337</v>
      </c>
      <c r="AC115">
        <v>15582221</v>
      </c>
      <c r="AD115" t="s">
        <v>5</v>
      </c>
      <c r="AE115">
        <v>29</v>
      </c>
      <c r="AF115">
        <v>6</v>
      </c>
      <c r="AH115" t="s">
        <v>3497</v>
      </c>
      <c r="AI115" t="s">
        <v>3496</v>
      </c>
      <c r="AK115" t="s">
        <v>3495</v>
      </c>
      <c r="AL115">
        <v>24</v>
      </c>
      <c r="AM115" s="4">
        <f t="shared" si="10"/>
        <v>0.58536585365853655</v>
      </c>
      <c r="AN115" s="21">
        <f t="shared" si="15"/>
        <v>8.8658213352296332E-4</v>
      </c>
      <c r="AO115" s="3"/>
      <c r="AP115">
        <v>0</v>
      </c>
      <c r="AR115" t="s">
        <v>1</v>
      </c>
      <c r="AT115" s="2" t="s">
        <v>0</v>
      </c>
      <c r="AU115" s="1">
        <f t="shared" si="11"/>
        <v>3.1135412188440537</v>
      </c>
      <c r="AV115" s="1">
        <f t="shared" si="12"/>
        <v>2.2492889315606943</v>
      </c>
      <c r="AW115" s="1">
        <f t="shared" si="13"/>
        <v>1.3850366442773352</v>
      </c>
    </row>
    <row r="116" spans="1:49" x14ac:dyDescent="0.2">
      <c r="A116">
        <v>114</v>
      </c>
      <c r="B116" t="s">
        <v>3494</v>
      </c>
      <c r="C116" t="s">
        <v>3493</v>
      </c>
      <c r="F116" t="s">
        <v>3492</v>
      </c>
      <c r="G116" t="s">
        <v>16</v>
      </c>
      <c r="H116" t="s">
        <v>15</v>
      </c>
      <c r="I116" t="s">
        <v>2727</v>
      </c>
      <c r="J116">
        <v>60025757</v>
      </c>
      <c r="K116" t="s">
        <v>1767</v>
      </c>
      <c r="L116" t="s">
        <v>1766</v>
      </c>
      <c r="M116" t="s">
        <v>577</v>
      </c>
      <c r="N116">
        <v>2</v>
      </c>
      <c r="O116" t="s">
        <v>3491</v>
      </c>
      <c r="P116" t="s">
        <v>3490</v>
      </c>
      <c r="Q116" t="s">
        <v>3489</v>
      </c>
      <c r="R116" s="6">
        <v>29587</v>
      </c>
      <c r="S116" s="7">
        <f t="shared" si="8"/>
        <v>1981</v>
      </c>
      <c r="T116" s="7">
        <v>1981</v>
      </c>
      <c r="U116" s="7">
        <f t="shared" si="9"/>
        <v>41</v>
      </c>
      <c r="V116" s="6">
        <v>29891</v>
      </c>
      <c r="W116" t="s">
        <v>235</v>
      </c>
      <c r="X116" s="2">
        <v>1.6519999999999999</v>
      </c>
      <c r="Y116" s="5">
        <f t="shared" si="14"/>
        <v>4.409919649769093E-2</v>
      </c>
      <c r="AA116" t="s">
        <v>234</v>
      </c>
      <c r="AB116">
        <v>17337</v>
      </c>
      <c r="AC116">
        <v>15582221</v>
      </c>
      <c r="AD116" t="s">
        <v>5</v>
      </c>
      <c r="AE116">
        <v>29</v>
      </c>
      <c r="AF116">
        <v>6</v>
      </c>
      <c r="AH116" t="s">
        <v>3488</v>
      </c>
      <c r="AI116" t="s">
        <v>3487</v>
      </c>
      <c r="AK116" t="s">
        <v>3486</v>
      </c>
      <c r="AL116">
        <v>11</v>
      </c>
      <c r="AM116" s="4">
        <f t="shared" si="10"/>
        <v>0.26829268292682928</v>
      </c>
      <c r="AN116" s="21">
        <f t="shared" si="15"/>
        <v>4.0635014453135827E-4</v>
      </c>
      <c r="AO116" s="3"/>
      <c r="AP116">
        <v>0</v>
      </c>
      <c r="AR116" t="s">
        <v>1</v>
      </c>
      <c r="AT116" s="2" t="s">
        <v>0</v>
      </c>
      <c r="AU116" s="1">
        <f t="shared" si="11"/>
        <v>3.0991342591743058</v>
      </c>
      <c r="AV116" s="1">
        <f t="shared" si="12"/>
        <v>2.2252773321111143</v>
      </c>
      <c r="AW116" s="1">
        <f t="shared" si="13"/>
        <v>1.3514204050479228</v>
      </c>
    </row>
    <row r="117" spans="1:49" x14ac:dyDescent="0.2">
      <c r="A117">
        <v>115</v>
      </c>
      <c r="B117" t="s">
        <v>3485</v>
      </c>
      <c r="C117" t="s">
        <v>3484</v>
      </c>
      <c r="F117" t="s">
        <v>3483</v>
      </c>
      <c r="G117" t="s">
        <v>16</v>
      </c>
      <c r="H117" t="s">
        <v>15</v>
      </c>
      <c r="I117" t="s">
        <v>3482</v>
      </c>
      <c r="J117">
        <v>100559358</v>
      </c>
      <c r="K117" t="s">
        <v>3481</v>
      </c>
      <c r="L117" t="s">
        <v>3480</v>
      </c>
      <c r="M117" t="s">
        <v>11</v>
      </c>
      <c r="N117">
        <v>2</v>
      </c>
      <c r="O117" t="s">
        <v>3479</v>
      </c>
      <c r="P117" t="s">
        <v>3478</v>
      </c>
      <c r="Q117" t="s">
        <v>3477</v>
      </c>
      <c r="R117" s="6">
        <v>29587</v>
      </c>
      <c r="S117" s="7">
        <f t="shared" si="8"/>
        <v>1981</v>
      </c>
      <c r="T117" s="7">
        <v>1981</v>
      </c>
      <c r="U117" s="7">
        <f t="shared" si="9"/>
        <v>41</v>
      </c>
      <c r="V117" s="6">
        <v>29587</v>
      </c>
      <c r="W117" t="s">
        <v>167</v>
      </c>
      <c r="X117" s="2">
        <v>0.22500000000000001</v>
      </c>
      <c r="Y117" s="5">
        <f t="shared" si="14"/>
        <v>6.0062464963562111E-3</v>
      </c>
      <c r="AA117">
        <v>2726343</v>
      </c>
      <c r="AB117">
        <v>16128</v>
      </c>
      <c r="AC117" t="s">
        <v>166</v>
      </c>
      <c r="AD117" t="s">
        <v>5</v>
      </c>
      <c r="AE117">
        <v>1</v>
      </c>
      <c r="AF117">
        <v>4</v>
      </c>
      <c r="AH117" t="s">
        <v>3476</v>
      </c>
      <c r="AI117" t="s">
        <v>3475</v>
      </c>
      <c r="AK117" t="s">
        <v>3474</v>
      </c>
      <c r="AL117">
        <v>8</v>
      </c>
      <c r="AM117" s="4">
        <f t="shared" si="10"/>
        <v>0.1951219512195122</v>
      </c>
      <c r="AN117" s="21">
        <f t="shared" si="15"/>
        <v>2.9552737784098779E-4</v>
      </c>
      <c r="AO117" s="3"/>
      <c r="AP117">
        <v>0</v>
      </c>
      <c r="AR117" t="s">
        <v>1</v>
      </c>
      <c r="AT117" s="2">
        <v>1.099</v>
      </c>
      <c r="AU117" s="1">
        <f t="shared" si="11"/>
        <v>0.42930307608016438</v>
      </c>
      <c r="AV117" s="1">
        <f t="shared" si="12"/>
        <v>0.31508869370985998</v>
      </c>
      <c r="AW117" s="1">
        <f t="shared" si="13"/>
        <v>0.20087431133955547</v>
      </c>
    </row>
    <row r="118" spans="1:49" x14ac:dyDescent="0.2">
      <c r="A118">
        <v>116</v>
      </c>
      <c r="B118" t="s">
        <v>3473</v>
      </c>
      <c r="C118" t="s">
        <v>3472</v>
      </c>
      <c r="F118" t="s">
        <v>3471</v>
      </c>
      <c r="G118" t="s">
        <v>16</v>
      </c>
      <c r="H118" t="s">
        <v>15</v>
      </c>
      <c r="I118" t="s">
        <v>3470</v>
      </c>
      <c r="J118">
        <v>60032503</v>
      </c>
      <c r="K118" t="s">
        <v>3469</v>
      </c>
      <c r="L118" t="s">
        <v>3468</v>
      </c>
      <c r="M118" t="s">
        <v>11</v>
      </c>
      <c r="N118">
        <v>2</v>
      </c>
      <c r="O118" t="s">
        <v>3467</v>
      </c>
      <c r="P118" t="s">
        <v>3466</v>
      </c>
      <c r="Q118" t="s">
        <v>3465</v>
      </c>
      <c r="R118" s="6">
        <v>29587</v>
      </c>
      <c r="S118" s="7">
        <f t="shared" si="8"/>
        <v>1981</v>
      </c>
      <c r="T118" s="7">
        <v>1981</v>
      </c>
      <c r="U118" s="7">
        <f t="shared" si="9"/>
        <v>41</v>
      </c>
      <c r="V118" s="6">
        <v>29891</v>
      </c>
      <c r="W118" t="s">
        <v>235</v>
      </c>
      <c r="X118" s="2">
        <v>1.6519999999999999</v>
      </c>
      <c r="Y118" s="5">
        <f t="shared" si="14"/>
        <v>4.409919649769093E-2</v>
      </c>
      <c r="AA118" t="s">
        <v>234</v>
      </c>
      <c r="AB118">
        <v>17337</v>
      </c>
      <c r="AC118">
        <v>15582221</v>
      </c>
      <c r="AD118" t="s">
        <v>5</v>
      </c>
      <c r="AE118">
        <v>29</v>
      </c>
      <c r="AF118">
        <v>6</v>
      </c>
      <c r="AH118" t="s">
        <v>3464</v>
      </c>
      <c r="AI118" t="s">
        <v>3463</v>
      </c>
      <c r="AK118" t="s">
        <v>3462</v>
      </c>
      <c r="AL118">
        <v>9</v>
      </c>
      <c r="AM118" s="4">
        <f t="shared" si="10"/>
        <v>0.21951219512195122</v>
      </c>
      <c r="AN118" s="21">
        <f t="shared" si="15"/>
        <v>3.3246830007111129E-4</v>
      </c>
      <c r="AO118" s="3"/>
      <c r="AP118">
        <v>0</v>
      </c>
      <c r="AR118" t="s">
        <v>1</v>
      </c>
      <c r="AT118" s="2" t="s">
        <v>0</v>
      </c>
      <c r="AU118" s="1">
        <f t="shared" si="11"/>
        <v>3.0969178038404985</v>
      </c>
      <c r="AV118" s="1">
        <f t="shared" si="12"/>
        <v>2.2215832398881021</v>
      </c>
      <c r="AW118" s="1">
        <f t="shared" si="13"/>
        <v>1.3462486759357055</v>
      </c>
    </row>
    <row r="119" spans="1:49" x14ac:dyDescent="0.2">
      <c r="A119">
        <v>117</v>
      </c>
      <c r="B119" t="s">
        <v>3461</v>
      </c>
      <c r="C119" t="s">
        <v>3460</v>
      </c>
      <c r="F119" t="s">
        <v>3459</v>
      </c>
      <c r="G119" t="s">
        <v>16</v>
      </c>
      <c r="H119" t="s">
        <v>15</v>
      </c>
      <c r="I119" t="s">
        <v>3458</v>
      </c>
      <c r="J119">
        <v>60025272</v>
      </c>
      <c r="K119" t="s">
        <v>3457</v>
      </c>
      <c r="L119" t="s">
        <v>313</v>
      </c>
      <c r="M119" t="s">
        <v>312</v>
      </c>
      <c r="N119">
        <v>5</v>
      </c>
      <c r="O119" t="s">
        <v>3456</v>
      </c>
      <c r="P119" t="s">
        <v>3455</v>
      </c>
      <c r="Q119" t="s">
        <v>3454</v>
      </c>
      <c r="R119" s="6">
        <v>29587</v>
      </c>
      <c r="S119" s="7">
        <f t="shared" si="8"/>
        <v>1981</v>
      </c>
      <c r="T119" s="7">
        <v>1981</v>
      </c>
      <c r="U119" s="7">
        <f t="shared" si="9"/>
        <v>41</v>
      </c>
      <c r="V119" s="6">
        <v>1981</v>
      </c>
      <c r="W119" t="s">
        <v>3453</v>
      </c>
      <c r="X119" s="2" t="s">
        <v>0</v>
      </c>
      <c r="Y119" s="5" t="e">
        <f t="shared" si="14"/>
        <v>#VALUE!</v>
      </c>
      <c r="AA119">
        <v>221392</v>
      </c>
      <c r="AB119">
        <v>34890</v>
      </c>
      <c r="AD119" t="s">
        <v>5</v>
      </c>
      <c r="AE119">
        <v>33</v>
      </c>
      <c r="AF119">
        <v>1</v>
      </c>
      <c r="AH119" t="s">
        <v>3452</v>
      </c>
      <c r="AI119" t="s">
        <v>3451</v>
      </c>
      <c r="AK119" t="s">
        <v>3450</v>
      </c>
      <c r="AL119">
        <v>1</v>
      </c>
      <c r="AM119" s="4">
        <f t="shared" si="10"/>
        <v>2.4390243902439025E-2</v>
      </c>
      <c r="AN119" s="21">
        <f t="shared" si="15"/>
        <v>3.6940922230123474E-5</v>
      </c>
      <c r="AO119" s="3"/>
      <c r="AP119">
        <v>1</v>
      </c>
      <c r="AR119" t="s">
        <v>1</v>
      </c>
      <c r="AT119" s="2" t="s">
        <v>0</v>
      </c>
      <c r="AU119" s="1" t="e">
        <f t="shared" si="11"/>
        <v>#VALUE!</v>
      </c>
      <c r="AV119" s="1" t="e">
        <f t="shared" si="12"/>
        <v>#VALUE!</v>
      </c>
      <c r="AW119" s="1" t="e">
        <f t="shared" si="13"/>
        <v>#VALUE!</v>
      </c>
    </row>
    <row r="120" spans="1:49" x14ac:dyDescent="0.2">
      <c r="A120">
        <v>118</v>
      </c>
      <c r="B120" t="s">
        <v>3449</v>
      </c>
      <c r="C120" t="s">
        <v>3448</v>
      </c>
      <c r="F120" t="s">
        <v>3447</v>
      </c>
      <c r="G120" t="s">
        <v>16</v>
      </c>
      <c r="H120" t="s">
        <v>15</v>
      </c>
      <c r="I120" t="s">
        <v>2491</v>
      </c>
      <c r="J120">
        <v>60003500</v>
      </c>
      <c r="K120" t="s">
        <v>565</v>
      </c>
      <c r="L120" t="s">
        <v>564</v>
      </c>
      <c r="M120" t="s">
        <v>11</v>
      </c>
      <c r="N120">
        <v>1</v>
      </c>
      <c r="O120" t="s">
        <v>1528</v>
      </c>
      <c r="P120">
        <v>35611381200</v>
      </c>
      <c r="Q120">
        <v>60003500</v>
      </c>
      <c r="R120" s="6">
        <v>29587</v>
      </c>
      <c r="S120" s="7">
        <f t="shared" si="8"/>
        <v>1981</v>
      </c>
      <c r="T120" s="7">
        <v>1981</v>
      </c>
      <c r="U120" s="7">
        <f t="shared" si="9"/>
        <v>41</v>
      </c>
      <c r="V120" s="6">
        <v>29891</v>
      </c>
      <c r="W120" t="s">
        <v>235</v>
      </c>
      <c r="X120" s="2">
        <v>1.6519999999999999</v>
      </c>
      <c r="Y120" s="5">
        <f t="shared" si="14"/>
        <v>4.409919649769093E-2</v>
      </c>
      <c r="AA120" t="s">
        <v>234</v>
      </c>
      <c r="AB120">
        <v>17337</v>
      </c>
      <c r="AC120">
        <v>15582221</v>
      </c>
      <c r="AD120" t="s">
        <v>5</v>
      </c>
      <c r="AE120">
        <v>29</v>
      </c>
      <c r="AF120">
        <v>6</v>
      </c>
      <c r="AH120" t="s">
        <v>3446</v>
      </c>
      <c r="AI120" t="s">
        <v>3445</v>
      </c>
      <c r="AK120" t="s">
        <v>3444</v>
      </c>
      <c r="AL120">
        <v>126</v>
      </c>
      <c r="AM120" s="4">
        <f t="shared" si="10"/>
        <v>3.0731707317073171</v>
      </c>
      <c r="AN120" s="21">
        <f t="shared" si="15"/>
        <v>4.6545562009955577E-3</v>
      </c>
      <c r="AO120" s="3"/>
      <c r="AP120">
        <v>0</v>
      </c>
      <c r="AR120" t="s">
        <v>1</v>
      </c>
      <c r="AT120" s="2" t="s">
        <v>0</v>
      </c>
      <c r="AU120" s="1">
        <f t="shared" si="11"/>
        <v>3.2265804408682319</v>
      </c>
      <c r="AV120" s="1">
        <f t="shared" si="12"/>
        <v>2.4376876349343246</v>
      </c>
      <c r="AW120" s="1">
        <f t="shared" si="13"/>
        <v>1.6487948290004169</v>
      </c>
    </row>
    <row r="121" spans="1:49" x14ac:dyDescent="0.2">
      <c r="A121">
        <v>119</v>
      </c>
      <c r="B121" t="s">
        <v>3443</v>
      </c>
      <c r="C121" t="s">
        <v>3442</v>
      </c>
      <c r="D121">
        <v>273117781902982</v>
      </c>
      <c r="F121" t="s">
        <v>3441</v>
      </c>
      <c r="G121" t="s">
        <v>16</v>
      </c>
      <c r="H121" t="s">
        <v>15</v>
      </c>
      <c r="I121" t="s">
        <v>3440</v>
      </c>
      <c r="J121">
        <v>60012708</v>
      </c>
      <c r="K121" t="s">
        <v>3439</v>
      </c>
      <c r="L121" t="s">
        <v>3438</v>
      </c>
      <c r="M121" t="s">
        <v>11</v>
      </c>
      <c r="N121">
        <v>4</v>
      </c>
      <c r="O121" t="s">
        <v>3437</v>
      </c>
      <c r="P121" t="s">
        <v>3436</v>
      </c>
      <c r="Q121" t="s">
        <v>3435</v>
      </c>
      <c r="R121" s="6">
        <v>29587</v>
      </c>
      <c r="S121" s="7">
        <f t="shared" si="8"/>
        <v>1981</v>
      </c>
      <c r="T121" s="7">
        <v>1981</v>
      </c>
      <c r="U121" s="7">
        <f t="shared" si="9"/>
        <v>41</v>
      </c>
      <c r="V121" s="6">
        <v>1981</v>
      </c>
      <c r="W121" t="s">
        <v>190</v>
      </c>
      <c r="X121" s="2">
        <v>0.68200000000000005</v>
      </c>
      <c r="Y121" s="5">
        <f t="shared" si="14"/>
        <v>1.8205600491177493E-2</v>
      </c>
      <c r="AA121">
        <v>2731177</v>
      </c>
      <c r="AB121">
        <v>12375</v>
      </c>
      <c r="AD121" t="s">
        <v>5</v>
      </c>
      <c r="AE121">
        <v>1</v>
      </c>
      <c r="AF121">
        <v>2</v>
      </c>
      <c r="AH121" t="s">
        <v>3434</v>
      </c>
      <c r="AI121" t="s">
        <v>3433</v>
      </c>
      <c r="AK121" t="s">
        <v>3432</v>
      </c>
      <c r="AL121">
        <v>4</v>
      </c>
      <c r="AM121" s="4">
        <f t="shared" si="10"/>
        <v>9.7560975609756101E-2</v>
      </c>
      <c r="AN121" s="21">
        <f t="shared" si="15"/>
        <v>1.477636889204939E-4</v>
      </c>
      <c r="AO121" s="3"/>
      <c r="AP121">
        <v>0</v>
      </c>
      <c r="AR121" t="s">
        <v>1</v>
      </c>
      <c r="AT121" s="2">
        <v>2.1520000000000001</v>
      </c>
      <c r="AU121" s="1">
        <f t="shared" si="11"/>
        <v>1.2788249450500393</v>
      </c>
      <c r="AV121" s="1">
        <f t="shared" si="12"/>
        <v>0.91766820900489932</v>
      </c>
      <c r="AW121" s="1">
        <f t="shared" si="13"/>
        <v>0.55651147295975933</v>
      </c>
    </row>
    <row r="122" spans="1:49" x14ac:dyDescent="0.2">
      <c r="A122">
        <v>120</v>
      </c>
      <c r="B122" t="s">
        <v>3431</v>
      </c>
      <c r="C122" t="s">
        <v>3430</v>
      </c>
      <c r="F122" t="s">
        <v>3429</v>
      </c>
      <c r="G122" t="s">
        <v>16</v>
      </c>
      <c r="H122" t="s">
        <v>15</v>
      </c>
      <c r="I122" t="s">
        <v>3428</v>
      </c>
      <c r="J122" t="s">
        <v>3427</v>
      </c>
      <c r="K122" t="s">
        <v>3426</v>
      </c>
      <c r="L122" t="s">
        <v>3425</v>
      </c>
      <c r="M122" t="s">
        <v>3424</v>
      </c>
      <c r="N122">
        <v>4</v>
      </c>
      <c r="O122" t="s">
        <v>3423</v>
      </c>
      <c r="P122" t="s">
        <v>3422</v>
      </c>
      <c r="Q122" t="s">
        <v>3421</v>
      </c>
      <c r="R122" s="6">
        <v>29587</v>
      </c>
      <c r="S122" s="7">
        <f t="shared" si="8"/>
        <v>1981</v>
      </c>
      <c r="T122" s="7">
        <v>1981</v>
      </c>
      <c r="U122" s="7">
        <f t="shared" si="9"/>
        <v>41</v>
      </c>
      <c r="V122" s="6">
        <v>1981</v>
      </c>
      <c r="W122" t="s">
        <v>205</v>
      </c>
      <c r="X122" s="2">
        <v>1.1879999999999999</v>
      </c>
      <c r="Y122" s="5">
        <f t="shared" si="14"/>
        <v>3.1712981500760788E-2</v>
      </c>
      <c r="AA122">
        <v>10706631</v>
      </c>
      <c r="AB122">
        <v>29210</v>
      </c>
      <c r="AD122" t="s">
        <v>5</v>
      </c>
      <c r="AE122">
        <v>24</v>
      </c>
      <c r="AF122">
        <v>12</v>
      </c>
      <c r="AH122" t="s">
        <v>3420</v>
      </c>
      <c r="AI122" t="s">
        <v>3419</v>
      </c>
      <c r="AK122" t="s">
        <v>3418</v>
      </c>
      <c r="AL122">
        <v>35</v>
      </c>
      <c r="AM122" s="4">
        <f t="shared" si="10"/>
        <v>0.85365853658536583</v>
      </c>
      <c r="AN122" s="21">
        <f t="shared" si="15"/>
        <v>1.2929322780543216E-3</v>
      </c>
      <c r="AO122" s="3"/>
      <c r="AP122">
        <v>0</v>
      </c>
      <c r="AR122" t="s">
        <v>1</v>
      </c>
      <c r="AT122" s="2">
        <v>3.5209999999999999</v>
      </c>
      <c r="AU122" s="1">
        <f t="shared" si="11"/>
        <v>2.2586966733948848</v>
      </c>
      <c r="AV122" s="1">
        <f t="shared" si="12"/>
        <v>1.6502956889407554</v>
      </c>
      <c r="AW122" s="1">
        <f t="shared" si="13"/>
        <v>1.041894704486626</v>
      </c>
    </row>
    <row r="123" spans="1:49" x14ac:dyDescent="0.2">
      <c r="A123">
        <v>121</v>
      </c>
      <c r="B123" t="s">
        <v>3417</v>
      </c>
      <c r="C123" t="s">
        <v>3416</v>
      </c>
      <c r="F123" t="s">
        <v>3415</v>
      </c>
      <c r="G123" t="s">
        <v>16</v>
      </c>
      <c r="H123" t="s">
        <v>15</v>
      </c>
      <c r="I123" t="s">
        <v>3414</v>
      </c>
      <c r="J123">
        <v>60024592</v>
      </c>
      <c r="K123" t="s">
        <v>3413</v>
      </c>
      <c r="L123" t="s">
        <v>2541</v>
      </c>
      <c r="M123" t="s">
        <v>11</v>
      </c>
      <c r="N123">
        <v>2</v>
      </c>
      <c r="O123" t="s">
        <v>3412</v>
      </c>
      <c r="P123" t="s">
        <v>3411</v>
      </c>
      <c r="Q123" t="s">
        <v>3410</v>
      </c>
      <c r="R123" s="6">
        <v>29587</v>
      </c>
      <c r="S123" s="7">
        <f t="shared" si="8"/>
        <v>1981</v>
      </c>
      <c r="T123" s="7">
        <v>1981</v>
      </c>
      <c r="U123" s="7">
        <f t="shared" si="9"/>
        <v>41</v>
      </c>
      <c r="V123" s="6">
        <v>29891</v>
      </c>
      <c r="W123" t="s">
        <v>235</v>
      </c>
      <c r="X123" s="2">
        <v>1.6519999999999999</v>
      </c>
      <c r="Y123" s="5">
        <f t="shared" si="14"/>
        <v>4.409919649769093E-2</v>
      </c>
      <c r="AA123" t="s">
        <v>234</v>
      </c>
      <c r="AB123">
        <v>17337</v>
      </c>
      <c r="AC123">
        <v>15582221</v>
      </c>
      <c r="AD123" t="s">
        <v>5</v>
      </c>
      <c r="AE123">
        <v>29</v>
      </c>
      <c r="AF123">
        <v>6</v>
      </c>
      <c r="AH123" t="s">
        <v>3409</v>
      </c>
      <c r="AI123" t="s">
        <v>3408</v>
      </c>
      <c r="AK123" t="s">
        <v>3407</v>
      </c>
      <c r="AL123">
        <v>58</v>
      </c>
      <c r="AM123" s="4">
        <f t="shared" si="10"/>
        <v>1.4146341463414633</v>
      </c>
      <c r="AN123" s="21">
        <f t="shared" si="15"/>
        <v>2.1425734893471614E-3</v>
      </c>
      <c r="AO123" s="3"/>
      <c r="AP123">
        <v>0</v>
      </c>
      <c r="AR123" t="s">
        <v>1</v>
      </c>
      <c r="AT123" s="2" t="s">
        <v>0</v>
      </c>
      <c r="AU123" s="1">
        <f t="shared" si="11"/>
        <v>3.1512209595187803</v>
      </c>
      <c r="AV123" s="1">
        <f t="shared" si="12"/>
        <v>2.3120884993519044</v>
      </c>
      <c r="AW123" s="1">
        <f t="shared" si="13"/>
        <v>1.4729560391850292</v>
      </c>
    </row>
    <row r="124" spans="1:49" x14ac:dyDescent="0.2">
      <c r="A124">
        <v>122</v>
      </c>
      <c r="B124" t="s">
        <v>3406</v>
      </c>
      <c r="C124" t="s">
        <v>3405</v>
      </c>
      <c r="D124">
        <v>5272881901274</v>
      </c>
      <c r="E124">
        <v>6781538</v>
      </c>
      <c r="F124" t="s">
        <v>3404</v>
      </c>
      <c r="G124" t="s">
        <v>16</v>
      </c>
      <c r="H124" t="s">
        <v>15</v>
      </c>
      <c r="I124" t="s">
        <v>3403</v>
      </c>
      <c r="J124">
        <v>60008134</v>
      </c>
      <c r="K124" t="s">
        <v>3402</v>
      </c>
      <c r="L124" t="s">
        <v>3401</v>
      </c>
      <c r="M124" t="s">
        <v>678</v>
      </c>
      <c r="N124">
        <v>2</v>
      </c>
      <c r="O124" t="s">
        <v>3400</v>
      </c>
      <c r="P124" t="s">
        <v>3399</v>
      </c>
      <c r="Q124" t="s">
        <v>3398</v>
      </c>
      <c r="R124" s="6">
        <v>29587</v>
      </c>
      <c r="S124" s="7">
        <f t="shared" si="8"/>
        <v>1981</v>
      </c>
      <c r="T124" s="7">
        <v>1981</v>
      </c>
      <c r="U124" s="7">
        <f t="shared" si="9"/>
        <v>41</v>
      </c>
      <c r="V124" s="6">
        <v>1981</v>
      </c>
      <c r="W124" t="s">
        <v>498</v>
      </c>
      <c r="X124" s="2">
        <v>1.59</v>
      </c>
      <c r="Y124" s="5">
        <f t="shared" si="14"/>
        <v>4.2444141907583888E-2</v>
      </c>
      <c r="AA124">
        <v>52728</v>
      </c>
      <c r="AB124">
        <v>16791</v>
      </c>
      <c r="AD124" t="s">
        <v>5</v>
      </c>
      <c r="AE124">
        <v>634</v>
      </c>
      <c r="AF124" t="s">
        <v>497</v>
      </c>
      <c r="AH124" t="s">
        <v>3397</v>
      </c>
      <c r="AI124" t="s">
        <v>3396</v>
      </c>
      <c r="AJ124" t="s">
        <v>3395</v>
      </c>
      <c r="AK124" t="s">
        <v>3394</v>
      </c>
      <c r="AL124">
        <v>16</v>
      </c>
      <c r="AM124" s="4">
        <f t="shared" si="10"/>
        <v>0.3902439024390244</v>
      </c>
      <c r="AN124" s="21">
        <f t="shared" si="15"/>
        <v>5.9105475568197558E-4</v>
      </c>
      <c r="AO124" s="3"/>
      <c r="AP124">
        <v>0</v>
      </c>
      <c r="AR124" t="s">
        <v>1</v>
      </c>
      <c r="AT124" s="2" t="s">
        <v>0</v>
      </c>
      <c r="AU124" s="1">
        <f t="shared" si="11"/>
        <v>2.9888215762013313</v>
      </c>
      <c r="AV124" s="1">
        <f t="shared" si="12"/>
        <v>2.1517598331632932</v>
      </c>
      <c r="AW124" s="1">
        <f t="shared" si="13"/>
        <v>1.3146980901252547</v>
      </c>
    </row>
    <row r="125" spans="1:49" x14ac:dyDescent="0.2">
      <c r="A125">
        <v>123</v>
      </c>
      <c r="B125" t="s">
        <v>3393</v>
      </c>
      <c r="C125" t="s">
        <v>3392</v>
      </c>
      <c r="E125">
        <v>6117912</v>
      </c>
      <c r="F125" t="s">
        <v>3391</v>
      </c>
      <c r="G125" t="s">
        <v>16</v>
      </c>
      <c r="H125" t="s">
        <v>15</v>
      </c>
      <c r="I125" t="s">
        <v>3390</v>
      </c>
      <c r="N125">
        <v>1</v>
      </c>
      <c r="O125" t="s">
        <v>3389</v>
      </c>
      <c r="P125">
        <v>7006306030</v>
      </c>
      <c r="R125" s="6">
        <v>29587</v>
      </c>
      <c r="S125" s="7">
        <f t="shared" si="8"/>
        <v>1981</v>
      </c>
      <c r="T125" s="7">
        <v>1981</v>
      </c>
      <c r="U125" s="7">
        <f t="shared" si="9"/>
        <v>41</v>
      </c>
      <c r="V125" s="6">
        <v>29866</v>
      </c>
      <c r="W125" t="s">
        <v>3388</v>
      </c>
      <c r="X125" s="2" t="s">
        <v>0</v>
      </c>
      <c r="Y125" s="5" t="e">
        <f t="shared" si="14"/>
        <v>#VALUE!</v>
      </c>
      <c r="AA125">
        <v>9628436</v>
      </c>
      <c r="AB125">
        <v>13602</v>
      </c>
      <c r="AD125" t="s">
        <v>5</v>
      </c>
      <c r="AE125">
        <v>295</v>
      </c>
      <c r="AF125">
        <v>1078</v>
      </c>
      <c r="AH125" t="s">
        <v>3387</v>
      </c>
      <c r="AI125" t="s">
        <v>3386</v>
      </c>
      <c r="AK125" t="s">
        <v>3385</v>
      </c>
      <c r="AL125">
        <v>33</v>
      </c>
      <c r="AM125" s="4">
        <f t="shared" si="10"/>
        <v>0.80487804878048785</v>
      </c>
      <c r="AN125" s="21">
        <f t="shared" si="15"/>
        <v>1.2190504335940747E-3</v>
      </c>
      <c r="AO125" s="3"/>
      <c r="AP125">
        <v>0</v>
      </c>
      <c r="AR125" t="s">
        <v>1</v>
      </c>
      <c r="AT125" s="2" t="s">
        <v>0</v>
      </c>
      <c r="AU125" s="1" t="e">
        <f t="shared" si="11"/>
        <v>#VALUE!</v>
      </c>
      <c r="AV125" s="1" t="e">
        <f t="shared" si="12"/>
        <v>#VALUE!</v>
      </c>
      <c r="AW125" s="1" t="e">
        <f t="shared" si="13"/>
        <v>#VALUE!</v>
      </c>
    </row>
    <row r="126" spans="1:49" x14ac:dyDescent="0.2">
      <c r="A126">
        <v>124</v>
      </c>
      <c r="B126" t="s">
        <v>3384</v>
      </c>
      <c r="C126" t="s">
        <v>3383</v>
      </c>
      <c r="E126">
        <v>7284043</v>
      </c>
      <c r="F126" t="s">
        <v>3382</v>
      </c>
      <c r="G126" t="s">
        <v>16</v>
      </c>
      <c r="H126" t="s">
        <v>15</v>
      </c>
      <c r="I126" t="s">
        <v>3381</v>
      </c>
      <c r="J126">
        <v>60014439</v>
      </c>
      <c r="K126" t="s">
        <v>3380</v>
      </c>
      <c r="L126" t="s">
        <v>3379</v>
      </c>
      <c r="M126" t="s">
        <v>11</v>
      </c>
      <c r="N126">
        <v>2</v>
      </c>
      <c r="O126" t="s">
        <v>3378</v>
      </c>
      <c r="P126" t="s">
        <v>3377</v>
      </c>
      <c r="Q126" t="s">
        <v>3376</v>
      </c>
      <c r="R126" s="6">
        <v>29587</v>
      </c>
      <c r="S126" s="7">
        <f t="shared" si="8"/>
        <v>1981</v>
      </c>
      <c r="T126" s="7">
        <v>1981</v>
      </c>
      <c r="U126" s="7">
        <f t="shared" si="9"/>
        <v>41</v>
      </c>
      <c r="V126" s="6">
        <v>1981</v>
      </c>
      <c r="W126" t="s">
        <v>3364</v>
      </c>
      <c r="X126" s="2">
        <v>0.435</v>
      </c>
      <c r="Y126" s="5">
        <f t="shared" si="14"/>
        <v>1.1612076559622007E-2</v>
      </c>
      <c r="AA126">
        <v>1978462</v>
      </c>
      <c r="AB126">
        <v>14839</v>
      </c>
      <c r="AC126" t="s">
        <v>3363</v>
      </c>
      <c r="AD126" t="s">
        <v>5</v>
      </c>
      <c r="AE126">
        <v>2</v>
      </c>
      <c r="AF126">
        <v>1</v>
      </c>
      <c r="AH126" t="s">
        <v>3375</v>
      </c>
      <c r="AI126" t="s">
        <v>3374</v>
      </c>
      <c r="AJ126" t="s">
        <v>3373</v>
      </c>
      <c r="AK126" t="s">
        <v>3372</v>
      </c>
      <c r="AL126">
        <v>4</v>
      </c>
      <c r="AM126" s="4">
        <f t="shared" si="10"/>
        <v>9.7560975609756101E-2</v>
      </c>
      <c r="AN126" s="21">
        <f t="shared" si="15"/>
        <v>1.477636889204939E-4</v>
      </c>
      <c r="AO126" s="3"/>
      <c r="AP126">
        <v>0</v>
      </c>
      <c r="AR126" t="s">
        <v>1</v>
      </c>
      <c r="AT126" s="2">
        <v>2.0099999999999998</v>
      </c>
      <c r="AU126" s="1">
        <f t="shared" si="11"/>
        <v>0.81727826984115526</v>
      </c>
      <c r="AV126" s="1">
        <f t="shared" si="12"/>
        <v>0.58799201242712507</v>
      </c>
      <c r="AW126" s="1">
        <f t="shared" si="13"/>
        <v>0.35870575501309476</v>
      </c>
    </row>
    <row r="127" spans="1:49" x14ac:dyDescent="0.2">
      <c r="A127">
        <v>125</v>
      </c>
      <c r="B127" t="s">
        <v>3371</v>
      </c>
      <c r="C127" t="s">
        <v>3370</v>
      </c>
      <c r="E127">
        <v>7284042</v>
      </c>
      <c r="F127" t="s">
        <v>3369</v>
      </c>
      <c r="G127" t="s">
        <v>16</v>
      </c>
      <c r="H127" t="s">
        <v>15</v>
      </c>
      <c r="I127" t="s">
        <v>3368</v>
      </c>
      <c r="J127">
        <v>60002464</v>
      </c>
      <c r="K127" t="s">
        <v>3367</v>
      </c>
      <c r="L127" t="s">
        <v>3366</v>
      </c>
      <c r="M127" t="s">
        <v>299</v>
      </c>
      <c r="N127">
        <v>1</v>
      </c>
      <c r="O127" t="s">
        <v>3365</v>
      </c>
      <c r="P127">
        <v>55666685500</v>
      </c>
      <c r="Q127">
        <v>60002464</v>
      </c>
      <c r="R127" s="6">
        <v>29587</v>
      </c>
      <c r="S127" s="7">
        <f t="shared" si="8"/>
        <v>1981</v>
      </c>
      <c r="T127" s="7">
        <v>1981</v>
      </c>
      <c r="U127" s="7">
        <f t="shared" si="9"/>
        <v>41</v>
      </c>
      <c r="V127" s="6">
        <v>1981</v>
      </c>
      <c r="W127" t="s">
        <v>3364</v>
      </c>
      <c r="X127" s="2">
        <v>0.435</v>
      </c>
      <c r="Y127" s="5">
        <f t="shared" si="14"/>
        <v>1.1612076559622007E-2</v>
      </c>
      <c r="AA127">
        <v>1978462</v>
      </c>
      <c r="AB127">
        <v>14839</v>
      </c>
      <c r="AC127" t="s">
        <v>3363</v>
      </c>
      <c r="AD127" t="s">
        <v>5</v>
      </c>
      <c r="AE127">
        <v>2</v>
      </c>
      <c r="AF127">
        <v>1</v>
      </c>
      <c r="AH127" t="s">
        <v>3362</v>
      </c>
      <c r="AI127" t="s">
        <v>3361</v>
      </c>
      <c r="AJ127" t="s">
        <v>3360</v>
      </c>
      <c r="AK127" t="s">
        <v>3359</v>
      </c>
      <c r="AL127">
        <v>16</v>
      </c>
      <c r="AM127" s="4">
        <f t="shared" si="10"/>
        <v>0.3902439024390244</v>
      </c>
      <c r="AN127" s="21">
        <f t="shared" si="15"/>
        <v>5.9105475568197558E-4</v>
      </c>
      <c r="AO127" s="3"/>
      <c r="AP127">
        <v>0</v>
      </c>
      <c r="AR127" t="s">
        <v>1</v>
      </c>
      <c r="AT127" s="2">
        <v>2.0099999999999998</v>
      </c>
      <c r="AU127" s="1">
        <f t="shared" si="11"/>
        <v>0.83057700184399963</v>
      </c>
      <c r="AV127" s="1">
        <f t="shared" si="12"/>
        <v>0.61015656576519917</v>
      </c>
      <c r="AW127" s="1">
        <f t="shared" si="13"/>
        <v>0.38973612968639848</v>
      </c>
    </row>
    <row r="128" spans="1:49" x14ac:dyDescent="0.2">
      <c r="A128">
        <v>126</v>
      </c>
      <c r="B128" t="s">
        <v>3358</v>
      </c>
      <c r="C128" t="s">
        <v>3357</v>
      </c>
      <c r="D128">
        <v>12160681904073</v>
      </c>
      <c r="F128" t="s">
        <v>3356</v>
      </c>
      <c r="G128" t="s">
        <v>16</v>
      </c>
      <c r="H128" t="s">
        <v>15</v>
      </c>
      <c r="I128" t="s">
        <v>83</v>
      </c>
      <c r="J128">
        <v>60010269</v>
      </c>
      <c r="K128" t="s">
        <v>82</v>
      </c>
      <c r="L128" t="s">
        <v>81</v>
      </c>
      <c r="M128" t="s">
        <v>39</v>
      </c>
      <c r="N128">
        <v>1</v>
      </c>
      <c r="O128" t="s">
        <v>80</v>
      </c>
      <c r="P128">
        <v>7005408553</v>
      </c>
      <c r="Q128">
        <v>60010269</v>
      </c>
      <c r="R128" s="6">
        <v>29587</v>
      </c>
      <c r="S128" s="7">
        <f t="shared" si="8"/>
        <v>1981</v>
      </c>
      <c r="T128" s="7">
        <v>1981</v>
      </c>
      <c r="U128" s="7">
        <f t="shared" si="9"/>
        <v>41</v>
      </c>
      <c r="V128" s="6">
        <v>29738</v>
      </c>
      <c r="W128" t="s">
        <v>79</v>
      </c>
      <c r="X128" s="2">
        <v>1.77</v>
      </c>
      <c r="Y128" s="5">
        <f t="shared" si="14"/>
        <v>4.7249139104668859E-2</v>
      </c>
      <c r="AA128">
        <v>121606</v>
      </c>
      <c r="AB128">
        <v>14536</v>
      </c>
      <c r="AD128" t="s">
        <v>5</v>
      </c>
      <c r="AE128">
        <v>84</v>
      </c>
      <c r="AF128">
        <v>2</v>
      </c>
      <c r="AH128" t="s">
        <v>3355</v>
      </c>
      <c r="AI128" t="s">
        <v>3354</v>
      </c>
      <c r="AK128" t="s">
        <v>3353</v>
      </c>
      <c r="AL128">
        <v>46</v>
      </c>
      <c r="AM128" s="4">
        <f t="shared" si="10"/>
        <v>1.1219512195121952</v>
      </c>
      <c r="AN128" s="21">
        <f t="shared" si="15"/>
        <v>1.6992824225856801E-3</v>
      </c>
      <c r="AO128" s="3"/>
      <c r="AP128">
        <v>0</v>
      </c>
      <c r="AQ128" t="s">
        <v>75</v>
      </c>
      <c r="AR128" t="s">
        <v>1</v>
      </c>
      <c r="AS128" t="s">
        <v>74</v>
      </c>
      <c r="AT128" s="2">
        <v>3.5819999999999999</v>
      </c>
      <c r="AU128" s="1">
        <f t="shared" si="11"/>
        <v>3.3584182100043902</v>
      </c>
      <c r="AV128" s="1">
        <f t="shared" si="12"/>
        <v>2.4474210763627271</v>
      </c>
      <c r="AW128" s="1">
        <f t="shared" si="13"/>
        <v>1.5364239427210633</v>
      </c>
    </row>
    <row r="129" spans="1:49" x14ac:dyDescent="0.2">
      <c r="A129">
        <v>127</v>
      </c>
      <c r="B129" t="s">
        <v>3352</v>
      </c>
      <c r="F129" t="s">
        <v>3351</v>
      </c>
      <c r="G129" t="s">
        <v>16</v>
      </c>
      <c r="H129" t="s">
        <v>15</v>
      </c>
      <c r="I129" t="s">
        <v>3350</v>
      </c>
      <c r="J129">
        <v>60004123</v>
      </c>
      <c r="K129" t="s">
        <v>3349</v>
      </c>
      <c r="L129" t="s">
        <v>1548</v>
      </c>
      <c r="M129" t="s">
        <v>11</v>
      </c>
      <c r="N129">
        <v>4</v>
      </c>
      <c r="O129" t="s">
        <v>3348</v>
      </c>
      <c r="P129" t="s">
        <v>3347</v>
      </c>
      <c r="Q129" t="s">
        <v>3346</v>
      </c>
      <c r="R129" s="6">
        <v>29587</v>
      </c>
      <c r="S129" s="7">
        <f t="shared" si="8"/>
        <v>1981</v>
      </c>
      <c r="T129" s="7">
        <v>1981</v>
      </c>
      <c r="U129" s="7">
        <f t="shared" si="9"/>
        <v>41</v>
      </c>
      <c r="V129" s="6">
        <v>1981</v>
      </c>
      <c r="W129" t="s">
        <v>3345</v>
      </c>
      <c r="X129" s="2" t="s">
        <v>0</v>
      </c>
      <c r="Y129" s="5" t="e">
        <f t="shared" si="14"/>
        <v>#VALUE!</v>
      </c>
      <c r="AA129">
        <v>283819</v>
      </c>
      <c r="AB129">
        <v>101696</v>
      </c>
      <c r="AD129" t="s">
        <v>5</v>
      </c>
      <c r="AE129">
        <v>24</v>
      </c>
      <c r="AF129" t="s">
        <v>3344</v>
      </c>
      <c r="AH129">
        <v>414</v>
      </c>
      <c r="AL129">
        <v>0</v>
      </c>
      <c r="AM129" s="4">
        <f t="shared" si="10"/>
        <v>0</v>
      </c>
      <c r="AN129" s="21">
        <f t="shared" si="15"/>
        <v>0</v>
      </c>
      <c r="AO129" s="3"/>
      <c r="AP129">
        <v>0</v>
      </c>
      <c r="AR129" t="s">
        <v>1</v>
      </c>
      <c r="AT129" s="2" t="s">
        <v>0</v>
      </c>
      <c r="AU129" s="1" t="e">
        <f t="shared" si="11"/>
        <v>#VALUE!</v>
      </c>
      <c r="AV129" s="1" t="e">
        <f t="shared" si="12"/>
        <v>#VALUE!</v>
      </c>
      <c r="AW129" s="1" t="e">
        <f t="shared" si="13"/>
        <v>#VALUE!</v>
      </c>
    </row>
    <row r="130" spans="1:49" x14ac:dyDescent="0.2">
      <c r="A130">
        <v>128</v>
      </c>
      <c r="B130" t="s">
        <v>3343</v>
      </c>
      <c r="C130" t="s">
        <v>3342</v>
      </c>
      <c r="D130" t="s">
        <v>3341</v>
      </c>
      <c r="E130">
        <v>7310936</v>
      </c>
      <c r="F130" t="s">
        <v>3340</v>
      </c>
      <c r="G130" t="s">
        <v>16</v>
      </c>
      <c r="H130" t="s">
        <v>15</v>
      </c>
      <c r="I130" t="s">
        <v>3339</v>
      </c>
      <c r="J130">
        <v>60011047</v>
      </c>
      <c r="K130" t="s">
        <v>3338</v>
      </c>
      <c r="L130" t="s">
        <v>3337</v>
      </c>
      <c r="M130" t="s">
        <v>312</v>
      </c>
      <c r="N130">
        <v>1</v>
      </c>
      <c r="O130" t="s">
        <v>3336</v>
      </c>
      <c r="P130">
        <v>7103300201</v>
      </c>
      <c r="Q130">
        <v>60011047</v>
      </c>
      <c r="R130" s="6">
        <v>29587</v>
      </c>
      <c r="S130" s="7">
        <f t="shared" ref="S130:S193" si="16">YEAR(R130)</f>
        <v>1981</v>
      </c>
      <c r="T130" s="7">
        <v>1981</v>
      </c>
      <c r="U130" s="7">
        <f t="shared" ref="U130:U193" si="17">2022-T130</f>
        <v>41</v>
      </c>
      <c r="V130" s="6">
        <v>29891</v>
      </c>
      <c r="W130" t="s">
        <v>3335</v>
      </c>
      <c r="X130" s="2" t="s">
        <v>0</v>
      </c>
      <c r="Y130" s="5" t="e">
        <f t="shared" si="14"/>
        <v>#VALUE!</v>
      </c>
      <c r="AA130">
        <v>225320</v>
      </c>
      <c r="AB130">
        <v>33357</v>
      </c>
      <c r="AD130" t="s">
        <v>5</v>
      </c>
      <c r="AE130">
        <v>77</v>
      </c>
      <c r="AF130">
        <v>2</v>
      </c>
      <c r="AH130" t="s">
        <v>3334</v>
      </c>
      <c r="AI130" t="s">
        <v>3333</v>
      </c>
      <c r="AK130" t="s">
        <v>3332</v>
      </c>
      <c r="AL130">
        <v>32</v>
      </c>
      <c r="AM130" s="4">
        <f t="shared" ref="AM130:AM193" si="18">AL130/U130</f>
        <v>0.78048780487804881</v>
      </c>
      <c r="AN130" s="21">
        <f t="shared" si="15"/>
        <v>1.1821095113639512E-3</v>
      </c>
      <c r="AO130" s="3"/>
      <c r="AP130">
        <v>0</v>
      </c>
      <c r="AR130" t="s">
        <v>1</v>
      </c>
      <c r="AT130" s="2" t="s">
        <v>0</v>
      </c>
      <c r="AU130" s="1" t="e">
        <f t="shared" ref="AU130:AU193" si="19">(Y130*0.7+AN130*0.3)*100</f>
        <v>#VALUE!</v>
      </c>
      <c r="AV130" s="1" t="e">
        <f t="shared" ref="AV130:AV193" si="20">(Y130*0.5+AN130*0.5)*100</f>
        <v>#VALUE!</v>
      </c>
      <c r="AW130" s="1" t="e">
        <f t="shared" ref="AW130:AW193" si="21">(Y130*0.3+AN130*0.7)*100</f>
        <v>#VALUE!</v>
      </c>
    </row>
    <row r="131" spans="1:49" x14ac:dyDescent="0.2">
      <c r="A131">
        <v>129</v>
      </c>
      <c r="B131" t="s">
        <v>3331</v>
      </c>
      <c r="C131" t="s">
        <v>3330</v>
      </c>
      <c r="F131" t="s">
        <v>3329</v>
      </c>
      <c r="G131" t="s">
        <v>16</v>
      </c>
      <c r="H131" t="s">
        <v>15</v>
      </c>
      <c r="I131" t="s">
        <v>3328</v>
      </c>
      <c r="J131" t="s">
        <v>3327</v>
      </c>
      <c r="K131" t="s">
        <v>3326</v>
      </c>
      <c r="L131" t="s">
        <v>3325</v>
      </c>
      <c r="M131" t="s">
        <v>277</v>
      </c>
      <c r="N131">
        <v>3</v>
      </c>
      <c r="O131" t="s">
        <v>3324</v>
      </c>
      <c r="P131" t="s">
        <v>3323</v>
      </c>
      <c r="Q131" t="s">
        <v>3322</v>
      </c>
      <c r="R131" s="6">
        <v>29587</v>
      </c>
      <c r="S131" s="7">
        <f t="shared" si="16"/>
        <v>1981</v>
      </c>
      <c r="T131" s="7">
        <v>1981</v>
      </c>
      <c r="U131" s="7">
        <f t="shared" si="17"/>
        <v>41</v>
      </c>
      <c r="V131" s="6">
        <v>29677</v>
      </c>
      <c r="W131" t="s">
        <v>3321</v>
      </c>
      <c r="X131" s="2">
        <v>0.65200000000000002</v>
      </c>
      <c r="Y131" s="5">
        <f t="shared" ref="Y131:Y194" si="22">(X131-$Z$3)/($Z$2-$Z$4)</f>
        <v>1.7404767624996664E-2</v>
      </c>
      <c r="AA131">
        <v>3622525</v>
      </c>
      <c r="AB131">
        <v>29629</v>
      </c>
      <c r="AC131">
        <v>10974687</v>
      </c>
      <c r="AD131" t="s">
        <v>5</v>
      </c>
      <c r="AE131">
        <v>168</v>
      </c>
      <c r="AF131">
        <v>1</v>
      </c>
      <c r="AH131" t="s">
        <v>3320</v>
      </c>
      <c r="AI131" t="s">
        <v>3319</v>
      </c>
      <c r="AK131" t="s">
        <v>3318</v>
      </c>
      <c r="AL131">
        <v>37</v>
      </c>
      <c r="AM131" s="4">
        <f t="shared" si="18"/>
        <v>0.90243902439024393</v>
      </c>
      <c r="AN131" s="21">
        <f t="shared" ref="AN131:AN194" si="23">(AM131-$AO$3)/($AO$2-$AO$3)</f>
        <v>1.3668141225145686E-3</v>
      </c>
      <c r="AO131" s="3"/>
      <c r="AP131">
        <v>0</v>
      </c>
      <c r="AR131" t="s">
        <v>1</v>
      </c>
      <c r="AT131" s="2">
        <v>1.804</v>
      </c>
      <c r="AU131" s="1">
        <f t="shared" si="19"/>
        <v>1.2593381574252036</v>
      </c>
      <c r="AV131" s="1">
        <f t="shared" si="20"/>
        <v>0.93857908737556162</v>
      </c>
      <c r="AW131" s="1">
        <f t="shared" si="21"/>
        <v>0.61782001732591973</v>
      </c>
    </row>
    <row r="132" spans="1:49" x14ac:dyDescent="0.2">
      <c r="A132">
        <v>130</v>
      </c>
      <c r="B132" t="s">
        <v>3317</v>
      </c>
      <c r="C132" t="s">
        <v>3316</v>
      </c>
      <c r="F132" t="s">
        <v>3315</v>
      </c>
      <c r="G132" t="s">
        <v>16</v>
      </c>
      <c r="H132" t="s">
        <v>15</v>
      </c>
      <c r="I132" t="s">
        <v>3314</v>
      </c>
      <c r="J132">
        <v>60022195</v>
      </c>
      <c r="K132" t="s">
        <v>634</v>
      </c>
      <c r="L132" t="s">
        <v>81</v>
      </c>
      <c r="M132" t="s">
        <v>11</v>
      </c>
      <c r="N132">
        <v>3</v>
      </c>
      <c r="O132" t="s">
        <v>3313</v>
      </c>
      <c r="P132" t="s">
        <v>3312</v>
      </c>
      <c r="Q132" t="s">
        <v>3311</v>
      </c>
      <c r="R132" s="6">
        <v>29587</v>
      </c>
      <c r="S132" s="7">
        <f t="shared" si="16"/>
        <v>1981</v>
      </c>
      <c r="T132" s="7">
        <v>1981</v>
      </c>
      <c r="U132" s="7">
        <f t="shared" si="17"/>
        <v>41</v>
      </c>
      <c r="V132" s="6" t="s">
        <v>3310</v>
      </c>
      <c r="W132" t="s">
        <v>2016</v>
      </c>
      <c r="X132" s="2" t="s">
        <v>0</v>
      </c>
      <c r="Y132" s="5" t="e">
        <f t="shared" si="22"/>
        <v>#VALUE!</v>
      </c>
      <c r="AA132">
        <v>281522</v>
      </c>
      <c r="AB132">
        <v>12174</v>
      </c>
      <c r="AC132">
        <v>21614296</v>
      </c>
      <c r="AD132" t="s">
        <v>5</v>
      </c>
      <c r="AE132">
        <v>28</v>
      </c>
      <c r="AF132">
        <v>4</v>
      </c>
      <c r="AH132" t="s">
        <v>3309</v>
      </c>
      <c r="AI132" t="s">
        <v>3308</v>
      </c>
      <c r="AK132" t="s">
        <v>3307</v>
      </c>
      <c r="AL132">
        <v>3</v>
      </c>
      <c r="AM132" s="4">
        <f t="shared" si="18"/>
        <v>7.3170731707317069E-2</v>
      </c>
      <c r="AN132" s="21">
        <f t="shared" si="23"/>
        <v>1.1082276669037041E-4</v>
      </c>
      <c r="AO132" s="3"/>
      <c r="AP132">
        <v>0</v>
      </c>
      <c r="AR132" t="s">
        <v>1</v>
      </c>
      <c r="AT132" s="2" t="s">
        <v>0</v>
      </c>
      <c r="AU132" s="1" t="e">
        <f t="shared" si="19"/>
        <v>#VALUE!</v>
      </c>
      <c r="AV132" s="1" t="e">
        <f t="shared" si="20"/>
        <v>#VALUE!</v>
      </c>
      <c r="AW132" s="1" t="e">
        <f t="shared" si="21"/>
        <v>#VALUE!</v>
      </c>
    </row>
    <row r="133" spans="1:49" x14ac:dyDescent="0.2">
      <c r="A133">
        <v>131</v>
      </c>
      <c r="B133" t="s">
        <v>3306</v>
      </c>
      <c r="F133" t="s">
        <v>3305</v>
      </c>
      <c r="G133" t="s">
        <v>16</v>
      </c>
      <c r="H133" t="s">
        <v>15</v>
      </c>
      <c r="I133" t="s">
        <v>3304</v>
      </c>
      <c r="N133">
        <v>2</v>
      </c>
      <c r="O133" t="s">
        <v>3303</v>
      </c>
      <c r="P133" t="s">
        <v>3302</v>
      </c>
      <c r="Q133" t="s">
        <v>351</v>
      </c>
      <c r="R133" s="6">
        <v>29587</v>
      </c>
      <c r="S133" s="7">
        <f t="shared" si="16"/>
        <v>1981</v>
      </c>
      <c r="T133" s="7">
        <v>1981</v>
      </c>
      <c r="U133" s="7">
        <f t="shared" si="17"/>
        <v>41</v>
      </c>
      <c r="V133" s="6">
        <v>1981</v>
      </c>
      <c r="W133" t="s">
        <v>3301</v>
      </c>
      <c r="X133" s="2" t="s">
        <v>0</v>
      </c>
      <c r="Y133" s="5" t="e">
        <f t="shared" si="22"/>
        <v>#VALUE!</v>
      </c>
      <c r="AA133">
        <v>35335</v>
      </c>
      <c r="AB133">
        <v>19322</v>
      </c>
      <c r="AD133" t="s">
        <v>5</v>
      </c>
      <c r="AE133">
        <v>16</v>
      </c>
      <c r="AF133">
        <v>5</v>
      </c>
      <c r="AH133" t="s">
        <v>3300</v>
      </c>
      <c r="AI133" t="s">
        <v>3299</v>
      </c>
      <c r="AK133" t="s">
        <v>3298</v>
      </c>
      <c r="AL133">
        <v>1</v>
      </c>
      <c r="AM133" s="4">
        <f t="shared" si="18"/>
        <v>2.4390243902439025E-2</v>
      </c>
      <c r="AN133" s="21">
        <f t="shared" si="23"/>
        <v>3.6940922230123474E-5</v>
      </c>
      <c r="AO133" s="3"/>
      <c r="AP133">
        <v>0</v>
      </c>
      <c r="AR133" t="s">
        <v>1</v>
      </c>
      <c r="AT133" s="2" t="s">
        <v>0</v>
      </c>
      <c r="AU133" s="1" t="e">
        <f t="shared" si="19"/>
        <v>#VALUE!</v>
      </c>
      <c r="AV133" s="1" t="e">
        <f t="shared" si="20"/>
        <v>#VALUE!</v>
      </c>
      <c r="AW133" s="1" t="e">
        <f t="shared" si="21"/>
        <v>#VALUE!</v>
      </c>
    </row>
    <row r="134" spans="1:49" x14ac:dyDescent="0.2">
      <c r="A134">
        <v>132</v>
      </c>
      <c r="B134" t="s">
        <v>3297</v>
      </c>
      <c r="F134" t="s">
        <v>3296</v>
      </c>
      <c r="G134" t="s">
        <v>16</v>
      </c>
      <c r="H134" t="s">
        <v>15</v>
      </c>
      <c r="I134" t="s">
        <v>3295</v>
      </c>
      <c r="N134">
        <v>2</v>
      </c>
      <c r="O134" t="s">
        <v>3294</v>
      </c>
      <c r="P134" t="s">
        <v>3293</v>
      </c>
      <c r="Q134" t="s">
        <v>351</v>
      </c>
      <c r="R134" s="6">
        <v>29587</v>
      </c>
      <c r="S134" s="7">
        <f t="shared" si="16"/>
        <v>1981</v>
      </c>
      <c r="T134" s="7">
        <v>1981</v>
      </c>
      <c r="U134" s="7">
        <f t="shared" si="17"/>
        <v>41</v>
      </c>
      <c r="V134" s="6">
        <v>1981</v>
      </c>
      <c r="W134" t="s">
        <v>3292</v>
      </c>
      <c r="X134" s="2" t="s">
        <v>0</v>
      </c>
      <c r="Y134" s="5" t="e">
        <f t="shared" si="22"/>
        <v>#VALUE!</v>
      </c>
      <c r="AA134">
        <v>5220629</v>
      </c>
      <c r="AB134">
        <v>30447</v>
      </c>
      <c r="AD134" t="s">
        <v>5</v>
      </c>
      <c r="AE134">
        <v>20</v>
      </c>
      <c r="AF134">
        <v>2</v>
      </c>
      <c r="AH134" t="s">
        <v>3291</v>
      </c>
      <c r="AI134" t="s">
        <v>3290</v>
      </c>
      <c r="AK134" t="s">
        <v>3289</v>
      </c>
      <c r="AL134">
        <v>0</v>
      </c>
      <c r="AM134" s="4">
        <f t="shared" si="18"/>
        <v>0</v>
      </c>
      <c r="AN134" s="21">
        <f t="shared" si="23"/>
        <v>0</v>
      </c>
      <c r="AO134" s="3"/>
      <c r="AP134">
        <v>0</v>
      </c>
      <c r="AR134" t="s">
        <v>1</v>
      </c>
      <c r="AT134" s="2" t="s">
        <v>0</v>
      </c>
      <c r="AU134" s="1" t="e">
        <f t="shared" si="19"/>
        <v>#VALUE!</v>
      </c>
      <c r="AV134" s="1" t="e">
        <f t="shared" si="20"/>
        <v>#VALUE!</v>
      </c>
      <c r="AW134" s="1" t="e">
        <f t="shared" si="21"/>
        <v>#VALUE!</v>
      </c>
    </row>
    <row r="135" spans="1:49" x14ac:dyDescent="0.2">
      <c r="A135">
        <v>133</v>
      </c>
      <c r="B135" t="s">
        <v>3288</v>
      </c>
      <c r="C135" t="s">
        <v>3287</v>
      </c>
      <c r="F135" t="s">
        <v>3286</v>
      </c>
      <c r="G135" t="s">
        <v>16</v>
      </c>
      <c r="H135" t="s">
        <v>15</v>
      </c>
      <c r="I135" t="s">
        <v>3285</v>
      </c>
      <c r="N135">
        <v>2</v>
      </c>
      <c r="O135" t="s">
        <v>3284</v>
      </c>
      <c r="P135" t="s">
        <v>3283</v>
      </c>
      <c r="Q135" t="s">
        <v>351</v>
      </c>
      <c r="R135" s="6">
        <v>29587</v>
      </c>
      <c r="S135" s="7">
        <f t="shared" si="16"/>
        <v>1981</v>
      </c>
      <c r="T135" s="7">
        <v>1981</v>
      </c>
      <c r="U135" s="7">
        <f t="shared" si="17"/>
        <v>41</v>
      </c>
      <c r="V135" s="6">
        <v>1981</v>
      </c>
      <c r="W135" t="s">
        <v>3282</v>
      </c>
      <c r="X135" s="2">
        <v>1.1779999999999999</v>
      </c>
      <c r="Y135" s="5">
        <f t="shared" si="22"/>
        <v>3.1446037212033845E-2</v>
      </c>
      <c r="AA135">
        <v>168033</v>
      </c>
      <c r="AB135">
        <v>27965</v>
      </c>
      <c r="AD135" t="s">
        <v>5</v>
      </c>
      <c r="AE135">
        <v>46</v>
      </c>
      <c r="AF135">
        <v>10</v>
      </c>
      <c r="AH135" t="s">
        <v>3281</v>
      </c>
      <c r="AI135" t="s">
        <v>3280</v>
      </c>
      <c r="AK135" t="s">
        <v>3279</v>
      </c>
      <c r="AL135">
        <v>0</v>
      </c>
      <c r="AM135" s="4">
        <f t="shared" si="18"/>
        <v>0</v>
      </c>
      <c r="AN135" s="21">
        <f t="shared" si="23"/>
        <v>0</v>
      </c>
      <c r="AO135" s="3"/>
      <c r="AP135">
        <v>0</v>
      </c>
      <c r="AR135" t="s">
        <v>1</v>
      </c>
      <c r="AT135" s="2">
        <v>2.9279999999999999</v>
      </c>
      <c r="AU135" s="1">
        <f t="shared" si="19"/>
        <v>2.2012226048423691</v>
      </c>
      <c r="AV135" s="1">
        <f t="shared" si="20"/>
        <v>1.5723018606016923</v>
      </c>
      <c r="AW135" s="1">
        <f t="shared" si="21"/>
        <v>0.94338111636101529</v>
      </c>
    </row>
    <row r="136" spans="1:49" x14ac:dyDescent="0.2">
      <c r="A136">
        <v>134</v>
      </c>
      <c r="B136" t="s">
        <v>3278</v>
      </c>
      <c r="F136" t="s">
        <v>3277</v>
      </c>
      <c r="G136" t="s">
        <v>16</v>
      </c>
      <c r="H136" t="s">
        <v>15</v>
      </c>
      <c r="I136" t="s">
        <v>3276</v>
      </c>
      <c r="J136">
        <v>101341620</v>
      </c>
      <c r="K136" t="s">
        <v>3275</v>
      </c>
      <c r="M136" t="s">
        <v>678</v>
      </c>
      <c r="N136">
        <v>4</v>
      </c>
      <c r="O136" t="s">
        <v>3274</v>
      </c>
      <c r="P136" t="s">
        <v>3273</v>
      </c>
      <c r="Q136" t="s">
        <v>3272</v>
      </c>
      <c r="R136" s="6">
        <v>29587</v>
      </c>
      <c r="S136" s="7">
        <f t="shared" si="16"/>
        <v>1981</v>
      </c>
      <c r="T136" s="7">
        <v>1981</v>
      </c>
      <c r="U136" s="7">
        <f t="shared" si="17"/>
        <v>41</v>
      </c>
      <c r="V136" s="6">
        <v>1981</v>
      </c>
      <c r="W136" t="s">
        <v>3271</v>
      </c>
      <c r="X136" s="2" t="s">
        <v>0</v>
      </c>
      <c r="Y136" s="5" t="e">
        <f t="shared" si="22"/>
        <v>#VALUE!</v>
      </c>
      <c r="AA136">
        <v>3914089</v>
      </c>
      <c r="AB136">
        <v>89801</v>
      </c>
      <c r="AD136" t="s">
        <v>5</v>
      </c>
      <c r="AE136">
        <v>3</v>
      </c>
      <c r="AF136">
        <v>4</v>
      </c>
      <c r="AH136" t="s">
        <v>3270</v>
      </c>
      <c r="AI136" t="s">
        <v>3269</v>
      </c>
      <c r="AK136" t="s">
        <v>3268</v>
      </c>
      <c r="AL136">
        <v>0</v>
      </c>
      <c r="AM136" s="4">
        <f t="shared" si="18"/>
        <v>0</v>
      </c>
      <c r="AN136" s="21">
        <f t="shared" si="23"/>
        <v>0</v>
      </c>
      <c r="AO136" s="3"/>
      <c r="AP136">
        <v>0</v>
      </c>
      <c r="AR136" t="s">
        <v>1</v>
      </c>
      <c r="AT136" s="2" t="s">
        <v>0</v>
      </c>
      <c r="AU136" s="1" t="e">
        <f t="shared" si="19"/>
        <v>#VALUE!</v>
      </c>
      <c r="AV136" s="1" t="e">
        <f t="shared" si="20"/>
        <v>#VALUE!</v>
      </c>
      <c r="AW136" s="1" t="e">
        <f t="shared" si="21"/>
        <v>#VALUE!</v>
      </c>
    </row>
    <row r="137" spans="1:49" x14ac:dyDescent="0.2">
      <c r="A137">
        <v>135</v>
      </c>
      <c r="B137" t="s">
        <v>3267</v>
      </c>
      <c r="C137" t="s">
        <v>3266</v>
      </c>
      <c r="F137" t="s">
        <v>3265</v>
      </c>
      <c r="G137" t="s">
        <v>16</v>
      </c>
      <c r="H137" t="s">
        <v>15</v>
      </c>
      <c r="I137" t="s">
        <v>3264</v>
      </c>
      <c r="J137" t="s">
        <v>3263</v>
      </c>
      <c r="K137" t="s">
        <v>3262</v>
      </c>
      <c r="L137" t="s">
        <v>3261</v>
      </c>
      <c r="M137" t="s">
        <v>277</v>
      </c>
      <c r="N137">
        <v>2</v>
      </c>
      <c r="O137" t="s">
        <v>3260</v>
      </c>
      <c r="P137" t="s">
        <v>3259</v>
      </c>
      <c r="Q137" t="s">
        <v>3258</v>
      </c>
      <c r="R137" s="6">
        <v>29587</v>
      </c>
      <c r="S137" s="7">
        <f t="shared" si="16"/>
        <v>1981</v>
      </c>
      <c r="T137" s="7">
        <v>1981</v>
      </c>
      <c r="U137" s="7">
        <f t="shared" si="17"/>
        <v>41</v>
      </c>
      <c r="V137" s="6">
        <v>29921</v>
      </c>
      <c r="W137" t="s">
        <v>573</v>
      </c>
      <c r="X137" s="2">
        <v>1.3720000000000001</v>
      </c>
      <c r="Y137" s="5">
        <f t="shared" si="22"/>
        <v>3.662475641333654E-2</v>
      </c>
      <c r="AA137">
        <v>189480</v>
      </c>
      <c r="AB137">
        <v>17366</v>
      </c>
      <c r="AC137">
        <v>15579670</v>
      </c>
      <c r="AD137" t="s">
        <v>5</v>
      </c>
      <c r="AE137">
        <v>29</v>
      </c>
      <c r="AF137">
        <v>12</v>
      </c>
      <c r="AH137" t="s">
        <v>3257</v>
      </c>
      <c r="AI137" t="s">
        <v>3256</v>
      </c>
      <c r="AK137" t="s">
        <v>3255</v>
      </c>
      <c r="AL137">
        <v>27</v>
      </c>
      <c r="AM137" s="4">
        <f t="shared" si="18"/>
        <v>0.65853658536585369</v>
      </c>
      <c r="AN137" s="21">
        <f t="shared" si="23"/>
        <v>9.9740490021333391E-4</v>
      </c>
      <c r="AO137" s="3"/>
      <c r="AP137">
        <v>0</v>
      </c>
      <c r="AR137" t="s">
        <v>1</v>
      </c>
      <c r="AT137" s="2" t="s">
        <v>0</v>
      </c>
      <c r="AU137" s="1">
        <f t="shared" si="19"/>
        <v>2.5936550959399578</v>
      </c>
      <c r="AV137" s="1">
        <f t="shared" si="20"/>
        <v>1.8811080656774937</v>
      </c>
      <c r="AW137" s="1">
        <f t="shared" si="21"/>
        <v>1.1685610354150298</v>
      </c>
    </row>
    <row r="138" spans="1:49" x14ac:dyDescent="0.2">
      <c r="A138">
        <v>136</v>
      </c>
      <c r="B138" t="s">
        <v>3254</v>
      </c>
      <c r="C138" t="s">
        <v>3253</v>
      </c>
      <c r="F138" t="s">
        <v>3252</v>
      </c>
      <c r="G138" t="s">
        <v>16</v>
      </c>
      <c r="H138" t="s">
        <v>15</v>
      </c>
      <c r="I138" t="s">
        <v>3251</v>
      </c>
      <c r="J138" t="s">
        <v>3250</v>
      </c>
      <c r="K138" t="s">
        <v>3249</v>
      </c>
      <c r="L138" t="s">
        <v>3248</v>
      </c>
      <c r="M138" t="s">
        <v>194</v>
      </c>
      <c r="N138">
        <v>3</v>
      </c>
      <c r="O138" t="s">
        <v>3247</v>
      </c>
      <c r="P138" t="s">
        <v>3246</v>
      </c>
      <c r="Q138" t="s">
        <v>3245</v>
      </c>
      <c r="R138" s="6">
        <v>29587</v>
      </c>
      <c r="S138" s="7">
        <f t="shared" si="16"/>
        <v>1981</v>
      </c>
      <c r="T138" s="7">
        <v>1981</v>
      </c>
      <c r="U138" s="7">
        <f t="shared" si="17"/>
        <v>41</v>
      </c>
      <c r="V138" s="6">
        <v>29921</v>
      </c>
      <c r="W138" s="10" t="s">
        <v>1219</v>
      </c>
      <c r="X138" s="2">
        <v>2.383</v>
      </c>
      <c r="Y138" s="5">
        <f t="shared" si="22"/>
        <v>6.3612824003630442E-2</v>
      </c>
      <c r="AA138">
        <v>1437070</v>
      </c>
      <c r="AB138">
        <v>39742</v>
      </c>
      <c r="AD138" t="s">
        <v>5</v>
      </c>
      <c r="AE138">
        <v>128</v>
      </c>
      <c r="AF138">
        <v>7</v>
      </c>
      <c r="AH138" t="s">
        <v>3244</v>
      </c>
      <c r="AI138" t="s">
        <v>3243</v>
      </c>
      <c r="AJ138" t="s">
        <v>3242</v>
      </c>
      <c r="AK138" t="s">
        <v>3241</v>
      </c>
      <c r="AL138">
        <v>48</v>
      </c>
      <c r="AM138" s="4">
        <f t="shared" si="18"/>
        <v>1.1707317073170731</v>
      </c>
      <c r="AN138" s="21">
        <f t="shared" si="23"/>
        <v>1.7731642670459266E-3</v>
      </c>
      <c r="AO138" s="3"/>
      <c r="AP138">
        <v>0</v>
      </c>
      <c r="AR138" t="s">
        <v>1</v>
      </c>
      <c r="AT138" s="2" t="s">
        <v>0</v>
      </c>
      <c r="AU138" s="1">
        <f t="shared" si="19"/>
        <v>4.5060926082655088</v>
      </c>
      <c r="AV138" s="1">
        <f t="shared" si="20"/>
        <v>3.269299413533818</v>
      </c>
      <c r="AW138" s="1">
        <f t="shared" si="21"/>
        <v>2.0325062188021281</v>
      </c>
    </row>
    <row r="139" spans="1:49" x14ac:dyDescent="0.2">
      <c r="A139">
        <v>137</v>
      </c>
      <c r="B139" t="s">
        <v>3240</v>
      </c>
      <c r="C139" t="s">
        <v>3239</v>
      </c>
      <c r="F139" t="s">
        <v>3238</v>
      </c>
      <c r="G139" t="s">
        <v>16</v>
      </c>
      <c r="H139" t="s">
        <v>15</v>
      </c>
      <c r="I139" t="s">
        <v>3237</v>
      </c>
      <c r="J139">
        <v>60017563</v>
      </c>
      <c r="K139" t="s">
        <v>3236</v>
      </c>
      <c r="L139" t="s">
        <v>3235</v>
      </c>
      <c r="M139" t="s">
        <v>3234</v>
      </c>
      <c r="N139">
        <v>3</v>
      </c>
      <c r="O139" t="s">
        <v>3233</v>
      </c>
      <c r="P139" t="s">
        <v>3232</v>
      </c>
      <c r="Q139" t="s">
        <v>3231</v>
      </c>
      <c r="R139" s="6">
        <v>29587</v>
      </c>
      <c r="S139" s="7">
        <f t="shared" si="16"/>
        <v>1981</v>
      </c>
      <c r="T139" s="7">
        <v>1981</v>
      </c>
      <c r="U139" s="7">
        <f t="shared" si="17"/>
        <v>41</v>
      </c>
      <c r="V139" s="6">
        <v>29921</v>
      </c>
      <c r="W139" t="s">
        <v>2813</v>
      </c>
      <c r="X139" s="2">
        <v>0.82</v>
      </c>
      <c r="Y139" s="5">
        <f t="shared" si="22"/>
        <v>2.1889431675609299E-2</v>
      </c>
      <c r="AA139">
        <v>189456</v>
      </c>
      <c r="AB139">
        <v>15361</v>
      </c>
      <c r="AC139">
        <v>15579662</v>
      </c>
      <c r="AD139" t="s">
        <v>5</v>
      </c>
      <c r="AE139" t="s">
        <v>2812</v>
      </c>
      <c r="AF139">
        <v>4</v>
      </c>
      <c r="AH139" t="s">
        <v>3230</v>
      </c>
      <c r="AI139" t="s">
        <v>3229</v>
      </c>
      <c r="AK139" t="s">
        <v>3228</v>
      </c>
      <c r="AL139">
        <v>7</v>
      </c>
      <c r="AM139" s="4">
        <f t="shared" si="18"/>
        <v>0.17073170731707318</v>
      </c>
      <c r="AN139" s="21">
        <f t="shared" si="23"/>
        <v>2.5858645561086435E-4</v>
      </c>
      <c r="AO139" s="3"/>
      <c r="AP139">
        <v>0</v>
      </c>
      <c r="AR139" t="s">
        <v>1</v>
      </c>
      <c r="AT139" s="2" t="s">
        <v>0</v>
      </c>
      <c r="AU139" s="1">
        <f t="shared" si="19"/>
        <v>1.5400178109609766</v>
      </c>
      <c r="AV139" s="1">
        <f t="shared" si="20"/>
        <v>1.107400906561008</v>
      </c>
      <c r="AW139" s="1">
        <f t="shared" si="21"/>
        <v>0.67478400216103951</v>
      </c>
    </row>
    <row r="140" spans="1:49" x14ac:dyDescent="0.2">
      <c r="A140">
        <v>138</v>
      </c>
      <c r="B140" t="s">
        <v>3227</v>
      </c>
      <c r="F140" t="s">
        <v>3226</v>
      </c>
      <c r="G140" t="s">
        <v>16</v>
      </c>
      <c r="H140" t="s">
        <v>15</v>
      </c>
      <c r="I140" t="s">
        <v>3225</v>
      </c>
      <c r="J140">
        <v>60031159</v>
      </c>
      <c r="K140" t="s">
        <v>3224</v>
      </c>
      <c r="L140" t="s">
        <v>3223</v>
      </c>
      <c r="M140" t="s">
        <v>131</v>
      </c>
      <c r="N140">
        <v>1</v>
      </c>
      <c r="O140" t="s">
        <v>3222</v>
      </c>
      <c r="P140">
        <v>6603244529</v>
      </c>
      <c r="Q140">
        <v>60031159</v>
      </c>
      <c r="R140" s="6">
        <v>29587</v>
      </c>
      <c r="S140" s="7">
        <f t="shared" si="16"/>
        <v>1981</v>
      </c>
      <c r="T140" s="7">
        <v>1981</v>
      </c>
      <c r="U140" s="7">
        <f t="shared" si="17"/>
        <v>41</v>
      </c>
      <c r="V140" s="6">
        <v>1981</v>
      </c>
      <c r="W140" t="s">
        <v>3221</v>
      </c>
      <c r="X140" s="2" t="s">
        <v>0</v>
      </c>
      <c r="Y140" s="5" t="e">
        <f t="shared" si="22"/>
        <v>#VALUE!</v>
      </c>
      <c r="AA140">
        <v>3792285</v>
      </c>
      <c r="AB140">
        <v>34899</v>
      </c>
      <c r="AD140" t="s">
        <v>5</v>
      </c>
      <c r="AE140">
        <v>81</v>
      </c>
      <c r="AF140">
        <v>3</v>
      </c>
      <c r="AH140" t="s">
        <v>3220</v>
      </c>
      <c r="AI140" t="s">
        <v>3219</v>
      </c>
      <c r="AK140" t="s">
        <v>3218</v>
      </c>
      <c r="AL140">
        <v>1</v>
      </c>
      <c r="AM140" s="4">
        <f t="shared" si="18"/>
        <v>2.4390243902439025E-2</v>
      </c>
      <c r="AN140" s="21">
        <f t="shared" si="23"/>
        <v>3.6940922230123474E-5</v>
      </c>
      <c r="AO140" s="3"/>
      <c r="AP140">
        <v>0</v>
      </c>
      <c r="AR140" t="s">
        <v>1</v>
      </c>
      <c r="AT140" s="2" t="s">
        <v>0</v>
      </c>
      <c r="AU140" s="1" t="e">
        <f t="shared" si="19"/>
        <v>#VALUE!</v>
      </c>
      <c r="AV140" s="1" t="e">
        <f t="shared" si="20"/>
        <v>#VALUE!</v>
      </c>
      <c r="AW140" s="1" t="e">
        <f t="shared" si="21"/>
        <v>#VALUE!</v>
      </c>
    </row>
    <row r="141" spans="1:49" x14ac:dyDescent="0.2">
      <c r="A141">
        <v>139</v>
      </c>
      <c r="B141" t="s">
        <v>3217</v>
      </c>
      <c r="F141" t="s">
        <v>3216</v>
      </c>
      <c r="G141" t="s">
        <v>16</v>
      </c>
      <c r="H141" t="s">
        <v>15</v>
      </c>
      <c r="I141" t="s">
        <v>3149</v>
      </c>
      <c r="N141">
        <v>1</v>
      </c>
      <c r="O141" t="s">
        <v>1908</v>
      </c>
      <c r="P141">
        <v>7005064847</v>
      </c>
      <c r="R141" s="6">
        <v>29587</v>
      </c>
      <c r="S141" s="7">
        <f t="shared" si="16"/>
        <v>1981</v>
      </c>
      <c r="T141" s="7">
        <v>1981</v>
      </c>
      <c r="U141" s="7">
        <f t="shared" si="17"/>
        <v>41</v>
      </c>
      <c r="V141" s="6">
        <v>1981</v>
      </c>
      <c r="W141" t="s">
        <v>3148</v>
      </c>
      <c r="X141" s="2" t="s">
        <v>0</v>
      </c>
      <c r="Y141" s="5" t="e">
        <f t="shared" si="22"/>
        <v>#VALUE!</v>
      </c>
      <c r="AA141">
        <v>652539</v>
      </c>
      <c r="AB141">
        <v>33874</v>
      </c>
      <c r="AD141" t="s">
        <v>5</v>
      </c>
      <c r="AH141" t="s">
        <v>3215</v>
      </c>
      <c r="AI141" t="s">
        <v>3214</v>
      </c>
      <c r="AK141" t="s">
        <v>3213</v>
      </c>
      <c r="AL141">
        <v>0</v>
      </c>
      <c r="AM141" s="4">
        <f t="shared" si="18"/>
        <v>0</v>
      </c>
      <c r="AN141" s="21">
        <f t="shared" si="23"/>
        <v>0</v>
      </c>
      <c r="AO141" s="3"/>
      <c r="AP141">
        <v>0</v>
      </c>
      <c r="AR141" t="s">
        <v>1</v>
      </c>
      <c r="AT141" s="2" t="s">
        <v>0</v>
      </c>
      <c r="AU141" s="1" t="e">
        <f t="shared" si="19"/>
        <v>#VALUE!</v>
      </c>
      <c r="AV141" s="1" t="e">
        <f t="shared" si="20"/>
        <v>#VALUE!</v>
      </c>
      <c r="AW141" s="1" t="e">
        <f t="shared" si="21"/>
        <v>#VALUE!</v>
      </c>
    </row>
    <row r="142" spans="1:49" x14ac:dyDescent="0.2">
      <c r="A142">
        <v>140</v>
      </c>
      <c r="B142" t="s">
        <v>3212</v>
      </c>
      <c r="C142" t="s">
        <v>3211</v>
      </c>
      <c r="F142" t="s">
        <v>3210</v>
      </c>
      <c r="G142" t="s">
        <v>16</v>
      </c>
      <c r="H142" t="s">
        <v>15</v>
      </c>
      <c r="I142" t="s">
        <v>2387</v>
      </c>
      <c r="J142">
        <v>60025997</v>
      </c>
      <c r="K142" t="s">
        <v>2386</v>
      </c>
      <c r="L142" t="s">
        <v>313</v>
      </c>
      <c r="M142" t="s">
        <v>312</v>
      </c>
      <c r="N142">
        <v>2</v>
      </c>
      <c r="O142" t="s">
        <v>3209</v>
      </c>
      <c r="P142" t="s">
        <v>3208</v>
      </c>
      <c r="Q142" t="s">
        <v>3207</v>
      </c>
      <c r="R142" s="6">
        <v>29587</v>
      </c>
      <c r="S142" s="7">
        <f t="shared" si="16"/>
        <v>1981</v>
      </c>
      <c r="T142" s="7">
        <v>1981</v>
      </c>
      <c r="U142" s="7">
        <f t="shared" si="17"/>
        <v>41</v>
      </c>
      <c r="V142" s="6">
        <v>29921</v>
      </c>
      <c r="W142" t="s">
        <v>466</v>
      </c>
      <c r="X142" s="2">
        <v>0.111</v>
      </c>
      <c r="Y142" s="5">
        <f t="shared" si="22"/>
        <v>2.9630816048690639E-3</v>
      </c>
      <c r="AA142">
        <v>87566621</v>
      </c>
      <c r="AB142">
        <v>24890</v>
      </c>
      <c r="AC142">
        <v>15206424</v>
      </c>
      <c r="AD142" t="s">
        <v>5</v>
      </c>
      <c r="AE142">
        <v>64</v>
      </c>
      <c r="AF142">
        <v>12</v>
      </c>
      <c r="AH142" t="s">
        <v>3206</v>
      </c>
      <c r="AI142" t="s">
        <v>3205</v>
      </c>
      <c r="AK142" t="s">
        <v>3204</v>
      </c>
      <c r="AL142">
        <v>0</v>
      </c>
      <c r="AM142" s="4">
        <f t="shared" si="18"/>
        <v>0</v>
      </c>
      <c r="AN142" s="21">
        <f t="shared" si="23"/>
        <v>0</v>
      </c>
      <c r="AO142" s="3"/>
      <c r="AP142">
        <v>0</v>
      </c>
      <c r="AR142" t="s">
        <v>1</v>
      </c>
      <c r="AT142" s="2" t="s">
        <v>0</v>
      </c>
      <c r="AU142" s="1">
        <f t="shared" si="19"/>
        <v>0.20741571234083445</v>
      </c>
      <c r="AV142" s="1">
        <f t="shared" si="20"/>
        <v>0.1481540802434532</v>
      </c>
      <c r="AW142" s="1">
        <f t="shared" si="21"/>
        <v>8.8892448146071903E-2</v>
      </c>
    </row>
    <row r="143" spans="1:49" x14ac:dyDescent="0.2">
      <c r="A143">
        <v>141</v>
      </c>
      <c r="B143" t="s">
        <v>3203</v>
      </c>
      <c r="F143" t="s">
        <v>3202</v>
      </c>
      <c r="G143" t="s">
        <v>16</v>
      </c>
      <c r="H143" t="s">
        <v>15</v>
      </c>
      <c r="I143" t="s">
        <v>3201</v>
      </c>
      <c r="N143">
        <v>1</v>
      </c>
      <c r="O143" t="s">
        <v>3200</v>
      </c>
      <c r="P143">
        <v>6701716205</v>
      </c>
      <c r="R143" s="6">
        <v>29587</v>
      </c>
      <c r="S143" s="7">
        <f t="shared" si="16"/>
        <v>1981</v>
      </c>
      <c r="T143" s="7">
        <v>1981</v>
      </c>
      <c r="U143" s="7">
        <f t="shared" si="17"/>
        <v>41</v>
      </c>
      <c r="V143" s="6" t="s">
        <v>3070</v>
      </c>
      <c r="W143" t="s">
        <v>2847</v>
      </c>
      <c r="X143" s="2" t="s">
        <v>0</v>
      </c>
      <c r="Y143" s="5" t="e">
        <f t="shared" si="22"/>
        <v>#VALUE!</v>
      </c>
      <c r="AA143">
        <v>337889</v>
      </c>
      <c r="AB143">
        <v>40920</v>
      </c>
      <c r="AD143" t="s">
        <v>5</v>
      </c>
      <c r="AE143">
        <v>26</v>
      </c>
      <c r="AF143">
        <v>12</v>
      </c>
      <c r="AH143" t="s">
        <v>3199</v>
      </c>
      <c r="AI143" t="s">
        <v>3198</v>
      </c>
      <c r="AK143" t="s">
        <v>3197</v>
      </c>
      <c r="AL143">
        <v>0</v>
      </c>
      <c r="AM143" s="4">
        <f t="shared" si="18"/>
        <v>0</v>
      </c>
      <c r="AN143" s="21">
        <f t="shared" si="23"/>
        <v>0</v>
      </c>
      <c r="AO143" s="3"/>
      <c r="AP143">
        <v>0</v>
      </c>
      <c r="AR143" t="s">
        <v>1</v>
      </c>
      <c r="AT143" s="2" t="s">
        <v>0</v>
      </c>
      <c r="AU143" s="1" t="e">
        <f t="shared" si="19"/>
        <v>#VALUE!</v>
      </c>
      <c r="AV143" s="1" t="e">
        <f t="shared" si="20"/>
        <v>#VALUE!</v>
      </c>
      <c r="AW143" s="1" t="e">
        <f t="shared" si="21"/>
        <v>#VALUE!</v>
      </c>
    </row>
    <row r="144" spans="1:49" x14ac:dyDescent="0.2">
      <c r="A144">
        <v>142</v>
      </c>
      <c r="B144" t="s">
        <v>3196</v>
      </c>
      <c r="C144" t="s">
        <v>3195</v>
      </c>
      <c r="F144" t="s">
        <v>3194</v>
      </c>
      <c r="G144" t="s">
        <v>16</v>
      </c>
      <c r="H144" t="s">
        <v>15</v>
      </c>
      <c r="I144" t="s">
        <v>3193</v>
      </c>
      <c r="J144">
        <v>60007716</v>
      </c>
      <c r="K144" t="s">
        <v>3192</v>
      </c>
      <c r="L144" t="s">
        <v>3191</v>
      </c>
      <c r="M144" t="s">
        <v>678</v>
      </c>
      <c r="N144">
        <v>2</v>
      </c>
      <c r="O144" t="s">
        <v>3190</v>
      </c>
      <c r="P144" t="s">
        <v>3189</v>
      </c>
      <c r="Q144" t="s">
        <v>3188</v>
      </c>
      <c r="R144" s="6">
        <v>29587</v>
      </c>
      <c r="S144" s="7">
        <f t="shared" si="16"/>
        <v>1981</v>
      </c>
      <c r="T144" s="7">
        <v>1981</v>
      </c>
      <c r="U144" s="7">
        <f t="shared" si="17"/>
        <v>41</v>
      </c>
      <c r="V144" s="6">
        <v>29921</v>
      </c>
      <c r="W144" t="s">
        <v>1493</v>
      </c>
      <c r="X144" s="2">
        <v>0.78200000000000003</v>
      </c>
      <c r="Y144" s="5">
        <f t="shared" si="22"/>
        <v>2.0875043378446919E-2</v>
      </c>
      <c r="AA144">
        <v>189316</v>
      </c>
      <c r="AB144">
        <v>19901</v>
      </c>
      <c r="AC144">
        <v>15579611</v>
      </c>
      <c r="AD144" t="s">
        <v>5</v>
      </c>
      <c r="AE144" t="s">
        <v>1492</v>
      </c>
      <c r="AF144">
        <v>4</v>
      </c>
      <c r="AH144" t="s">
        <v>3187</v>
      </c>
      <c r="AI144" t="s">
        <v>3186</v>
      </c>
      <c r="AK144" t="s">
        <v>3185</v>
      </c>
      <c r="AL144">
        <v>1</v>
      </c>
      <c r="AM144" s="4">
        <f t="shared" si="18"/>
        <v>2.4390243902439025E-2</v>
      </c>
      <c r="AN144" s="21">
        <f t="shared" si="23"/>
        <v>3.6940922230123474E-5</v>
      </c>
      <c r="AO144" s="3"/>
      <c r="AP144">
        <v>0</v>
      </c>
      <c r="AR144" t="s">
        <v>1</v>
      </c>
      <c r="AT144" s="2">
        <v>3.863</v>
      </c>
      <c r="AU144" s="1">
        <f t="shared" si="19"/>
        <v>1.4623612641581878</v>
      </c>
      <c r="AV144" s="1">
        <f t="shared" si="20"/>
        <v>1.0455992150338522</v>
      </c>
      <c r="AW144" s="1">
        <f t="shared" si="21"/>
        <v>0.62883716590951622</v>
      </c>
    </row>
    <row r="145" spans="1:49" x14ac:dyDescent="0.2">
      <c r="A145">
        <v>143</v>
      </c>
      <c r="B145" t="s">
        <v>3184</v>
      </c>
      <c r="F145" t="s">
        <v>3183</v>
      </c>
      <c r="G145" t="s">
        <v>16</v>
      </c>
      <c r="H145" t="s">
        <v>15</v>
      </c>
      <c r="I145" t="s">
        <v>3182</v>
      </c>
      <c r="N145">
        <v>1</v>
      </c>
      <c r="O145" t="s">
        <v>3181</v>
      </c>
      <c r="P145">
        <v>6603426471</v>
      </c>
      <c r="R145" s="6">
        <v>29587</v>
      </c>
      <c r="S145" s="7">
        <f t="shared" si="16"/>
        <v>1981</v>
      </c>
      <c r="T145" s="7">
        <v>1981</v>
      </c>
      <c r="U145" s="7">
        <f t="shared" si="17"/>
        <v>41</v>
      </c>
      <c r="V145" s="6">
        <v>1981</v>
      </c>
      <c r="W145" t="s">
        <v>3180</v>
      </c>
      <c r="X145" s="2" t="s">
        <v>0</v>
      </c>
      <c r="Y145" s="5" t="e">
        <f t="shared" si="22"/>
        <v>#VALUE!</v>
      </c>
      <c r="AA145">
        <v>401471</v>
      </c>
      <c r="AB145">
        <v>30539</v>
      </c>
      <c r="AD145" t="s">
        <v>5</v>
      </c>
      <c r="AE145">
        <v>59</v>
      </c>
      <c r="AF145">
        <v>9</v>
      </c>
      <c r="AH145" t="s">
        <v>3179</v>
      </c>
      <c r="AI145" t="s">
        <v>3178</v>
      </c>
      <c r="AK145" t="s">
        <v>3177</v>
      </c>
      <c r="AL145">
        <v>0</v>
      </c>
      <c r="AM145" s="4">
        <f t="shared" si="18"/>
        <v>0</v>
      </c>
      <c r="AN145" s="21">
        <f t="shared" si="23"/>
        <v>0</v>
      </c>
      <c r="AO145" s="3"/>
      <c r="AP145">
        <v>0</v>
      </c>
      <c r="AR145" t="s">
        <v>1</v>
      </c>
      <c r="AT145" s="2" t="s">
        <v>0</v>
      </c>
      <c r="AU145" s="1" t="e">
        <f t="shared" si="19"/>
        <v>#VALUE!</v>
      </c>
      <c r="AV145" s="1" t="e">
        <f t="shared" si="20"/>
        <v>#VALUE!</v>
      </c>
      <c r="AW145" s="1" t="e">
        <f t="shared" si="21"/>
        <v>#VALUE!</v>
      </c>
    </row>
    <row r="146" spans="1:49" x14ac:dyDescent="0.2">
      <c r="A146">
        <v>144</v>
      </c>
      <c r="B146" t="s">
        <v>3176</v>
      </c>
      <c r="C146" t="s">
        <v>3175</v>
      </c>
      <c r="F146" t="s">
        <v>3174</v>
      </c>
      <c r="G146" t="s">
        <v>16</v>
      </c>
      <c r="H146" t="s">
        <v>15</v>
      </c>
      <c r="I146" t="s">
        <v>3173</v>
      </c>
      <c r="N146">
        <v>4</v>
      </c>
      <c r="O146" t="s">
        <v>3172</v>
      </c>
      <c r="P146" t="s">
        <v>3171</v>
      </c>
      <c r="Q146" t="s">
        <v>2136</v>
      </c>
      <c r="R146" s="6">
        <v>29587</v>
      </c>
      <c r="S146" s="7">
        <f t="shared" si="16"/>
        <v>1981</v>
      </c>
      <c r="T146" s="7">
        <v>1981</v>
      </c>
      <c r="U146" s="7">
        <f t="shared" si="17"/>
        <v>41</v>
      </c>
      <c r="V146" s="6" t="s">
        <v>3070</v>
      </c>
      <c r="W146" t="s">
        <v>2006</v>
      </c>
      <c r="X146" s="2" t="s">
        <v>0</v>
      </c>
      <c r="Y146" s="5" t="e">
        <f t="shared" si="22"/>
        <v>#VALUE!</v>
      </c>
      <c r="AA146">
        <v>3866831</v>
      </c>
      <c r="AB146">
        <v>31423</v>
      </c>
      <c r="AD146" t="s">
        <v>5</v>
      </c>
      <c r="AE146">
        <v>35</v>
      </c>
      <c r="AF146">
        <v>12</v>
      </c>
      <c r="AH146" t="s">
        <v>3170</v>
      </c>
      <c r="AI146" t="s">
        <v>3169</v>
      </c>
      <c r="AK146" t="s">
        <v>3168</v>
      </c>
      <c r="AL146">
        <v>0</v>
      </c>
      <c r="AM146" s="4">
        <f t="shared" si="18"/>
        <v>0</v>
      </c>
      <c r="AN146" s="21">
        <f t="shared" si="23"/>
        <v>0</v>
      </c>
      <c r="AO146" s="3"/>
      <c r="AP146">
        <v>1</v>
      </c>
      <c r="AR146" t="s">
        <v>1</v>
      </c>
      <c r="AT146" s="2" t="s">
        <v>0</v>
      </c>
      <c r="AU146" s="1" t="e">
        <f t="shared" si="19"/>
        <v>#VALUE!</v>
      </c>
      <c r="AV146" s="1" t="e">
        <f t="shared" si="20"/>
        <v>#VALUE!</v>
      </c>
      <c r="AW146" s="1" t="e">
        <f t="shared" si="21"/>
        <v>#VALUE!</v>
      </c>
    </row>
    <row r="147" spans="1:49" x14ac:dyDescent="0.2">
      <c r="A147">
        <v>145</v>
      </c>
      <c r="B147" t="s">
        <v>3167</v>
      </c>
      <c r="C147" t="s">
        <v>3166</v>
      </c>
      <c r="F147" t="s">
        <v>3165</v>
      </c>
      <c r="G147" t="s">
        <v>16</v>
      </c>
      <c r="H147" t="s">
        <v>15</v>
      </c>
      <c r="I147" t="s">
        <v>3164</v>
      </c>
      <c r="N147">
        <v>1</v>
      </c>
      <c r="O147" t="s">
        <v>3163</v>
      </c>
      <c r="P147">
        <v>7005699797</v>
      </c>
      <c r="R147" s="6">
        <v>29587</v>
      </c>
      <c r="S147" s="7">
        <f t="shared" si="16"/>
        <v>1981</v>
      </c>
      <c r="T147" s="7">
        <v>1981</v>
      </c>
      <c r="U147" s="7">
        <f t="shared" si="17"/>
        <v>41</v>
      </c>
      <c r="V147" s="6">
        <v>29921</v>
      </c>
      <c r="W147" t="s">
        <v>2275</v>
      </c>
      <c r="X147" s="2">
        <v>0.32300000000000001</v>
      </c>
      <c r="Y147" s="5">
        <f t="shared" si="22"/>
        <v>8.6223005258802502E-3</v>
      </c>
      <c r="AA147">
        <v>58580</v>
      </c>
      <c r="AB147">
        <v>36492</v>
      </c>
      <c r="AC147">
        <v>15387305</v>
      </c>
      <c r="AD147" t="s">
        <v>5</v>
      </c>
      <c r="AE147">
        <v>60</v>
      </c>
      <c r="AF147">
        <v>10</v>
      </c>
      <c r="AH147" t="s">
        <v>3162</v>
      </c>
      <c r="AI147" t="s">
        <v>3161</v>
      </c>
      <c r="AK147" t="s">
        <v>3160</v>
      </c>
      <c r="AL147">
        <v>10</v>
      </c>
      <c r="AM147" s="4">
        <f t="shared" si="18"/>
        <v>0.24390243902439024</v>
      </c>
      <c r="AN147" s="21">
        <f t="shared" si="23"/>
        <v>3.6940922230123473E-4</v>
      </c>
      <c r="AO147" s="3"/>
      <c r="AP147">
        <v>0</v>
      </c>
      <c r="AR147" t="s">
        <v>1</v>
      </c>
      <c r="AT147" s="2" t="s">
        <v>0</v>
      </c>
      <c r="AU147" s="1">
        <f t="shared" si="19"/>
        <v>0.61464331348065449</v>
      </c>
      <c r="AV147" s="1">
        <f t="shared" si="20"/>
        <v>0.44958548740907422</v>
      </c>
      <c r="AW147" s="1">
        <f t="shared" si="21"/>
        <v>0.28452766133749391</v>
      </c>
    </row>
    <row r="148" spans="1:49" x14ac:dyDescent="0.2">
      <c r="A148">
        <v>146</v>
      </c>
      <c r="B148" t="s">
        <v>3159</v>
      </c>
      <c r="C148" t="s">
        <v>3158</v>
      </c>
      <c r="F148" t="s">
        <v>3157</v>
      </c>
      <c r="G148" t="s">
        <v>16</v>
      </c>
      <c r="H148" t="s">
        <v>15</v>
      </c>
      <c r="I148" t="s">
        <v>3156</v>
      </c>
      <c r="J148">
        <v>60074055</v>
      </c>
      <c r="K148" t="s">
        <v>2470</v>
      </c>
      <c r="L148" t="s">
        <v>2469</v>
      </c>
      <c r="M148" t="s">
        <v>11</v>
      </c>
      <c r="N148">
        <v>4</v>
      </c>
      <c r="O148" t="s">
        <v>3155</v>
      </c>
      <c r="P148" t="s">
        <v>3154</v>
      </c>
      <c r="Q148" t="s">
        <v>3153</v>
      </c>
      <c r="R148" s="6">
        <v>29587</v>
      </c>
      <c r="S148" s="7">
        <f t="shared" si="16"/>
        <v>1981</v>
      </c>
      <c r="T148" s="7">
        <v>1981</v>
      </c>
      <c r="U148" s="7">
        <f t="shared" si="17"/>
        <v>41</v>
      </c>
      <c r="V148" s="6">
        <v>29921</v>
      </c>
      <c r="W148" t="s">
        <v>2050</v>
      </c>
      <c r="X148" s="2">
        <v>0.53700000000000003</v>
      </c>
      <c r="Y148" s="5">
        <f t="shared" si="22"/>
        <v>1.4334908304636823E-2</v>
      </c>
      <c r="AA148">
        <v>189499</v>
      </c>
      <c r="AB148">
        <v>17368</v>
      </c>
      <c r="AC148">
        <v>15581578</v>
      </c>
      <c r="AD148" t="s">
        <v>5</v>
      </c>
      <c r="AE148">
        <v>28</v>
      </c>
      <c r="AF148">
        <v>6</v>
      </c>
      <c r="AH148" t="s">
        <v>3152</v>
      </c>
      <c r="AL148">
        <v>2</v>
      </c>
      <c r="AM148" s="4">
        <f t="shared" si="18"/>
        <v>4.878048780487805E-2</v>
      </c>
      <c r="AN148" s="21">
        <f t="shared" si="23"/>
        <v>7.3881844460246948E-5</v>
      </c>
      <c r="AO148" s="3"/>
      <c r="AP148">
        <v>0</v>
      </c>
      <c r="AR148" t="s">
        <v>1</v>
      </c>
      <c r="AT148" s="2">
        <v>1.679</v>
      </c>
      <c r="AU148" s="1">
        <f t="shared" si="19"/>
        <v>1.005660036658385</v>
      </c>
      <c r="AV148" s="1">
        <f t="shared" si="20"/>
        <v>0.72043950745485341</v>
      </c>
      <c r="AW148" s="1">
        <f t="shared" si="21"/>
        <v>0.43521897825132194</v>
      </c>
    </row>
    <row r="149" spans="1:49" x14ac:dyDescent="0.2">
      <c r="A149">
        <v>147</v>
      </c>
      <c r="B149" t="s">
        <v>3151</v>
      </c>
      <c r="F149" t="s">
        <v>3150</v>
      </c>
      <c r="G149" t="s">
        <v>16</v>
      </c>
      <c r="H149" t="s">
        <v>15</v>
      </c>
      <c r="I149" t="s">
        <v>3149</v>
      </c>
      <c r="N149">
        <v>1</v>
      </c>
      <c r="O149" t="s">
        <v>1908</v>
      </c>
      <c r="P149">
        <v>7005064847</v>
      </c>
      <c r="R149" s="6">
        <v>29587</v>
      </c>
      <c r="S149" s="7">
        <f t="shared" si="16"/>
        <v>1981</v>
      </c>
      <c r="T149" s="7">
        <v>1981</v>
      </c>
      <c r="U149" s="7">
        <f t="shared" si="17"/>
        <v>41</v>
      </c>
      <c r="V149" s="6">
        <v>1981</v>
      </c>
      <c r="W149" t="s">
        <v>3148</v>
      </c>
      <c r="X149" s="2" t="s">
        <v>0</v>
      </c>
      <c r="Y149" s="5" t="e">
        <f t="shared" si="22"/>
        <v>#VALUE!</v>
      </c>
      <c r="AA149">
        <v>652539</v>
      </c>
      <c r="AB149">
        <v>33874</v>
      </c>
      <c r="AD149" t="s">
        <v>5</v>
      </c>
      <c r="AH149" t="s">
        <v>3147</v>
      </c>
      <c r="AI149" t="s">
        <v>3146</v>
      </c>
      <c r="AK149" t="s">
        <v>3145</v>
      </c>
      <c r="AL149">
        <v>0</v>
      </c>
      <c r="AM149" s="4">
        <f t="shared" si="18"/>
        <v>0</v>
      </c>
      <c r="AN149" s="21">
        <f t="shared" si="23"/>
        <v>0</v>
      </c>
      <c r="AO149" s="3"/>
      <c r="AP149">
        <v>0</v>
      </c>
      <c r="AR149" t="s">
        <v>1</v>
      </c>
      <c r="AT149" s="2" t="s">
        <v>0</v>
      </c>
      <c r="AU149" s="1" t="e">
        <f t="shared" si="19"/>
        <v>#VALUE!</v>
      </c>
      <c r="AV149" s="1" t="e">
        <f t="shared" si="20"/>
        <v>#VALUE!</v>
      </c>
      <c r="AW149" s="1" t="e">
        <f t="shared" si="21"/>
        <v>#VALUE!</v>
      </c>
    </row>
    <row r="150" spans="1:49" x14ac:dyDescent="0.2">
      <c r="A150">
        <v>148</v>
      </c>
      <c r="B150" t="s">
        <v>3144</v>
      </c>
      <c r="F150" t="s">
        <v>3143</v>
      </c>
      <c r="G150" t="s">
        <v>16</v>
      </c>
      <c r="H150" t="s">
        <v>15</v>
      </c>
      <c r="I150" t="s">
        <v>3142</v>
      </c>
      <c r="N150">
        <v>4</v>
      </c>
      <c r="O150" t="s">
        <v>3141</v>
      </c>
      <c r="P150" t="s">
        <v>3140</v>
      </c>
      <c r="Q150" t="s">
        <v>2136</v>
      </c>
      <c r="R150" s="6">
        <v>29587</v>
      </c>
      <c r="S150" s="7">
        <f t="shared" si="16"/>
        <v>1981</v>
      </c>
      <c r="T150" s="7">
        <v>1981</v>
      </c>
      <c r="U150" s="7">
        <f t="shared" si="17"/>
        <v>41</v>
      </c>
      <c r="V150" s="6" t="s">
        <v>3070</v>
      </c>
      <c r="W150" t="s">
        <v>2847</v>
      </c>
      <c r="X150" s="2" t="s">
        <v>0</v>
      </c>
      <c r="Y150" s="5" t="e">
        <f t="shared" si="22"/>
        <v>#VALUE!</v>
      </c>
      <c r="AA150">
        <v>337889</v>
      </c>
      <c r="AB150">
        <v>40920</v>
      </c>
      <c r="AD150" t="s">
        <v>5</v>
      </c>
      <c r="AE150">
        <v>26</v>
      </c>
      <c r="AF150">
        <v>12</v>
      </c>
      <c r="AH150" t="s">
        <v>3139</v>
      </c>
      <c r="AI150" t="s">
        <v>3138</v>
      </c>
      <c r="AK150" t="s">
        <v>3137</v>
      </c>
      <c r="AL150">
        <v>0</v>
      </c>
      <c r="AM150" s="4">
        <f t="shared" si="18"/>
        <v>0</v>
      </c>
      <c r="AN150" s="21">
        <f t="shared" si="23"/>
        <v>0</v>
      </c>
      <c r="AO150" s="3"/>
      <c r="AP150">
        <v>0</v>
      </c>
      <c r="AR150" t="s">
        <v>1</v>
      </c>
      <c r="AT150" s="2" t="s">
        <v>0</v>
      </c>
      <c r="AU150" s="1" t="e">
        <f t="shared" si="19"/>
        <v>#VALUE!</v>
      </c>
      <c r="AV150" s="1" t="e">
        <f t="shared" si="20"/>
        <v>#VALUE!</v>
      </c>
      <c r="AW150" s="1" t="e">
        <f t="shared" si="21"/>
        <v>#VALUE!</v>
      </c>
    </row>
    <row r="151" spans="1:49" x14ac:dyDescent="0.2">
      <c r="A151">
        <v>149</v>
      </c>
      <c r="B151" t="s">
        <v>3136</v>
      </c>
      <c r="F151" t="s">
        <v>3135</v>
      </c>
      <c r="G151" t="s">
        <v>16</v>
      </c>
      <c r="H151" t="s">
        <v>15</v>
      </c>
      <c r="I151" t="s">
        <v>3134</v>
      </c>
      <c r="N151">
        <v>2</v>
      </c>
      <c r="O151" t="s">
        <v>3133</v>
      </c>
      <c r="P151" t="s">
        <v>3132</v>
      </c>
      <c r="Q151" t="s">
        <v>351</v>
      </c>
      <c r="R151" s="6">
        <v>29587</v>
      </c>
      <c r="S151" s="7">
        <f t="shared" si="16"/>
        <v>1981</v>
      </c>
      <c r="T151" s="7">
        <v>1981</v>
      </c>
      <c r="U151" s="7">
        <f t="shared" si="17"/>
        <v>41</v>
      </c>
      <c r="V151" s="6" t="s">
        <v>3070</v>
      </c>
      <c r="W151" t="s">
        <v>2847</v>
      </c>
      <c r="X151" s="2" t="s">
        <v>0</v>
      </c>
      <c r="Y151" s="5" t="e">
        <f t="shared" si="22"/>
        <v>#VALUE!</v>
      </c>
      <c r="AA151">
        <v>337889</v>
      </c>
      <c r="AB151">
        <v>40920</v>
      </c>
      <c r="AD151" t="s">
        <v>5</v>
      </c>
      <c r="AE151">
        <v>26</v>
      </c>
      <c r="AF151">
        <v>12</v>
      </c>
      <c r="AH151" t="s">
        <v>3131</v>
      </c>
      <c r="AI151" t="s">
        <v>3130</v>
      </c>
      <c r="AK151" t="s">
        <v>3129</v>
      </c>
      <c r="AL151">
        <v>31</v>
      </c>
      <c r="AM151" s="4">
        <f t="shared" si="18"/>
        <v>0.75609756097560976</v>
      </c>
      <c r="AN151" s="21">
        <f t="shared" si="23"/>
        <v>1.1451685891338277E-3</v>
      </c>
      <c r="AO151" s="3"/>
      <c r="AP151">
        <v>0</v>
      </c>
      <c r="AR151" t="s">
        <v>1</v>
      </c>
      <c r="AT151" s="2" t="s">
        <v>0</v>
      </c>
      <c r="AU151" s="1" t="e">
        <f t="shared" si="19"/>
        <v>#VALUE!</v>
      </c>
      <c r="AV151" s="1" t="e">
        <f t="shared" si="20"/>
        <v>#VALUE!</v>
      </c>
      <c r="AW151" s="1" t="e">
        <f t="shared" si="21"/>
        <v>#VALUE!</v>
      </c>
    </row>
    <row r="152" spans="1:49" x14ac:dyDescent="0.2">
      <c r="A152">
        <v>150</v>
      </c>
      <c r="B152" t="s">
        <v>3128</v>
      </c>
      <c r="C152" t="s">
        <v>3127</v>
      </c>
      <c r="F152" t="s">
        <v>3126</v>
      </c>
      <c r="G152" t="s">
        <v>16</v>
      </c>
      <c r="H152" t="s">
        <v>15</v>
      </c>
      <c r="I152" t="s">
        <v>3125</v>
      </c>
      <c r="J152">
        <v>115596885</v>
      </c>
      <c r="K152" t="s">
        <v>3124</v>
      </c>
      <c r="L152" t="s">
        <v>3123</v>
      </c>
      <c r="M152" t="s">
        <v>11</v>
      </c>
      <c r="N152">
        <v>1</v>
      </c>
      <c r="O152" t="s">
        <v>3122</v>
      </c>
      <c r="P152">
        <v>7005878673</v>
      </c>
      <c r="Q152">
        <v>115596885</v>
      </c>
      <c r="R152" s="6">
        <v>29587</v>
      </c>
      <c r="S152" s="7">
        <f t="shared" si="16"/>
        <v>1981</v>
      </c>
      <c r="T152" s="7">
        <v>1981</v>
      </c>
      <c r="U152" s="7">
        <f t="shared" si="17"/>
        <v>41</v>
      </c>
      <c r="V152" s="6">
        <v>29921</v>
      </c>
      <c r="W152" t="s">
        <v>1493</v>
      </c>
      <c r="X152" s="2">
        <v>0.78200000000000003</v>
      </c>
      <c r="Y152" s="5">
        <f t="shared" si="22"/>
        <v>2.0875043378446919E-2</v>
      </c>
      <c r="AA152">
        <v>189316</v>
      </c>
      <c r="AB152">
        <v>19901</v>
      </c>
      <c r="AC152">
        <v>15579611</v>
      </c>
      <c r="AD152" t="s">
        <v>5</v>
      </c>
      <c r="AE152" t="s">
        <v>1492</v>
      </c>
      <c r="AF152">
        <v>4</v>
      </c>
      <c r="AH152" t="s">
        <v>3121</v>
      </c>
      <c r="AI152" t="s">
        <v>3120</v>
      </c>
      <c r="AK152" t="s">
        <v>3119</v>
      </c>
      <c r="AL152">
        <v>0</v>
      </c>
      <c r="AM152" s="4">
        <f t="shared" si="18"/>
        <v>0</v>
      </c>
      <c r="AN152" s="21">
        <f t="shared" si="23"/>
        <v>0</v>
      </c>
      <c r="AO152" s="3"/>
      <c r="AP152">
        <v>0</v>
      </c>
      <c r="AR152" t="s">
        <v>1</v>
      </c>
      <c r="AT152" s="2">
        <v>3.863</v>
      </c>
      <c r="AU152" s="1">
        <f t="shared" si="19"/>
        <v>1.4612530364912841</v>
      </c>
      <c r="AV152" s="1">
        <f t="shared" si="20"/>
        <v>1.0437521689223459</v>
      </c>
      <c r="AW152" s="1">
        <f t="shared" si="21"/>
        <v>0.62625130135340756</v>
      </c>
    </row>
    <row r="153" spans="1:49" x14ac:dyDescent="0.2">
      <c r="A153">
        <v>151</v>
      </c>
      <c r="B153" t="s">
        <v>3118</v>
      </c>
      <c r="C153" t="s">
        <v>3117</v>
      </c>
      <c r="F153" t="s">
        <v>3116</v>
      </c>
      <c r="G153" t="s">
        <v>16</v>
      </c>
      <c r="H153" t="s">
        <v>15</v>
      </c>
      <c r="I153" t="s">
        <v>3115</v>
      </c>
      <c r="J153">
        <v>100407932</v>
      </c>
      <c r="K153" t="s">
        <v>3114</v>
      </c>
      <c r="L153" t="s">
        <v>3113</v>
      </c>
      <c r="M153" t="s">
        <v>11</v>
      </c>
      <c r="N153">
        <v>1</v>
      </c>
      <c r="O153" t="s">
        <v>3112</v>
      </c>
      <c r="P153">
        <v>6507061732</v>
      </c>
      <c r="Q153">
        <v>100407932</v>
      </c>
      <c r="R153" s="6">
        <v>29587</v>
      </c>
      <c r="S153" s="7">
        <f t="shared" si="16"/>
        <v>1981</v>
      </c>
      <c r="T153" s="7">
        <v>1981</v>
      </c>
      <c r="U153" s="7">
        <f t="shared" si="17"/>
        <v>41</v>
      </c>
      <c r="V153" s="6">
        <v>29921</v>
      </c>
      <c r="W153" t="s">
        <v>1493</v>
      </c>
      <c r="X153" s="2">
        <v>0.78200000000000003</v>
      </c>
      <c r="Y153" s="5">
        <f t="shared" si="22"/>
        <v>2.0875043378446919E-2</v>
      </c>
      <c r="AA153">
        <v>189316</v>
      </c>
      <c r="AB153">
        <v>19901</v>
      </c>
      <c r="AC153">
        <v>15579611</v>
      </c>
      <c r="AD153" t="s">
        <v>5</v>
      </c>
      <c r="AE153" t="s">
        <v>1492</v>
      </c>
      <c r="AF153">
        <v>4</v>
      </c>
      <c r="AH153" t="s">
        <v>3111</v>
      </c>
      <c r="AI153" t="s">
        <v>3110</v>
      </c>
      <c r="AK153" t="s">
        <v>3109</v>
      </c>
      <c r="AL153">
        <v>0</v>
      </c>
      <c r="AM153" s="4">
        <f t="shared" si="18"/>
        <v>0</v>
      </c>
      <c r="AN153" s="21">
        <f t="shared" si="23"/>
        <v>0</v>
      </c>
      <c r="AO153" s="3"/>
      <c r="AP153">
        <v>0</v>
      </c>
      <c r="AR153" t="s">
        <v>1</v>
      </c>
      <c r="AT153" s="2">
        <v>3.863</v>
      </c>
      <c r="AU153" s="1">
        <f t="shared" si="19"/>
        <v>1.4612530364912841</v>
      </c>
      <c r="AV153" s="1">
        <f t="shared" si="20"/>
        <v>1.0437521689223459</v>
      </c>
      <c r="AW153" s="1">
        <f t="shared" si="21"/>
        <v>0.62625130135340756</v>
      </c>
    </row>
    <row r="154" spans="1:49" x14ac:dyDescent="0.2">
      <c r="A154">
        <v>152</v>
      </c>
      <c r="B154" t="s">
        <v>3108</v>
      </c>
      <c r="C154" t="s">
        <v>3107</v>
      </c>
      <c r="F154" t="s">
        <v>3106</v>
      </c>
      <c r="G154" t="s">
        <v>16</v>
      </c>
      <c r="H154" t="s">
        <v>15</v>
      </c>
      <c r="I154" t="s">
        <v>3105</v>
      </c>
      <c r="J154">
        <v>60028673</v>
      </c>
      <c r="K154" t="s">
        <v>3104</v>
      </c>
      <c r="L154" t="s">
        <v>1717</v>
      </c>
      <c r="M154" t="s">
        <v>92</v>
      </c>
      <c r="N154">
        <v>5</v>
      </c>
      <c r="O154" t="s">
        <v>3103</v>
      </c>
      <c r="P154" t="s">
        <v>3102</v>
      </c>
      <c r="Q154" t="s">
        <v>3101</v>
      </c>
      <c r="R154" s="6">
        <v>29587</v>
      </c>
      <c r="S154" s="7">
        <f t="shared" si="16"/>
        <v>1981</v>
      </c>
      <c r="T154" s="7">
        <v>1981</v>
      </c>
      <c r="U154" s="7">
        <f t="shared" si="17"/>
        <v>41</v>
      </c>
      <c r="V154" s="6">
        <v>29921</v>
      </c>
      <c r="W154" t="s">
        <v>3100</v>
      </c>
      <c r="X154" s="2">
        <v>2.5710000000000002</v>
      </c>
      <c r="Y154" s="5">
        <f t="shared" si="22"/>
        <v>6.8631376631696966E-2</v>
      </c>
      <c r="AA154">
        <v>189200</v>
      </c>
      <c r="AB154">
        <v>17278</v>
      </c>
      <c r="AC154" t="s">
        <v>3099</v>
      </c>
      <c r="AD154" t="s">
        <v>5</v>
      </c>
      <c r="AE154">
        <v>16</v>
      </c>
      <c r="AF154">
        <v>6</v>
      </c>
      <c r="AH154" t="s">
        <v>3098</v>
      </c>
      <c r="AI154" t="s">
        <v>3097</v>
      </c>
      <c r="AK154" t="s">
        <v>3096</v>
      </c>
      <c r="AL154">
        <v>10</v>
      </c>
      <c r="AM154" s="4">
        <f t="shared" si="18"/>
        <v>0.24390243902439024</v>
      </c>
      <c r="AN154" s="21">
        <f t="shared" si="23"/>
        <v>3.6940922230123473E-4</v>
      </c>
      <c r="AO154" s="3"/>
      <c r="AP154">
        <v>0</v>
      </c>
      <c r="AR154" t="s">
        <v>1</v>
      </c>
      <c r="AT154" s="2">
        <v>5.0129999999999999</v>
      </c>
      <c r="AU154" s="1">
        <f t="shared" si="19"/>
        <v>4.8152786408878239</v>
      </c>
      <c r="AV154" s="1">
        <f t="shared" si="20"/>
        <v>3.4500392926999099</v>
      </c>
      <c r="AW154" s="1">
        <f t="shared" si="21"/>
        <v>2.0847999445119956</v>
      </c>
    </row>
    <row r="155" spans="1:49" x14ac:dyDescent="0.2">
      <c r="A155">
        <v>153</v>
      </c>
      <c r="B155" t="s">
        <v>3095</v>
      </c>
      <c r="C155" t="s">
        <v>3094</v>
      </c>
      <c r="F155" t="s">
        <v>3093</v>
      </c>
      <c r="G155" t="s">
        <v>16</v>
      </c>
      <c r="H155" t="s">
        <v>15</v>
      </c>
      <c r="I155" t="s">
        <v>3092</v>
      </c>
      <c r="J155">
        <v>60099443</v>
      </c>
      <c r="K155" t="s">
        <v>3091</v>
      </c>
      <c r="L155" t="s">
        <v>3090</v>
      </c>
      <c r="M155" t="s">
        <v>11</v>
      </c>
      <c r="N155">
        <v>2</v>
      </c>
      <c r="O155" t="s">
        <v>3089</v>
      </c>
      <c r="P155" t="s">
        <v>3088</v>
      </c>
      <c r="Q155" t="s">
        <v>3087</v>
      </c>
      <c r="R155" s="6">
        <v>29587</v>
      </c>
      <c r="S155" s="7">
        <f t="shared" si="16"/>
        <v>1981</v>
      </c>
      <c r="T155" s="7">
        <v>1981</v>
      </c>
      <c r="U155" s="7">
        <f t="shared" si="17"/>
        <v>41</v>
      </c>
      <c r="V155" s="6">
        <v>29921</v>
      </c>
      <c r="W155" t="s">
        <v>2050</v>
      </c>
      <c r="X155" s="2">
        <v>0.53700000000000003</v>
      </c>
      <c r="Y155" s="5">
        <f t="shared" si="22"/>
        <v>1.4334908304636823E-2</v>
      </c>
      <c r="AA155">
        <v>189499</v>
      </c>
      <c r="AB155">
        <v>17368</v>
      </c>
      <c r="AC155">
        <v>15581578</v>
      </c>
      <c r="AD155" t="s">
        <v>5</v>
      </c>
      <c r="AE155">
        <v>28</v>
      </c>
      <c r="AF155">
        <v>6</v>
      </c>
      <c r="AH155" t="s">
        <v>3086</v>
      </c>
      <c r="AI155" t="s">
        <v>3085</v>
      </c>
      <c r="AK155" t="s">
        <v>3084</v>
      </c>
      <c r="AL155">
        <v>0</v>
      </c>
      <c r="AM155" s="4">
        <f t="shared" si="18"/>
        <v>0</v>
      </c>
      <c r="AN155" s="21">
        <f t="shared" si="23"/>
        <v>0</v>
      </c>
      <c r="AO155" s="3"/>
      <c r="AP155">
        <v>0</v>
      </c>
      <c r="AR155" t="s">
        <v>1</v>
      </c>
      <c r="AT155" s="2">
        <v>1.679</v>
      </c>
      <c r="AU155" s="1">
        <f t="shared" si="19"/>
        <v>1.0034435813245777</v>
      </c>
      <c r="AV155" s="1">
        <f t="shared" si="20"/>
        <v>0.7167454152318411</v>
      </c>
      <c r="AW155" s="1">
        <f t="shared" si="21"/>
        <v>0.43004724913910464</v>
      </c>
    </row>
    <row r="156" spans="1:49" x14ac:dyDescent="0.2">
      <c r="A156">
        <v>154</v>
      </c>
      <c r="B156" t="s">
        <v>3083</v>
      </c>
      <c r="F156" t="s">
        <v>3082</v>
      </c>
      <c r="G156" t="s">
        <v>16</v>
      </c>
      <c r="H156" t="s">
        <v>15</v>
      </c>
      <c r="I156" t="s">
        <v>3081</v>
      </c>
      <c r="N156">
        <v>1</v>
      </c>
      <c r="O156" t="s">
        <v>3080</v>
      </c>
      <c r="P156">
        <v>7005720882</v>
      </c>
      <c r="R156" s="6">
        <v>29587</v>
      </c>
      <c r="S156" s="7">
        <f t="shared" si="16"/>
        <v>1981</v>
      </c>
      <c r="T156" s="7">
        <v>1981</v>
      </c>
      <c r="U156" s="7">
        <f t="shared" si="17"/>
        <v>41</v>
      </c>
      <c r="V156" s="6">
        <v>1981</v>
      </c>
      <c r="W156" t="s">
        <v>3079</v>
      </c>
      <c r="X156" s="2" t="s">
        <v>0</v>
      </c>
      <c r="Y156" s="5" t="e">
        <f t="shared" si="22"/>
        <v>#VALUE!</v>
      </c>
      <c r="AA156">
        <v>385379</v>
      </c>
      <c r="AB156">
        <v>38840</v>
      </c>
      <c r="AD156" t="s">
        <v>5</v>
      </c>
      <c r="AE156">
        <v>52</v>
      </c>
      <c r="AF156">
        <v>10</v>
      </c>
      <c r="AH156" t="s">
        <v>3078</v>
      </c>
      <c r="AI156" t="s">
        <v>3077</v>
      </c>
      <c r="AK156" t="s">
        <v>3076</v>
      </c>
      <c r="AL156">
        <v>0</v>
      </c>
      <c r="AM156" s="4">
        <f t="shared" si="18"/>
        <v>0</v>
      </c>
      <c r="AN156" s="21">
        <f t="shared" si="23"/>
        <v>0</v>
      </c>
      <c r="AO156" s="3"/>
      <c r="AP156">
        <v>0</v>
      </c>
      <c r="AR156" t="s">
        <v>1</v>
      </c>
      <c r="AT156" s="2" t="s">
        <v>0</v>
      </c>
      <c r="AU156" s="1" t="e">
        <f t="shared" si="19"/>
        <v>#VALUE!</v>
      </c>
      <c r="AV156" s="1" t="e">
        <f t="shared" si="20"/>
        <v>#VALUE!</v>
      </c>
      <c r="AW156" s="1" t="e">
        <f t="shared" si="21"/>
        <v>#VALUE!</v>
      </c>
    </row>
    <row r="157" spans="1:49" x14ac:dyDescent="0.2">
      <c r="A157">
        <v>155</v>
      </c>
      <c r="B157" t="s">
        <v>3075</v>
      </c>
      <c r="F157" t="s">
        <v>3074</v>
      </c>
      <c r="G157" t="s">
        <v>16</v>
      </c>
      <c r="H157" t="s">
        <v>15</v>
      </c>
      <c r="I157" t="s">
        <v>3073</v>
      </c>
      <c r="N157">
        <v>2</v>
      </c>
      <c r="O157" t="s">
        <v>3072</v>
      </c>
      <c r="P157" t="s">
        <v>3071</v>
      </c>
      <c r="Q157" t="s">
        <v>351</v>
      </c>
      <c r="R157" s="6">
        <v>29587</v>
      </c>
      <c r="S157" s="7">
        <f t="shared" si="16"/>
        <v>1981</v>
      </c>
      <c r="T157" s="7">
        <v>1981</v>
      </c>
      <c r="U157" s="7">
        <f t="shared" si="17"/>
        <v>41</v>
      </c>
      <c r="V157" s="6" t="s">
        <v>3070</v>
      </c>
      <c r="W157" t="s">
        <v>2847</v>
      </c>
      <c r="X157" s="2" t="s">
        <v>0</v>
      </c>
      <c r="Y157" s="5" t="e">
        <f t="shared" si="22"/>
        <v>#VALUE!</v>
      </c>
      <c r="AA157">
        <v>337889</v>
      </c>
      <c r="AB157">
        <v>40920</v>
      </c>
      <c r="AD157" t="s">
        <v>5</v>
      </c>
      <c r="AE157">
        <v>26</v>
      </c>
      <c r="AF157">
        <v>12</v>
      </c>
      <c r="AH157" t="s">
        <v>3069</v>
      </c>
      <c r="AI157" t="s">
        <v>3068</v>
      </c>
      <c r="AK157" t="s">
        <v>3067</v>
      </c>
      <c r="AL157">
        <v>0</v>
      </c>
      <c r="AM157" s="4">
        <f t="shared" si="18"/>
        <v>0</v>
      </c>
      <c r="AN157" s="21">
        <f t="shared" si="23"/>
        <v>0</v>
      </c>
      <c r="AO157" s="3"/>
      <c r="AP157">
        <v>0</v>
      </c>
      <c r="AR157" t="s">
        <v>1</v>
      </c>
      <c r="AT157" s="2" t="s">
        <v>0</v>
      </c>
      <c r="AU157" s="1" t="e">
        <f t="shared" si="19"/>
        <v>#VALUE!</v>
      </c>
      <c r="AV157" s="1" t="e">
        <f t="shared" si="20"/>
        <v>#VALUE!</v>
      </c>
      <c r="AW157" s="1" t="e">
        <f t="shared" si="21"/>
        <v>#VALUE!</v>
      </c>
    </row>
    <row r="158" spans="1:49" x14ac:dyDescent="0.2">
      <c r="A158">
        <v>156</v>
      </c>
      <c r="B158" t="s">
        <v>3066</v>
      </c>
      <c r="F158" t="s">
        <v>3065</v>
      </c>
      <c r="G158" t="s">
        <v>16</v>
      </c>
      <c r="H158" t="s">
        <v>15</v>
      </c>
      <c r="I158" t="s">
        <v>3064</v>
      </c>
      <c r="N158">
        <v>2</v>
      </c>
      <c r="O158" t="s">
        <v>3063</v>
      </c>
      <c r="P158" t="s">
        <v>3062</v>
      </c>
      <c r="Q158" t="s">
        <v>351</v>
      </c>
      <c r="R158" s="6">
        <v>29587</v>
      </c>
      <c r="S158" s="7">
        <f t="shared" si="16"/>
        <v>1981</v>
      </c>
      <c r="T158" s="7">
        <v>1981</v>
      </c>
      <c r="U158" s="7">
        <f t="shared" si="17"/>
        <v>41</v>
      </c>
      <c r="V158" s="6">
        <v>1981</v>
      </c>
      <c r="W158" t="s">
        <v>3054</v>
      </c>
      <c r="X158" s="2" t="s">
        <v>0</v>
      </c>
      <c r="Y158" s="5" t="e">
        <f t="shared" si="22"/>
        <v>#VALUE!</v>
      </c>
      <c r="AA158">
        <v>289108</v>
      </c>
      <c r="AB158">
        <v>78703</v>
      </c>
      <c r="AD158" t="s">
        <v>5</v>
      </c>
      <c r="AE158">
        <v>21</v>
      </c>
      <c r="AF158">
        <v>93</v>
      </c>
      <c r="AH158" s="8">
        <v>44412</v>
      </c>
      <c r="AI158" t="s">
        <v>3061</v>
      </c>
      <c r="AK158" t="s">
        <v>3060</v>
      </c>
      <c r="AL158">
        <v>0</v>
      </c>
      <c r="AM158" s="4">
        <f t="shared" si="18"/>
        <v>0</v>
      </c>
      <c r="AN158" s="21">
        <f t="shared" si="23"/>
        <v>0</v>
      </c>
      <c r="AO158" s="3"/>
      <c r="AP158">
        <v>0</v>
      </c>
      <c r="AR158" t="s">
        <v>1</v>
      </c>
      <c r="AT158" s="2" t="s">
        <v>0</v>
      </c>
      <c r="AU158" s="1" t="e">
        <f t="shared" si="19"/>
        <v>#VALUE!</v>
      </c>
      <c r="AV158" s="1" t="e">
        <f t="shared" si="20"/>
        <v>#VALUE!</v>
      </c>
      <c r="AW158" s="1" t="e">
        <f t="shared" si="21"/>
        <v>#VALUE!</v>
      </c>
    </row>
    <row r="159" spans="1:49" x14ac:dyDescent="0.2">
      <c r="A159">
        <v>157</v>
      </c>
      <c r="B159" t="s">
        <v>3059</v>
      </c>
      <c r="F159" t="s">
        <v>3058</v>
      </c>
      <c r="G159" t="s">
        <v>16</v>
      </c>
      <c r="H159" t="s">
        <v>15</v>
      </c>
      <c r="I159" t="s">
        <v>3057</v>
      </c>
      <c r="N159">
        <v>2</v>
      </c>
      <c r="O159" t="s">
        <v>3056</v>
      </c>
      <c r="P159" t="s">
        <v>3055</v>
      </c>
      <c r="Q159" t="s">
        <v>351</v>
      </c>
      <c r="R159" s="6">
        <v>29587</v>
      </c>
      <c r="S159" s="7">
        <f t="shared" si="16"/>
        <v>1981</v>
      </c>
      <c r="T159" s="7">
        <v>1981</v>
      </c>
      <c r="U159" s="7">
        <f t="shared" si="17"/>
        <v>41</v>
      </c>
      <c r="V159" s="6">
        <v>1981</v>
      </c>
      <c r="W159" t="s">
        <v>3054</v>
      </c>
      <c r="X159" s="2" t="s">
        <v>0</v>
      </c>
      <c r="Y159" s="5" t="e">
        <f t="shared" si="22"/>
        <v>#VALUE!</v>
      </c>
      <c r="AA159">
        <v>289108</v>
      </c>
      <c r="AB159">
        <v>78703</v>
      </c>
      <c r="AD159" t="s">
        <v>5</v>
      </c>
      <c r="AE159">
        <v>21</v>
      </c>
      <c r="AF159">
        <v>93</v>
      </c>
      <c r="AH159" t="s">
        <v>3053</v>
      </c>
      <c r="AI159" t="s">
        <v>3052</v>
      </c>
      <c r="AK159" t="s">
        <v>3051</v>
      </c>
      <c r="AL159">
        <v>0</v>
      </c>
      <c r="AM159" s="4">
        <f t="shared" si="18"/>
        <v>0</v>
      </c>
      <c r="AN159" s="21">
        <f t="shared" si="23"/>
        <v>0</v>
      </c>
      <c r="AO159" s="3"/>
      <c r="AP159">
        <v>0</v>
      </c>
      <c r="AR159" t="s">
        <v>1</v>
      </c>
      <c r="AT159" s="2" t="s">
        <v>0</v>
      </c>
      <c r="AU159" s="1" t="e">
        <f t="shared" si="19"/>
        <v>#VALUE!</v>
      </c>
      <c r="AV159" s="1" t="e">
        <f t="shared" si="20"/>
        <v>#VALUE!</v>
      </c>
      <c r="AW159" s="1" t="e">
        <f t="shared" si="21"/>
        <v>#VALUE!</v>
      </c>
    </row>
    <row r="160" spans="1:49" x14ac:dyDescent="0.2">
      <c r="A160">
        <v>158</v>
      </c>
      <c r="B160" t="s">
        <v>3050</v>
      </c>
      <c r="C160" t="s">
        <v>3049</v>
      </c>
      <c r="F160" t="s">
        <v>3048</v>
      </c>
      <c r="G160" t="s">
        <v>16</v>
      </c>
      <c r="H160" t="s">
        <v>15</v>
      </c>
      <c r="I160" t="s">
        <v>3030</v>
      </c>
      <c r="N160">
        <v>2</v>
      </c>
      <c r="O160" t="s">
        <v>3029</v>
      </c>
      <c r="P160" t="s">
        <v>3028</v>
      </c>
      <c r="Q160" t="s">
        <v>351</v>
      </c>
      <c r="R160" s="6">
        <v>29587</v>
      </c>
      <c r="S160" s="7">
        <f t="shared" si="16"/>
        <v>1981</v>
      </c>
      <c r="T160" s="7">
        <v>1981</v>
      </c>
      <c r="U160" s="7">
        <f t="shared" si="17"/>
        <v>41</v>
      </c>
      <c r="V160" s="6" t="s">
        <v>350</v>
      </c>
      <c r="W160" t="s">
        <v>323</v>
      </c>
      <c r="X160" s="2">
        <v>0.371</v>
      </c>
      <c r="Y160" s="5">
        <f t="shared" si="22"/>
        <v>9.9036331117695747E-3</v>
      </c>
      <c r="AA160">
        <v>486604</v>
      </c>
      <c r="AB160">
        <v>28580</v>
      </c>
      <c r="AC160" t="s">
        <v>322</v>
      </c>
      <c r="AD160" t="s">
        <v>5</v>
      </c>
      <c r="AE160">
        <v>16</v>
      </c>
      <c r="AF160">
        <v>6</v>
      </c>
      <c r="AH160" t="s">
        <v>3047</v>
      </c>
      <c r="AI160" t="s">
        <v>3046</v>
      </c>
      <c r="AK160" t="s">
        <v>3045</v>
      </c>
      <c r="AL160">
        <v>34</v>
      </c>
      <c r="AM160" s="4">
        <f t="shared" si="18"/>
        <v>0.82926829268292679</v>
      </c>
      <c r="AN160" s="21">
        <f t="shared" si="23"/>
        <v>1.2559913558241982E-3</v>
      </c>
      <c r="AO160" s="3"/>
      <c r="AP160">
        <v>0</v>
      </c>
      <c r="AR160" t="s">
        <v>1</v>
      </c>
      <c r="AT160" s="2">
        <v>1.431</v>
      </c>
      <c r="AU160" s="1">
        <f t="shared" si="19"/>
        <v>0.73093405849859605</v>
      </c>
      <c r="AV160" s="1">
        <f t="shared" si="20"/>
        <v>0.55798122337968858</v>
      </c>
      <c r="AW160" s="1">
        <f t="shared" si="21"/>
        <v>0.38502838826078112</v>
      </c>
    </row>
    <row r="161" spans="1:49" x14ac:dyDescent="0.2">
      <c r="A161">
        <v>159</v>
      </c>
      <c r="B161" t="s">
        <v>3044</v>
      </c>
      <c r="C161" t="s">
        <v>3043</v>
      </c>
      <c r="F161" t="s">
        <v>3042</v>
      </c>
      <c r="G161" t="s">
        <v>16</v>
      </c>
      <c r="H161" t="s">
        <v>15</v>
      </c>
      <c r="I161" t="s">
        <v>1893</v>
      </c>
      <c r="J161">
        <v>60032179</v>
      </c>
      <c r="K161" t="s">
        <v>3041</v>
      </c>
      <c r="L161" t="s">
        <v>3040</v>
      </c>
      <c r="M161" t="s">
        <v>11</v>
      </c>
      <c r="N161">
        <v>2</v>
      </c>
      <c r="O161" t="s">
        <v>3039</v>
      </c>
      <c r="P161" t="s">
        <v>3038</v>
      </c>
      <c r="Q161" t="s">
        <v>3037</v>
      </c>
      <c r="R161" s="6">
        <v>29587</v>
      </c>
      <c r="S161" s="7">
        <f t="shared" si="16"/>
        <v>1981</v>
      </c>
      <c r="T161" s="7">
        <v>1981</v>
      </c>
      <c r="U161" s="7">
        <f t="shared" si="17"/>
        <v>41</v>
      </c>
      <c r="V161" s="6">
        <v>29891</v>
      </c>
      <c r="W161" t="s">
        <v>573</v>
      </c>
      <c r="X161" s="2">
        <v>1.3720000000000001</v>
      </c>
      <c r="Y161" s="5">
        <f t="shared" si="22"/>
        <v>3.662475641333654E-2</v>
      </c>
      <c r="AA161">
        <v>189480</v>
      </c>
      <c r="AB161">
        <v>17366</v>
      </c>
      <c r="AC161">
        <v>15579670</v>
      </c>
      <c r="AD161" t="s">
        <v>5</v>
      </c>
      <c r="AE161">
        <v>29</v>
      </c>
      <c r="AF161">
        <v>11</v>
      </c>
      <c r="AH161" t="s">
        <v>3036</v>
      </c>
      <c r="AI161" t="s">
        <v>3035</v>
      </c>
      <c r="AK161" t="s">
        <v>3034</v>
      </c>
      <c r="AL161">
        <v>20</v>
      </c>
      <c r="AM161" s="4">
        <f t="shared" si="18"/>
        <v>0.48780487804878048</v>
      </c>
      <c r="AN161" s="21">
        <f t="shared" si="23"/>
        <v>7.3881844460246945E-4</v>
      </c>
      <c r="AO161" s="3"/>
      <c r="AP161">
        <v>0</v>
      </c>
      <c r="AR161" t="s">
        <v>1</v>
      </c>
      <c r="AT161" s="2" t="s">
        <v>0</v>
      </c>
      <c r="AU161" s="1">
        <f t="shared" si="19"/>
        <v>2.585897502271632</v>
      </c>
      <c r="AV161" s="1">
        <f t="shared" si="20"/>
        <v>1.8681787428969505</v>
      </c>
      <c r="AW161" s="1">
        <f t="shared" si="21"/>
        <v>1.1504599835222691</v>
      </c>
    </row>
    <row r="162" spans="1:49" x14ac:dyDescent="0.2">
      <c r="A162">
        <v>160</v>
      </c>
      <c r="B162" t="s">
        <v>3033</v>
      </c>
      <c r="C162" t="s">
        <v>3032</v>
      </c>
      <c r="F162" t="s">
        <v>3031</v>
      </c>
      <c r="G162" t="s">
        <v>16</v>
      </c>
      <c r="H162" t="s">
        <v>15</v>
      </c>
      <c r="I162" t="s">
        <v>3030</v>
      </c>
      <c r="N162">
        <v>2</v>
      </c>
      <c r="O162" t="s">
        <v>3029</v>
      </c>
      <c r="P162" t="s">
        <v>3028</v>
      </c>
      <c r="Q162" t="s">
        <v>351</v>
      </c>
      <c r="R162" s="6">
        <v>29587</v>
      </c>
      <c r="S162" s="7">
        <f t="shared" si="16"/>
        <v>1981</v>
      </c>
      <c r="T162" s="7">
        <v>1981</v>
      </c>
      <c r="U162" s="7">
        <f t="shared" si="17"/>
        <v>41</v>
      </c>
      <c r="V162" s="6" t="s">
        <v>350</v>
      </c>
      <c r="W162" t="s">
        <v>323</v>
      </c>
      <c r="X162" s="2">
        <v>0.371</v>
      </c>
      <c r="Y162" s="5">
        <f t="shared" si="22"/>
        <v>9.9036331117695747E-3</v>
      </c>
      <c r="AA162">
        <v>486604</v>
      </c>
      <c r="AB162">
        <v>28580</v>
      </c>
      <c r="AC162" t="s">
        <v>322</v>
      </c>
      <c r="AD162" t="s">
        <v>5</v>
      </c>
      <c r="AE162">
        <v>16</v>
      </c>
      <c r="AF162">
        <v>6</v>
      </c>
      <c r="AH162" t="s">
        <v>3027</v>
      </c>
      <c r="AI162" t="s">
        <v>3026</v>
      </c>
      <c r="AK162" t="s">
        <v>3025</v>
      </c>
      <c r="AL162">
        <v>13</v>
      </c>
      <c r="AM162" s="4">
        <f t="shared" si="18"/>
        <v>0.31707317073170732</v>
      </c>
      <c r="AN162" s="21">
        <f t="shared" si="23"/>
        <v>4.8023198899160521E-4</v>
      </c>
      <c r="AO162" s="3"/>
      <c r="AP162">
        <v>0</v>
      </c>
      <c r="AR162" t="s">
        <v>1</v>
      </c>
      <c r="AT162" s="2">
        <v>1.431</v>
      </c>
      <c r="AU162" s="1">
        <f t="shared" si="19"/>
        <v>0.70766127749361829</v>
      </c>
      <c r="AV162" s="1">
        <f t="shared" si="20"/>
        <v>0.51919325503805902</v>
      </c>
      <c r="AW162" s="1">
        <f t="shared" si="21"/>
        <v>0.33072523258249958</v>
      </c>
    </row>
    <row r="163" spans="1:49" x14ac:dyDescent="0.2">
      <c r="A163">
        <v>161</v>
      </c>
      <c r="B163" t="s">
        <v>3024</v>
      </c>
      <c r="C163" t="s">
        <v>3023</v>
      </c>
      <c r="F163" t="s">
        <v>3022</v>
      </c>
      <c r="G163" t="s">
        <v>16</v>
      </c>
      <c r="H163" t="s">
        <v>15</v>
      </c>
      <c r="I163" t="s">
        <v>3021</v>
      </c>
      <c r="J163" t="s">
        <v>3020</v>
      </c>
      <c r="K163" t="s">
        <v>3019</v>
      </c>
      <c r="L163" t="s">
        <v>3018</v>
      </c>
      <c r="M163" t="s">
        <v>277</v>
      </c>
      <c r="N163">
        <v>1</v>
      </c>
      <c r="O163" t="s">
        <v>3017</v>
      </c>
      <c r="P163">
        <v>6701513132</v>
      </c>
      <c r="Q163" t="s">
        <v>3016</v>
      </c>
      <c r="R163" s="6">
        <v>29587</v>
      </c>
      <c r="S163" s="7">
        <f t="shared" si="16"/>
        <v>1981</v>
      </c>
      <c r="T163" s="7">
        <v>1981</v>
      </c>
      <c r="U163" s="7">
        <f t="shared" si="17"/>
        <v>41</v>
      </c>
      <c r="V163" s="6">
        <v>29891</v>
      </c>
      <c r="W163" t="s">
        <v>573</v>
      </c>
      <c r="X163" s="2">
        <v>1.3720000000000001</v>
      </c>
      <c r="Y163" s="5">
        <f t="shared" si="22"/>
        <v>3.662475641333654E-2</v>
      </c>
      <c r="AA163">
        <v>189480</v>
      </c>
      <c r="AB163">
        <v>17366</v>
      </c>
      <c r="AC163">
        <v>15579670</v>
      </c>
      <c r="AD163" t="s">
        <v>5</v>
      </c>
      <c r="AE163">
        <v>29</v>
      </c>
      <c r="AF163">
        <v>11</v>
      </c>
      <c r="AH163" t="s">
        <v>3015</v>
      </c>
      <c r="AI163" t="s">
        <v>3014</v>
      </c>
      <c r="AK163" t="s">
        <v>3013</v>
      </c>
      <c r="AL163">
        <v>17</v>
      </c>
      <c r="AM163" s="4">
        <f t="shared" si="18"/>
        <v>0.41463414634146339</v>
      </c>
      <c r="AN163" s="21">
        <f t="shared" si="23"/>
        <v>6.2799567791209908E-4</v>
      </c>
      <c r="AO163" s="3"/>
      <c r="AP163">
        <v>0</v>
      </c>
      <c r="AR163" t="s">
        <v>1</v>
      </c>
      <c r="AT163" s="2" t="s">
        <v>0</v>
      </c>
      <c r="AU163" s="1">
        <f t="shared" si="19"/>
        <v>2.5825728192709207</v>
      </c>
      <c r="AV163" s="1">
        <f t="shared" si="20"/>
        <v>1.862637604562432</v>
      </c>
      <c r="AW163" s="1">
        <f t="shared" si="21"/>
        <v>1.1427023898539432</v>
      </c>
    </row>
    <row r="164" spans="1:49" x14ac:dyDescent="0.2">
      <c r="A164">
        <v>162</v>
      </c>
      <c r="B164" t="s">
        <v>3012</v>
      </c>
      <c r="C164" t="s">
        <v>3011</v>
      </c>
      <c r="F164" t="s">
        <v>3010</v>
      </c>
      <c r="G164" t="s">
        <v>16</v>
      </c>
      <c r="H164" t="s">
        <v>15</v>
      </c>
      <c r="I164" t="s">
        <v>3009</v>
      </c>
      <c r="J164" t="s">
        <v>3008</v>
      </c>
      <c r="K164" t="s">
        <v>3007</v>
      </c>
      <c r="L164" t="s">
        <v>3006</v>
      </c>
      <c r="M164" t="s">
        <v>3005</v>
      </c>
      <c r="N164">
        <v>10</v>
      </c>
      <c r="O164" t="s">
        <v>3004</v>
      </c>
      <c r="P164" t="s">
        <v>3003</v>
      </c>
      <c r="Q164" t="s">
        <v>3002</v>
      </c>
      <c r="R164" s="6">
        <v>29587</v>
      </c>
      <c r="S164" s="7">
        <f t="shared" si="16"/>
        <v>1981</v>
      </c>
      <c r="T164" s="7">
        <v>1981</v>
      </c>
      <c r="U164" s="7">
        <f t="shared" si="17"/>
        <v>41</v>
      </c>
      <c r="V164" s="6">
        <v>29891</v>
      </c>
      <c r="W164" t="s">
        <v>1005</v>
      </c>
      <c r="X164" s="2">
        <v>1.774</v>
      </c>
      <c r="Y164" s="5">
        <f t="shared" si="22"/>
        <v>4.7355916820159633E-2</v>
      </c>
      <c r="AA164">
        <v>295515</v>
      </c>
      <c r="AB164">
        <v>29066</v>
      </c>
      <c r="AC164">
        <v>17414326</v>
      </c>
      <c r="AD164" t="s">
        <v>5</v>
      </c>
      <c r="AE164">
        <v>21</v>
      </c>
      <c r="AF164">
        <v>11</v>
      </c>
      <c r="AH164" t="s">
        <v>3001</v>
      </c>
      <c r="AI164" t="s">
        <v>3000</v>
      </c>
      <c r="AK164" t="s">
        <v>2999</v>
      </c>
      <c r="AL164">
        <v>34</v>
      </c>
      <c r="AM164" s="4">
        <f t="shared" si="18"/>
        <v>0.82926829268292679</v>
      </c>
      <c r="AN164" s="21">
        <f t="shared" si="23"/>
        <v>1.2559913558241982E-3</v>
      </c>
      <c r="AO164" s="3"/>
      <c r="AP164">
        <v>0</v>
      </c>
      <c r="AR164" t="s">
        <v>1</v>
      </c>
      <c r="AT164" s="2">
        <v>3.1789999999999998</v>
      </c>
      <c r="AU164" s="1">
        <f t="shared" si="19"/>
        <v>3.3525939180858999</v>
      </c>
      <c r="AV164" s="1">
        <f t="shared" si="20"/>
        <v>2.4305954087991917</v>
      </c>
      <c r="AW164" s="1">
        <f t="shared" si="21"/>
        <v>1.5085968995124828</v>
      </c>
    </row>
    <row r="165" spans="1:49" x14ac:dyDescent="0.2">
      <c r="A165">
        <v>163</v>
      </c>
      <c r="B165" t="s">
        <v>2998</v>
      </c>
      <c r="F165" t="s">
        <v>2997</v>
      </c>
      <c r="G165" t="s">
        <v>16</v>
      </c>
      <c r="H165" t="s">
        <v>15</v>
      </c>
      <c r="I165" t="s">
        <v>2996</v>
      </c>
      <c r="N165">
        <v>2</v>
      </c>
      <c r="O165" t="s">
        <v>2995</v>
      </c>
      <c r="P165" t="s">
        <v>2994</v>
      </c>
      <c r="Q165" t="s">
        <v>351</v>
      </c>
      <c r="R165" s="6">
        <v>29587</v>
      </c>
      <c r="S165" s="7">
        <f t="shared" si="16"/>
        <v>1981</v>
      </c>
      <c r="T165" s="7">
        <v>1981</v>
      </c>
      <c r="U165" s="7">
        <f t="shared" si="17"/>
        <v>41</v>
      </c>
      <c r="V165" s="6" t="s">
        <v>2993</v>
      </c>
      <c r="W165" t="s">
        <v>2847</v>
      </c>
      <c r="X165" s="2" t="s">
        <v>0</v>
      </c>
      <c r="Y165" s="5" t="e">
        <f t="shared" si="22"/>
        <v>#VALUE!</v>
      </c>
      <c r="AA165">
        <v>337889</v>
      </c>
      <c r="AB165">
        <v>40920</v>
      </c>
      <c r="AD165" t="s">
        <v>5</v>
      </c>
      <c r="AE165">
        <v>26</v>
      </c>
      <c r="AF165">
        <v>11</v>
      </c>
      <c r="AH165" t="s">
        <v>2992</v>
      </c>
      <c r="AI165" t="s">
        <v>2991</v>
      </c>
      <c r="AK165" t="s">
        <v>2990</v>
      </c>
      <c r="AL165">
        <v>0</v>
      </c>
      <c r="AM165" s="4">
        <f t="shared" si="18"/>
        <v>0</v>
      </c>
      <c r="AN165" s="21">
        <f t="shared" si="23"/>
        <v>0</v>
      </c>
      <c r="AO165" s="3"/>
      <c r="AP165">
        <v>0</v>
      </c>
      <c r="AR165" t="s">
        <v>1</v>
      </c>
      <c r="AT165" s="2" t="s">
        <v>0</v>
      </c>
      <c r="AU165" s="1" t="e">
        <f t="shared" si="19"/>
        <v>#VALUE!</v>
      </c>
      <c r="AV165" s="1" t="e">
        <f t="shared" si="20"/>
        <v>#VALUE!</v>
      </c>
      <c r="AW165" s="1" t="e">
        <f t="shared" si="21"/>
        <v>#VALUE!</v>
      </c>
    </row>
    <row r="166" spans="1:49" x14ac:dyDescent="0.2">
      <c r="A166">
        <v>164</v>
      </c>
      <c r="B166" t="s">
        <v>2989</v>
      </c>
      <c r="C166" t="s">
        <v>2988</v>
      </c>
      <c r="F166" t="s">
        <v>2987</v>
      </c>
      <c r="G166" t="s">
        <v>16</v>
      </c>
      <c r="H166" t="s">
        <v>15</v>
      </c>
      <c r="I166" t="s">
        <v>2986</v>
      </c>
      <c r="J166">
        <v>118847668</v>
      </c>
      <c r="K166" t="s">
        <v>2985</v>
      </c>
      <c r="L166" t="s">
        <v>40</v>
      </c>
      <c r="M166" t="s">
        <v>39</v>
      </c>
      <c r="N166">
        <v>1</v>
      </c>
      <c r="O166" t="s">
        <v>2984</v>
      </c>
      <c r="P166">
        <v>6603433132</v>
      </c>
      <c r="Q166">
        <v>118847668</v>
      </c>
      <c r="R166" s="6">
        <v>29587</v>
      </c>
      <c r="S166" s="7">
        <f t="shared" si="16"/>
        <v>1981</v>
      </c>
      <c r="T166" s="7">
        <v>1981</v>
      </c>
      <c r="U166" s="7">
        <f t="shared" si="17"/>
        <v>41</v>
      </c>
      <c r="V166" s="6">
        <v>29860</v>
      </c>
      <c r="W166" t="s">
        <v>1595</v>
      </c>
      <c r="X166" s="2" t="s">
        <v>0</v>
      </c>
      <c r="Y166" s="5" t="e">
        <f t="shared" si="22"/>
        <v>#VALUE!</v>
      </c>
      <c r="AA166">
        <v>337722</v>
      </c>
      <c r="AB166">
        <v>35312</v>
      </c>
      <c r="AD166" t="s">
        <v>5</v>
      </c>
      <c r="AE166">
        <v>51</v>
      </c>
      <c r="AH166" t="s">
        <v>2372</v>
      </c>
      <c r="AI166" t="s">
        <v>2983</v>
      </c>
      <c r="AJ166" t="s">
        <v>2982</v>
      </c>
      <c r="AK166" t="s">
        <v>2981</v>
      </c>
      <c r="AL166">
        <v>1</v>
      </c>
      <c r="AM166" s="4">
        <f t="shared" si="18"/>
        <v>2.4390243902439025E-2</v>
      </c>
      <c r="AN166" s="21">
        <f t="shared" si="23"/>
        <v>3.6940922230123474E-5</v>
      </c>
      <c r="AO166" s="3"/>
      <c r="AP166">
        <v>0</v>
      </c>
      <c r="AR166" t="s">
        <v>1</v>
      </c>
      <c r="AT166" s="2" t="s">
        <v>0</v>
      </c>
      <c r="AU166" s="1" t="e">
        <f t="shared" si="19"/>
        <v>#VALUE!</v>
      </c>
      <c r="AV166" s="1" t="e">
        <f t="shared" si="20"/>
        <v>#VALUE!</v>
      </c>
      <c r="AW166" s="1" t="e">
        <f t="shared" si="21"/>
        <v>#VALUE!</v>
      </c>
    </row>
    <row r="167" spans="1:49" x14ac:dyDescent="0.2">
      <c r="A167">
        <v>165</v>
      </c>
      <c r="B167" t="s">
        <v>2980</v>
      </c>
      <c r="C167" t="s">
        <v>2979</v>
      </c>
      <c r="F167" t="s">
        <v>2978</v>
      </c>
      <c r="G167" t="s">
        <v>16</v>
      </c>
      <c r="H167" t="s">
        <v>15</v>
      </c>
      <c r="I167" t="s">
        <v>2977</v>
      </c>
      <c r="J167">
        <v>60021097</v>
      </c>
      <c r="K167" t="s">
        <v>2976</v>
      </c>
      <c r="L167" t="s">
        <v>2975</v>
      </c>
      <c r="M167" t="s">
        <v>39</v>
      </c>
      <c r="N167">
        <v>1</v>
      </c>
      <c r="O167" t="s">
        <v>2974</v>
      </c>
      <c r="P167">
        <v>7404955454</v>
      </c>
      <c r="Q167">
        <v>60021097</v>
      </c>
      <c r="R167" s="6">
        <v>29587</v>
      </c>
      <c r="S167" s="7">
        <f t="shared" si="16"/>
        <v>1981</v>
      </c>
      <c r="T167" s="7">
        <v>1981</v>
      </c>
      <c r="U167" s="7">
        <f t="shared" si="17"/>
        <v>41</v>
      </c>
      <c r="V167" s="6">
        <v>29860</v>
      </c>
      <c r="W167" t="s">
        <v>1595</v>
      </c>
      <c r="X167" s="2" t="s">
        <v>0</v>
      </c>
      <c r="Y167" s="5" t="e">
        <f t="shared" si="22"/>
        <v>#VALUE!</v>
      </c>
      <c r="AA167">
        <v>337722</v>
      </c>
      <c r="AB167">
        <v>35312</v>
      </c>
      <c r="AD167" t="s">
        <v>5</v>
      </c>
      <c r="AE167">
        <v>51</v>
      </c>
      <c r="AH167" t="s">
        <v>2973</v>
      </c>
      <c r="AI167" t="s">
        <v>2972</v>
      </c>
      <c r="AJ167" t="s">
        <v>2971</v>
      </c>
      <c r="AK167" t="s">
        <v>2970</v>
      </c>
      <c r="AL167">
        <v>4</v>
      </c>
      <c r="AM167" s="4">
        <f t="shared" si="18"/>
        <v>9.7560975609756101E-2</v>
      </c>
      <c r="AN167" s="21">
        <f t="shared" si="23"/>
        <v>1.477636889204939E-4</v>
      </c>
      <c r="AO167" s="3"/>
      <c r="AP167">
        <v>0</v>
      </c>
      <c r="AR167" t="s">
        <v>1</v>
      </c>
      <c r="AT167" s="2" t="s">
        <v>0</v>
      </c>
      <c r="AU167" s="1" t="e">
        <f t="shared" si="19"/>
        <v>#VALUE!</v>
      </c>
      <c r="AV167" s="1" t="e">
        <f t="shared" si="20"/>
        <v>#VALUE!</v>
      </c>
      <c r="AW167" s="1" t="e">
        <f t="shared" si="21"/>
        <v>#VALUE!</v>
      </c>
    </row>
    <row r="168" spans="1:49" x14ac:dyDescent="0.2">
      <c r="A168">
        <v>166</v>
      </c>
      <c r="B168" t="s">
        <v>2969</v>
      </c>
      <c r="C168" t="s">
        <v>2968</v>
      </c>
      <c r="F168" t="s">
        <v>2967</v>
      </c>
      <c r="G168" t="s">
        <v>16</v>
      </c>
      <c r="H168" t="s">
        <v>15</v>
      </c>
      <c r="I168" t="s">
        <v>2966</v>
      </c>
      <c r="J168">
        <v>60021032</v>
      </c>
      <c r="K168" t="s">
        <v>2296</v>
      </c>
      <c r="L168" t="s">
        <v>2295</v>
      </c>
      <c r="M168" t="s">
        <v>11</v>
      </c>
      <c r="N168">
        <v>1</v>
      </c>
      <c r="O168" t="s">
        <v>2965</v>
      </c>
      <c r="P168">
        <v>7406739047</v>
      </c>
      <c r="Q168">
        <v>60021032</v>
      </c>
      <c r="R168" s="6">
        <v>29587</v>
      </c>
      <c r="S168" s="7">
        <f t="shared" si="16"/>
        <v>1981</v>
      </c>
      <c r="T168" s="7">
        <v>1981</v>
      </c>
      <c r="U168" s="7">
        <f t="shared" si="17"/>
        <v>41</v>
      </c>
      <c r="V168" s="6">
        <v>29891</v>
      </c>
      <c r="W168" t="s">
        <v>573</v>
      </c>
      <c r="X168" s="2">
        <v>1.3720000000000001</v>
      </c>
      <c r="Y168" s="5">
        <f t="shared" si="22"/>
        <v>3.662475641333654E-2</v>
      </c>
      <c r="AA168">
        <v>189480</v>
      </c>
      <c r="AB168">
        <v>17366</v>
      </c>
      <c r="AC168">
        <v>15579670</v>
      </c>
      <c r="AD168" t="s">
        <v>5</v>
      </c>
      <c r="AE168">
        <v>29</v>
      </c>
      <c r="AF168">
        <v>11</v>
      </c>
      <c r="AH168" t="s">
        <v>2964</v>
      </c>
      <c r="AI168" t="s">
        <v>2963</v>
      </c>
      <c r="AK168" t="s">
        <v>2962</v>
      </c>
      <c r="AL168">
        <v>20</v>
      </c>
      <c r="AM168" s="4">
        <f t="shared" si="18"/>
        <v>0.48780487804878048</v>
      </c>
      <c r="AN168" s="21">
        <f t="shared" si="23"/>
        <v>7.3881844460246945E-4</v>
      </c>
      <c r="AO168" s="3"/>
      <c r="AP168">
        <v>0</v>
      </c>
      <c r="AR168" t="s">
        <v>1</v>
      </c>
      <c r="AT168" s="2" t="s">
        <v>0</v>
      </c>
      <c r="AU168" s="1">
        <f t="shared" si="19"/>
        <v>2.585897502271632</v>
      </c>
      <c r="AV168" s="1">
        <f t="shared" si="20"/>
        <v>1.8681787428969505</v>
      </c>
      <c r="AW168" s="1">
        <f t="shared" si="21"/>
        <v>1.1504599835222691</v>
      </c>
    </row>
    <row r="169" spans="1:49" x14ac:dyDescent="0.2">
      <c r="A169">
        <v>167</v>
      </c>
      <c r="B169" t="s">
        <v>2961</v>
      </c>
      <c r="C169" t="s">
        <v>2960</v>
      </c>
      <c r="D169">
        <v>20089181900440</v>
      </c>
      <c r="F169" t="s">
        <v>2959</v>
      </c>
      <c r="G169" t="s">
        <v>16</v>
      </c>
      <c r="H169" t="s">
        <v>15</v>
      </c>
      <c r="I169" t="s">
        <v>2958</v>
      </c>
      <c r="J169" t="s">
        <v>2957</v>
      </c>
      <c r="K169" t="s">
        <v>2956</v>
      </c>
      <c r="L169" t="s">
        <v>2955</v>
      </c>
      <c r="M169" t="s">
        <v>2954</v>
      </c>
      <c r="N169">
        <v>2</v>
      </c>
      <c r="O169" t="s">
        <v>2953</v>
      </c>
      <c r="P169" t="s">
        <v>2952</v>
      </c>
      <c r="Q169" t="s">
        <v>2951</v>
      </c>
      <c r="R169" s="6">
        <v>29587</v>
      </c>
      <c r="S169" s="7">
        <f t="shared" si="16"/>
        <v>1981</v>
      </c>
      <c r="T169" s="7">
        <v>1981</v>
      </c>
      <c r="U169" s="7">
        <f t="shared" si="17"/>
        <v>41</v>
      </c>
      <c r="V169" s="6">
        <v>29891</v>
      </c>
      <c r="W169" t="s">
        <v>2950</v>
      </c>
      <c r="X169" s="2" t="s">
        <v>0</v>
      </c>
      <c r="Y169" s="5" t="e">
        <f t="shared" si="22"/>
        <v>#VALUE!</v>
      </c>
      <c r="AA169">
        <v>200891</v>
      </c>
      <c r="AB169">
        <v>33360</v>
      </c>
      <c r="AD169" t="s">
        <v>5</v>
      </c>
      <c r="AE169">
        <v>21</v>
      </c>
      <c r="AF169">
        <v>6</v>
      </c>
      <c r="AH169" t="s">
        <v>2949</v>
      </c>
      <c r="AI169" t="s">
        <v>2948</v>
      </c>
      <c r="AK169" t="s">
        <v>2947</v>
      </c>
      <c r="AL169">
        <v>2</v>
      </c>
      <c r="AM169" s="4">
        <f t="shared" si="18"/>
        <v>4.878048780487805E-2</v>
      </c>
      <c r="AN169" s="21">
        <f t="shared" si="23"/>
        <v>7.3881844460246948E-5</v>
      </c>
      <c r="AO169" s="3"/>
      <c r="AP169">
        <v>0</v>
      </c>
      <c r="AR169" t="s">
        <v>1</v>
      </c>
      <c r="AT169" s="2" t="s">
        <v>0</v>
      </c>
      <c r="AU169" s="1" t="e">
        <f t="shared" si="19"/>
        <v>#VALUE!</v>
      </c>
      <c r="AV169" s="1" t="e">
        <f t="shared" si="20"/>
        <v>#VALUE!</v>
      </c>
      <c r="AW169" s="1" t="e">
        <f t="shared" si="21"/>
        <v>#VALUE!</v>
      </c>
    </row>
    <row r="170" spans="1:49" x14ac:dyDescent="0.2">
      <c r="A170">
        <v>168</v>
      </c>
      <c r="B170" t="s">
        <v>2946</v>
      </c>
      <c r="C170" t="s">
        <v>2945</v>
      </c>
      <c r="F170" t="s">
        <v>2944</v>
      </c>
      <c r="G170" t="s">
        <v>16</v>
      </c>
      <c r="H170" t="s">
        <v>15</v>
      </c>
      <c r="I170" t="s">
        <v>2943</v>
      </c>
      <c r="J170">
        <v>60024590</v>
      </c>
      <c r="K170" t="s">
        <v>2933</v>
      </c>
      <c r="L170" t="s">
        <v>2932</v>
      </c>
      <c r="M170" t="s">
        <v>11</v>
      </c>
      <c r="N170">
        <v>3</v>
      </c>
      <c r="O170" t="s">
        <v>2942</v>
      </c>
      <c r="P170" t="s">
        <v>2941</v>
      </c>
      <c r="Q170" t="s">
        <v>2929</v>
      </c>
      <c r="R170" s="6">
        <v>29587</v>
      </c>
      <c r="S170" s="7">
        <f t="shared" si="16"/>
        <v>1981</v>
      </c>
      <c r="T170" s="7">
        <v>1981</v>
      </c>
      <c r="U170" s="7">
        <f t="shared" si="17"/>
        <v>41</v>
      </c>
      <c r="V170" s="6">
        <v>29891</v>
      </c>
      <c r="W170" t="s">
        <v>2432</v>
      </c>
      <c r="X170" s="2">
        <v>1.365</v>
      </c>
      <c r="Y170" s="5">
        <f t="shared" si="22"/>
        <v>3.6437895411227675E-2</v>
      </c>
      <c r="AA170">
        <v>189545</v>
      </c>
      <c r="AB170">
        <v>17393</v>
      </c>
      <c r="AC170">
        <v>19399359</v>
      </c>
      <c r="AD170" t="s">
        <v>5</v>
      </c>
      <c r="AE170">
        <v>30</v>
      </c>
      <c r="AF170">
        <v>4</v>
      </c>
      <c r="AH170" t="s">
        <v>2940</v>
      </c>
      <c r="AI170" t="s">
        <v>2939</v>
      </c>
      <c r="AK170" t="s">
        <v>2938</v>
      </c>
      <c r="AL170">
        <v>10</v>
      </c>
      <c r="AM170" s="4">
        <f t="shared" si="18"/>
        <v>0.24390243902439024</v>
      </c>
      <c r="AN170" s="21">
        <f t="shared" si="23"/>
        <v>3.6940922230123473E-4</v>
      </c>
      <c r="AO170" s="3"/>
      <c r="AP170">
        <v>0</v>
      </c>
      <c r="AR170" t="s">
        <v>1</v>
      </c>
      <c r="AT170" s="2" t="s">
        <v>0</v>
      </c>
      <c r="AU170" s="1">
        <f t="shared" si="19"/>
        <v>2.5617349554549742</v>
      </c>
      <c r="AV170" s="1">
        <f t="shared" si="20"/>
        <v>1.8403652316764454</v>
      </c>
      <c r="AW170" s="1">
        <f t="shared" si="21"/>
        <v>1.1189955078979166</v>
      </c>
    </row>
    <row r="171" spans="1:49" x14ac:dyDescent="0.2">
      <c r="A171">
        <v>169</v>
      </c>
      <c r="B171" t="s">
        <v>2937</v>
      </c>
      <c r="C171" t="s">
        <v>2936</v>
      </c>
      <c r="F171" t="s">
        <v>2935</v>
      </c>
      <c r="G171" t="s">
        <v>16</v>
      </c>
      <c r="H171" t="s">
        <v>15</v>
      </c>
      <c r="I171" t="s">
        <v>2934</v>
      </c>
      <c r="J171">
        <v>60024590</v>
      </c>
      <c r="K171" t="s">
        <v>2933</v>
      </c>
      <c r="L171" t="s">
        <v>2932</v>
      </c>
      <c r="M171" t="s">
        <v>11</v>
      </c>
      <c r="N171">
        <v>3</v>
      </c>
      <c r="O171" t="s">
        <v>2931</v>
      </c>
      <c r="P171" t="s">
        <v>2930</v>
      </c>
      <c r="Q171" t="s">
        <v>2929</v>
      </c>
      <c r="R171" s="6">
        <v>29587</v>
      </c>
      <c r="S171" s="7">
        <f t="shared" si="16"/>
        <v>1981</v>
      </c>
      <c r="T171" s="7">
        <v>1981</v>
      </c>
      <c r="U171" s="7">
        <f t="shared" si="17"/>
        <v>41</v>
      </c>
      <c r="V171" s="6">
        <v>29891</v>
      </c>
      <c r="W171" t="s">
        <v>2432</v>
      </c>
      <c r="X171" s="2">
        <v>1.365</v>
      </c>
      <c r="Y171" s="5">
        <f t="shared" si="22"/>
        <v>3.6437895411227675E-2</v>
      </c>
      <c r="AA171">
        <v>189545</v>
      </c>
      <c r="AB171">
        <v>17393</v>
      </c>
      <c r="AC171">
        <v>19399359</v>
      </c>
      <c r="AD171" t="s">
        <v>5</v>
      </c>
      <c r="AE171">
        <v>30</v>
      </c>
      <c r="AF171">
        <v>4</v>
      </c>
      <c r="AH171" t="s">
        <v>2928</v>
      </c>
      <c r="AI171" t="s">
        <v>2927</v>
      </c>
      <c r="AK171" t="s">
        <v>2926</v>
      </c>
      <c r="AL171">
        <v>14</v>
      </c>
      <c r="AM171" s="4">
        <f t="shared" si="18"/>
        <v>0.34146341463414637</v>
      </c>
      <c r="AN171" s="21">
        <f t="shared" si="23"/>
        <v>5.171729112217287E-4</v>
      </c>
      <c r="AO171" s="3"/>
      <c r="AP171">
        <v>0</v>
      </c>
      <c r="AR171" t="s">
        <v>1</v>
      </c>
      <c r="AT171" s="2" t="s">
        <v>0</v>
      </c>
      <c r="AU171" s="1">
        <f t="shared" si="19"/>
        <v>2.5661678661225888</v>
      </c>
      <c r="AV171" s="1">
        <f t="shared" si="20"/>
        <v>1.84775341612247</v>
      </c>
      <c r="AW171" s="1">
        <f t="shared" si="21"/>
        <v>1.1293389661223512</v>
      </c>
    </row>
    <row r="172" spans="1:49" x14ac:dyDescent="0.2">
      <c r="A172">
        <v>170</v>
      </c>
      <c r="B172" t="s">
        <v>2925</v>
      </c>
      <c r="C172" t="s">
        <v>2924</v>
      </c>
      <c r="F172" t="s">
        <v>2923</v>
      </c>
      <c r="G172" t="s">
        <v>16</v>
      </c>
      <c r="H172" t="s">
        <v>15</v>
      </c>
      <c r="I172" t="s">
        <v>2922</v>
      </c>
      <c r="J172" t="s">
        <v>2916</v>
      </c>
      <c r="K172" t="s">
        <v>2921</v>
      </c>
      <c r="L172" t="s">
        <v>2920</v>
      </c>
      <c r="M172" t="s">
        <v>2919</v>
      </c>
      <c r="N172">
        <v>2</v>
      </c>
      <c r="O172" t="s">
        <v>2918</v>
      </c>
      <c r="P172" t="s">
        <v>2917</v>
      </c>
      <c r="Q172" t="s">
        <v>2916</v>
      </c>
      <c r="R172" s="6">
        <v>29587</v>
      </c>
      <c r="S172" s="7">
        <f t="shared" si="16"/>
        <v>1981</v>
      </c>
      <c r="T172" s="7">
        <v>1981</v>
      </c>
      <c r="U172" s="7">
        <f t="shared" si="17"/>
        <v>41</v>
      </c>
      <c r="V172" s="6">
        <v>29891</v>
      </c>
      <c r="W172" t="s">
        <v>1778</v>
      </c>
      <c r="X172" s="2">
        <v>0.65500000000000003</v>
      </c>
      <c r="Y172" s="5">
        <f t="shared" si="22"/>
        <v>1.7484850911614749E-2</v>
      </c>
      <c r="AA172">
        <v>189375</v>
      </c>
      <c r="AB172">
        <v>26051</v>
      </c>
      <c r="AC172" t="s">
        <v>1777</v>
      </c>
      <c r="AD172" t="s">
        <v>5</v>
      </c>
      <c r="AE172" t="s">
        <v>1776</v>
      </c>
      <c r="AF172">
        <v>4</v>
      </c>
      <c r="AH172" t="s">
        <v>2915</v>
      </c>
      <c r="AI172" t="s">
        <v>2914</v>
      </c>
      <c r="AJ172" t="s">
        <v>2913</v>
      </c>
      <c r="AK172" t="s">
        <v>2912</v>
      </c>
      <c r="AL172">
        <v>3</v>
      </c>
      <c r="AM172" s="4">
        <f t="shared" si="18"/>
        <v>7.3170731707317069E-2</v>
      </c>
      <c r="AN172" s="21">
        <f t="shared" si="23"/>
        <v>1.1082276669037041E-4</v>
      </c>
      <c r="AO172" s="3"/>
      <c r="AP172">
        <v>0</v>
      </c>
      <c r="AR172" t="s">
        <v>1</v>
      </c>
      <c r="AT172" s="2" t="s">
        <v>0</v>
      </c>
      <c r="AU172" s="1">
        <f t="shared" si="19"/>
        <v>1.2272642468137434</v>
      </c>
      <c r="AV172" s="1">
        <f t="shared" si="20"/>
        <v>0.87978368391525597</v>
      </c>
      <c r="AW172" s="1">
        <f t="shared" si="21"/>
        <v>0.53230312101676847</v>
      </c>
    </row>
    <row r="173" spans="1:49" x14ac:dyDescent="0.2">
      <c r="A173">
        <v>171</v>
      </c>
      <c r="B173" t="s">
        <v>2911</v>
      </c>
      <c r="C173" t="s">
        <v>2910</v>
      </c>
      <c r="D173" t="s">
        <v>2909</v>
      </c>
      <c r="F173" t="s">
        <v>2908</v>
      </c>
      <c r="G173" t="s">
        <v>16</v>
      </c>
      <c r="H173" t="s">
        <v>15</v>
      </c>
      <c r="I173" t="s">
        <v>2907</v>
      </c>
      <c r="J173">
        <v>100617193</v>
      </c>
      <c r="K173" t="s">
        <v>2906</v>
      </c>
      <c r="L173" t="s">
        <v>2905</v>
      </c>
      <c r="M173" t="s">
        <v>11</v>
      </c>
      <c r="N173">
        <v>1</v>
      </c>
      <c r="O173" t="s">
        <v>2904</v>
      </c>
      <c r="P173">
        <v>7102744426</v>
      </c>
      <c r="Q173">
        <v>100617193</v>
      </c>
      <c r="R173" s="6">
        <v>29587</v>
      </c>
      <c r="S173" s="7">
        <f t="shared" si="16"/>
        <v>1981</v>
      </c>
      <c r="T173" s="7">
        <v>1981</v>
      </c>
      <c r="U173" s="7">
        <f t="shared" si="17"/>
        <v>41</v>
      </c>
      <c r="V173" s="6" t="s">
        <v>2903</v>
      </c>
      <c r="W173" t="s">
        <v>309</v>
      </c>
      <c r="X173" s="2">
        <v>1.1339999999999999</v>
      </c>
      <c r="Y173" s="5">
        <f t="shared" si="22"/>
        <v>3.0271482341635299E-2</v>
      </c>
      <c r="AA173">
        <v>945765</v>
      </c>
      <c r="AB173">
        <v>12372</v>
      </c>
      <c r="AD173" t="s">
        <v>5</v>
      </c>
      <c r="AE173">
        <v>8</v>
      </c>
      <c r="AF173" s="8">
        <v>44541</v>
      </c>
      <c r="AH173" t="s">
        <v>2902</v>
      </c>
      <c r="AI173" t="s">
        <v>2901</v>
      </c>
      <c r="AK173" t="s">
        <v>2900</v>
      </c>
      <c r="AL173">
        <v>6</v>
      </c>
      <c r="AM173" s="4">
        <f t="shared" si="18"/>
        <v>0.14634146341463414</v>
      </c>
      <c r="AN173" s="21">
        <f t="shared" si="23"/>
        <v>2.2164553338074083E-4</v>
      </c>
      <c r="AO173" s="3"/>
      <c r="AP173">
        <v>0</v>
      </c>
      <c r="AR173" t="s">
        <v>1</v>
      </c>
      <c r="AT173" s="2">
        <v>2.4129999999999998</v>
      </c>
      <c r="AU173" s="1">
        <f t="shared" si="19"/>
        <v>2.1256531299158929</v>
      </c>
      <c r="AV173" s="1">
        <f t="shared" si="20"/>
        <v>1.524656393750802</v>
      </c>
      <c r="AW173" s="1">
        <f t="shared" si="21"/>
        <v>0.92365965758571078</v>
      </c>
    </row>
    <row r="174" spans="1:49" x14ac:dyDescent="0.2">
      <c r="A174">
        <v>172</v>
      </c>
      <c r="B174" t="s">
        <v>2899</v>
      </c>
      <c r="C174" t="s">
        <v>2898</v>
      </c>
      <c r="F174" t="s">
        <v>2897</v>
      </c>
      <c r="G174" t="s">
        <v>16</v>
      </c>
      <c r="H174" t="s">
        <v>15</v>
      </c>
      <c r="I174" t="s">
        <v>2376</v>
      </c>
      <c r="J174">
        <v>60025555</v>
      </c>
      <c r="K174" t="s">
        <v>314</v>
      </c>
      <c r="L174" t="s">
        <v>313</v>
      </c>
      <c r="M174" t="s">
        <v>312</v>
      </c>
      <c r="N174">
        <v>3</v>
      </c>
      <c r="O174" t="s">
        <v>2896</v>
      </c>
      <c r="P174" t="s">
        <v>2895</v>
      </c>
      <c r="Q174" t="s">
        <v>2894</v>
      </c>
      <c r="R174" s="6">
        <v>29587</v>
      </c>
      <c r="S174" s="7">
        <f t="shared" si="16"/>
        <v>1981</v>
      </c>
      <c r="T174" s="7">
        <v>1981</v>
      </c>
      <c r="U174" s="7">
        <f t="shared" si="17"/>
        <v>41</v>
      </c>
      <c r="V174" s="6">
        <v>29891</v>
      </c>
      <c r="W174" t="s">
        <v>725</v>
      </c>
      <c r="X174" s="2">
        <v>1.137</v>
      </c>
      <c r="Y174" s="5">
        <f t="shared" si="22"/>
        <v>3.0351565628253384E-2</v>
      </c>
      <c r="AA174">
        <v>189251</v>
      </c>
      <c r="AB174">
        <v>17336</v>
      </c>
      <c r="AD174" t="s">
        <v>5</v>
      </c>
      <c r="AE174" t="s">
        <v>724</v>
      </c>
      <c r="AF174">
        <v>6</v>
      </c>
      <c r="AH174" t="s">
        <v>2893</v>
      </c>
      <c r="AI174" t="s">
        <v>2892</v>
      </c>
      <c r="AK174" t="s">
        <v>2891</v>
      </c>
      <c r="AL174">
        <v>3</v>
      </c>
      <c r="AM174" s="4">
        <f t="shared" si="18"/>
        <v>7.3170731707317069E-2</v>
      </c>
      <c r="AN174" s="21">
        <f t="shared" si="23"/>
        <v>1.1082276669037041E-4</v>
      </c>
      <c r="AO174" s="3"/>
      <c r="AP174">
        <v>0</v>
      </c>
      <c r="AR174" t="s">
        <v>1</v>
      </c>
      <c r="AT174" s="2" t="s">
        <v>0</v>
      </c>
      <c r="AU174" s="1">
        <f t="shared" si="19"/>
        <v>2.1279342769784479</v>
      </c>
      <c r="AV174" s="1">
        <f t="shared" si="20"/>
        <v>1.5231194197471878</v>
      </c>
      <c r="AW174" s="1">
        <f t="shared" si="21"/>
        <v>0.9183045625159274</v>
      </c>
    </row>
    <row r="175" spans="1:49" x14ac:dyDescent="0.2">
      <c r="A175">
        <v>173</v>
      </c>
      <c r="B175" t="s">
        <v>2890</v>
      </c>
      <c r="C175" t="s">
        <v>2889</v>
      </c>
      <c r="F175" t="s">
        <v>2888</v>
      </c>
      <c r="G175" t="s">
        <v>16</v>
      </c>
      <c r="H175" t="s">
        <v>15</v>
      </c>
      <c r="I175" t="s">
        <v>398</v>
      </c>
      <c r="N175">
        <v>1</v>
      </c>
      <c r="O175" t="s">
        <v>397</v>
      </c>
      <c r="P175">
        <v>6602465282</v>
      </c>
      <c r="R175" s="6">
        <v>29587</v>
      </c>
      <c r="S175" s="7">
        <f t="shared" si="16"/>
        <v>1981</v>
      </c>
      <c r="T175" s="7">
        <v>1981</v>
      </c>
      <c r="U175" s="7">
        <f t="shared" si="17"/>
        <v>41</v>
      </c>
      <c r="V175" s="6" t="s">
        <v>350</v>
      </c>
      <c r="W175" t="s">
        <v>323</v>
      </c>
      <c r="X175" s="2">
        <v>0.371</v>
      </c>
      <c r="Y175" s="5">
        <f t="shared" si="22"/>
        <v>9.9036331117695747E-3</v>
      </c>
      <c r="AA175">
        <v>486604</v>
      </c>
      <c r="AB175">
        <v>28580</v>
      </c>
      <c r="AC175" t="s">
        <v>322</v>
      </c>
      <c r="AD175" t="s">
        <v>5</v>
      </c>
      <c r="AE175">
        <v>16</v>
      </c>
      <c r="AF175">
        <v>6</v>
      </c>
      <c r="AH175" t="s">
        <v>2887</v>
      </c>
      <c r="AI175" t="s">
        <v>2886</v>
      </c>
      <c r="AK175" t="s">
        <v>2885</v>
      </c>
      <c r="AL175">
        <v>20</v>
      </c>
      <c r="AM175" s="4">
        <f t="shared" si="18"/>
        <v>0.48780487804878048</v>
      </c>
      <c r="AN175" s="21">
        <f t="shared" si="23"/>
        <v>7.3881844460246945E-4</v>
      </c>
      <c r="AO175" s="3"/>
      <c r="AP175">
        <v>0</v>
      </c>
      <c r="AR175" t="s">
        <v>1</v>
      </c>
      <c r="AT175" s="2">
        <v>1.431</v>
      </c>
      <c r="AU175" s="1">
        <f t="shared" si="19"/>
        <v>0.71541887116194425</v>
      </c>
      <c r="AV175" s="1">
        <f t="shared" si="20"/>
        <v>0.53212257781860228</v>
      </c>
      <c r="AW175" s="1">
        <f t="shared" si="21"/>
        <v>0.3488262844752601</v>
      </c>
    </row>
    <row r="176" spans="1:49" x14ac:dyDescent="0.2">
      <c r="A176">
        <v>174</v>
      </c>
      <c r="B176" t="s">
        <v>2884</v>
      </c>
      <c r="C176" t="s">
        <v>2883</v>
      </c>
      <c r="F176" t="s">
        <v>2882</v>
      </c>
      <c r="G176" t="s">
        <v>16</v>
      </c>
      <c r="H176" t="s">
        <v>15</v>
      </c>
      <c r="I176" t="s">
        <v>2881</v>
      </c>
      <c r="J176" t="s">
        <v>2875</v>
      </c>
      <c r="K176" t="s">
        <v>2880</v>
      </c>
      <c r="L176" t="s">
        <v>2879</v>
      </c>
      <c r="M176" t="s">
        <v>2878</v>
      </c>
      <c r="N176">
        <v>2</v>
      </c>
      <c r="O176" t="s">
        <v>2877</v>
      </c>
      <c r="P176" t="s">
        <v>2876</v>
      </c>
      <c r="Q176" t="s">
        <v>2875</v>
      </c>
      <c r="R176" s="6">
        <v>29587</v>
      </c>
      <c r="S176" s="7">
        <f t="shared" si="16"/>
        <v>1981</v>
      </c>
      <c r="T176" s="7">
        <v>1981</v>
      </c>
      <c r="U176" s="7">
        <f t="shared" si="17"/>
        <v>41</v>
      </c>
      <c r="V176" s="6">
        <v>29891</v>
      </c>
      <c r="W176" t="s">
        <v>1207</v>
      </c>
      <c r="X176" s="2">
        <v>2.383</v>
      </c>
      <c r="Y176" s="5">
        <f t="shared" si="22"/>
        <v>6.3612824003630442E-2</v>
      </c>
      <c r="AA176">
        <v>189219</v>
      </c>
      <c r="AB176">
        <v>17915</v>
      </c>
      <c r="AC176">
        <v>15582256</v>
      </c>
      <c r="AD176" t="s">
        <v>5</v>
      </c>
      <c r="AE176">
        <v>69</v>
      </c>
      <c r="AF176">
        <v>11</v>
      </c>
      <c r="AH176" t="s">
        <v>2874</v>
      </c>
      <c r="AI176" t="s">
        <v>2873</v>
      </c>
      <c r="AK176" t="s">
        <v>2872</v>
      </c>
      <c r="AL176">
        <v>4</v>
      </c>
      <c r="AM176" s="4">
        <f t="shared" si="18"/>
        <v>9.7560975609756101E-2</v>
      </c>
      <c r="AN176" s="21">
        <f t="shared" si="23"/>
        <v>1.477636889204939E-4</v>
      </c>
      <c r="AO176" s="3"/>
      <c r="AP176">
        <v>0</v>
      </c>
      <c r="AR176" t="s">
        <v>1</v>
      </c>
      <c r="AT176" s="2">
        <v>10.961</v>
      </c>
      <c r="AU176" s="1">
        <f t="shared" si="19"/>
        <v>4.457330590921746</v>
      </c>
      <c r="AV176" s="1">
        <f t="shared" si="20"/>
        <v>3.1880293846275469</v>
      </c>
      <c r="AW176" s="1">
        <f t="shared" si="21"/>
        <v>1.9187281783333479</v>
      </c>
    </row>
    <row r="177" spans="1:49" x14ac:dyDescent="0.2">
      <c r="A177">
        <v>175</v>
      </c>
      <c r="B177" t="s">
        <v>2871</v>
      </c>
      <c r="C177" t="s">
        <v>2870</v>
      </c>
      <c r="E177">
        <v>7321809</v>
      </c>
      <c r="F177" t="s">
        <v>2869</v>
      </c>
      <c r="G177" t="s">
        <v>16</v>
      </c>
      <c r="H177" t="s">
        <v>15</v>
      </c>
      <c r="I177" t="s">
        <v>2868</v>
      </c>
      <c r="J177">
        <v>105895125</v>
      </c>
      <c r="K177" t="s">
        <v>2867</v>
      </c>
      <c r="L177" t="s">
        <v>2866</v>
      </c>
      <c r="M177" t="s">
        <v>577</v>
      </c>
      <c r="N177">
        <v>1</v>
      </c>
      <c r="O177" t="s">
        <v>2865</v>
      </c>
      <c r="P177">
        <v>7201907645</v>
      </c>
      <c r="Q177">
        <v>105895125</v>
      </c>
      <c r="R177" s="6">
        <v>29587</v>
      </c>
      <c r="S177" s="7">
        <f t="shared" si="16"/>
        <v>1981</v>
      </c>
      <c r="T177" s="7">
        <v>1981</v>
      </c>
      <c r="U177" s="7">
        <f t="shared" si="17"/>
        <v>41</v>
      </c>
      <c r="V177" s="6">
        <v>29860</v>
      </c>
      <c r="W177" t="s">
        <v>2864</v>
      </c>
      <c r="X177" s="2">
        <v>0.36499999999999999</v>
      </c>
      <c r="Y177" s="5">
        <f t="shared" si="22"/>
        <v>9.7434665385334081E-3</v>
      </c>
      <c r="AA177">
        <v>258024</v>
      </c>
      <c r="AB177">
        <v>40064</v>
      </c>
      <c r="AC177">
        <v>20421818</v>
      </c>
      <c r="AD177" t="s">
        <v>5</v>
      </c>
      <c r="AE177">
        <v>21</v>
      </c>
      <c r="AF177">
        <v>4</v>
      </c>
      <c r="AH177" t="s">
        <v>2863</v>
      </c>
      <c r="AL177">
        <v>0</v>
      </c>
      <c r="AM177" s="4">
        <f t="shared" si="18"/>
        <v>0</v>
      </c>
      <c r="AN177" s="21">
        <f t="shared" si="23"/>
        <v>0</v>
      </c>
      <c r="AO177" s="3"/>
      <c r="AP177">
        <v>0</v>
      </c>
      <c r="AR177" t="s">
        <v>1</v>
      </c>
      <c r="AT177" s="2" t="s">
        <v>0</v>
      </c>
      <c r="AU177" s="1">
        <f t="shared" si="19"/>
        <v>0.68204265769733852</v>
      </c>
      <c r="AV177" s="1">
        <f t="shared" si="20"/>
        <v>0.48717332692667042</v>
      </c>
      <c r="AW177" s="1">
        <f t="shared" si="21"/>
        <v>0.29230399615600222</v>
      </c>
    </row>
    <row r="178" spans="1:49" x14ac:dyDescent="0.2">
      <c r="A178">
        <v>176</v>
      </c>
      <c r="B178" t="s">
        <v>2862</v>
      </c>
      <c r="C178" t="s">
        <v>2861</v>
      </c>
      <c r="F178" t="s">
        <v>2860</v>
      </c>
      <c r="G178" t="s">
        <v>16</v>
      </c>
      <c r="H178" t="s">
        <v>15</v>
      </c>
      <c r="I178" t="s">
        <v>2859</v>
      </c>
      <c r="N178">
        <v>2</v>
      </c>
      <c r="O178" t="s">
        <v>2858</v>
      </c>
      <c r="P178" t="s">
        <v>2857</v>
      </c>
      <c r="Q178" t="s">
        <v>351</v>
      </c>
      <c r="R178" s="6">
        <v>29587</v>
      </c>
      <c r="S178" s="7">
        <f t="shared" si="16"/>
        <v>1981</v>
      </c>
      <c r="T178" s="7">
        <v>1981</v>
      </c>
      <c r="U178" s="7">
        <f t="shared" si="17"/>
        <v>41</v>
      </c>
      <c r="V178" s="6">
        <v>29860</v>
      </c>
      <c r="W178" t="s">
        <v>2275</v>
      </c>
      <c r="X178" s="2">
        <v>0.32300000000000001</v>
      </c>
      <c r="Y178" s="5">
        <f t="shared" si="22"/>
        <v>8.6223005258802502E-3</v>
      </c>
      <c r="AA178">
        <v>58580</v>
      </c>
      <c r="AB178">
        <v>36492</v>
      </c>
      <c r="AC178">
        <v>15387305</v>
      </c>
      <c r="AD178" t="s">
        <v>5</v>
      </c>
      <c r="AE178">
        <v>60</v>
      </c>
      <c r="AF178">
        <v>8</v>
      </c>
      <c r="AH178" t="s">
        <v>2856</v>
      </c>
      <c r="AI178" t="s">
        <v>2855</v>
      </c>
      <c r="AK178" t="s">
        <v>2854</v>
      </c>
      <c r="AL178">
        <v>49</v>
      </c>
      <c r="AM178" s="4">
        <f t="shared" si="18"/>
        <v>1.1951219512195121</v>
      </c>
      <c r="AN178" s="21">
        <f t="shared" si="23"/>
        <v>1.8101051892760501E-3</v>
      </c>
      <c r="AO178" s="3"/>
      <c r="AP178">
        <v>0</v>
      </c>
      <c r="AR178" t="s">
        <v>1</v>
      </c>
      <c r="AT178" s="2" t="s">
        <v>0</v>
      </c>
      <c r="AU178" s="1">
        <f t="shared" si="19"/>
        <v>0.65786419248989902</v>
      </c>
      <c r="AV178" s="1">
        <f t="shared" si="20"/>
        <v>0.52162028575781505</v>
      </c>
      <c r="AW178" s="1">
        <f t="shared" si="21"/>
        <v>0.38537637902573096</v>
      </c>
    </row>
    <row r="179" spans="1:49" x14ac:dyDescent="0.2">
      <c r="A179">
        <v>177</v>
      </c>
      <c r="B179" t="s">
        <v>2853</v>
      </c>
      <c r="F179" t="s">
        <v>2852</v>
      </c>
      <c r="G179" t="s">
        <v>16</v>
      </c>
      <c r="H179" t="s">
        <v>15</v>
      </c>
      <c r="I179" t="s">
        <v>2851</v>
      </c>
      <c r="N179">
        <v>2</v>
      </c>
      <c r="O179" t="s">
        <v>2850</v>
      </c>
      <c r="P179" t="s">
        <v>2849</v>
      </c>
      <c r="Q179" t="s">
        <v>351</v>
      </c>
      <c r="R179" s="6">
        <v>29587</v>
      </c>
      <c r="S179" s="7">
        <f t="shared" si="16"/>
        <v>1981</v>
      </c>
      <c r="T179" s="7">
        <v>1981</v>
      </c>
      <c r="U179" s="7">
        <f t="shared" si="17"/>
        <v>41</v>
      </c>
      <c r="V179" s="6" t="s">
        <v>2848</v>
      </c>
      <c r="W179" t="s">
        <v>2847</v>
      </c>
      <c r="X179" s="2" t="s">
        <v>0</v>
      </c>
      <c r="Y179" s="5" t="e">
        <f t="shared" si="22"/>
        <v>#VALUE!</v>
      </c>
      <c r="AA179">
        <v>337889</v>
      </c>
      <c r="AB179">
        <v>40920</v>
      </c>
      <c r="AD179" t="s">
        <v>5</v>
      </c>
      <c r="AE179">
        <v>26</v>
      </c>
      <c r="AF179">
        <v>10</v>
      </c>
      <c r="AH179" t="s">
        <v>2846</v>
      </c>
      <c r="AI179" t="s">
        <v>2845</v>
      </c>
      <c r="AK179" t="s">
        <v>2844</v>
      </c>
      <c r="AL179">
        <v>0</v>
      </c>
      <c r="AM179" s="4">
        <f t="shared" si="18"/>
        <v>0</v>
      </c>
      <c r="AN179" s="21">
        <f t="shared" si="23"/>
        <v>0</v>
      </c>
      <c r="AO179" s="3"/>
      <c r="AP179">
        <v>0</v>
      </c>
      <c r="AR179" t="s">
        <v>1</v>
      </c>
      <c r="AT179" s="2" t="s">
        <v>0</v>
      </c>
      <c r="AU179" s="1" t="e">
        <f t="shared" si="19"/>
        <v>#VALUE!</v>
      </c>
      <c r="AV179" s="1" t="e">
        <f t="shared" si="20"/>
        <v>#VALUE!</v>
      </c>
      <c r="AW179" s="1" t="e">
        <f t="shared" si="21"/>
        <v>#VALUE!</v>
      </c>
    </row>
    <row r="180" spans="1:49" x14ac:dyDescent="0.2">
      <c r="A180">
        <v>178</v>
      </c>
      <c r="B180" t="s">
        <v>2843</v>
      </c>
      <c r="C180" t="s">
        <v>2842</v>
      </c>
      <c r="F180" t="s">
        <v>2841</v>
      </c>
      <c r="G180" t="s">
        <v>16</v>
      </c>
      <c r="H180" t="s">
        <v>15</v>
      </c>
      <c r="I180" t="s">
        <v>2840</v>
      </c>
      <c r="J180">
        <v>60022195</v>
      </c>
      <c r="K180" t="s">
        <v>634</v>
      </c>
      <c r="L180" t="s">
        <v>81</v>
      </c>
      <c r="M180" t="s">
        <v>11</v>
      </c>
      <c r="N180">
        <v>2</v>
      </c>
      <c r="O180" t="s">
        <v>2839</v>
      </c>
      <c r="P180" t="s">
        <v>2838</v>
      </c>
      <c r="Q180" t="s">
        <v>631</v>
      </c>
      <c r="R180" s="6">
        <v>29587</v>
      </c>
      <c r="S180" s="7">
        <f t="shared" si="16"/>
        <v>1981</v>
      </c>
      <c r="T180" s="7">
        <v>1981</v>
      </c>
      <c r="U180" s="7">
        <f t="shared" si="17"/>
        <v>41</v>
      </c>
      <c r="V180" s="6">
        <v>29860</v>
      </c>
      <c r="W180" t="s">
        <v>1668</v>
      </c>
      <c r="X180" s="2">
        <v>2.141</v>
      </c>
      <c r="Y180" s="5">
        <f t="shared" si="22"/>
        <v>5.7152772216438434E-2</v>
      </c>
      <c r="AA180">
        <v>1962892</v>
      </c>
      <c r="AB180">
        <v>17360</v>
      </c>
      <c r="AC180">
        <v>15580644</v>
      </c>
      <c r="AD180" t="s">
        <v>5</v>
      </c>
      <c r="AE180" t="s">
        <v>1667</v>
      </c>
      <c r="AF180">
        <v>4</v>
      </c>
      <c r="AH180" t="s">
        <v>2837</v>
      </c>
      <c r="AI180" t="s">
        <v>2836</v>
      </c>
      <c r="AK180" t="s">
        <v>2835</v>
      </c>
      <c r="AL180">
        <v>133</v>
      </c>
      <c r="AM180" s="4">
        <f t="shared" si="18"/>
        <v>3.2439024390243905</v>
      </c>
      <c r="AN180" s="21">
        <f t="shared" si="23"/>
        <v>4.9131426566064226E-3</v>
      </c>
      <c r="AO180" s="3"/>
      <c r="AP180">
        <v>0</v>
      </c>
      <c r="AR180" t="s">
        <v>1</v>
      </c>
      <c r="AT180" s="2" t="s">
        <v>0</v>
      </c>
      <c r="AU180" s="1">
        <f t="shared" si="19"/>
        <v>4.1480883348488824</v>
      </c>
      <c r="AV180" s="1">
        <f t="shared" si="20"/>
        <v>3.103295743652243</v>
      </c>
      <c r="AW180" s="1">
        <f t="shared" si="21"/>
        <v>2.0585031524556028</v>
      </c>
    </row>
    <row r="181" spans="1:49" x14ac:dyDescent="0.2">
      <c r="A181">
        <v>179</v>
      </c>
      <c r="B181" t="s">
        <v>2834</v>
      </c>
      <c r="C181" t="s">
        <v>2833</v>
      </c>
      <c r="F181" t="s">
        <v>2832</v>
      </c>
      <c r="G181" t="s">
        <v>16</v>
      </c>
      <c r="H181" t="s">
        <v>15</v>
      </c>
      <c r="I181" t="s">
        <v>2831</v>
      </c>
      <c r="J181">
        <v>60085421</v>
      </c>
      <c r="K181" t="s">
        <v>2830</v>
      </c>
      <c r="L181" t="s">
        <v>2829</v>
      </c>
      <c r="M181" t="s">
        <v>131</v>
      </c>
      <c r="N181">
        <v>1</v>
      </c>
      <c r="O181" t="s">
        <v>2828</v>
      </c>
      <c r="P181">
        <v>6603774768</v>
      </c>
      <c r="Q181">
        <v>60085421</v>
      </c>
      <c r="R181" s="6">
        <v>29587</v>
      </c>
      <c r="S181" s="7">
        <f t="shared" si="16"/>
        <v>1981</v>
      </c>
      <c r="T181" s="7">
        <v>1981</v>
      </c>
      <c r="U181" s="7">
        <f t="shared" si="17"/>
        <v>41</v>
      </c>
      <c r="V181" s="6">
        <v>29860</v>
      </c>
      <c r="W181" s="10" t="s">
        <v>1219</v>
      </c>
      <c r="X181" s="2">
        <v>2.383</v>
      </c>
      <c r="Y181" s="5">
        <f t="shared" si="22"/>
        <v>6.3612824003630442E-2</v>
      </c>
      <c r="AA181">
        <v>1437070</v>
      </c>
      <c r="AB181">
        <v>39742</v>
      </c>
      <c r="AD181" t="s">
        <v>5</v>
      </c>
      <c r="AE181">
        <v>128</v>
      </c>
      <c r="AF181">
        <v>5</v>
      </c>
      <c r="AH181" t="s">
        <v>2827</v>
      </c>
      <c r="AI181" t="s">
        <v>2826</v>
      </c>
      <c r="AJ181" t="s">
        <v>2825</v>
      </c>
      <c r="AK181" t="s">
        <v>2824</v>
      </c>
      <c r="AL181">
        <v>94</v>
      </c>
      <c r="AM181" s="4">
        <f t="shared" si="18"/>
        <v>2.2926829268292681</v>
      </c>
      <c r="AN181" s="21">
        <f t="shared" si="23"/>
        <v>3.4724466896316063E-3</v>
      </c>
      <c r="AO181" s="3"/>
      <c r="AP181">
        <v>0</v>
      </c>
      <c r="AR181" t="s">
        <v>1</v>
      </c>
      <c r="AT181" s="2" t="s">
        <v>0</v>
      </c>
      <c r="AU181" s="1">
        <f t="shared" si="19"/>
        <v>4.5570710809430794</v>
      </c>
      <c r="AV181" s="1">
        <f t="shared" si="20"/>
        <v>3.3542635346631022</v>
      </c>
      <c r="AW181" s="1">
        <f t="shared" si="21"/>
        <v>2.1514559883831259</v>
      </c>
    </row>
    <row r="182" spans="1:49" x14ac:dyDescent="0.2">
      <c r="A182">
        <v>180</v>
      </c>
      <c r="B182" t="s">
        <v>2823</v>
      </c>
      <c r="C182" t="s">
        <v>2822</v>
      </c>
      <c r="F182" t="s">
        <v>2821</v>
      </c>
      <c r="G182" t="s">
        <v>16</v>
      </c>
      <c r="H182" t="s">
        <v>15</v>
      </c>
      <c r="I182" t="s">
        <v>2820</v>
      </c>
      <c r="J182" t="s">
        <v>2819</v>
      </c>
      <c r="K182" t="s">
        <v>2818</v>
      </c>
      <c r="L182" t="s">
        <v>2817</v>
      </c>
      <c r="M182" t="s">
        <v>1703</v>
      </c>
      <c r="N182">
        <v>3</v>
      </c>
      <c r="O182" t="s">
        <v>2816</v>
      </c>
      <c r="P182" t="s">
        <v>2815</v>
      </c>
      <c r="Q182" t="s">
        <v>2814</v>
      </c>
      <c r="R182" s="6">
        <v>29587</v>
      </c>
      <c r="S182" s="7">
        <f t="shared" si="16"/>
        <v>1981</v>
      </c>
      <c r="T182" s="7">
        <v>1981</v>
      </c>
      <c r="U182" s="7">
        <f t="shared" si="17"/>
        <v>41</v>
      </c>
      <c r="V182" s="6">
        <v>29830</v>
      </c>
      <c r="W182" t="s">
        <v>2813</v>
      </c>
      <c r="X182" s="2">
        <v>0.82</v>
      </c>
      <c r="Y182" s="5">
        <f t="shared" si="22"/>
        <v>2.1889431675609299E-2</v>
      </c>
      <c r="AA182">
        <v>189456</v>
      </c>
      <c r="AB182">
        <v>15361</v>
      </c>
      <c r="AC182">
        <v>15579662</v>
      </c>
      <c r="AD182" t="s">
        <v>5</v>
      </c>
      <c r="AE182" t="s">
        <v>2812</v>
      </c>
      <c r="AF182">
        <v>3</v>
      </c>
      <c r="AH182" t="s">
        <v>2811</v>
      </c>
      <c r="AI182" t="s">
        <v>2810</v>
      </c>
      <c r="AK182" t="s">
        <v>2809</v>
      </c>
      <c r="AL182">
        <v>6</v>
      </c>
      <c r="AM182" s="4">
        <f t="shared" si="18"/>
        <v>0.14634146341463414</v>
      </c>
      <c r="AN182" s="21">
        <f t="shared" si="23"/>
        <v>2.2164553338074083E-4</v>
      </c>
      <c r="AO182" s="3"/>
      <c r="AP182">
        <v>0</v>
      </c>
      <c r="AR182" t="s">
        <v>1</v>
      </c>
      <c r="AT182" s="2" t="s">
        <v>0</v>
      </c>
      <c r="AU182" s="1">
        <f t="shared" si="19"/>
        <v>1.5389095832940731</v>
      </c>
      <c r="AV182" s="1">
        <f t="shared" si="20"/>
        <v>1.1055538604495021</v>
      </c>
      <c r="AW182" s="1">
        <f t="shared" si="21"/>
        <v>0.67219813760493086</v>
      </c>
    </row>
    <row r="183" spans="1:49" x14ac:dyDescent="0.2">
      <c r="A183">
        <v>181</v>
      </c>
      <c r="B183" t="s">
        <v>2808</v>
      </c>
      <c r="C183" t="s">
        <v>2807</v>
      </c>
      <c r="F183" t="s">
        <v>2806</v>
      </c>
      <c r="G183" t="s">
        <v>16</v>
      </c>
      <c r="H183" t="s">
        <v>15</v>
      </c>
      <c r="I183" t="s">
        <v>2805</v>
      </c>
      <c r="J183" t="s">
        <v>2560</v>
      </c>
      <c r="K183" t="s">
        <v>2564</v>
      </c>
      <c r="L183" t="s">
        <v>2563</v>
      </c>
      <c r="M183" t="s">
        <v>277</v>
      </c>
      <c r="N183">
        <v>2</v>
      </c>
      <c r="O183" t="s">
        <v>2804</v>
      </c>
      <c r="P183" t="s">
        <v>2803</v>
      </c>
      <c r="Q183" t="s">
        <v>2802</v>
      </c>
      <c r="R183" s="6">
        <v>29587</v>
      </c>
      <c r="S183" s="7">
        <f t="shared" si="16"/>
        <v>1981</v>
      </c>
      <c r="T183" s="7">
        <v>1981</v>
      </c>
      <c r="U183" s="7">
        <f t="shared" si="17"/>
        <v>41</v>
      </c>
      <c r="V183" s="6">
        <v>29830</v>
      </c>
      <c r="W183" t="s">
        <v>235</v>
      </c>
      <c r="X183" s="2">
        <v>1.6519999999999999</v>
      </c>
      <c r="Y183" s="5">
        <f t="shared" si="22"/>
        <v>4.409919649769093E-2</v>
      </c>
      <c r="AA183" t="s">
        <v>234</v>
      </c>
      <c r="AB183">
        <v>17337</v>
      </c>
      <c r="AC183">
        <v>15582221</v>
      </c>
      <c r="AD183" t="s">
        <v>5</v>
      </c>
      <c r="AE183">
        <v>29</v>
      </c>
      <c r="AF183">
        <v>5</v>
      </c>
      <c r="AH183" t="s">
        <v>2801</v>
      </c>
      <c r="AI183" t="s">
        <v>2800</v>
      </c>
      <c r="AK183" t="s">
        <v>2799</v>
      </c>
      <c r="AL183">
        <v>24</v>
      </c>
      <c r="AM183" s="4">
        <f t="shared" si="18"/>
        <v>0.58536585365853655</v>
      </c>
      <c r="AN183" s="21">
        <f t="shared" si="23"/>
        <v>8.8658213352296332E-4</v>
      </c>
      <c r="AO183" s="3"/>
      <c r="AP183">
        <v>0</v>
      </c>
      <c r="AR183" t="s">
        <v>1</v>
      </c>
      <c r="AT183" s="2" t="s">
        <v>0</v>
      </c>
      <c r="AU183" s="1">
        <f t="shared" si="19"/>
        <v>3.1135412188440537</v>
      </c>
      <c r="AV183" s="1">
        <f t="shared" si="20"/>
        <v>2.2492889315606943</v>
      </c>
      <c r="AW183" s="1">
        <f t="shared" si="21"/>
        <v>1.3850366442773352</v>
      </c>
    </row>
    <row r="184" spans="1:49" x14ac:dyDescent="0.2">
      <c r="A184">
        <v>182</v>
      </c>
      <c r="B184" t="s">
        <v>2798</v>
      </c>
      <c r="C184" t="s">
        <v>2797</v>
      </c>
      <c r="F184" t="s">
        <v>2796</v>
      </c>
      <c r="G184" t="s">
        <v>16</v>
      </c>
      <c r="H184" t="s">
        <v>15</v>
      </c>
      <c r="I184" t="s">
        <v>2795</v>
      </c>
      <c r="J184" t="s">
        <v>2790</v>
      </c>
      <c r="K184" t="s">
        <v>2794</v>
      </c>
      <c r="L184" t="s">
        <v>2793</v>
      </c>
      <c r="M184" t="s">
        <v>277</v>
      </c>
      <c r="N184">
        <v>2</v>
      </c>
      <c r="O184" t="s">
        <v>2792</v>
      </c>
      <c r="P184" t="s">
        <v>2791</v>
      </c>
      <c r="Q184" t="s">
        <v>2790</v>
      </c>
      <c r="R184" s="6">
        <v>29587</v>
      </c>
      <c r="S184" s="7">
        <f t="shared" si="16"/>
        <v>1981</v>
      </c>
      <c r="T184" s="7">
        <v>1981</v>
      </c>
      <c r="U184" s="7">
        <f t="shared" si="17"/>
        <v>41</v>
      </c>
      <c r="V184" s="6">
        <v>29830</v>
      </c>
      <c r="W184" t="s">
        <v>235</v>
      </c>
      <c r="X184" s="2">
        <v>1.6519999999999999</v>
      </c>
      <c r="Y184" s="5">
        <f t="shared" si="22"/>
        <v>4.409919649769093E-2</v>
      </c>
      <c r="AA184" t="s">
        <v>234</v>
      </c>
      <c r="AB184">
        <v>17337</v>
      </c>
      <c r="AC184">
        <v>15582221</v>
      </c>
      <c r="AD184" t="s">
        <v>5</v>
      </c>
      <c r="AE184">
        <v>29</v>
      </c>
      <c r="AF184">
        <v>5</v>
      </c>
      <c r="AH184" t="s">
        <v>2789</v>
      </c>
      <c r="AI184" t="s">
        <v>2788</v>
      </c>
      <c r="AK184" t="s">
        <v>2787</v>
      </c>
      <c r="AL184">
        <v>12</v>
      </c>
      <c r="AM184" s="4">
        <f t="shared" si="18"/>
        <v>0.29268292682926828</v>
      </c>
      <c r="AN184" s="21">
        <f t="shared" si="23"/>
        <v>4.4329106676148166E-4</v>
      </c>
      <c r="AO184" s="3"/>
      <c r="AP184">
        <v>0</v>
      </c>
      <c r="AR184" t="s">
        <v>1</v>
      </c>
      <c r="AT184" s="2" t="s">
        <v>0</v>
      </c>
      <c r="AU184" s="1">
        <f t="shared" si="19"/>
        <v>3.1002424868412097</v>
      </c>
      <c r="AV184" s="1">
        <f t="shared" si="20"/>
        <v>2.2271243782226207</v>
      </c>
      <c r="AW184" s="1">
        <f t="shared" si="21"/>
        <v>1.3540062696040316</v>
      </c>
    </row>
    <row r="185" spans="1:49" x14ac:dyDescent="0.2">
      <c r="A185">
        <v>183</v>
      </c>
      <c r="B185" t="s">
        <v>2786</v>
      </c>
      <c r="C185" t="s">
        <v>2785</v>
      </c>
      <c r="F185" t="s">
        <v>2784</v>
      </c>
      <c r="G185" t="s">
        <v>16</v>
      </c>
      <c r="H185" t="s">
        <v>15</v>
      </c>
      <c r="I185" t="s">
        <v>2783</v>
      </c>
      <c r="J185">
        <v>116315048</v>
      </c>
      <c r="K185" t="s">
        <v>2782</v>
      </c>
      <c r="L185" t="s">
        <v>2781</v>
      </c>
      <c r="M185" t="s">
        <v>312</v>
      </c>
      <c r="N185">
        <v>2</v>
      </c>
      <c r="O185" t="s">
        <v>2780</v>
      </c>
      <c r="P185" t="s">
        <v>2779</v>
      </c>
      <c r="Q185" t="s">
        <v>2778</v>
      </c>
      <c r="R185" s="6">
        <v>29587</v>
      </c>
      <c r="S185" s="7">
        <f t="shared" si="16"/>
        <v>1981</v>
      </c>
      <c r="T185" s="7">
        <v>1981</v>
      </c>
      <c r="U185" s="7">
        <f t="shared" si="17"/>
        <v>41</v>
      </c>
      <c r="V185" s="6">
        <v>29830</v>
      </c>
      <c r="W185" t="s">
        <v>466</v>
      </c>
      <c r="X185" s="2">
        <v>0.111</v>
      </c>
      <c r="Y185" s="5">
        <f t="shared" si="22"/>
        <v>2.9630816048690639E-3</v>
      </c>
      <c r="AA185">
        <v>87566621</v>
      </c>
      <c r="AB185">
        <v>24890</v>
      </c>
      <c r="AC185">
        <v>15206424</v>
      </c>
      <c r="AD185" t="s">
        <v>5</v>
      </c>
      <c r="AE185">
        <v>64</v>
      </c>
      <c r="AF185">
        <v>9</v>
      </c>
      <c r="AH185" t="s">
        <v>2777</v>
      </c>
      <c r="AI185" t="s">
        <v>2776</v>
      </c>
      <c r="AK185" t="s">
        <v>2775</v>
      </c>
      <c r="AL185">
        <v>1</v>
      </c>
      <c r="AM185" s="4">
        <f t="shared" si="18"/>
        <v>2.4390243902439025E-2</v>
      </c>
      <c r="AN185" s="21">
        <f t="shared" si="23"/>
        <v>3.6940922230123474E-5</v>
      </c>
      <c r="AO185" s="3"/>
      <c r="AP185">
        <v>0</v>
      </c>
      <c r="AR185" t="s">
        <v>1</v>
      </c>
      <c r="AT185" s="2" t="s">
        <v>0</v>
      </c>
      <c r="AU185" s="1">
        <f t="shared" si="19"/>
        <v>0.20852394000773813</v>
      </c>
      <c r="AV185" s="1">
        <f t="shared" si="20"/>
        <v>0.15000112635495938</v>
      </c>
      <c r="AW185" s="1">
        <f t="shared" si="21"/>
        <v>9.1478312702180542E-2</v>
      </c>
    </row>
    <row r="186" spans="1:49" x14ac:dyDescent="0.2">
      <c r="A186">
        <v>184</v>
      </c>
      <c r="B186" t="s">
        <v>2774</v>
      </c>
      <c r="C186" t="s">
        <v>2773</v>
      </c>
      <c r="F186" t="s">
        <v>2772</v>
      </c>
      <c r="G186" t="s">
        <v>16</v>
      </c>
      <c r="H186" t="s">
        <v>15</v>
      </c>
      <c r="I186" t="s">
        <v>2771</v>
      </c>
      <c r="J186">
        <v>60000745</v>
      </c>
      <c r="K186" t="s">
        <v>890</v>
      </c>
      <c r="L186" t="s">
        <v>889</v>
      </c>
      <c r="M186" t="s">
        <v>11</v>
      </c>
      <c r="N186">
        <v>4</v>
      </c>
      <c r="O186" t="s">
        <v>2770</v>
      </c>
      <c r="P186" t="s">
        <v>2769</v>
      </c>
      <c r="Q186" t="s">
        <v>2768</v>
      </c>
      <c r="R186" s="6">
        <v>29587</v>
      </c>
      <c r="S186" s="7">
        <f t="shared" si="16"/>
        <v>1981</v>
      </c>
      <c r="T186" s="7">
        <v>1981</v>
      </c>
      <c r="U186" s="7">
        <f t="shared" si="17"/>
        <v>41</v>
      </c>
      <c r="V186" s="6">
        <v>29830</v>
      </c>
      <c r="W186" t="s">
        <v>235</v>
      </c>
      <c r="X186" s="2">
        <v>1.6519999999999999</v>
      </c>
      <c r="Y186" s="5">
        <f t="shared" si="22"/>
        <v>4.409919649769093E-2</v>
      </c>
      <c r="AA186" t="s">
        <v>234</v>
      </c>
      <c r="AB186">
        <v>17337</v>
      </c>
      <c r="AC186">
        <v>15582221</v>
      </c>
      <c r="AD186" t="s">
        <v>5</v>
      </c>
      <c r="AE186">
        <v>29</v>
      </c>
      <c r="AF186">
        <v>5</v>
      </c>
      <c r="AH186" t="s">
        <v>2767</v>
      </c>
      <c r="AI186" t="s">
        <v>2766</v>
      </c>
      <c r="AK186" t="s">
        <v>2765</v>
      </c>
      <c r="AL186">
        <v>36</v>
      </c>
      <c r="AM186" s="4">
        <f t="shared" si="18"/>
        <v>0.87804878048780488</v>
      </c>
      <c r="AN186" s="21">
        <f t="shared" si="23"/>
        <v>1.3298732002844451E-3</v>
      </c>
      <c r="AO186" s="3"/>
      <c r="AP186">
        <v>0</v>
      </c>
      <c r="AR186" t="s">
        <v>1</v>
      </c>
      <c r="AT186" s="2" t="s">
        <v>0</v>
      </c>
      <c r="AU186" s="1">
        <f t="shared" si="19"/>
        <v>3.1268399508468985</v>
      </c>
      <c r="AV186" s="1">
        <f t="shared" si="20"/>
        <v>2.2714534848987689</v>
      </c>
      <c r="AW186" s="1">
        <f t="shared" si="21"/>
        <v>1.416067018950639</v>
      </c>
    </row>
    <row r="187" spans="1:49" x14ac:dyDescent="0.2">
      <c r="A187">
        <v>185</v>
      </c>
      <c r="B187" t="s">
        <v>2764</v>
      </c>
      <c r="C187" t="s">
        <v>2763</v>
      </c>
      <c r="F187" t="s">
        <v>2762</v>
      </c>
      <c r="G187" t="s">
        <v>16</v>
      </c>
      <c r="H187" t="s">
        <v>15</v>
      </c>
      <c r="I187" t="s">
        <v>2761</v>
      </c>
      <c r="J187" t="s">
        <v>2755</v>
      </c>
      <c r="K187" t="s">
        <v>2760</v>
      </c>
      <c r="L187" t="s">
        <v>2759</v>
      </c>
      <c r="M187" t="s">
        <v>2758</v>
      </c>
      <c r="N187">
        <v>2</v>
      </c>
      <c r="O187" t="s">
        <v>2757</v>
      </c>
      <c r="P187" t="s">
        <v>2756</v>
      </c>
      <c r="Q187" t="s">
        <v>2755</v>
      </c>
      <c r="R187" s="6">
        <v>29587</v>
      </c>
      <c r="S187" s="7">
        <f t="shared" si="16"/>
        <v>1981</v>
      </c>
      <c r="T187" s="7">
        <v>1981</v>
      </c>
      <c r="U187" s="7">
        <f t="shared" si="17"/>
        <v>41</v>
      </c>
      <c r="V187" s="6">
        <v>29830</v>
      </c>
      <c r="W187" t="s">
        <v>235</v>
      </c>
      <c r="X187" s="2">
        <v>1.6519999999999999</v>
      </c>
      <c r="Y187" s="5">
        <f t="shared" si="22"/>
        <v>4.409919649769093E-2</v>
      </c>
      <c r="AA187" t="s">
        <v>234</v>
      </c>
      <c r="AB187">
        <v>17337</v>
      </c>
      <c r="AC187">
        <v>15582221</v>
      </c>
      <c r="AD187" t="s">
        <v>5</v>
      </c>
      <c r="AE187">
        <v>29</v>
      </c>
      <c r="AF187">
        <v>5</v>
      </c>
      <c r="AH187" t="s">
        <v>2754</v>
      </c>
      <c r="AI187" t="s">
        <v>2753</v>
      </c>
      <c r="AK187" t="s">
        <v>2752</v>
      </c>
      <c r="AL187">
        <v>28</v>
      </c>
      <c r="AM187" s="4">
        <f t="shared" si="18"/>
        <v>0.68292682926829273</v>
      </c>
      <c r="AN187" s="21">
        <f t="shared" si="23"/>
        <v>1.0343458224434574E-3</v>
      </c>
      <c r="AO187" s="3"/>
      <c r="AP187">
        <v>0</v>
      </c>
      <c r="AR187" t="s">
        <v>1</v>
      </c>
      <c r="AT187" s="2" t="s">
        <v>0</v>
      </c>
      <c r="AU187" s="1">
        <f t="shared" si="19"/>
        <v>3.1179741295116687</v>
      </c>
      <c r="AV187" s="1">
        <f t="shared" si="20"/>
        <v>2.2566771160067196</v>
      </c>
      <c r="AW187" s="1">
        <f t="shared" si="21"/>
        <v>1.3953801025017698</v>
      </c>
    </row>
    <row r="188" spans="1:49" x14ac:dyDescent="0.2">
      <c r="A188">
        <v>186</v>
      </c>
      <c r="B188" t="s">
        <v>2751</v>
      </c>
      <c r="C188" t="s">
        <v>2750</v>
      </c>
      <c r="F188" t="s">
        <v>2749</v>
      </c>
      <c r="G188" t="s">
        <v>16</v>
      </c>
      <c r="H188" t="s">
        <v>15</v>
      </c>
      <c r="I188" t="s">
        <v>2748</v>
      </c>
      <c r="J188">
        <v>60008435</v>
      </c>
      <c r="K188" t="s">
        <v>1587</v>
      </c>
      <c r="L188" t="s">
        <v>1586</v>
      </c>
      <c r="M188" t="s">
        <v>312</v>
      </c>
      <c r="N188">
        <v>3</v>
      </c>
      <c r="O188" t="s">
        <v>2747</v>
      </c>
      <c r="P188" t="s">
        <v>2746</v>
      </c>
      <c r="Q188" t="s">
        <v>2653</v>
      </c>
      <c r="R188" s="6">
        <v>29587</v>
      </c>
      <c r="S188" s="7">
        <f t="shared" si="16"/>
        <v>1981</v>
      </c>
      <c r="T188" s="7">
        <v>1981</v>
      </c>
      <c r="U188" s="7">
        <f t="shared" si="17"/>
        <v>41</v>
      </c>
      <c r="V188" s="6">
        <v>29830</v>
      </c>
      <c r="W188" t="s">
        <v>235</v>
      </c>
      <c r="X188" s="2">
        <v>1.6519999999999999</v>
      </c>
      <c r="Y188" s="5">
        <f t="shared" si="22"/>
        <v>4.409919649769093E-2</v>
      </c>
      <c r="AA188" t="s">
        <v>234</v>
      </c>
      <c r="AB188">
        <v>17337</v>
      </c>
      <c r="AC188">
        <v>15582221</v>
      </c>
      <c r="AD188" t="s">
        <v>5</v>
      </c>
      <c r="AE188">
        <v>29</v>
      </c>
      <c r="AF188">
        <v>5</v>
      </c>
      <c r="AH188" t="s">
        <v>2745</v>
      </c>
      <c r="AI188" t="s">
        <v>2744</v>
      </c>
      <c r="AK188" t="s">
        <v>2743</v>
      </c>
      <c r="AL188">
        <v>10</v>
      </c>
      <c r="AM188" s="4">
        <f t="shared" si="18"/>
        <v>0.24390243902439024</v>
      </c>
      <c r="AN188" s="21">
        <f t="shared" si="23"/>
        <v>3.6940922230123473E-4</v>
      </c>
      <c r="AO188" s="3"/>
      <c r="AP188">
        <v>0</v>
      </c>
      <c r="AR188" t="s">
        <v>1</v>
      </c>
      <c r="AT188" s="2" t="s">
        <v>0</v>
      </c>
      <c r="AU188" s="1">
        <f t="shared" si="19"/>
        <v>3.098026031507402</v>
      </c>
      <c r="AV188" s="1">
        <f t="shared" si="20"/>
        <v>2.223430285999608</v>
      </c>
      <c r="AW188" s="1">
        <f t="shared" si="21"/>
        <v>1.3488345404918143</v>
      </c>
    </row>
    <row r="189" spans="1:49" x14ac:dyDescent="0.2">
      <c r="A189">
        <v>187</v>
      </c>
      <c r="B189" t="s">
        <v>2742</v>
      </c>
      <c r="C189" t="s">
        <v>2741</v>
      </c>
      <c r="F189" t="s">
        <v>2740</v>
      </c>
      <c r="G189" t="s">
        <v>16</v>
      </c>
      <c r="H189" t="s">
        <v>15</v>
      </c>
      <c r="I189" t="s">
        <v>2739</v>
      </c>
      <c r="J189">
        <v>60024324</v>
      </c>
      <c r="K189" t="s">
        <v>2738</v>
      </c>
      <c r="L189" t="s">
        <v>2737</v>
      </c>
      <c r="M189" t="s">
        <v>11</v>
      </c>
      <c r="N189">
        <v>4</v>
      </c>
      <c r="O189" t="s">
        <v>2736</v>
      </c>
      <c r="P189" t="s">
        <v>2735</v>
      </c>
      <c r="Q189" t="s">
        <v>2734</v>
      </c>
      <c r="R189" s="6">
        <v>29587</v>
      </c>
      <c r="S189" s="7">
        <f t="shared" si="16"/>
        <v>1981</v>
      </c>
      <c r="T189" s="7">
        <v>1981</v>
      </c>
      <c r="U189" s="7">
        <f t="shared" si="17"/>
        <v>41</v>
      </c>
      <c r="V189" s="6">
        <v>29830</v>
      </c>
      <c r="W189" t="s">
        <v>1582</v>
      </c>
      <c r="X189" s="2">
        <v>0.46</v>
      </c>
      <c r="Y189" s="5">
        <f t="shared" si="22"/>
        <v>1.2279437281439364E-2</v>
      </c>
      <c r="AA189">
        <v>933813</v>
      </c>
      <c r="AB189">
        <v>28031</v>
      </c>
      <c r="AC189">
        <v>19399375</v>
      </c>
      <c r="AD189" t="s">
        <v>5</v>
      </c>
      <c r="AE189">
        <v>9</v>
      </c>
      <c r="AF189">
        <v>3</v>
      </c>
      <c r="AH189" t="s">
        <v>2733</v>
      </c>
      <c r="AI189" t="s">
        <v>2732</v>
      </c>
      <c r="AK189" t="s">
        <v>2731</v>
      </c>
      <c r="AL189">
        <v>10</v>
      </c>
      <c r="AM189" s="4">
        <f t="shared" si="18"/>
        <v>0.24390243902439024</v>
      </c>
      <c r="AN189" s="21">
        <f t="shared" si="23"/>
        <v>3.6940922230123473E-4</v>
      </c>
      <c r="AO189" s="3"/>
      <c r="AP189">
        <v>0</v>
      </c>
      <c r="AR189" t="s">
        <v>1</v>
      </c>
      <c r="AT189" s="2">
        <v>1.222</v>
      </c>
      <c r="AU189" s="1">
        <f t="shared" si="19"/>
        <v>0.87064288636979248</v>
      </c>
      <c r="AV189" s="1">
        <f t="shared" si="20"/>
        <v>0.63244232518702992</v>
      </c>
      <c r="AW189" s="1">
        <f t="shared" si="21"/>
        <v>0.39424176400426736</v>
      </c>
    </row>
    <row r="190" spans="1:49" x14ac:dyDescent="0.2">
      <c r="A190">
        <v>188</v>
      </c>
      <c r="B190" t="s">
        <v>2730</v>
      </c>
      <c r="C190" t="s">
        <v>2729</v>
      </c>
      <c r="F190" t="s">
        <v>2728</v>
      </c>
      <c r="G190" t="s">
        <v>16</v>
      </c>
      <c r="H190" t="s">
        <v>15</v>
      </c>
      <c r="I190" t="s">
        <v>2727</v>
      </c>
      <c r="J190">
        <v>60025757</v>
      </c>
      <c r="K190" t="s">
        <v>1767</v>
      </c>
      <c r="L190" t="s">
        <v>1766</v>
      </c>
      <c r="M190" t="s">
        <v>577</v>
      </c>
      <c r="N190">
        <v>3</v>
      </c>
      <c r="O190" t="s">
        <v>2268</v>
      </c>
      <c r="P190" t="s">
        <v>2267</v>
      </c>
      <c r="Q190" t="s">
        <v>1763</v>
      </c>
      <c r="R190" s="6">
        <v>29587</v>
      </c>
      <c r="S190" s="7">
        <f t="shared" si="16"/>
        <v>1981</v>
      </c>
      <c r="T190" s="7">
        <v>1981</v>
      </c>
      <c r="U190" s="7">
        <f t="shared" si="17"/>
        <v>41</v>
      </c>
      <c r="V190" s="6">
        <v>29830</v>
      </c>
      <c r="W190" t="s">
        <v>235</v>
      </c>
      <c r="X190" s="2">
        <v>1.6519999999999999</v>
      </c>
      <c r="Y190" s="5">
        <f t="shared" si="22"/>
        <v>4.409919649769093E-2</v>
      </c>
      <c r="AA190" t="s">
        <v>234</v>
      </c>
      <c r="AB190">
        <v>17337</v>
      </c>
      <c r="AC190">
        <v>15582221</v>
      </c>
      <c r="AD190" t="s">
        <v>5</v>
      </c>
      <c r="AE190">
        <v>29</v>
      </c>
      <c r="AF190">
        <v>5</v>
      </c>
      <c r="AH190" t="s">
        <v>2726</v>
      </c>
      <c r="AI190" t="s">
        <v>2725</v>
      </c>
      <c r="AK190" t="s">
        <v>2724</v>
      </c>
      <c r="AL190">
        <v>3</v>
      </c>
      <c r="AM190" s="4">
        <f t="shared" si="18"/>
        <v>7.3170731707317069E-2</v>
      </c>
      <c r="AN190" s="21">
        <f t="shared" si="23"/>
        <v>1.1082276669037041E-4</v>
      </c>
      <c r="AO190" s="3"/>
      <c r="AP190">
        <v>0</v>
      </c>
      <c r="AR190" t="s">
        <v>1</v>
      </c>
      <c r="AT190" s="2" t="s">
        <v>0</v>
      </c>
      <c r="AU190" s="1">
        <f t="shared" si="19"/>
        <v>3.0902684378390761</v>
      </c>
      <c r="AV190" s="1">
        <f t="shared" si="20"/>
        <v>2.2105009632190651</v>
      </c>
      <c r="AW190" s="1">
        <f t="shared" si="21"/>
        <v>1.3307334885990536</v>
      </c>
    </row>
    <row r="191" spans="1:49" x14ac:dyDescent="0.2">
      <c r="A191">
        <v>189</v>
      </c>
      <c r="B191" t="s">
        <v>2723</v>
      </c>
      <c r="C191" t="s">
        <v>2722</v>
      </c>
      <c r="F191" t="s">
        <v>2721</v>
      </c>
      <c r="G191" t="s">
        <v>16</v>
      </c>
      <c r="H191" t="s">
        <v>15</v>
      </c>
      <c r="I191" t="s">
        <v>2720</v>
      </c>
      <c r="J191">
        <v>100385533</v>
      </c>
      <c r="K191" t="s">
        <v>2719</v>
      </c>
      <c r="L191" t="s">
        <v>2718</v>
      </c>
      <c r="M191" t="s">
        <v>312</v>
      </c>
      <c r="N191">
        <v>1</v>
      </c>
      <c r="O191" t="s">
        <v>2717</v>
      </c>
      <c r="P191">
        <v>7403990802</v>
      </c>
      <c r="Q191">
        <v>100385533</v>
      </c>
      <c r="R191" s="6">
        <v>29587</v>
      </c>
      <c r="S191" s="7">
        <f t="shared" si="16"/>
        <v>1981</v>
      </c>
      <c r="T191" s="7">
        <v>1981</v>
      </c>
      <c r="U191" s="7">
        <f t="shared" si="17"/>
        <v>41</v>
      </c>
      <c r="V191" s="6">
        <v>29830</v>
      </c>
      <c r="W191" t="s">
        <v>235</v>
      </c>
      <c r="X191" s="2">
        <v>1.6519999999999999</v>
      </c>
      <c r="Y191" s="5">
        <f t="shared" si="22"/>
        <v>4.409919649769093E-2</v>
      </c>
      <c r="AA191" t="s">
        <v>234</v>
      </c>
      <c r="AB191">
        <v>17337</v>
      </c>
      <c r="AC191">
        <v>15582221</v>
      </c>
      <c r="AD191" t="s">
        <v>5</v>
      </c>
      <c r="AE191">
        <v>29</v>
      </c>
      <c r="AF191">
        <v>5</v>
      </c>
      <c r="AH191" t="s">
        <v>2716</v>
      </c>
      <c r="AI191" t="s">
        <v>2715</v>
      </c>
      <c r="AK191" t="s">
        <v>2714</v>
      </c>
      <c r="AL191">
        <v>2</v>
      </c>
      <c r="AM191" s="4">
        <f t="shared" si="18"/>
        <v>4.878048780487805E-2</v>
      </c>
      <c r="AN191" s="21">
        <f t="shared" si="23"/>
        <v>7.3881844460246948E-5</v>
      </c>
      <c r="AO191" s="3"/>
      <c r="AP191">
        <v>0</v>
      </c>
      <c r="AR191" t="s">
        <v>1</v>
      </c>
      <c r="AT191" s="2" t="s">
        <v>0</v>
      </c>
      <c r="AU191" s="1">
        <f t="shared" si="19"/>
        <v>3.0891602101721727</v>
      </c>
      <c r="AV191" s="1">
        <f t="shared" si="20"/>
        <v>2.2086539171075592</v>
      </c>
      <c r="AW191" s="1">
        <f t="shared" si="21"/>
        <v>1.3281476240429451</v>
      </c>
    </row>
    <row r="192" spans="1:49" x14ac:dyDescent="0.2">
      <c r="A192">
        <v>190</v>
      </c>
      <c r="B192" t="s">
        <v>2713</v>
      </c>
      <c r="C192" t="s">
        <v>2712</v>
      </c>
      <c r="F192" t="s">
        <v>2711</v>
      </c>
      <c r="G192" t="s">
        <v>16</v>
      </c>
      <c r="H192" t="s">
        <v>15</v>
      </c>
      <c r="I192" t="s">
        <v>2710</v>
      </c>
      <c r="J192">
        <v>60008107</v>
      </c>
      <c r="K192" t="s">
        <v>2709</v>
      </c>
      <c r="L192" t="s">
        <v>2708</v>
      </c>
      <c r="M192" t="s">
        <v>312</v>
      </c>
      <c r="N192">
        <v>2</v>
      </c>
      <c r="O192" t="s">
        <v>2707</v>
      </c>
      <c r="P192" t="s">
        <v>2706</v>
      </c>
      <c r="Q192" t="s">
        <v>2705</v>
      </c>
      <c r="R192" s="6">
        <v>29587</v>
      </c>
      <c r="S192" s="7">
        <f t="shared" si="16"/>
        <v>1981</v>
      </c>
      <c r="T192" s="7">
        <v>1981</v>
      </c>
      <c r="U192" s="7">
        <f t="shared" si="17"/>
        <v>41</v>
      </c>
      <c r="V192" s="6">
        <v>29830</v>
      </c>
      <c r="W192" t="s">
        <v>235</v>
      </c>
      <c r="X192" s="2">
        <v>1.6519999999999999</v>
      </c>
      <c r="Y192" s="5">
        <f t="shared" si="22"/>
        <v>4.409919649769093E-2</v>
      </c>
      <c r="AA192" t="s">
        <v>234</v>
      </c>
      <c r="AB192">
        <v>17337</v>
      </c>
      <c r="AC192">
        <v>15582221</v>
      </c>
      <c r="AD192" t="s">
        <v>5</v>
      </c>
      <c r="AE192">
        <v>29</v>
      </c>
      <c r="AF192">
        <v>5</v>
      </c>
      <c r="AH192" t="s">
        <v>2704</v>
      </c>
      <c r="AI192" t="s">
        <v>2703</v>
      </c>
      <c r="AK192" t="s">
        <v>2702</v>
      </c>
      <c r="AL192">
        <v>11</v>
      </c>
      <c r="AM192" s="4">
        <f t="shared" si="18"/>
        <v>0.26829268292682928</v>
      </c>
      <c r="AN192" s="21">
        <f t="shared" si="23"/>
        <v>4.0635014453135827E-4</v>
      </c>
      <c r="AO192" s="3"/>
      <c r="AP192">
        <v>0</v>
      </c>
      <c r="AR192" t="s">
        <v>1</v>
      </c>
      <c r="AT192" s="2" t="s">
        <v>0</v>
      </c>
      <c r="AU192" s="1">
        <f t="shared" si="19"/>
        <v>3.0991342591743058</v>
      </c>
      <c r="AV192" s="1">
        <f t="shared" si="20"/>
        <v>2.2252773321111143</v>
      </c>
      <c r="AW192" s="1">
        <f t="shared" si="21"/>
        <v>1.3514204050479228</v>
      </c>
    </row>
    <row r="193" spans="1:49" x14ac:dyDescent="0.2">
      <c r="A193">
        <v>191</v>
      </c>
      <c r="B193" t="s">
        <v>2701</v>
      </c>
      <c r="C193" t="s">
        <v>2700</v>
      </c>
      <c r="F193" t="s">
        <v>2699</v>
      </c>
      <c r="G193" t="s">
        <v>16</v>
      </c>
      <c r="H193" t="s">
        <v>15</v>
      </c>
      <c r="I193" t="s">
        <v>2698</v>
      </c>
      <c r="J193">
        <v>60016849</v>
      </c>
      <c r="K193" t="s">
        <v>2697</v>
      </c>
      <c r="L193" t="s">
        <v>2696</v>
      </c>
      <c r="M193" t="s">
        <v>26</v>
      </c>
      <c r="N193">
        <v>1</v>
      </c>
      <c r="O193" t="s">
        <v>2695</v>
      </c>
      <c r="P193">
        <v>6506942258</v>
      </c>
      <c r="Q193">
        <v>60016849</v>
      </c>
      <c r="R193" s="6">
        <v>29587</v>
      </c>
      <c r="S193" s="7">
        <f t="shared" si="16"/>
        <v>1981</v>
      </c>
      <c r="T193" s="7">
        <v>1981</v>
      </c>
      <c r="U193" s="7">
        <f t="shared" si="17"/>
        <v>41</v>
      </c>
      <c r="V193" s="6">
        <v>29830</v>
      </c>
      <c r="W193" t="s">
        <v>2597</v>
      </c>
      <c r="X193" s="2">
        <v>2.823</v>
      </c>
      <c r="Y193" s="5">
        <f t="shared" si="22"/>
        <v>7.5358372707615917E-2</v>
      </c>
      <c r="AA193">
        <v>1636804</v>
      </c>
      <c r="AB193">
        <v>17249</v>
      </c>
      <c r="AD193" t="s">
        <v>5</v>
      </c>
      <c r="AE193">
        <v>19</v>
      </c>
      <c r="AF193">
        <v>5</v>
      </c>
      <c r="AH193" t="s">
        <v>2694</v>
      </c>
      <c r="AI193" t="s">
        <v>2693</v>
      </c>
      <c r="AK193" t="s">
        <v>2692</v>
      </c>
      <c r="AL193">
        <v>2</v>
      </c>
      <c r="AM193" s="4">
        <f t="shared" si="18"/>
        <v>4.878048780487805E-2</v>
      </c>
      <c r="AN193" s="21">
        <f t="shared" si="23"/>
        <v>7.3881844460246948E-5</v>
      </c>
      <c r="AO193" s="3"/>
      <c r="AP193">
        <v>0</v>
      </c>
      <c r="AR193" t="s">
        <v>1</v>
      </c>
      <c r="AT193" s="2">
        <v>9.6189999999999998</v>
      </c>
      <c r="AU193" s="1">
        <f t="shared" si="19"/>
        <v>5.2773025448669211</v>
      </c>
      <c r="AV193" s="1">
        <f t="shared" si="20"/>
        <v>3.7716127276038085</v>
      </c>
      <c r="AW193" s="1">
        <f t="shared" si="21"/>
        <v>2.2659229103406946</v>
      </c>
    </row>
    <row r="194" spans="1:49" x14ac:dyDescent="0.2">
      <c r="A194">
        <v>192</v>
      </c>
      <c r="B194" t="s">
        <v>2691</v>
      </c>
      <c r="C194" t="s">
        <v>2690</v>
      </c>
      <c r="F194" t="s">
        <v>2689</v>
      </c>
      <c r="G194" t="s">
        <v>16</v>
      </c>
      <c r="H194" t="s">
        <v>15</v>
      </c>
      <c r="I194" t="s">
        <v>2217</v>
      </c>
      <c r="J194" t="s">
        <v>2688</v>
      </c>
      <c r="K194" t="s">
        <v>2687</v>
      </c>
      <c r="L194" t="s">
        <v>2686</v>
      </c>
      <c r="M194" t="s">
        <v>2685</v>
      </c>
      <c r="N194">
        <v>3</v>
      </c>
      <c r="O194" t="s">
        <v>2684</v>
      </c>
      <c r="P194" t="s">
        <v>2683</v>
      </c>
      <c r="Q194" t="s">
        <v>2682</v>
      </c>
      <c r="R194" s="6">
        <v>29587</v>
      </c>
      <c r="S194" s="7">
        <f t="shared" ref="S194:S257" si="24">YEAR(R194)</f>
        <v>1981</v>
      </c>
      <c r="T194" s="7">
        <v>1981</v>
      </c>
      <c r="U194" s="7">
        <f t="shared" ref="U194:U257" si="25">2022-T194</f>
        <v>41</v>
      </c>
      <c r="V194" s="6">
        <v>29830</v>
      </c>
      <c r="W194" t="s">
        <v>235</v>
      </c>
      <c r="X194" s="2">
        <v>1.6519999999999999</v>
      </c>
      <c r="Y194" s="5">
        <f t="shared" si="22"/>
        <v>4.409919649769093E-2</v>
      </c>
      <c r="AA194" t="s">
        <v>234</v>
      </c>
      <c r="AB194">
        <v>17337</v>
      </c>
      <c r="AC194">
        <v>15582221</v>
      </c>
      <c r="AD194" t="s">
        <v>5</v>
      </c>
      <c r="AE194">
        <v>29</v>
      </c>
      <c r="AF194">
        <v>5</v>
      </c>
      <c r="AH194" t="s">
        <v>2681</v>
      </c>
      <c r="AI194" t="s">
        <v>2680</v>
      </c>
      <c r="AK194" t="s">
        <v>2679</v>
      </c>
      <c r="AL194">
        <v>11</v>
      </c>
      <c r="AM194" s="4">
        <f t="shared" ref="AM194:AM257" si="26">AL194/U194</f>
        <v>0.26829268292682928</v>
      </c>
      <c r="AN194" s="21">
        <f t="shared" si="23"/>
        <v>4.0635014453135827E-4</v>
      </c>
      <c r="AO194" s="3"/>
      <c r="AP194">
        <v>0</v>
      </c>
      <c r="AR194" t="s">
        <v>1</v>
      </c>
      <c r="AT194" s="2" t="s">
        <v>0</v>
      </c>
      <c r="AU194" s="1">
        <f t="shared" ref="AU194:AU257" si="27">(Y194*0.7+AN194*0.3)*100</f>
        <v>3.0991342591743058</v>
      </c>
      <c r="AV194" s="1">
        <f t="shared" ref="AV194:AV257" si="28">(Y194*0.5+AN194*0.5)*100</f>
        <v>2.2252773321111143</v>
      </c>
      <c r="AW194" s="1">
        <f t="shared" ref="AW194:AW257" si="29">(Y194*0.3+AN194*0.7)*100</f>
        <v>1.3514204050479228</v>
      </c>
    </row>
    <row r="195" spans="1:49" x14ac:dyDescent="0.2">
      <c r="A195">
        <v>193</v>
      </c>
      <c r="B195" t="s">
        <v>2678</v>
      </c>
      <c r="C195" t="s">
        <v>2677</v>
      </c>
      <c r="F195" t="s">
        <v>2676</v>
      </c>
      <c r="G195" t="s">
        <v>16</v>
      </c>
      <c r="H195" t="s">
        <v>15</v>
      </c>
      <c r="I195" t="s">
        <v>2675</v>
      </c>
      <c r="J195">
        <v>60029470</v>
      </c>
      <c r="K195" t="s">
        <v>2674</v>
      </c>
      <c r="L195" t="s">
        <v>2673</v>
      </c>
      <c r="M195" t="s">
        <v>2481</v>
      </c>
      <c r="N195">
        <v>2</v>
      </c>
      <c r="O195" t="s">
        <v>2672</v>
      </c>
      <c r="P195" t="s">
        <v>2671</v>
      </c>
      <c r="Q195" t="s">
        <v>2670</v>
      </c>
      <c r="R195" s="6">
        <v>29587</v>
      </c>
      <c r="S195" s="7">
        <f t="shared" si="24"/>
        <v>1981</v>
      </c>
      <c r="T195" s="7">
        <v>1981</v>
      </c>
      <c r="U195" s="7">
        <f t="shared" si="25"/>
        <v>41</v>
      </c>
      <c r="V195" s="6">
        <v>29830</v>
      </c>
      <c r="W195" t="s">
        <v>235</v>
      </c>
      <c r="X195" s="2">
        <v>1.6519999999999999</v>
      </c>
      <c r="Y195" s="5">
        <f t="shared" ref="Y195:Y258" si="30">(X195-$Z$3)/($Z$2-$Z$4)</f>
        <v>4.409919649769093E-2</v>
      </c>
      <c r="AA195" t="s">
        <v>234</v>
      </c>
      <c r="AB195">
        <v>17337</v>
      </c>
      <c r="AC195">
        <v>15582221</v>
      </c>
      <c r="AD195" t="s">
        <v>5</v>
      </c>
      <c r="AE195">
        <v>29</v>
      </c>
      <c r="AF195">
        <v>5</v>
      </c>
      <c r="AH195" t="s">
        <v>2669</v>
      </c>
      <c r="AI195" t="s">
        <v>2668</v>
      </c>
      <c r="AK195" t="s">
        <v>2667</v>
      </c>
      <c r="AL195">
        <v>0</v>
      </c>
      <c r="AM195" s="4">
        <f t="shared" si="26"/>
        <v>0</v>
      </c>
      <c r="AN195" s="21">
        <f t="shared" ref="AN195:AN258" si="31">(AM195-$AO$3)/($AO$2-$AO$3)</f>
        <v>0</v>
      </c>
      <c r="AO195" s="3"/>
      <c r="AP195">
        <v>0</v>
      </c>
      <c r="AR195" t="s">
        <v>1</v>
      </c>
      <c r="AT195" s="2" t="s">
        <v>0</v>
      </c>
      <c r="AU195" s="1">
        <f t="shared" si="27"/>
        <v>3.0869437548383649</v>
      </c>
      <c r="AV195" s="1">
        <f t="shared" si="28"/>
        <v>2.2049598248845466</v>
      </c>
      <c r="AW195" s="1">
        <f t="shared" si="29"/>
        <v>1.3229758949307278</v>
      </c>
    </row>
    <row r="196" spans="1:49" x14ac:dyDescent="0.2">
      <c r="A196">
        <v>194</v>
      </c>
      <c r="B196" t="s">
        <v>2666</v>
      </c>
      <c r="F196" t="s">
        <v>2665</v>
      </c>
      <c r="G196" t="s">
        <v>16</v>
      </c>
      <c r="H196" t="s">
        <v>15</v>
      </c>
      <c r="I196" t="s">
        <v>2664</v>
      </c>
      <c r="N196">
        <v>1</v>
      </c>
      <c r="O196" t="s">
        <v>2663</v>
      </c>
      <c r="P196">
        <v>6601911688</v>
      </c>
      <c r="R196" s="6">
        <v>29587</v>
      </c>
      <c r="S196" s="7">
        <f t="shared" si="24"/>
        <v>1981</v>
      </c>
      <c r="T196" s="7">
        <v>1981</v>
      </c>
      <c r="U196" s="7">
        <f t="shared" si="25"/>
        <v>41</v>
      </c>
      <c r="V196" s="6" t="s">
        <v>2450</v>
      </c>
      <c r="W196" t="s">
        <v>2395</v>
      </c>
      <c r="X196" s="2">
        <v>0.14099999999999999</v>
      </c>
      <c r="Y196" s="5">
        <f t="shared" si="30"/>
        <v>3.7639144710498915E-3</v>
      </c>
      <c r="AA196">
        <v>402508</v>
      </c>
      <c r="AB196">
        <v>20868</v>
      </c>
      <c r="AD196" t="s">
        <v>5</v>
      </c>
      <c r="AE196" t="s">
        <v>2394</v>
      </c>
      <c r="AF196">
        <v>9</v>
      </c>
      <c r="AH196" t="s">
        <v>2662</v>
      </c>
      <c r="AI196" t="s">
        <v>2661</v>
      </c>
      <c r="AK196" t="s">
        <v>2660</v>
      </c>
      <c r="AL196">
        <v>0</v>
      </c>
      <c r="AM196" s="4">
        <f t="shared" si="26"/>
        <v>0</v>
      </c>
      <c r="AN196" s="21">
        <f t="shared" si="31"/>
        <v>0</v>
      </c>
      <c r="AO196" s="3"/>
      <c r="AP196">
        <v>0</v>
      </c>
      <c r="AR196" t="s">
        <v>1</v>
      </c>
      <c r="AT196" s="2" t="s">
        <v>0</v>
      </c>
      <c r="AU196" s="1">
        <f t="shared" si="27"/>
        <v>0.26347401297349238</v>
      </c>
      <c r="AV196" s="1">
        <f t="shared" si="28"/>
        <v>0.18819572355249459</v>
      </c>
      <c r="AW196" s="1">
        <f t="shared" si="29"/>
        <v>0.11291743413149673</v>
      </c>
    </row>
    <row r="197" spans="1:49" x14ac:dyDescent="0.2">
      <c r="A197">
        <v>195</v>
      </c>
      <c r="B197" t="s">
        <v>2659</v>
      </c>
      <c r="C197" t="s">
        <v>2658</v>
      </c>
      <c r="F197" t="s">
        <v>2657</v>
      </c>
      <c r="G197" t="s">
        <v>16</v>
      </c>
      <c r="H197" t="s">
        <v>15</v>
      </c>
      <c r="I197" t="s">
        <v>2656</v>
      </c>
      <c r="J197">
        <v>60008435</v>
      </c>
      <c r="K197" t="s">
        <v>1587</v>
      </c>
      <c r="L197" t="s">
        <v>1586</v>
      </c>
      <c r="M197" t="s">
        <v>312</v>
      </c>
      <c r="N197">
        <v>3</v>
      </c>
      <c r="O197" t="s">
        <v>2655</v>
      </c>
      <c r="P197" t="s">
        <v>2654</v>
      </c>
      <c r="Q197" t="s">
        <v>2653</v>
      </c>
      <c r="R197" s="6">
        <v>29587</v>
      </c>
      <c r="S197" s="7">
        <f t="shared" si="24"/>
        <v>1981</v>
      </c>
      <c r="T197" s="7">
        <v>1981</v>
      </c>
      <c r="U197" s="7">
        <f t="shared" si="25"/>
        <v>41</v>
      </c>
      <c r="V197" s="6">
        <v>29830</v>
      </c>
      <c r="W197" t="s">
        <v>466</v>
      </c>
      <c r="X197" s="2">
        <v>0.111</v>
      </c>
      <c r="Y197" s="5">
        <f t="shared" si="30"/>
        <v>2.9630816048690639E-3</v>
      </c>
      <c r="AA197">
        <v>87566621</v>
      </c>
      <c r="AB197">
        <v>24890</v>
      </c>
      <c r="AC197">
        <v>15206424</v>
      </c>
      <c r="AD197" t="s">
        <v>5</v>
      </c>
      <c r="AE197">
        <v>64</v>
      </c>
      <c r="AF197">
        <v>9</v>
      </c>
      <c r="AH197" t="s">
        <v>2652</v>
      </c>
      <c r="AI197" t="s">
        <v>2651</v>
      </c>
      <c r="AK197" t="s">
        <v>2650</v>
      </c>
      <c r="AL197">
        <v>0</v>
      </c>
      <c r="AM197" s="4">
        <f t="shared" si="26"/>
        <v>0</v>
      </c>
      <c r="AN197" s="21">
        <f t="shared" si="31"/>
        <v>0</v>
      </c>
      <c r="AO197" s="3"/>
      <c r="AP197">
        <v>0</v>
      </c>
      <c r="AR197" t="s">
        <v>1</v>
      </c>
      <c r="AT197" s="2" t="s">
        <v>0</v>
      </c>
      <c r="AU197" s="1">
        <f t="shared" si="27"/>
        <v>0.20741571234083445</v>
      </c>
      <c r="AV197" s="1">
        <f t="shared" si="28"/>
        <v>0.1481540802434532</v>
      </c>
      <c r="AW197" s="1">
        <f t="shared" si="29"/>
        <v>8.8892448146071903E-2</v>
      </c>
    </row>
    <row r="198" spans="1:49" x14ac:dyDescent="0.2">
      <c r="A198">
        <v>196</v>
      </c>
      <c r="B198" t="s">
        <v>2649</v>
      </c>
      <c r="C198" t="s">
        <v>2648</v>
      </c>
      <c r="F198" t="s">
        <v>2647</v>
      </c>
      <c r="G198" t="s">
        <v>16</v>
      </c>
      <c r="H198" t="s">
        <v>15</v>
      </c>
      <c r="I198" t="s">
        <v>2646</v>
      </c>
      <c r="J198">
        <v>60005304</v>
      </c>
      <c r="K198" t="s">
        <v>591</v>
      </c>
      <c r="L198" t="s">
        <v>590</v>
      </c>
      <c r="M198" t="s">
        <v>11</v>
      </c>
      <c r="N198">
        <v>1</v>
      </c>
      <c r="O198" t="s">
        <v>2645</v>
      </c>
      <c r="P198">
        <v>56782267400</v>
      </c>
      <c r="Q198">
        <v>60005304</v>
      </c>
      <c r="R198" s="6">
        <v>29587</v>
      </c>
      <c r="S198" s="7">
        <f t="shared" si="24"/>
        <v>1981</v>
      </c>
      <c r="T198" s="7">
        <v>1981</v>
      </c>
      <c r="U198" s="7">
        <f t="shared" si="25"/>
        <v>41</v>
      </c>
      <c r="V198" s="6">
        <v>29830</v>
      </c>
      <c r="W198" t="s">
        <v>235</v>
      </c>
      <c r="X198" s="2">
        <v>1.6519999999999999</v>
      </c>
      <c r="Y198" s="5">
        <f t="shared" si="30"/>
        <v>4.409919649769093E-2</v>
      </c>
      <c r="AA198" t="s">
        <v>234</v>
      </c>
      <c r="AB198">
        <v>17337</v>
      </c>
      <c r="AC198">
        <v>15582221</v>
      </c>
      <c r="AD198" t="s">
        <v>5</v>
      </c>
      <c r="AE198">
        <v>29</v>
      </c>
      <c r="AF198">
        <v>5</v>
      </c>
      <c r="AH198" t="s">
        <v>2644</v>
      </c>
      <c r="AI198" t="s">
        <v>2643</v>
      </c>
      <c r="AK198" t="s">
        <v>2642</v>
      </c>
      <c r="AL198">
        <v>4</v>
      </c>
      <c r="AM198" s="4">
        <f t="shared" si="26"/>
        <v>9.7560975609756101E-2</v>
      </c>
      <c r="AN198" s="21">
        <f t="shared" si="31"/>
        <v>1.477636889204939E-4</v>
      </c>
      <c r="AO198" s="3"/>
      <c r="AP198">
        <v>0</v>
      </c>
      <c r="AR198" t="s">
        <v>1</v>
      </c>
      <c r="AT198" s="2" t="s">
        <v>0</v>
      </c>
      <c r="AU198" s="1">
        <f t="shared" si="27"/>
        <v>3.09137666550598</v>
      </c>
      <c r="AV198" s="1">
        <f t="shared" si="28"/>
        <v>2.212348009330571</v>
      </c>
      <c r="AW198" s="1">
        <f t="shared" si="29"/>
        <v>1.3333193531551624</v>
      </c>
    </row>
    <row r="199" spans="1:49" x14ac:dyDescent="0.2">
      <c r="A199">
        <v>197</v>
      </c>
      <c r="B199" t="s">
        <v>2641</v>
      </c>
      <c r="C199" t="s">
        <v>2640</v>
      </c>
      <c r="F199" t="s">
        <v>2639</v>
      </c>
      <c r="G199" t="s">
        <v>16</v>
      </c>
      <c r="H199" t="s">
        <v>15</v>
      </c>
      <c r="I199" t="s">
        <v>2638</v>
      </c>
      <c r="J199">
        <v>60102562</v>
      </c>
      <c r="K199" t="s">
        <v>2192</v>
      </c>
      <c r="L199" t="s">
        <v>1670</v>
      </c>
      <c r="M199" t="s">
        <v>11</v>
      </c>
      <c r="N199">
        <v>1</v>
      </c>
      <c r="O199" t="s">
        <v>2637</v>
      </c>
      <c r="P199">
        <v>7102870158</v>
      </c>
      <c r="Q199">
        <v>60102562</v>
      </c>
      <c r="R199" s="6">
        <v>29587</v>
      </c>
      <c r="S199" s="7">
        <f t="shared" si="24"/>
        <v>1981</v>
      </c>
      <c r="T199" s="7">
        <v>1981</v>
      </c>
      <c r="U199" s="7">
        <f t="shared" si="25"/>
        <v>41</v>
      </c>
      <c r="V199" s="6">
        <v>29830</v>
      </c>
      <c r="W199" t="s">
        <v>235</v>
      </c>
      <c r="X199" s="2">
        <v>1.6519999999999999</v>
      </c>
      <c r="Y199" s="5">
        <f t="shared" si="30"/>
        <v>4.409919649769093E-2</v>
      </c>
      <c r="AA199" t="s">
        <v>234</v>
      </c>
      <c r="AB199">
        <v>17337</v>
      </c>
      <c r="AC199">
        <v>15582221</v>
      </c>
      <c r="AD199" t="s">
        <v>5</v>
      </c>
      <c r="AE199">
        <v>29</v>
      </c>
      <c r="AF199">
        <v>5</v>
      </c>
      <c r="AH199" t="s">
        <v>2636</v>
      </c>
      <c r="AI199" t="s">
        <v>2635</v>
      </c>
      <c r="AK199" t="s">
        <v>2634</v>
      </c>
      <c r="AL199">
        <v>75</v>
      </c>
      <c r="AM199" s="4">
        <f t="shared" si="26"/>
        <v>1.8292682926829269</v>
      </c>
      <c r="AN199" s="21">
        <f t="shared" si="31"/>
        <v>2.7705691672592608E-3</v>
      </c>
      <c r="AO199" s="3"/>
      <c r="AP199">
        <v>0</v>
      </c>
      <c r="AR199" t="s">
        <v>1</v>
      </c>
      <c r="AT199" s="2" t="s">
        <v>0</v>
      </c>
      <c r="AU199" s="1">
        <f t="shared" si="27"/>
        <v>3.1700608298561432</v>
      </c>
      <c r="AV199" s="1">
        <f t="shared" si="28"/>
        <v>2.3434882832475097</v>
      </c>
      <c r="AW199" s="1">
        <f t="shared" si="29"/>
        <v>1.5169157366388761</v>
      </c>
    </row>
    <row r="200" spans="1:49" x14ac:dyDescent="0.2">
      <c r="A200">
        <v>198</v>
      </c>
      <c r="B200" t="s">
        <v>2633</v>
      </c>
      <c r="C200" t="s">
        <v>2632</v>
      </c>
      <c r="F200" t="s">
        <v>2631</v>
      </c>
      <c r="G200" t="s">
        <v>16</v>
      </c>
      <c r="H200" t="s">
        <v>15</v>
      </c>
      <c r="I200" t="s">
        <v>2630</v>
      </c>
      <c r="J200" t="s">
        <v>2629</v>
      </c>
      <c r="K200" t="s">
        <v>2628</v>
      </c>
      <c r="L200" t="s">
        <v>2627</v>
      </c>
      <c r="M200" t="s">
        <v>2626</v>
      </c>
      <c r="N200">
        <v>3</v>
      </c>
      <c r="O200" t="s">
        <v>2625</v>
      </c>
      <c r="P200" t="s">
        <v>2624</v>
      </c>
      <c r="Q200" t="s">
        <v>2623</v>
      </c>
      <c r="R200" s="6">
        <v>29587</v>
      </c>
      <c r="S200" s="7">
        <f t="shared" si="24"/>
        <v>1981</v>
      </c>
      <c r="T200" s="7">
        <v>1981</v>
      </c>
      <c r="U200" s="7">
        <f t="shared" si="25"/>
        <v>41</v>
      </c>
      <c r="V200" s="6">
        <v>29830</v>
      </c>
      <c r="W200" t="s">
        <v>235</v>
      </c>
      <c r="X200" s="2">
        <v>1.6519999999999999</v>
      </c>
      <c r="Y200" s="5">
        <f t="shared" si="30"/>
        <v>4.409919649769093E-2</v>
      </c>
      <c r="AA200" t="s">
        <v>234</v>
      </c>
      <c r="AB200">
        <v>17337</v>
      </c>
      <c r="AC200">
        <v>15582221</v>
      </c>
      <c r="AD200" t="s">
        <v>5</v>
      </c>
      <c r="AE200">
        <v>29</v>
      </c>
      <c r="AF200">
        <v>5</v>
      </c>
      <c r="AH200" t="s">
        <v>2622</v>
      </c>
      <c r="AI200" t="s">
        <v>2621</v>
      </c>
      <c r="AK200" t="s">
        <v>2620</v>
      </c>
      <c r="AL200">
        <v>1</v>
      </c>
      <c r="AM200" s="4">
        <f t="shared" si="26"/>
        <v>2.4390243902439025E-2</v>
      </c>
      <c r="AN200" s="21">
        <f t="shared" si="31"/>
        <v>3.6940922230123474E-5</v>
      </c>
      <c r="AO200" s="3"/>
      <c r="AP200">
        <v>0</v>
      </c>
      <c r="AR200" t="s">
        <v>1</v>
      </c>
      <c r="AT200" s="2" t="s">
        <v>0</v>
      </c>
      <c r="AU200" s="1">
        <f t="shared" si="27"/>
        <v>3.0880519825052688</v>
      </c>
      <c r="AV200" s="1">
        <f t="shared" si="28"/>
        <v>2.2068068709960529</v>
      </c>
      <c r="AW200" s="1">
        <f t="shared" si="29"/>
        <v>1.3255617594868363</v>
      </c>
    </row>
    <row r="201" spans="1:49" x14ac:dyDescent="0.2">
      <c r="A201">
        <v>199</v>
      </c>
      <c r="B201" t="s">
        <v>2619</v>
      </c>
      <c r="C201" t="s">
        <v>2618</v>
      </c>
      <c r="F201" t="s">
        <v>2617</v>
      </c>
      <c r="G201" t="s">
        <v>16</v>
      </c>
      <c r="H201" t="s">
        <v>15</v>
      </c>
      <c r="I201" t="s">
        <v>2616</v>
      </c>
      <c r="J201">
        <v>60015623</v>
      </c>
      <c r="K201" t="s">
        <v>691</v>
      </c>
      <c r="L201" t="s">
        <v>690</v>
      </c>
      <c r="M201" t="s">
        <v>11</v>
      </c>
      <c r="N201">
        <v>1</v>
      </c>
      <c r="O201" t="s">
        <v>2615</v>
      </c>
      <c r="P201">
        <v>7004111273</v>
      </c>
      <c r="Q201">
        <v>60015623</v>
      </c>
      <c r="R201" s="6">
        <v>29587</v>
      </c>
      <c r="S201" s="7">
        <f t="shared" si="24"/>
        <v>1981</v>
      </c>
      <c r="T201" s="7">
        <v>1981</v>
      </c>
      <c r="U201" s="7">
        <f t="shared" si="25"/>
        <v>41</v>
      </c>
      <c r="V201" s="6">
        <v>29830</v>
      </c>
      <c r="W201" t="s">
        <v>725</v>
      </c>
      <c r="X201" s="2">
        <v>1.137</v>
      </c>
      <c r="Y201" s="5">
        <f t="shared" si="30"/>
        <v>3.0351565628253384E-2</v>
      </c>
      <c r="AA201">
        <v>189251</v>
      </c>
      <c r="AB201">
        <v>17336</v>
      </c>
      <c r="AD201" t="s">
        <v>5</v>
      </c>
      <c r="AE201" t="s">
        <v>724</v>
      </c>
      <c r="AF201">
        <v>5</v>
      </c>
      <c r="AH201" t="s">
        <v>2614</v>
      </c>
      <c r="AI201" t="s">
        <v>2613</v>
      </c>
      <c r="AK201" t="s">
        <v>2612</v>
      </c>
      <c r="AL201">
        <v>6</v>
      </c>
      <c r="AM201" s="4">
        <f t="shared" si="26"/>
        <v>0.14634146341463414</v>
      </c>
      <c r="AN201" s="21">
        <f t="shared" si="31"/>
        <v>2.2164553338074083E-4</v>
      </c>
      <c r="AO201" s="3"/>
      <c r="AP201">
        <v>0</v>
      </c>
      <c r="AR201" t="s">
        <v>1</v>
      </c>
      <c r="AT201" s="2" t="s">
        <v>0</v>
      </c>
      <c r="AU201" s="1">
        <f t="shared" si="27"/>
        <v>2.1312589599791587</v>
      </c>
      <c r="AV201" s="1">
        <f t="shared" si="28"/>
        <v>1.5286605580817063</v>
      </c>
      <c r="AW201" s="1">
        <f t="shared" si="29"/>
        <v>0.92606215618425347</v>
      </c>
    </row>
    <row r="202" spans="1:49" x14ac:dyDescent="0.2">
      <c r="A202">
        <v>200</v>
      </c>
      <c r="B202" t="s">
        <v>2611</v>
      </c>
      <c r="C202" t="s">
        <v>2610</v>
      </c>
      <c r="F202" t="s">
        <v>2609</v>
      </c>
      <c r="G202" t="s">
        <v>16</v>
      </c>
      <c r="H202" t="s">
        <v>15</v>
      </c>
      <c r="I202" t="s">
        <v>2608</v>
      </c>
      <c r="N202">
        <v>1</v>
      </c>
      <c r="O202" t="s">
        <v>2607</v>
      </c>
      <c r="P202">
        <v>54780518800</v>
      </c>
      <c r="R202" s="6">
        <v>29587</v>
      </c>
      <c r="S202" s="7">
        <f t="shared" si="24"/>
        <v>1981</v>
      </c>
      <c r="T202" s="7">
        <v>1981</v>
      </c>
      <c r="U202" s="7">
        <f t="shared" si="25"/>
        <v>41</v>
      </c>
      <c r="V202" s="6">
        <v>29830</v>
      </c>
      <c r="W202" t="s">
        <v>2597</v>
      </c>
      <c r="X202" s="2">
        <v>2.823</v>
      </c>
      <c r="Y202" s="5">
        <f t="shared" si="30"/>
        <v>7.5358372707615917E-2</v>
      </c>
      <c r="AA202">
        <v>1636804</v>
      </c>
      <c r="AB202">
        <v>17249</v>
      </c>
      <c r="AD202" t="s">
        <v>5</v>
      </c>
      <c r="AE202">
        <v>19</v>
      </c>
      <c r="AF202">
        <v>5</v>
      </c>
      <c r="AH202" s="8">
        <v>44412</v>
      </c>
      <c r="AI202" t="s">
        <v>2606</v>
      </c>
      <c r="AK202" t="s">
        <v>2605</v>
      </c>
      <c r="AL202">
        <v>5</v>
      </c>
      <c r="AM202" s="4">
        <f t="shared" si="26"/>
        <v>0.12195121951219512</v>
      </c>
      <c r="AN202" s="21">
        <f t="shared" si="31"/>
        <v>1.8470461115061736E-4</v>
      </c>
      <c r="AO202" s="3"/>
      <c r="AP202">
        <v>0</v>
      </c>
      <c r="AR202" t="s">
        <v>1</v>
      </c>
      <c r="AT202" s="2">
        <v>9.6189999999999998</v>
      </c>
      <c r="AU202" s="1">
        <f t="shared" si="27"/>
        <v>5.2806272278676323</v>
      </c>
      <c r="AV202" s="1">
        <f t="shared" si="28"/>
        <v>3.777153865938327</v>
      </c>
      <c r="AW202" s="1">
        <f t="shared" si="29"/>
        <v>2.2736805040090209</v>
      </c>
    </row>
    <row r="203" spans="1:49" x14ac:dyDescent="0.2">
      <c r="A203">
        <v>201</v>
      </c>
      <c r="B203" t="s">
        <v>2604</v>
      </c>
      <c r="C203" t="s">
        <v>2603</v>
      </c>
      <c r="F203" t="s">
        <v>2602</v>
      </c>
      <c r="G203" t="s">
        <v>16</v>
      </c>
      <c r="H203" t="s">
        <v>15</v>
      </c>
      <c r="I203" t="s">
        <v>2601</v>
      </c>
      <c r="J203">
        <v>60003771</v>
      </c>
      <c r="K203" t="s">
        <v>2600</v>
      </c>
      <c r="L203" t="s">
        <v>2599</v>
      </c>
      <c r="M203" t="s">
        <v>39</v>
      </c>
      <c r="N203">
        <v>1</v>
      </c>
      <c r="O203" t="s">
        <v>2598</v>
      </c>
      <c r="P203">
        <v>6701384126</v>
      </c>
      <c r="Q203">
        <v>60003771</v>
      </c>
      <c r="R203" s="6">
        <v>29587</v>
      </c>
      <c r="S203" s="7">
        <f t="shared" si="24"/>
        <v>1981</v>
      </c>
      <c r="T203" s="7">
        <v>1981</v>
      </c>
      <c r="U203" s="7">
        <f t="shared" si="25"/>
        <v>41</v>
      </c>
      <c r="V203" s="6">
        <v>29830</v>
      </c>
      <c r="W203" t="s">
        <v>2597</v>
      </c>
      <c r="X203" s="2">
        <v>2.823</v>
      </c>
      <c r="Y203" s="5">
        <f t="shared" si="30"/>
        <v>7.5358372707615917E-2</v>
      </c>
      <c r="AA203">
        <v>1636804</v>
      </c>
      <c r="AB203">
        <v>17249</v>
      </c>
      <c r="AD203" t="s">
        <v>5</v>
      </c>
      <c r="AE203">
        <v>19</v>
      </c>
      <c r="AF203">
        <v>5</v>
      </c>
      <c r="AH203" t="s">
        <v>2596</v>
      </c>
      <c r="AI203" t="s">
        <v>2595</v>
      </c>
      <c r="AK203" t="s">
        <v>2594</v>
      </c>
      <c r="AL203">
        <v>2</v>
      </c>
      <c r="AM203" s="4">
        <f t="shared" si="26"/>
        <v>4.878048780487805E-2</v>
      </c>
      <c r="AN203" s="21">
        <f t="shared" si="31"/>
        <v>7.3881844460246948E-5</v>
      </c>
      <c r="AO203" s="3"/>
      <c r="AP203">
        <v>0</v>
      </c>
      <c r="AR203" t="s">
        <v>1</v>
      </c>
      <c r="AT203" s="2">
        <v>9.6189999999999998</v>
      </c>
      <c r="AU203" s="1">
        <f t="shared" si="27"/>
        <v>5.2773025448669211</v>
      </c>
      <c r="AV203" s="1">
        <f t="shared" si="28"/>
        <v>3.7716127276038085</v>
      </c>
      <c r="AW203" s="1">
        <f t="shared" si="29"/>
        <v>2.2659229103406946</v>
      </c>
    </row>
    <row r="204" spans="1:49" x14ac:dyDescent="0.2">
      <c r="A204">
        <v>202</v>
      </c>
      <c r="B204" t="s">
        <v>2593</v>
      </c>
      <c r="F204" t="s">
        <v>2592</v>
      </c>
      <c r="G204" t="s">
        <v>16</v>
      </c>
      <c r="H204" t="s">
        <v>15</v>
      </c>
      <c r="I204" t="s">
        <v>2591</v>
      </c>
      <c r="N204">
        <v>3</v>
      </c>
      <c r="O204" t="s">
        <v>2590</v>
      </c>
      <c r="P204" t="s">
        <v>2589</v>
      </c>
      <c r="Q204" t="s">
        <v>116</v>
      </c>
      <c r="R204" s="6">
        <v>29587</v>
      </c>
      <c r="S204" s="7">
        <f t="shared" si="24"/>
        <v>1981</v>
      </c>
      <c r="T204" s="7">
        <v>1981</v>
      </c>
      <c r="U204" s="7">
        <f t="shared" si="25"/>
        <v>41</v>
      </c>
      <c r="V204" s="6" t="s">
        <v>2450</v>
      </c>
      <c r="W204" t="s">
        <v>2395</v>
      </c>
      <c r="X204" s="2">
        <v>0.14099999999999999</v>
      </c>
      <c r="Y204" s="5">
        <f t="shared" si="30"/>
        <v>3.7639144710498915E-3</v>
      </c>
      <c r="AA204">
        <v>402508</v>
      </c>
      <c r="AB204">
        <v>20868</v>
      </c>
      <c r="AD204" t="s">
        <v>5</v>
      </c>
      <c r="AE204" t="s">
        <v>2394</v>
      </c>
      <c r="AF204">
        <v>9</v>
      </c>
      <c r="AH204" t="s">
        <v>2588</v>
      </c>
      <c r="AI204" t="s">
        <v>2587</v>
      </c>
      <c r="AK204" t="s">
        <v>2586</v>
      </c>
      <c r="AL204">
        <v>0</v>
      </c>
      <c r="AM204" s="4">
        <f t="shared" si="26"/>
        <v>0</v>
      </c>
      <c r="AN204" s="21">
        <f t="shared" si="31"/>
        <v>0</v>
      </c>
      <c r="AO204" s="3"/>
      <c r="AP204">
        <v>0</v>
      </c>
      <c r="AR204" t="s">
        <v>1</v>
      </c>
      <c r="AT204" s="2" t="s">
        <v>0</v>
      </c>
      <c r="AU204" s="1">
        <f t="shared" si="27"/>
        <v>0.26347401297349238</v>
      </c>
      <c r="AV204" s="1">
        <f t="shared" si="28"/>
        <v>0.18819572355249459</v>
      </c>
      <c r="AW204" s="1">
        <f t="shared" si="29"/>
        <v>0.11291743413149673</v>
      </c>
    </row>
    <row r="205" spans="1:49" x14ac:dyDescent="0.2">
      <c r="A205">
        <v>203</v>
      </c>
      <c r="B205" t="s">
        <v>2585</v>
      </c>
      <c r="C205" t="s">
        <v>2584</v>
      </c>
      <c r="F205" t="s">
        <v>2583</v>
      </c>
      <c r="G205" t="s">
        <v>16</v>
      </c>
      <c r="H205" t="s">
        <v>15</v>
      </c>
      <c r="I205" t="s">
        <v>2582</v>
      </c>
      <c r="J205">
        <v>60031126</v>
      </c>
      <c r="K205" t="s">
        <v>1682</v>
      </c>
      <c r="L205" t="s">
        <v>313</v>
      </c>
      <c r="M205" t="s">
        <v>312</v>
      </c>
      <c r="N205">
        <v>2</v>
      </c>
      <c r="O205" t="s">
        <v>2581</v>
      </c>
      <c r="P205" t="s">
        <v>2580</v>
      </c>
      <c r="Q205" t="s">
        <v>1679</v>
      </c>
      <c r="R205" s="6">
        <v>29587</v>
      </c>
      <c r="S205" s="7">
        <f t="shared" si="24"/>
        <v>1981</v>
      </c>
      <c r="T205" s="7">
        <v>1981</v>
      </c>
      <c r="U205" s="7">
        <f t="shared" si="25"/>
        <v>41</v>
      </c>
      <c r="V205" s="6">
        <v>29830</v>
      </c>
      <c r="W205" t="s">
        <v>466</v>
      </c>
      <c r="X205" s="2">
        <v>0.111</v>
      </c>
      <c r="Y205" s="5">
        <f t="shared" si="30"/>
        <v>2.9630816048690639E-3</v>
      </c>
      <c r="AA205">
        <v>87566621</v>
      </c>
      <c r="AB205">
        <v>24890</v>
      </c>
      <c r="AC205">
        <v>15206424</v>
      </c>
      <c r="AD205" t="s">
        <v>5</v>
      </c>
      <c r="AE205">
        <v>64</v>
      </c>
      <c r="AF205">
        <v>9</v>
      </c>
      <c r="AH205" t="s">
        <v>2579</v>
      </c>
      <c r="AI205" t="s">
        <v>2578</v>
      </c>
      <c r="AK205" t="s">
        <v>2577</v>
      </c>
      <c r="AL205">
        <v>0</v>
      </c>
      <c r="AM205" s="4">
        <f t="shared" si="26"/>
        <v>0</v>
      </c>
      <c r="AN205" s="21">
        <f t="shared" si="31"/>
        <v>0</v>
      </c>
      <c r="AO205" s="3"/>
      <c r="AP205">
        <v>0</v>
      </c>
      <c r="AR205" t="s">
        <v>1</v>
      </c>
      <c r="AT205" s="2" t="s">
        <v>0</v>
      </c>
      <c r="AU205" s="1">
        <f t="shared" si="27"/>
        <v>0.20741571234083445</v>
      </c>
      <c r="AV205" s="1">
        <f t="shared" si="28"/>
        <v>0.1481540802434532</v>
      </c>
      <c r="AW205" s="1">
        <f t="shared" si="29"/>
        <v>8.8892448146071903E-2</v>
      </c>
    </row>
    <row r="206" spans="1:49" x14ac:dyDescent="0.2">
      <c r="A206">
        <v>204</v>
      </c>
      <c r="B206" t="s">
        <v>2576</v>
      </c>
      <c r="F206" t="s">
        <v>2575</v>
      </c>
      <c r="G206" t="s">
        <v>16</v>
      </c>
      <c r="H206" t="s">
        <v>15</v>
      </c>
      <c r="I206" t="s">
        <v>2574</v>
      </c>
      <c r="N206">
        <v>2</v>
      </c>
      <c r="O206" t="s">
        <v>2573</v>
      </c>
      <c r="P206" t="s">
        <v>2572</v>
      </c>
      <c r="Q206" t="s">
        <v>351</v>
      </c>
      <c r="R206" s="6">
        <v>29587</v>
      </c>
      <c r="S206" s="7">
        <f t="shared" si="24"/>
        <v>1981</v>
      </c>
      <c r="T206" s="7">
        <v>1981</v>
      </c>
      <c r="U206" s="7">
        <f t="shared" si="25"/>
        <v>41</v>
      </c>
      <c r="V206" s="6" t="s">
        <v>2450</v>
      </c>
      <c r="W206" t="s">
        <v>2395</v>
      </c>
      <c r="X206" s="2">
        <v>0.14099999999999999</v>
      </c>
      <c r="Y206" s="5">
        <f t="shared" si="30"/>
        <v>3.7639144710498915E-3</v>
      </c>
      <c r="AA206">
        <v>402508</v>
      </c>
      <c r="AB206">
        <v>20868</v>
      </c>
      <c r="AD206" t="s">
        <v>5</v>
      </c>
      <c r="AE206" t="s">
        <v>2394</v>
      </c>
      <c r="AF206">
        <v>9</v>
      </c>
      <c r="AH206" t="s">
        <v>2571</v>
      </c>
      <c r="AI206" t="s">
        <v>2570</v>
      </c>
      <c r="AK206" t="s">
        <v>2569</v>
      </c>
      <c r="AL206">
        <v>0</v>
      </c>
      <c r="AM206" s="4">
        <f t="shared" si="26"/>
        <v>0</v>
      </c>
      <c r="AN206" s="21">
        <f t="shared" si="31"/>
        <v>0</v>
      </c>
      <c r="AO206" s="3"/>
      <c r="AP206">
        <v>0</v>
      </c>
      <c r="AR206" t="s">
        <v>1</v>
      </c>
      <c r="AT206" s="2" t="s">
        <v>0</v>
      </c>
      <c r="AU206" s="1">
        <f t="shared" si="27"/>
        <v>0.26347401297349238</v>
      </c>
      <c r="AV206" s="1">
        <f t="shared" si="28"/>
        <v>0.18819572355249459</v>
      </c>
      <c r="AW206" s="1">
        <f t="shared" si="29"/>
        <v>0.11291743413149673</v>
      </c>
    </row>
    <row r="207" spans="1:49" x14ac:dyDescent="0.2">
      <c r="A207">
        <v>205</v>
      </c>
      <c r="B207" t="s">
        <v>2568</v>
      </c>
      <c r="C207" t="s">
        <v>2567</v>
      </c>
      <c r="F207" t="s">
        <v>2566</v>
      </c>
      <c r="G207" t="s">
        <v>16</v>
      </c>
      <c r="H207" t="s">
        <v>15</v>
      </c>
      <c r="I207" t="s">
        <v>2565</v>
      </c>
      <c r="J207" t="s">
        <v>2560</v>
      </c>
      <c r="K207" t="s">
        <v>2564</v>
      </c>
      <c r="L207" t="s">
        <v>2563</v>
      </c>
      <c r="M207" t="s">
        <v>277</v>
      </c>
      <c r="N207">
        <v>2</v>
      </c>
      <c r="O207" t="s">
        <v>2562</v>
      </c>
      <c r="P207" t="s">
        <v>2561</v>
      </c>
      <c r="Q207" t="s">
        <v>2560</v>
      </c>
      <c r="R207" s="6">
        <v>29587</v>
      </c>
      <c r="S207" s="7">
        <f t="shared" si="24"/>
        <v>1981</v>
      </c>
      <c r="T207" s="7">
        <v>1981</v>
      </c>
      <c r="U207" s="7">
        <f t="shared" si="25"/>
        <v>41</v>
      </c>
      <c r="V207" s="6">
        <v>29830</v>
      </c>
      <c r="W207" t="s">
        <v>235</v>
      </c>
      <c r="X207" s="2">
        <v>1.6519999999999999</v>
      </c>
      <c r="Y207" s="5">
        <f t="shared" si="30"/>
        <v>4.409919649769093E-2</v>
      </c>
      <c r="AA207" t="s">
        <v>234</v>
      </c>
      <c r="AB207">
        <v>17337</v>
      </c>
      <c r="AC207">
        <v>15582221</v>
      </c>
      <c r="AD207" t="s">
        <v>5</v>
      </c>
      <c r="AE207">
        <v>29</v>
      </c>
      <c r="AF207">
        <v>5</v>
      </c>
      <c r="AH207" t="s">
        <v>2559</v>
      </c>
      <c r="AI207" t="s">
        <v>2558</v>
      </c>
      <c r="AK207" t="s">
        <v>2557</v>
      </c>
      <c r="AL207">
        <v>36</v>
      </c>
      <c r="AM207" s="4">
        <f t="shared" si="26"/>
        <v>0.87804878048780488</v>
      </c>
      <c r="AN207" s="21">
        <f t="shared" si="31"/>
        <v>1.3298732002844451E-3</v>
      </c>
      <c r="AO207" s="3"/>
      <c r="AP207">
        <v>0</v>
      </c>
      <c r="AR207" t="s">
        <v>1</v>
      </c>
      <c r="AT207" s="2" t="s">
        <v>0</v>
      </c>
      <c r="AU207" s="1">
        <f t="shared" si="27"/>
        <v>3.1268399508468985</v>
      </c>
      <c r="AV207" s="1">
        <f t="shared" si="28"/>
        <v>2.2714534848987689</v>
      </c>
      <c r="AW207" s="1">
        <f t="shared" si="29"/>
        <v>1.416067018950639</v>
      </c>
    </row>
    <row r="208" spans="1:49" x14ac:dyDescent="0.2">
      <c r="A208">
        <v>206</v>
      </c>
      <c r="B208" t="s">
        <v>2556</v>
      </c>
      <c r="C208" t="s">
        <v>2555</v>
      </c>
      <c r="F208" t="s">
        <v>2554</v>
      </c>
      <c r="G208" t="s">
        <v>16</v>
      </c>
      <c r="H208" t="s">
        <v>15</v>
      </c>
      <c r="I208" t="s">
        <v>2553</v>
      </c>
      <c r="J208">
        <v>60011533</v>
      </c>
      <c r="K208" t="s">
        <v>2552</v>
      </c>
      <c r="L208" t="s">
        <v>2551</v>
      </c>
      <c r="M208" t="s">
        <v>11</v>
      </c>
      <c r="N208">
        <v>1</v>
      </c>
      <c r="O208" t="s">
        <v>2550</v>
      </c>
      <c r="P208">
        <v>7201391702</v>
      </c>
      <c r="Q208">
        <v>60011533</v>
      </c>
      <c r="R208" s="6">
        <v>29587</v>
      </c>
      <c r="S208" s="7">
        <f t="shared" si="24"/>
        <v>1981</v>
      </c>
      <c r="T208" s="7">
        <v>1981</v>
      </c>
      <c r="U208" s="7">
        <f t="shared" si="25"/>
        <v>41</v>
      </c>
      <c r="V208" s="6">
        <v>29830</v>
      </c>
      <c r="W208" t="s">
        <v>235</v>
      </c>
      <c r="X208" s="2">
        <v>1.6519999999999999</v>
      </c>
      <c r="Y208" s="5">
        <f t="shared" si="30"/>
        <v>4.409919649769093E-2</v>
      </c>
      <c r="AA208" t="s">
        <v>234</v>
      </c>
      <c r="AB208">
        <v>17337</v>
      </c>
      <c r="AC208">
        <v>15582221</v>
      </c>
      <c r="AD208" t="s">
        <v>5</v>
      </c>
      <c r="AE208">
        <v>29</v>
      </c>
      <c r="AF208">
        <v>5</v>
      </c>
      <c r="AH208" t="s">
        <v>2549</v>
      </c>
      <c r="AI208" t="s">
        <v>2548</v>
      </c>
      <c r="AK208" t="s">
        <v>2547</v>
      </c>
      <c r="AL208">
        <v>11</v>
      </c>
      <c r="AM208" s="4">
        <f t="shared" si="26"/>
        <v>0.26829268292682928</v>
      </c>
      <c r="AN208" s="21">
        <f t="shared" si="31"/>
        <v>4.0635014453135827E-4</v>
      </c>
      <c r="AO208" s="3"/>
      <c r="AP208">
        <v>0</v>
      </c>
      <c r="AR208" t="s">
        <v>1</v>
      </c>
      <c r="AT208" s="2" t="s">
        <v>0</v>
      </c>
      <c r="AU208" s="1">
        <f t="shared" si="27"/>
        <v>3.0991342591743058</v>
      </c>
      <c r="AV208" s="1">
        <f t="shared" si="28"/>
        <v>2.2252773321111143</v>
      </c>
      <c r="AW208" s="1">
        <f t="shared" si="29"/>
        <v>1.3514204050479228</v>
      </c>
    </row>
    <row r="209" spans="1:49" x14ac:dyDescent="0.2">
      <c r="A209">
        <v>207</v>
      </c>
      <c r="B209" t="s">
        <v>2546</v>
      </c>
      <c r="C209" t="s">
        <v>2545</v>
      </c>
      <c r="F209" t="s">
        <v>2544</v>
      </c>
      <c r="G209" t="s">
        <v>16</v>
      </c>
      <c r="H209" t="s">
        <v>15</v>
      </c>
      <c r="I209" t="s">
        <v>2543</v>
      </c>
      <c r="J209">
        <v>60015941</v>
      </c>
      <c r="K209" t="s">
        <v>2542</v>
      </c>
      <c r="L209" t="s">
        <v>2541</v>
      </c>
      <c r="M209" t="s">
        <v>11</v>
      </c>
      <c r="N209">
        <v>2</v>
      </c>
      <c r="O209" t="s">
        <v>2540</v>
      </c>
      <c r="P209" t="s">
        <v>2539</v>
      </c>
      <c r="Q209" t="s">
        <v>2538</v>
      </c>
      <c r="R209" s="6">
        <v>29587</v>
      </c>
      <c r="S209" s="7">
        <f t="shared" si="24"/>
        <v>1981</v>
      </c>
      <c r="T209" s="7">
        <v>1981</v>
      </c>
      <c r="U209" s="7">
        <f t="shared" si="25"/>
        <v>41</v>
      </c>
      <c r="V209" s="6">
        <v>29830</v>
      </c>
      <c r="W209" t="s">
        <v>235</v>
      </c>
      <c r="X209" s="2">
        <v>1.6519999999999999</v>
      </c>
      <c r="Y209" s="5">
        <f t="shared" si="30"/>
        <v>4.409919649769093E-2</v>
      </c>
      <c r="AA209" t="s">
        <v>234</v>
      </c>
      <c r="AB209">
        <v>17337</v>
      </c>
      <c r="AC209">
        <v>15582221</v>
      </c>
      <c r="AD209" t="s">
        <v>5</v>
      </c>
      <c r="AE209">
        <v>29</v>
      </c>
      <c r="AF209">
        <v>5</v>
      </c>
      <c r="AH209" t="s">
        <v>2537</v>
      </c>
      <c r="AI209" t="s">
        <v>2536</v>
      </c>
      <c r="AK209" t="s">
        <v>2535</v>
      </c>
      <c r="AL209">
        <v>29</v>
      </c>
      <c r="AM209" s="4">
        <f t="shared" si="26"/>
        <v>0.70731707317073167</v>
      </c>
      <c r="AN209" s="21">
        <f t="shared" si="31"/>
        <v>1.0712867446735807E-3</v>
      </c>
      <c r="AO209" s="3"/>
      <c r="AP209">
        <v>0</v>
      </c>
      <c r="AR209" t="s">
        <v>1</v>
      </c>
      <c r="AT209" s="2" t="s">
        <v>0</v>
      </c>
      <c r="AU209" s="1">
        <f t="shared" si="27"/>
        <v>3.1190823571785726</v>
      </c>
      <c r="AV209" s="1">
        <f t="shared" si="28"/>
        <v>2.2585241621182255</v>
      </c>
      <c r="AW209" s="1">
        <f t="shared" si="29"/>
        <v>1.3979659670578786</v>
      </c>
    </row>
    <row r="210" spans="1:49" x14ac:dyDescent="0.2">
      <c r="A210">
        <v>208</v>
      </c>
      <c r="B210" t="s">
        <v>2534</v>
      </c>
      <c r="C210" t="s">
        <v>2533</v>
      </c>
      <c r="F210" t="s">
        <v>2532</v>
      </c>
      <c r="G210" t="s">
        <v>16</v>
      </c>
      <c r="H210" t="s">
        <v>15</v>
      </c>
      <c r="I210" t="s">
        <v>2531</v>
      </c>
      <c r="J210" t="s">
        <v>2526</v>
      </c>
      <c r="K210" t="s">
        <v>2530</v>
      </c>
      <c r="L210" t="s">
        <v>2529</v>
      </c>
      <c r="M210" t="s">
        <v>277</v>
      </c>
      <c r="N210">
        <v>2</v>
      </c>
      <c r="O210" t="s">
        <v>2528</v>
      </c>
      <c r="P210" t="s">
        <v>2527</v>
      </c>
      <c r="Q210" t="s">
        <v>2526</v>
      </c>
      <c r="R210" s="6">
        <v>29587</v>
      </c>
      <c r="S210" s="7">
        <f t="shared" si="24"/>
        <v>1981</v>
      </c>
      <c r="T210" s="7">
        <v>1981</v>
      </c>
      <c r="U210" s="7">
        <f t="shared" si="25"/>
        <v>41</v>
      </c>
      <c r="V210" s="6">
        <v>29830</v>
      </c>
      <c r="W210" t="s">
        <v>235</v>
      </c>
      <c r="X210" s="2">
        <v>1.6519999999999999</v>
      </c>
      <c r="Y210" s="5">
        <f t="shared" si="30"/>
        <v>4.409919649769093E-2</v>
      </c>
      <c r="AA210" t="s">
        <v>234</v>
      </c>
      <c r="AB210">
        <v>17337</v>
      </c>
      <c r="AC210">
        <v>15582221</v>
      </c>
      <c r="AD210" t="s">
        <v>5</v>
      </c>
      <c r="AE210">
        <v>29</v>
      </c>
      <c r="AF210">
        <v>5</v>
      </c>
      <c r="AH210" t="s">
        <v>2525</v>
      </c>
      <c r="AI210" t="s">
        <v>2524</v>
      </c>
      <c r="AK210" t="s">
        <v>2523</v>
      </c>
      <c r="AL210">
        <v>12</v>
      </c>
      <c r="AM210" s="4">
        <f t="shared" si="26"/>
        <v>0.29268292682926828</v>
      </c>
      <c r="AN210" s="21">
        <f t="shared" si="31"/>
        <v>4.4329106676148166E-4</v>
      </c>
      <c r="AO210" s="3"/>
      <c r="AP210">
        <v>0</v>
      </c>
      <c r="AR210" t="s">
        <v>1</v>
      </c>
      <c r="AT210" s="2" t="s">
        <v>0</v>
      </c>
      <c r="AU210" s="1">
        <f t="shared" si="27"/>
        <v>3.1002424868412097</v>
      </c>
      <c r="AV210" s="1">
        <f t="shared" si="28"/>
        <v>2.2271243782226207</v>
      </c>
      <c r="AW210" s="1">
        <f t="shared" si="29"/>
        <v>1.3540062696040316</v>
      </c>
    </row>
    <row r="211" spans="1:49" x14ac:dyDescent="0.2">
      <c r="A211">
        <v>209</v>
      </c>
      <c r="B211" t="s">
        <v>2522</v>
      </c>
      <c r="C211" t="s">
        <v>2521</v>
      </c>
      <c r="F211" t="s">
        <v>2520</v>
      </c>
      <c r="G211" t="s">
        <v>16</v>
      </c>
      <c r="H211" t="s">
        <v>15</v>
      </c>
      <c r="I211" t="s">
        <v>2519</v>
      </c>
      <c r="J211">
        <v>60025555</v>
      </c>
      <c r="K211" t="s">
        <v>314</v>
      </c>
      <c r="L211" t="s">
        <v>313</v>
      </c>
      <c r="M211" t="s">
        <v>312</v>
      </c>
      <c r="N211">
        <v>2</v>
      </c>
      <c r="O211" t="s">
        <v>2518</v>
      </c>
      <c r="P211" t="s">
        <v>2517</v>
      </c>
      <c r="Q211" t="s">
        <v>2373</v>
      </c>
      <c r="R211" s="6">
        <v>29587</v>
      </c>
      <c r="S211" s="7">
        <f t="shared" si="24"/>
        <v>1981</v>
      </c>
      <c r="T211" s="7">
        <v>1981</v>
      </c>
      <c r="U211" s="7">
        <f t="shared" si="25"/>
        <v>41</v>
      </c>
      <c r="V211" s="6">
        <v>29830</v>
      </c>
      <c r="W211" t="s">
        <v>573</v>
      </c>
      <c r="X211" s="2">
        <v>1.3720000000000001</v>
      </c>
      <c r="Y211" s="5">
        <f t="shared" si="30"/>
        <v>3.662475641333654E-2</v>
      </c>
      <c r="AA211">
        <v>189480</v>
      </c>
      <c r="AB211">
        <v>17366</v>
      </c>
      <c r="AC211">
        <v>15579670</v>
      </c>
      <c r="AD211" t="s">
        <v>5</v>
      </c>
      <c r="AE211">
        <v>29</v>
      </c>
      <c r="AF211">
        <v>9</v>
      </c>
      <c r="AH211" t="s">
        <v>2516</v>
      </c>
      <c r="AI211" t="s">
        <v>2515</v>
      </c>
      <c r="AK211" t="s">
        <v>2514</v>
      </c>
      <c r="AL211">
        <v>12</v>
      </c>
      <c r="AM211" s="4">
        <f t="shared" si="26"/>
        <v>0.29268292682926828</v>
      </c>
      <c r="AN211" s="21">
        <f t="shared" si="31"/>
        <v>4.4329106676148166E-4</v>
      </c>
      <c r="AO211" s="3"/>
      <c r="AP211">
        <v>0</v>
      </c>
      <c r="AR211" t="s">
        <v>1</v>
      </c>
      <c r="AT211" s="2" t="s">
        <v>0</v>
      </c>
      <c r="AU211" s="1">
        <f t="shared" si="27"/>
        <v>2.5770316809364022</v>
      </c>
      <c r="AV211" s="1">
        <f t="shared" si="28"/>
        <v>1.8534023740049013</v>
      </c>
      <c r="AW211" s="1">
        <f t="shared" si="29"/>
        <v>1.1297730670734001</v>
      </c>
    </row>
    <row r="212" spans="1:49" x14ac:dyDescent="0.2">
      <c r="A212">
        <v>210</v>
      </c>
      <c r="B212" t="s">
        <v>2513</v>
      </c>
      <c r="C212" t="s">
        <v>2512</v>
      </c>
      <c r="F212" t="s">
        <v>2511</v>
      </c>
      <c r="G212" t="s">
        <v>16</v>
      </c>
      <c r="H212" t="s">
        <v>15</v>
      </c>
      <c r="I212" t="s">
        <v>2510</v>
      </c>
      <c r="J212">
        <v>60025555</v>
      </c>
      <c r="K212" t="s">
        <v>314</v>
      </c>
      <c r="L212" t="s">
        <v>313</v>
      </c>
      <c r="M212" t="s">
        <v>312</v>
      </c>
      <c r="N212">
        <v>2</v>
      </c>
      <c r="O212" t="s">
        <v>2509</v>
      </c>
      <c r="P212" t="s">
        <v>2508</v>
      </c>
      <c r="Q212" t="s">
        <v>2373</v>
      </c>
      <c r="R212" s="6">
        <v>29587</v>
      </c>
      <c r="S212" s="7">
        <f t="shared" si="24"/>
        <v>1981</v>
      </c>
      <c r="T212" s="7">
        <v>1981</v>
      </c>
      <c r="U212" s="7">
        <f t="shared" si="25"/>
        <v>41</v>
      </c>
      <c r="V212" s="6">
        <v>29830</v>
      </c>
      <c r="W212" t="s">
        <v>573</v>
      </c>
      <c r="X212" s="2">
        <v>1.3720000000000001</v>
      </c>
      <c r="Y212" s="5">
        <f t="shared" si="30"/>
        <v>3.662475641333654E-2</v>
      </c>
      <c r="AA212">
        <v>189480</v>
      </c>
      <c r="AB212">
        <v>17366</v>
      </c>
      <c r="AC212">
        <v>15579670</v>
      </c>
      <c r="AD212" t="s">
        <v>5</v>
      </c>
      <c r="AE212">
        <v>29</v>
      </c>
      <c r="AF212">
        <v>9</v>
      </c>
      <c r="AH212" t="s">
        <v>2507</v>
      </c>
      <c r="AI212" t="s">
        <v>2506</v>
      </c>
      <c r="AK212" t="s">
        <v>2505</v>
      </c>
      <c r="AL212">
        <v>12</v>
      </c>
      <c r="AM212" s="4">
        <f t="shared" si="26"/>
        <v>0.29268292682926828</v>
      </c>
      <c r="AN212" s="21">
        <f t="shared" si="31"/>
        <v>4.4329106676148166E-4</v>
      </c>
      <c r="AO212" s="3"/>
      <c r="AP212">
        <v>0</v>
      </c>
      <c r="AR212" t="s">
        <v>1</v>
      </c>
      <c r="AT212" s="2" t="s">
        <v>0</v>
      </c>
      <c r="AU212" s="1">
        <f t="shared" si="27"/>
        <v>2.5770316809364022</v>
      </c>
      <c r="AV212" s="1">
        <f t="shared" si="28"/>
        <v>1.8534023740049013</v>
      </c>
      <c r="AW212" s="1">
        <f t="shared" si="29"/>
        <v>1.1297730670734001</v>
      </c>
    </row>
    <row r="213" spans="1:49" x14ac:dyDescent="0.2">
      <c r="A213">
        <v>211</v>
      </c>
      <c r="B213" t="s">
        <v>2504</v>
      </c>
      <c r="C213" t="s">
        <v>2503</v>
      </c>
      <c r="F213" t="s">
        <v>2502</v>
      </c>
      <c r="G213" t="s">
        <v>16</v>
      </c>
      <c r="H213" t="s">
        <v>15</v>
      </c>
      <c r="I213" t="s">
        <v>2501</v>
      </c>
      <c r="J213">
        <v>60000305</v>
      </c>
      <c r="K213" t="s">
        <v>2500</v>
      </c>
      <c r="L213" t="s">
        <v>2499</v>
      </c>
      <c r="M213" t="s">
        <v>11</v>
      </c>
      <c r="N213">
        <v>1</v>
      </c>
      <c r="O213" t="s">
        <v>2498</v>
      </c>
      <c r="P213">
        <v>7007033594</v>
      </c>
      <c r="Q213">
        <v>60000305</v>
      </c>
      <c r="R213" s="6">
        <v>29587</v>
      </c>
      <c r="S213" s="7">
        <f t="shared" si="24"/>
        <v>1981</v>
      </c>
      <c r="T213" s="7">
        <v>1981</v>
      </c>
      <c r="U213" s="7">
        <f t="shared" si="25"/>
        <v>41</v>
      </c>
      <c r="V213" s="6">
        <v>29830</v>
      </c>
      <c r="W213" t="s">
        <v>235</v>
      </c>
      <c r="X213" s="2">
        <v>1.6519999999999999</v>
      </c>
      <c r="Y213" s="5">
        <f t="shared" si="30"/>
        <v>4.409919649769093E-2</v>
      </c>
      <c r="AA213" t="s">
        <v>234</v>
      </c>
      <c r="AB213">
        <v>17337</v>
      </c>
      <c r="AC213">
        <v>15582221</v>
      </c>
      <c r="AD213" t="s">
        <v>5</v>
      </c>
      <c r="AE213">
        <v>29</v>
      </c>
      <c r="AF213">
        <v>5</v>
      </c>
      <c r="AH213" t="s">
        <v>2497</v>
      </c>
      <c r="AI213" t="s">
        <v>2496</v>
      </c>
      <c r="AK213" t="s">
        <v>2495</v>
      </c>
      <c r="AL213">
        <v>18</v>
      </c>
      <c r="AM213" s="4">
        <f t="shared" si="26"/>
        <v>0.43902439024390244</v>
      </c>
      <c r="AN213" s="21">
        <f t="shared" si="31"/>
        <v>6.6493660014222257E-4</v>
      </c>
      <c r="AO213" s="3"/>
      <c r="AP213">
        <v>0</v>
      </c>
      <c r="AR213" t="s">
        <v>1</v>
      </c>
      <c r="AT213" s="2" t="s">
        <v>0</v>
      </c>
      <c r="AU213" s="1">
        <f t="shared" si="27"/>
        <v>3.1068918528426317</v>
      </c>
      <c r="AV213" s="1">
        <f t="shared" si="28"/>
        <v>2.2382066548916577</v>
      </c>
      <c r="AW213" s="1">
        <f t="shared" si="29"/>
        <v>1.3695214569406833</v>
      </c>
    </row>
    <row r="214" spans="1:49" x14ac:dyDescent="0.2">
      <c r="A214">
        <v>212</v>
      </c>
      <c r="B214" t="s">
        <v>2494</v>
      </c>
      <c r="C214" t="s">
        <v>2493</v>
      </c>
      <c r="F214" t="s">
        <v>2492</v>
      </c>
      <c r="G214" t="s">
        <v>16</v>
      </c>
      <c r="H214" t="s">
        <v>15</v>
      </c>
      <c r="I214" t="s">
        <v>2491</v>
      </c>
      <c r="J214">
        <v>60003500</v>
      </c>
      <c r="K214" t="s">
        <v>565</v>
      </c>
      <c r="L214" t="s">
        <v>564</v>
      </c>
      <c r="M214" t="s">
        <v>11</v>
      </c>
      <c r="N214">
        <v>1</v>
      </c>
      <c r="O214" t="s">
        <v>1528</v>
      </c>
      <c r="P214">
        <v>35611381200</v>
      </c>
      <c r="Q214">
        <v>60003500</v>
      </c>
      <c r="R214" s="6">
        <v>29587</v>
      </c>
      <c r="S214" s="7">
        <f t="shared" si="24"/>
        <v>1981</v>
      </c>
      <c r="T214" s="7">
        <v>1981</v>
      </c>
      <c r="U214" s="7">
        <f t="shared" si="25"/>
        <v>41</v>
      </c>
      <c r="V214" s="6">
        <v>29830</v>
      </c>
      <c r="W214" t="s">
        <v>235</v>
      </c>
      <c r="X214" s="2">
        <v>1.6519999999999999</v>
      </c>
      <c r="Y214" s="5">
        <f t="shared" si="30"/>
        <v>4.409919649769093E-2</v>
      </c>
      <c r="AA214" t="s">
        <v>234</v>
      </c>
      <c r="AB214">
        <v>17337</v>
      </c>
      <c r="AC214">
        <v>15582221</v>
      </c>
      <c r="AD214" t="s">
        <v>5</v>
      </c>
      <c r="AE214">
        <v>29</v>
      </c>
      <c r="AF214">
        <v>5</v>
      </c>
      <c r="AH214" t="s">
        <v>2490</v>
      </c>
      <c r="AI214" t="s">
        <v>2489</v>
      </c>
      <c r="AK214" t="s">
        <v>2488</v>
      </c>
      <c r="AL214">
        <v>94</v>
      </c>
      <c r="AM214" s="4">
        <f t="shared" si="26"/>
        <v>2.2926829268292681</v>
      </c>
      <c r="AN214" s="21">
        <f t="shared" si="31"/>
        <v>3.4724466896316063E-3</v>
      </c>
      <c r="AO214" s="3"/>
      <c r="AP214">
        <v>0</v>
      </c>
      <c r="AR214" t="s">
        <v>1</v>
      </c>
      <c r="AT214" s="2" t="s">
        <v>0</v>
      </c>
      <c r="AU214" s="1">
        <f t="shared" si="27"/>
        <v>3.1911171555273135</v>
      </c>
      <c r="AV214" s="1">
        <f t="shared" si="28"/>
        <v>2.3785821593661267</v>
      </c>
      <c r="AW214" s="1">
        <f t="shared" si="29"/>
        <v>1.5660471632049402</v>
      </c>
    </row>
    <row r="215" spans="1:49" x14ac:dyDescent="0.2">
      <c r="A215">
        <v>213</v>
      </c>
      <c r="B215" t="s">
        <v>2487</v>
      </c>
      <c r="C215" t="s">
        <v>2486</v>
      </c>
      <c r="F215" t="s">
        <v>2485</v>
      </c>
      <c r="G215" t="s">
        <v>16</v>
      </c>
      <c r="H215" t="s">
        <v>15</v>
      </c>
      <c r="I215" t="s">
        <v>2484</v>
      </c>
      <c r="J215">
        <v>60031004</v>
      </c>
      <c r="K215" t="s">
        <v>2483</v>
      </c>
      <c r="L215" t="s">
        <v>2482</v>
      </c>
      <c r="M215" t="s">
        <v>2481</v>
      </c>
      <c r="N215">
        <v>2</v>
      </c>
      <c r="O215" t="s">
        <v>2480</v>
      </c>
      <c r="P215" t="s">
        <v>2479</v>
      </c>
      <c r="Q215" t="s">
        <v>2478</v>
      </c>
      <c r="R215" s="6">
        <v>29587</v>
      </c>
      <c r="S215" s="7">
        <f t="shared" si="24"/>
        <v>1981</v>
      </c>
      <c r="T215" s="7">
        <v>1981</v>
      </c>
      <c r="U215" s="7">
        <f t="shared" si="25"/>
        <v>41</v>
      </c>
      <c r="V215" s="6">
        <v>29830</v>
      </c>
      <c r="W215" t="s">
        <v>235</v>
      </c>
      <c r="X215" s="2">
        <v>1.6519999999999999</v>
      </c>
      <c r="Y215" s="5">
        <f t="shared" si="30"/>
        <v>4.409919649769093E-2</v>
      </c>
      <c r="AA215" t="s">
        <v>234</v>
      </c>
      <c r="AB215">
        <v>17337</v>
      </c>
      <c r="AC215">
        <v>15582221</v>
      </c>
      <c r="AD215" t="s">
        <v>5</v>
      </c>
      <c r="AE215">
        <v>29</v>
      </c>
      <c r="AF215">
        <v>5</v>
      </c>
      <c r="AH215" t="s">
        <v>2477</v>
      </c>
      <c r="AI215" t="s">
        <v>2476</v>
      </c>
      <c r="AK215" t="s">
        <v>2475</v>
      </c>
      <c r="AL215">
        <v>6</v>
      </c>
      <c r="AM215" s="4">
        <f t="shared" si="26"/>
        <v>0.14634146341463414</v>
      </c>
      <c r="AN215" s="21">
        <f t="shared" si="31"/>
        <v>2.2164553338074083E-4</v>
      </c>
      <c r="AO215" s="3"/>
      <c r="AP215">
        <v>0</v>
      </c>
      <c r="AR215" t="s">
        <v>1</v>
      </c>
      <c r="AT215" s="2" t="s">
        <v>0</v>
      </c>
      <c r="AU215" s="1">
        <f t="shared" si="27"/>
        <v>3.0935931208397873</v>
      </c>
      <c r="AV215" s="1">
        <f t="shared" si="28"/>
        <v>2.2160421015535836</v>
      </c>
      <c r="AW215" s="1">
        <f t="shared" si="29"/>
        <v>1.3384910822673797</v>
      </c>
    </row>
    <row r="216" spans="1:49" x14ac:dyDescent="0.2">
      <c r="A216">
        <v>214</v>
      </c>
      <c r="B216" t="s">
        <v>2474</v>
      </c>
      <c r="C216" t="s">
        <v>2473</v>
      </c>
      <c r="F216" t="s">
        <v>2472</v>
      </c>
      <c r="G216" t="s">
        <v>16</v>
      </c>
      <c r="H216" t="s">
        <v>15</v>
      </c>
      <c r="I216" t="s">
        <v>2471</v>
      </c>
      <c r="J216">
        <v>60074055</v>
      </c>
      <c r="K216" t="s">
        <v>2470</v>
      </c>
      <c r="L216" t="s">
        <v>2469</v>
      </c>
      <c r="M216" t="s">
        <v>11</v>
      </c>
      <c r="N216">
        <v>1</v>
      </c>
      <c r="O216" t="s">
        <v>2468</v>
      </c>
      <c r="P216">
        <v>6603657869</v>
      </c>
      <c r="Q216">
        <v>60074055</v>
      </c>
      <c r="R216" s="6">
        <v>29587</v>
      </c>
      <c r="S216" s="7">
        <f t="shared" si="24"/>
        <v>1981</v>
      </c>
      <c r="T216" s="7">
        <v>1981</v>
      </c>
      <c r="U216" s="7">
        <f t="shared" si="25"/>
        <v>41</v>
      </c>
      <c r="V216" s="6">
        <v>29830</v>
      </c>
      <c r="W216" t="s">
        <v>573</v>
      </c>
      <c r="X216" s="2">
        <v>1.3720000000000001</v>
      </c>
      <c r="Y216" s="5">
        <f t="shared" si="30"/>
        <v>3.662475641333654E-2</v>
      </c>
      <c r="AA216">
        <v>189480</v>
      </c>
      <c r="AB216">
        <v>17366</v>
      </c>
      <c r="AC216">
        <v>15579670</v>
      </c>
      <c r="AD216" t="s">
        <v>5</v>
      </c>
      <c r="AE216">
        <v>29</v>
      </c>
      <c r="AF216">
        <v>9</v>
      </c>
      <c r="AH216" t="s">
        <v>2467</v>
      </c>
      <c r="AI216" t="s">
        <v>2466</v>
      </c>
      <c r="AK216" t="s">
        <v>2465</v>
      </c>
      <c r="AL216">
        <v>7</v>
      </c>
      <c r="AM216" s="4">
        <f t="shared" si="26"/>
        <v>0.17073170731707318</v>
      </c>
      <c r="AN216" s="21">
        <f t="shared" si="31"/>
        <v>2.5858645561086435E-4</v>
      </c>
      <c r="AO216" s="3"/>
      <c r="AP216">
        <v>0</v>
      </c>
      <c r="AR216" t="s">
        <v>1</v>
      </c>
      <c r="AT216" s="2" t="s">
        <v>0</v>
      </c>
      <c r="AU216" s="1">
        <f t="shared" si="27"/>
        <v>2.5714905426018833</v>
      </c>
      <c r="AV216" s="1">
        <f t="shared" si="28"/>
        <v>1.8441671434473703</v>
      </c>
      <c r="AW216" s="1">
        <f t="shared" si="29"/>
        <v>1.1168437442928567</v>
      </c>
    </row>
    <row r="217" spans="1:49" x14ac:dyDescent="0.2">
      <c r="A217">
        <v>215</v>
      </c>
      <c r="B217" t="s">
        <v>2464</v>
      </c>
      <c r="C217" t="s">
        <v>2463</v>
      </c>
      <c r="F217" t="s">
        <v>2462</v>
      </c>
      <c r="G217" t="s">
        <v>16</v>
      </c>
      <c r="H217" t="s">
        <v>15</v>
      </c>
      <c r="I217" t="s">
        <v>2461</v>
      </c>
      <c r="N217">
        <v>2</v>
      </c>
      <c r="O217" t="s">
        <v>2460</v>
      </c>
      <c r="P217" t="s">
        <v>2459</v>
      </c>
      <c r="Q217" t="s">
        <v>351</v>
      </c>
      <c r="R217" s="6">
        <v>29587</v>
      </c>
      <c r="S217" s="7">
        <f t="shared" si="24"/>
        <v>1981</v>
      </c>
      <c r="T217" s="7">
        <v>1981</v>
      </c>
      <c r="U217" s="7">
        <f t="shared" si="25"/>
        <v>41</v>
      </c>
      <c r="V217" s="6">
        <v>29830</v>
      </c>
      <c r="W217" t="s">
        <v>725</v>
      </c>
      <c r="X217" s="2">
        <v>1.137</v>
      </c>
      <c r="Y217" s="5">
        <f t="shared" si="30"/>
        <v>3.0351565628253384E-2</v>
      </c>
      <c r="AA217">
        <v>189251</v>
      </c>
      <c r="AB217">
        <v>17336</v>
      </c>
      <c r="AD217" t="s">
        <v>5</v>
      </c>
      <c r="AE217" t="s">
        <v>724</v>
      </c>
      <c r="AF217">
        <v>5</v>
      </c>
      <c r="AH217" t="s">
        <v>2458</v>
      </c>
      <c r="AI217" t="s">
        <v>2457</v>
      </c>
      <c r="AK217" t="s">
        <v>2456</v>
      </c>
      <c r="AL217">
        <v>5</v>
      </c>
      <c r="AM217" s="4">
        <f t="shared" si="26"/>
        <v>0.12195121951219512</v>
      </c>
      <c r="AN217" s="21">
        <f t="shared" si="31"/>
        <v>1.8470461115061736E-4</v>
      </c>
      <c r="AO217" s="3"/>
      <c r="AP217">
        <v>0</v>
      </c>
      <c r="AR217" t="s">
        <v>1</v>
      </c>
      <c r="AT217" s="2" t="s">
        <v>0</v>
      </c>
      <c r="AU217" s="1">
        <f t="shared" si="27"/>
        <v>2.1301507323122548</v>
      </c>
      <c r="AV217" s="1">
        <f t="shared" si="28"/>
        <v>1.5268135119702</v>
      </c>
      <c r="AW217" s="1">
        <f t="shared" si="29"/>
        <v>0.92347629162814471</v>
      </c>
    </row>
    <row r="218" spans="1:49" x14ac:dyDescent="0.2">
      <c r="A218">
        <v>216</v>
      </c>
      <c r="B218" t="s">
        <v>2455</v>
      </c>
      <c r="F218" t="s">
        <v>2454</v>
      </c>
      <c r="G218" t="s">
        <v>16</v>
      </c>
      <c r="H218" t="s">
        <v>15</v>
      </c>
      <c r="I218" t="s">
        <v>2453</v>
      </c>
      <c r="N218">
        <v>2</v>
      </c>
      <c r="O218" t="s">
        <v>2452</v>
      </c>
      <c r="P218" t="s">
        <v>2451</v>
      </c>
      <c r="Q218" t="s">
        <v>351</v>
      </c>
      <c r="R218" s="6">
        <v>29587</v>
      </c>
      <c r="S218" s="7">
        <f t="shared" si="24"/>
        <v>1981</v>
      </c>
      <c r="T218" s="7">
        <v>1981</v>
      </c>
      <c r="U218" s="7">
        <f t="shared" si="25"/>
        <v>41</v>
      </c>
      <c r="V218" s="6" t="s">
        <v>2450</v>
      </c>
      <c r="W218" t="s">
        <v>2395</v>
      </c>
      <c r="X218" s="2">
        <v>0.14099999999999999</v>
      </c>
      <c r="Y218" s="5">
        <f t="shared" si="30"/>
        <v>3.7639144710498915E-3</v>
      </c>
      <c r="AA218">
        <v>402508</v>
      </c>
      <c r="AB218">
        <v>20868</v>
      </c>
      <c r="AD218" t="s">
        <v>5</v>
      </c>
      <c r="AE218" t="s">
        <v>2394</v>
      </c>
      <c r="AF218">
        <v>9</v>
      </c>
      <c r="AH218" t="s">
        <v>2449</v>
      </c>
      <c r="AI218" t="s">
        <v>2448</v>
      </c>
      <c r="AK218" t="s">
        <v>2447</v>
      </c>
      <c r="AL218">
        <v>0</v>
      </c>
      <c r="AM218" s="4">
        <f t="shared" si="26"/>
        <v>0</v>
      </c>
      <c r="AN218" s="21">
        <f t="shared" si="31"/>
        <v>0</v>
      </c>
      <c r="AO218" s="3"/>
      <c r="AP218">
        <v>0</v>
      </c>
      <c r="AR218" t="s">
        <v>1</v>
      </c>
      <c r="AT218" s="2" t="s">
        <v>0</v>
      </c>
      <c r="AU218" s="1">
        <f t="shared" si="27"/>
        <v>0.26347401297349238</v>
      </c>
      <c r="AV218" s="1">
        <f t="shared" si="28"/>
        <v>0.18819572355249459</v>
      </c>
      <c r="AW218" s="1">
        <f t="shared" si="29"/>
        <v>0.11291743413149673</v>
      </c>
    </row>
    <row r="219" spans="1:49" x14ac:dyDescent="0.2">
      <c r="A219">
        <v>217</v>
      </c>
      <c r="B219" t="s">
        <v>2446</v>
      </c>
      <c r="C219" t="s">
        <v>2445</v>
      </c>
      <c r="F219" t="s">
        <v>2444</v>
      </c>
      <c r="G219" t="s">
        <v>16</v>
      </c>
      <c r="H219" t="s">
        <v>15</v>
      </c>
      <c r="I219" t="s">
        <v>2443</v>
      </c>
      <c r="J219">
        <v>60023291</v>
      </c>
      <c r="K219" t="s">
        <v>2442</v>
      </c>
      <c r="L219" t="s">
        <v>2441</v>
      </c>
      <c r="M219" t="s">
        <v>2440</v>
      </c>
      <c r="N219">
        <v>1</v>
      </c>
      <c r="O219" t="s">
        <v>2439</v>
      </c>
      <c r="P219">
        <v>6602788136</v>
      </c>
      <c r="Q219">
        <v>60023291</v>
      </c>
      <c r="R219" s="6">
        <v>29587</v>
      </c>
      <c r="S219" s="7">
        <f t="shared" si="24"/>
        <v>1981</v>
      </c>
      <c r="T219" s="7">
        <v>1981</v>
      </c>
      <c r="U219" s="7">
        <f t="shared" si="25"/>
        <v>41</v>
      </c>
      <c r="V219" s="6">
        <v>29799</v>
      </c>
      <c r="W219" t="s">
        <v>2432</v>
      </c>
      <c r="X219" s="2">
        <v>1.365</v>
      </c>
      <c r="Y219" s="5">
        <f t="shared" si="30"/>
        <v>3.6437895411227675E-2</v>
      </c>
      <c r="AA219">
        <v>189545</v>
      </c>
      <c r="AB219">
        <v>17393</v>
      </c>
      <c r="AC219">
        <v>19399359</v>
      </c>
      <c r="AD219" t="s">
        <v>5</v>
      </c>
      <c r="AE219">
        <v>30</v>
      </c>
      <c r="AF219">
        <v>3</v>
      </c>
      <c r="AH219" t="s">
        <v>2438</v>
      </c>
      <c r="AI219" t="s">
        <v>2437</v>
      </c>
      <c r="AK219" t="s">
        <v>2436</v>
      </c>
      <c r="AL219">
        <v>11</v>
      </c>
      <c r="AM219" s="4">
        <f t="shared" si="26"/>
        <v>0.26829268292682928</v>
      </c>
      <c r="AN219" s="21">
        <f t="shared" si="31"/>
        <v>4.0635014453135827E-4</v>
      </c>
      <c r="AO219" s="3"/>
      <c r="AP219">
        <v>0</v>
      </c>
      <c r="AR219" t="s">
        <v>1</v>
      </c>
      <c r="AT219" s="2" t="s">
        <v>0</v>
      </c>
      <c r="AU219" s="1">
        <f t="shared" si="27"/>
        <v>2.5628431831218776</v>
      </c>
      <c r="AV219" s="1">
        <f t="shared" si="28"/>
        <v>1.8422122777879517</v>
      </c>
      <c r="AW219" s="1">
        <f t="shared" si="29"/>
        <v>1.1215813724540253</v>
      </c>
    </row>
    <row r="220" spans="1:49" x14ac:dyDescent="0.2">
      <c r="A220">
        <v>218</v>
      </c>
      <c r="B220" t="s">
        <v>2435</v>
      </c>
      <c r="C220" t="s">
        <v>2434</v>
      </c>
      <c r="F220" t="s">
        <v>2433</v>
      </c>
      <c r="G220" t="s">
        <v>16</v>
      </c>
      <c r="H220" t="s">
        <v>15</v>
      </c>
      <c r="I220" t="s">
        <v>1672</v>
      </c>
      <c r="J220">
        <v>60015623</v>
      </c>
      <c r="K220" t="s">
        <v>691</v>
      </c>
      <c r="L220" t="s">
        <v>690</v>
      </c>
      <c r="M220" t="s">
        <v>11</v>
      </c>
      <c r="N220">
        <v>1</v>
      </c>
      <c r="O220" t="s">
        <v>1669</v>
      </c>
      <c r="P220">
        <v>7006807417</v>
      </c>
      <c r="Q220">
        <v>60015623</v>
      </c>
      <c r="R220" s="6">
        <v>29587</v>
      </c>
      <c r="S220" s="7">
        <f t="shared" si="24"/>
        <v>1981</v>
      </c>
      <c r="T220" s="7">
        <v>1981</v>
      </c>
      <c r="U220" s="7">
        <f t="shared" si="25"/>
        <v>41</v>
      </c>
      <c r="V220" s="6">
        <v>29799</v>
      </c>
      <c r="W220" t="s">
        <v>2432</v>
      </c>
      <c r="X220" s="2">
        <v>1.365</v>
      </c>
      <c r="Y220" s="5">
        <f t="shared" si="30"/>
        <v>3.6437895411227675E-2</v>
      </c>
      <c r="AA220">
        <v>189545</v>
      </c>
      <c r="AB220">
        <v>17393</v>
      </c>
      <c r="AC220">
        <v>19399359</v>
      </c>
      <c r="AD220" t="s">
        <v>5</v>
      </c>
      <c r="AE220">
        <v>30</v>
      </c>
      <c r="AF220">
        <v>3</v>
      </c>
      <c r="AH220" t="s">
        <v>2431</v>
      </c>
      <c r="AI220" t="s">
        <v>2430</v>
      </c>
      <c r="AK220" t="s">
        <v>2429</v>
      </c>
      <c r="AL220">
        <v>5</v>
      </c>
      <c r="AM220" s="4">
        <f t="shared" si="26"/>
        <v>0.12195121951219512</v>
      </c>
      <c r="AN220" s="21">
        <f t="shared" si="31"/>
        <v>1.8470461115061736E-4</v>
      </c>
      <c r="AO220" s="3"/>
      <c r="AP220">
        <v>0</v>
      </c>
      <c r="AR220" t="s">
        <v>1</v>
      </c>
      <c r="AT220" s="2" t="s">
        <v>0</v>
      </c>
      <c r="AU220" s="1">
        <f t="shared" si="27"/>
        <v>2.5561938171204552</v>
      </c>
      <c r="AV220" s="1">
        <f t="shared" si="28"/>
        <v>1.8311300011189147</v>
      </c>
      <c r="AW220" s="1">
        <f t="shared" si="29"/>
        <v>1.1060661851173734</v>
      </c>
    </row>
    <row r="221" spans="1:49" x14ac:dyDescent="0.2">
      <c r="A221">
        <v>219</v>
      </c>
      <c r="B221" t="s">
        <v>2428</v>
      </c>
      <c r="F221" t="s">
        <v>2427</v>
      </c>
      <c r="G221" t="s">
        <v>16</v>
      </c>
      <c r="H221" t="s">
        <v>15</v>
      </c>
      <c r="I221" t="s">
        <v>2426</v>
      </c>
      <c r="N221">
        <v>2</v>
      </c>
      <c r="O221" t="s">
        <v>2425</v>
      </c>
      <c r="P221" t="s">
        <v>2424</v>
      </c>
      <c r="Q221" t="s">
        <v>351</v>
      </c>
      <c r="R221" s="6">
        <v>29587</v>
      </c>
      <c r="S221" s="7">
        <f t="shared" si="24"/>
        <v>1981</v>
      </c>
      <c r="T221" s="7">
        <v>1981</v>
      </c>
      <c r="U221" s="7">
        <f t="shared" si="25"/>
        <v>41</v>
      </c>
      <c r="V221" s="6" t="s">
        <v>2396</v>
      </c>
      <c r="W221" t="s">
        <v>2395</v>
      </c>
      <c r="X221" s="2">
        <v>0.14099999999999999</v>
      </c>
      <c r="Y221" s="5">
        <f t="shared" si="30"/>
        <v>3.7639144710498915E-3</v>
      </c>
      <c r="AA221">
        <v>402508</v>
      </c>
      <c r="AB221">
        <v>20868</v>
      </c>
      <c r="AD221" t="s">
        <v>5</v>
      </c>
      <c r="AE221" t="s">
        <v>2394</v>
      </c>
      <c r="AF221">
        <v>8</v>
      </c>
      <c r="AH221" t="s">
        <v>2423</v>
      </c>
      <c r="AI221" t="s">
        <v>2422</v>
      </c>
      <c r="AK221" t="s">
        <v>2421</v>
      </c>
      <c r="AL221">
        <v>0</v>
      </c>
      <c r="AM221" s="4">
        <f t="shared" si="26"/>
        <v>0</v>
      </c>
      <c r="AN221" s="21">
        <f t="shared" si="31"/>
        <v>0</v>
      </c>
      <c r="AO221" s="3"/>
      <c r="AP221">
        <v>0</v>
      </c>
      <c r="AR221" t="s">
        <v>1</v>
      </c>
      <c r="AT221" s="2" t="s">
        <v>0</v>
      </c>
      <c r="AU221" s="1">
        <f t="shared" si="27"/>
        <v>0.26347401297349238</v>
      </c>
      <c r="AV221" s="1">
        <f t="shared" si="28"/>
        <v>0.18819572355249459</v>
      </c>
      <c r="AW221" s="1">
        <f t="shared" si="29"/>
        <v>0.11291743413149673</v>
      </c>
    </row>
    <row r="222" spans="1:49" x14ac:dyDescent="0.2">
      <c r="A222">
        <v>220</v>
      </c>
      <c r="B222" t="s">
        <v>2420</v>
      </c>
      <c r="F222" t="s">
        <v>2419</v>
      </c>
      <c r="G222" t="s">
        <v>16</v>
      </c>
      <c r="H222" t="s">
        <v>15</v>
      </c>
      <c r="I222" t="s">
        <v>2418</v>
      </c>
      <c r="N222">
        <v>1</v>
      </c>
      <c r="O222" t="s">
        <v>2417</v>
      </c>
      <c r="P222">
        <v>6602504319</v>
      </c>
      <c r="R222" s="6">
        <v>29587</v>
      </c>
      <c r="S222" s="7">
        <f t="shared" si="24"/>
        <v>1981</v>
      </c>
      <c r="T222" s="7">
        <v>1981</v>
      </c>
      <c r="U222" s="7">
        <f t="shared" si="25"/>
        <v>41</v>
      </c>
      <c r="V222" s="6" t="s">
        <v>2396</v>
      </c>
      <c r="W222" t="s">
        <v>2395</v>
      </c>
      <c r="X222" s="2">
        <v>0.14099999999999999</v>
      </c>
      <c r="Y222" s="5">
        <f t="shared" si="30"/>
        <v>3.7639144710498915E-3</v>
      </c>
      <c r="AA222">
        <v>402508</v>
      </c>
      <c r="AB222">
        <v>20868</v>
      </c>
      <c r="AD222" t="s">
        <v>5</v>
      </c>
      <c r="AE222" t="s">
        <v>2394</v>
      </c>
      <c r="AF222">
        <v>8</v>
      </c>
      <c r="AH222" t="s">
        <v>2416</v>
      </c>
      <c r="AI222" t="s">
        <v>2415</v>
      </c>
      <c r="AK222" t="s">
        <v>2414</v>
      </c>
      <c r="AL222">
        <v>0</v>
      </c>
      <c r="AM222" s="4">
        <f t="shared" si="26"/>
        <v>0</v>
      </c>
      <c r="AN222" s="21">
        <f t="shared" si="31"/>
        <v>0</v>
      </c>
      <c r="AO222" s="3"/>
      <c r="AP222">
        <v>0</v>
      </c>
      <c r="AR222" t="s">
        <v>1</v>
      </c>
      <c r="AT222" s="2" t="s">
        <v>0</v>
      </c>
      <c r="AU222" s="1">
        <f t="shared" si="27"/>
        <v>0.26347401297349238</v>
      </c>
      <c r="AV222" s="1">
        <f t="shared" si="28"/>
        <v>0.18819572355249459</v>
      </c>
      <c r="AW222" s="1">
        <f t="shared" si="29"/>
        <v>0.11291743413149673</v>
      </c>
    </row>
    <row r="223" spans="1:49" x14ac:dyDescent="0.2">
      <c r="A223">
        <v>221</v>
      </c>
      <c r="B223" t="s">
        <v>2413</v>
      </c>
      <c r="C223" t="s">
        <v>2412</v>
      </c>
      <c r="F223" t="s">
        <v>2411</v>
      </c>
      <c r="G223" t="s">
        <v>16</v>
      </c>
      <c r="H223" t="s">
        <v>15</v>
      </c>
      <c r="I223" t="s">
        <v>2410</v>
      </c>
      <c r="J223">
        <v>60006448</v>
      </c>
      <c r="K223" t="s">
        <v>2409</v>
      </c>
      <c r="L223" t="s">
        <v>2408</v>
      </c>
      <c r="M223" t="s">
        <v>2407</v>
      </c>
      <c r="N223">
        <v>1</v>
      </c>
      <c r="O223" t="s">
        <v>2406</v>
      </c>
      <c r="P223">
        <v>55452581900</v>
      </c>
      <c r="Q223">
        <v>60006448</v>
      </c>
      <c r="R223" s="6">
        <v>29587</v>
      </c>
      <c r="S223" s="7">
        <f t="shared" si="24"/>
        <v>1981</v>
      </c>
      <c r="T223" s="7">
        <v>1981</v>
      </c>
      <c r="U223" s="7">
        <f t="shared" si="25"/>
        <v>41</v>
      </c>
      <c r="V223" s="6">
        <v>29799</v>
      </c>
      <c r="W223" t="s">
        <v>2405</v>
      </c>
      <c r="X223" s="2">
        <v>0.61899999999999999</v>
      </c>
      <c r="Y223" s="5">
        <f t="shared" si="30"/>
        <v>1.6523851472197752E-2</v>
      </c>
      <c r="AA223">
        <v>14966</v>
      </c>
      <c r="AB223">
        <v>12936</v>
      </c>
      <c r="AC223" t="s">
        <v>2404</v>
      </c>
      <c r="AD223" t="s">
        <v>5</v>
      </c>
      <c r="AE223">
        <v>70</v>
      </c>
      <c r="AF223">
        <v>2</v>
      </c>
      <c r="AH223" t="s">
        <v>2403</v>
      </c>
      <c r="AI223" t="s">
        <v>2402</v>
      </c>
      <c r="AK223" t="s">
        <v>2401</v>
      </c>
      <c r="AL223">
        <v>0</v>
      </c>
      <c r="AM223" s="4">
        <f t="shared" si="26"/>
        <v>0</v>
      </c>
      <c r="AN223" s="21">
        <f t="shared" si="31"/>
        <v>0</v>
      </c>
      <c r="AO223" s="3"/>
      <c r="AP223">
        <v>0</v>
      </c>
      <c r="AR223" t="s">
        <v>1</v>
      </c>
      <c r="AT223" s="2" t="s">
        <v>0</v>
      </c>
      <c r="AU223" s="1">
        <f t="shared" si="27"/>
        <v>1.1566696030538426</v>
      </c>
      <c r="AV223" s="1">
        <f t="shared" si="28"/>
        <v>0.82619257360988763</v>
      </c>
      <c r="AW223" s="1">
        <f t="shared" si="29"/>
        <v>0.49571554416593261</v>
      </c>
    </row>
    <row r="224" spans="1:49" x14ac:dyDescent="0.2">
      <c r="A224">
        <v>222</v>
      </c>
      <c r="B224" t="s">
        <v>2400</v>
      </c>
      <c r="F224" t="s">
        <v>2399</v>
      </c>
      <c r="G224" t="s">
        <v>16</v>
      </c>
      <c r="H224" t="s">
        <v>15</v>
      </c>
      <c r="I224" t="s">
        <v>2398</v>
      </c>
      <c r="N224">
        <v>1</v>
      </c>
      <c r="O224" t="s">
        <v>2397</v>
      </c>
      <c r="P224">
        <v>6508348069</v>
      </c>
      <c r="R224" s="6">
        <v>29587</v>
      </c>
      <c r="S224" s="7">
        <f t="shared" si="24"/>
        <v>1981</v>
      </c>
      <c r="T224" s="7">
        <v>1981</v>
      </c>
      <c r="U224" s="7">
        <f t="shared" si="25"/>
        <v>41</v>
      </c>
      <c r="V224" s="6" t="s">
        <v>2396</v>
      </c>
      <c r="W224" t="s">
        <v>2395</v>
      </c>
      <c r="X224" s="2">
        <v>0.14099999999999999</v>
      </c>
      <c r="Y224" s="5">
        <f t="shared" si="30"/>
        <v>3.7639144710498915E-3</v>
      </c>
      <c r="AA224">
        <v>402508</v>
      </c>
      <c r="AB224">
        <v>20868</v>
      </c>
      <c r="AD224" t="s">
        <v>5</v>
      </c>
      <c r="AE224" t="s">
        <v>2394</v>
      </c>
      <c r="AF224">
        <v>8</v>
      </c>
      <c r="AH224" t="s">
        <v>2393</v>
      </c>
      <c r="AI224" t="s">
        <v>2392</v>
      </c>
      <c r="AK224" t="s">
        <v>2391</v>
      </c>
      <c r="AL224">
        <v>0</v>
      </c>
      <c r="AM224" s="4">
        <f t="shared" si="26"/>
        <v>0</v>
      </c>
      <c r="AN224" s="21">
        <f t="shared" si="31"/>
        <v>0</v>
      </c>
      <c r="AO224" s="3"/>
      <c r="AP224">
        <v>0</v>
      </c>
      <c r="AR224" t="s">
        <v>1</v>
      </c>
      <c r="AT224" s="2" t="s">
        <v>0</v>
      </c>
      <c r="AU224" s="1">
        <f t="shared" si="27"/>
        <v>0.26347401297349238</v>
      </c>
      <c r="AV224" s="1">
        <f t="shared" si="28"/>
        <v>0.18819572355249459</v>
      </c>
      <c r="AW224" s="1">
        <f t="shared" si="29"/>
        <v>0.11291743413149673</v>
      </c>
    </row>
    <row r="225" spans="1:49" x14ac:dyDescent="0.2">
      <c r="A225">
        <v>223</v>
      </c>
      <c r="B225" t="s">
        <v>2390</v>
      </c>
      <c r="C225" t="s">
        <v>2389</v>
      </c>
      <c r="F225" t="s">
        <v>2388</v>
      </c>
      <c r="G225" t="s">
        <v>16</v>
      </c>
      <c r="H225" t="s">
        <v>15</v>
      </c>
      <c r="I225" t="s">
        <v>2387</v>
      </c>
      <c r="J225">
        <v>60025997</v>
      </c>
      <c r="K225" t="s">
        <v>2386</v>
      </c>
      <c r="L225" t="s">
        <v>313</v>
      </c>
      <c r="M225" t="s">
        <v>312</v>
      </c>
      <c r="N225">
        <v>3</v>
      </c>
      <c r="O225" t="s">
        <v>2385</v>
      </c>
      <c r="P225" t="s">
        <v>2384</v>
      </c>
      <c r="Q225" t="s">
        <v>2383</v>
      </c>
      <c r="R225" s="6">
        <v>29587</v>
      </c>
      <c r="S225" s="7">
        <f t="shared" si="24"/>
        <v>1981</v>
      </c>
      <c r="T225" s="7">
        <v>1981</v>
      </c>
      <c r="U225" s="7">
        <f t="shared" si="25"/>
        <v>41</v>
      </c>
      <c r="V225" s="6">
        <v>29799</v>
      </c>
      <c r="W225" t="s">
        <v>466</v>
      </c>
      <c r="X225" s="2">
        <v>0.111</v>
      </c>
      <c r="Y225" s="5">
        <f t="shared" si="30"/>
        <v>2.9630816048690639E-3</v>
      </c>
      <c r="AA225">
        <v>87566621</v>
      </c>
      <c r="AB225">
        <v>24890</v>
      </c>
      <c r="AC225">
        <v>15206424</v>
      </c>
      <c r="AD225" t="s">
        <v>5</v>
      </c>
      <c r="AE225">
        <v>64</v>
      </c>
      <c r="AF225">
        <v>8</v>
      </c>
      <c r="AH225" t="s">
        <v>2382</v>
      </c>
      <c r="AI225" t="s">
        <v>2381</v>
      </c>
      <c r="AK225" t="s">
        <v>2380</v>
      </c>
      <c r="AL225">
        <v>0</v>
      </c>
      <c r="AM225" s="4">
        <f t="shared" si="26"/>
        <v>0</v>
      </c>
      <c r="AN225" s="21">
        <f t="shared" si="31"/>
        <v>0</v>
      </c>
      <c r="AO225" s="3"/>
      <c r="AP225">
        <v>0</v>
      </c>
      <c r="AR225" t="s">
        <v>1</v>
      </c>
      <c r="AT225" s="2" t="s">
        <v>0</v>
      </c>
      <c r="AU225" s="1">
        <f t="shared" si="27"/>
        <v>0.20741571234083445</v>
      </c>
      <c r="AV225" s="1">
        <f t="shared" si="28"/>
        <v>0.1481540802434532</v>
      </c>
      <c r="AW225" s="1">
        <f t="shared" si="29"/>
        <v>8.8892448146071903E-2</v>
      </c>
    </row>
    <row r="226" spans="1:49" x14ac:dyDescent="0.2">
      <c r="A226">
        <v>224</v>
      </c>
      <c r="B226" t="s">
        <v>2379</v>
      </c>
      <c r="C226" t="s">
        <v>2378</v>
      </c>
      <c r="F226" t="s">
        <v>2377</v>
      </c>
      <c r="G226" t="s">
        <v>16</v>
      </c>
      <c r="H226" t="s">
        <v>15</v>
      </c>
      <c r="I226" t="s">
        <v>2376</v>
      </c>
      <c r="J226">
        <v>60025555</v>
      </c>
      <c r="K226" t="s">
        <v>314</v>
      </c>
      <c r="L226" t="s">
        <v>313</v>
      </c>
      <c r="M226" t="s">
        <v>312</v>
      </c>
      <c r="N226">
        <v>2</v>
      </c>
      <c r="O226" t="s">
        <v>2375</v>
      </c>
      <c r="P226" t="s">
        <v>2374</v>
      </c>
      <c r="Q226" t="s">
        <v>2373</v>
      </c>
      <c r="R226" s="6">
        <v>29587</v>
      </c>
      <c r="S226" s="7">
        <f t="shared" si="24"/>
        <v>1981</v>
      </c>
      <c r="T226" s="7">
        <v>1981</v>
      </c>
      <c r="U226" s="7">
        <f t="shared" si="25"/>
        <v>41</v>
      </c>
      <c r="V226" s="6">
        <v>29768</v>
      </c>
      <c r="W226" t="s">
        <v>725</v>
      </c>
      <c r="X226" s="2">
        <v>1.137</v>
      </c>
      <c r="Y226" s="5">
        <f t="shared" si="30"/>
        <v>3.0351565628253384E-2</v>
      </c>
      <c r="AA226">
        <v>189251</v>
      </c>
      <c r="AB226">
        <v>17336</v>
      </c>
      <c r="AD226" t="s">
        <v>5</v>
      </c>
      <c r="AE226" t="s">
        <v>724</v>
      </c>
      <c r="AF226">
        <v>4</v>
      </c>
      <c r="AH226" t="s">
        <v>2372</v>
      </c>
      <c r="AI226" t="s">
        <v>2371</v>
      </c>
      <c r="AK226" t="s">
        <v>2370</v>
      </c>
      <c r="AL226">
        <v>7</v>
      </c>
      <c r="AM226" s="4">
        <f t="shared" si="26"/>
        <v>0.17073170731707318</v>
      </c>
      <c r="AN226" s="21">
        <f t="shared" si="31"/>
        <v>2.5858645561086435E-4</v>
      </c>
      <c r="AO226" s="3"/>
      <c r="AP226">
        <v>0</v>
      </c>
      <c r="AR226" t="s">
        <v>1</v>
      </c>
      <c r="AT226" s="2" t="s">
        <v>0</v>
      </c>
      <c r="AU226" s="1">
        <f t="shared" si="27"/>
        <v>2.1323671876460626</v>
      </c>
      <c r="AV226" s="1">
        <f t="shared" si="28"/>
        <v>1.5305076041932124</v>
      </c>
      <c r="AW226" s="1">
        <f t="shared" si="29"/>
        <v>0.92864802074036201</v>
      </c>
    </row>
    <row r="227" spans="1:49" x14ac:dyDescent="0.2">
      <c r="A227">
        <v>225</v>
      </c>
      <c r="B227" t="s">
        <v>2369</v>
      </c>
      <c r="C227" t="s">
        <v>2368</v>
      </c>
      <c r="F227" t="s">
        <v>2367</v>
      </c>
      <c r="G227" t="s">
        <v>16</v>
      </c>
      <c r="H227" t="s">
        <v>15</v>
      </c>
      <c r="I227" t="s">
        <v>1858</v>
      </c>
      <c r="J227">
        <v>101885524</v>
      </c>
      <c r="K227" t="s">
        <v>2366</v>
      </c>
      <c r="L227" t="s">
        <v>2365</v>
      </c>
      <c r="M227" t="s">
        <v>678</v>
      </c>
      <c r="N227">
        <v>2</v>
      </c>
      <c r="O227" t="s">
        <v>2364</v>
      </c>
      <c r="P227" t="s">
        <v>2363</v>
      </c>
      <c r="Q227" t="s">
        <v>2362</v>
      </c>
      <c r="R227" s="6">
        <v>29587</v>
      </c>
      <c r="S227" s="7">
        <f t="shared" si="24"/>
        <v>1981</v>
      </c>
      <c r="T227" s="7">
        <v>1981</v>
      </c>
      <c r="U227" s="7">
        <f t="shared" si="25"/>
        <v>41</v>
      </c>
      <c r="V227" s="6">
        <v>29768</v>
      </c>
      <c r="W227" t="s">
        <v>235</v>
      </c>
      <c r="X227" s="2">
        <v>1.6519999999999999</v>
      </c>
      <c r="Y227" s="5">
        <f t="shared" si="30"/>
        <v>4.409919649769093E-2</v>
      </c>
      <c r="AA227" t="s">
        <v>234</v>
      </c>
      <c r="AB227">
        <v>17337</v>
      </c>
      <c r="AC227">
        <v>15582221</v>
      </c>
      <c r="AD227" t="s">
        <v>5</v>
      </c>
      <c r="AE227">
        <v>29</v>
      </c>
      <c r="AF227">
        <v>4</v>
      </c>
      <c r="AH227" t="s">
        <v>2361</v>
      </c>
      <c r="AI227" t="s">
        <v>2360</v>
      </c>
      <c r="AK227" t="s">
        <v>2359</v>
      </c>
      <c r="AL227">
        <v>2</v>
      </c>
      <c r="AM227" s="4">
        <f t="shared" si="26"/>
        <v>4.878048780487805E-2</v>
      </c>
      <c r="AN227" s="21">
        <f t="shared" si="31"/>
        <v>7.3881844460246948E-5</v>
      </c>
      <c r="AO227" s="3"/>
      <c r="AP227">
        <v>0</v>
      </c>
      <c r="AR227" t="s">
        <v>1</v>
      </c>
      <c r="AT227" s="2" t="s">
        <v>0</v>
      </c>
      <c r="AU227" s="1">
        <f t="shared" si="27"/>
        <v>3.0891602101721727</v>
      </c>
      <c r="AV227" s="1">
        <f t="shared" si="28"/>
        <v>2.2086539171075592</v>
      </c>
      <c r="AW227" s="1">
        <f t="shared" si="29"/>
        <v>1.3281476240429451</v>
      </c>
    </row>
    <row r="228" spans="1:49" x14ac:dyDescent="0.2">
      <c r="A228">
        <v>226</v>
      </c>
      <c r="B228" t="s">
        <v>2358</v>
      </c>
      <c r="C228" t="s">
        <v>2357</v>
      </c>
      <c r="F228" t="s">
        <v>2356</v>
      </c>
      <c r="G228" t="s">
        <v>16</v>
      </c>
      <c r="H228" t="s">
        <v>15</v>
      </c>
      <c r="I228" t="s">
        <v>2355</v>
      </c>
      <c r="J228">
        <v>60003500</v>
      </c>
      <c r="K228" t="s">
        <v>565</v>
      </c>
      <c r="L228" t="s">
        <v>564</v>
      </c>
      <c r="M228" t="s">
        <v>11</v>
      </c>
      <c r="N228">
        <v>3</v>
      </c>
      <c r="O228" t="s">
        <v>2354</v>
      </c>
      <c r="P228" t="s">
        <v>2353</v>
      </c>
      <c r="Q228" t="s">
        <v>2352</v>
      </c>
      <c r="R228" s="6">
        <v>29587</v>
      </c>
      <c r="S228" s="7">
        <f t="shared" si="24"/>
        <v>1981</v>
      </c>
      <c r="T228" s="7">
        <v>1981</v>
      </c>
      <c r="U228" s="7">
        <f t="shared" si="25"/>
        <v>41</v>
      </c>
      <c r="V228" s="6">
        <v>29768</v>
      </c>
      <c r="W228" t="s">
        <v>235</v>
      </c>
      <c r="X228" s="2">
        <v>1.6519999999999999</v>
      </c>
      <c r="Y228" s="5">
        <f t="shared" si="30"/>
        <v>4.409919649769093E-2</v>
      </c>
      <c r="AA228" t="s">
        <v>234</v>
      </c>
      <c r="AB228">
        <v>17337</v>
      </c>
      <c r="AC228">
        <v>15582221</v>
      </c>
      <c r="AD228" t="s">
        <v>5</v>
      </c>
      <c r="AE228">
        <v>29</v>
      </c>
      <c r="AF228">
        <v>4</v>
      </c>
      <c r="AH228" t="s">
        <v>2351</v>
      </c>
      <c r="AI228" t="s">
        <v>2350</v>
      </c>
      <c r="AK228" t="s">
        <v>2349</v>
      </c>
      <c r="AL228">
        <v>134</v>
      </c>
      <c r="AM228" s="4">
        <f t="shared" si="26"/>
        <v>3.2682926829268291</v>
      </c>
      <c r="AN228" s="21">
        <f t="shared" si="31"/>
        <v>4.9500835788365456E-3</v>
      </c>
      <c r="AO228" s="3"/>
      <c r="AP228">
        <v>0</v>
      </c>
      <c r="AR228" t="s">
        <v>1</v>
      </c>
      <c r="AT228" s="2" t="s">
        <v>0</v>
      </c>
      <c r="AU228" s="1">
        <f t="shared" si="27"/>
        <v>3.2354462622034612</v>
      </c>
      <c r="AV228" s="1">
        <f t="shared" si="28"/>
        <v>2.4524640038263739</v>
      </c>
      <c r="AW228" s="1">
        <f t="shared" si="29"/>
        <v>1.6694817454492861</v>
      </c>
    </row>
    <row r="229" spans="1:49" x14ac:dyDescent="0.2">
      <c r="A229">
        <v>227</v>
      </c>
      <c r="B229" t="s">
        <v>2348</v>
      </c>
      <c r="C229" t="s">
        <v>2347</v>
      </c>
      <c r="F229" t="s">
        <v>2346</v>
      </c>
      <c r="G229" t="s">
        <v>16</v>
      </c>
      <c r="H229" t="s">
        <v>15</v>
      </c>
      <c r="I229" t="s">
        <v>2345</v>
      </c>
      <c r="J229">
        <v>60005304</v>
      </c>
      <c r="K229" t="s">
        <v>591</v>
      </c>
      <c r="L229" t="s">
        <v>590</v>
      </c>
      <c r="M229" t="s">
        <v>11</v>
      </c>
      <c r="N229">
        <v>1</v>
      </c>
      <c r="O229" t="s">
        <v>2344</v>
      </c>
      <c r="P229">
        <v>6603030657</v>
      </c>
      <c r="Q229">
        <v>60005304</v>
      </c>
      <c r="R229" s="6">
        <v>29587</v>
      </c>
      <c r="S229" s="7">
        <f t="shared" si="24"/>
        <v>1981</v>
      </c>
      <c r="T229" s="7">
        <v>1981</v>
      </c>
      <c r="U229" s="7">
        <f t="shared" si="25"/>
        <v>41</v>
      </c>
      <c r="V229" s="6">
        <v>29768</v>
      </c>
      <c r="W229" t="s">
        <v>235</v>
      </c>
      <c r="X229" s="2">
        <v>1.6519999999999999</v>
      </c>
      <c r="Y229" s="5">
        <f t="shared" si="30"/>
        <v>4.409919649769093E-2</v>
      </c>
      <c r="AA229" t="s">
        <v>234</v>
      </c>
      <c r="AB229">
        <v>17337</v>
      </c>
      <c r="AC229">
        <v>15582221</v>
      </c>
      <c r="AD229" t="s">
        <v>5</v>
      </c>
      <c r="AE229">
        <v>29</v>
      </c>
      <c r="AF229">
        <v>4</v>
      </c>
      <c r="AH229" t="s">
        <v>2343</v>
      </c>
      <c r="AI229" t="s">
        <v>2342</v>
      </c>
      <c r="AK229" t="s">
        <v>2341</v>
      </c>
      <c r="AL229">
        <v>41</v>
      </c>
      <c r="AM229" s="4">
        <f t="shared" si="26"/>
        <v>1</v>
      </c>
      <c r="AN229" s="21">
        <f t="shared" si="31"/>
        <v>1.5145778114350624E-3</v>
      </c>
      <c r="AO229" s="3"/>
      <c r="AP229">
        <v>0</v>
      </c>
      <c r="AR229" t="s">
        <v>1</v>
      </c>
      <c r="AT229" s="2" t="s">
        <v>0</v>
      </c>
      <c r="AU229" s="1">
        <f t="shared" si="27"/>
        <v>3.132381089181417</v>
      </c>
      <c r="AV229" s="1">
        <f t="shared" si="28"/>
        <v>2.2806887154562996</v>
      </c>
      <c r="AW229" s="1">
        <f t="shared" si="29"/>
        <v>1.4289963417311822</v>
      </c>
    </row>
    <row r="230" spans="1:49" x14ac:dyDescent="0.2">
      <c r="A230">
        <v>228</v>
      </c>
      <c r="B230" t="s">
        <v>2340</v>
      </c>
      <c r="C230" t="s">
        <v>2339</v>
      </c>
      <c r="F230" t="s">
        <v>2338</v>
      </c>
      <c r="G230" t="s">
        <v>16</v>
      </c>
      <c r="H230" t="s">
        <v>15</v>
      </c>
      <c r="I230" t="s">
        <v>2337</v>
      </c>
      <c r="J230" t="s">
        <v>2336</v>
      </c>
      <c r="K230" t="s">
        <v>2335</v>
      </c>
      <c r="L230" t="s">
        <v>2334</v>
      </c>
      <c r="M230" t="s">
        <v>2333</v>
      </c>
      <c r="N230">
        <v>1</v>
      </c>
      <c r="O230" t="s">
        <v>2332</v>
      </c>
      <c r="P230">
        <v>7004740682</v>
      </c>
      <c r="Q230" t="s">
        <v>2331</v>
      </c>
      <c r="R230" s="6">
        <v>29587</v>
      </c>
      <c r="S230" s="7">
        <f t="shared" si="24"/>
        <v>1981</v>
      </c>
      <c r="T230" s="7">
        <v>1981</v>
      </c>
      <c r="U230" s="7">
        <f t="shared" si="25"/>
        <v>41</v>
      </c>
      <c r="V230" s="6">
        <v>29768</v>
      </c>
      <c r="W230" t="s">
        <v>235</v>
      </c>
      <c r="X230" s="2">
        <v>1.6519999999999999</v>
      </c>
      <c r="Y230" s="5">
        <f t="shared" si="30"/>
        <v>4.409919649769093E-2</v>
      </c>
      <c r="AA230" t="s">
        <v>234</v>
      </c>
      <c r="AB230">
        <v>17337</v>
      </c>
      <c r="AC230">
        <v>15582221</v>
      </c>
      <c r="AD230" t="s">
        <v>5</v>
      </c>
      <c r="AE230">
        <v>29</v>
      </c>
      <c r="AF230">
        <v>4</v>
      </c>
      <c r="AH230" t="s">
        <v>2330</v>
      </c>
      <c r="AI230" t="s">
        <v>2329</v>
      </c>
      <c r="AK230" t="s">
        <v>2328</v>
      </c>
      <c r="AL230">
        <v>45</v>
      </c>
      <c r="AM230" s="4">
        <f t="shared" si="26"/>
        <v>1.0975609756097562</v>
      </c>
      <c r="AN230" s="21">
        <f t="shared" si="31"/>
        <v>1.6623415003555566E-3</v>
      </c>
      <c r="AO230" s="3"/>
      <c r="AP230">
        <v>0</v>
      </c>
      <c r="AR230" t="s">
        <v>1</v>
      </c>
      <c r="AT230" s="2" t="s">
        <v>0</v>
      </c>
      <c r="AU230" s="1">
        <f t="shared" si="27"/>
        <v>3.1368139998490316</v>
      </c>
      <c r="AV230" s="1">
        <f t="shared" si="28"/>
        <v>2.288076899902324</v>
      </c>
      <c r="AW230" s="1">
        <f t="shared" si="29"/>
        <v>1.4393397999556168</v>
      </c>
    </row>
    <row r="231" spans="1:49" x14ac:dyDescent="0.2">
      <c r="A231">
        <v>229</v>
      </c>
      <c r="B231" t="s">
        <v>2327</v>
      </c>
      <c r="C231" t="s">
        <v>2326</v>
      </c>
      <c r="F231" t="s">
        <v>2325</v>
      </c>
      <c r="G231" t="s">
        <v>16</v>
      </c>
      <c r="H231" t="s">
        <v>15</v>
      </c>
      <c r="I231" t="s">
        <v>2324</v>
      </c>
      <c r="J231">
        <v>60000745</v>
      </c>
      <c r="K231" t="s">
        <v>890</v>
      </c>
      <c r="L231" t="s">
        <v>889</v>
      </c>
      <c r="M231" t="s">
        <v>11</v>
      </c>
      <c r="N231">
        <v>2</v>
      </c>
      <c r="O231" t="s">
        <v>2323</v>
      </c>
      <c r="P231" t="s">
        <v>2322</v>
      </c>
      <c r="Q231" t="s">
        <v>2321</v>
      </c>
      <c r="R231" s="6">
        <v>29587</v>
      </c>
      <c r="S231" s="7">
        <f t="shared" si="24"/>
        <v>1981</v>
      </c>
      <c r="T231" s="7">
        <v>1981</v>
      </c>
      <c r="U231" s="7">
        <f t="shared" si="25"/>
        <v>41</v>
      </c>
      <c r="V231" s="6">
        <v>29768</v>
      </c>
      <c r="W231" t="s">
        <v>235</v>
      </c>
      <c r="X231" s="2">
        <v>1.6519999999999999</v>
      </c>
      <c r="Y231" s="5">
        <f t="shared" si="30"/>
        <v>4.409919649769093E-2</v>
      </c>
      <c r="AA231" t="s">
        <v>234</v>
      </c>
      <c r="AB231">
        <v>17337</v>
      </c>
      <c r="AC231">
        <v>15582221</v>
      </c>
      <c r="AD231" t="s">
        <v>5</v>
      </c>
      <c r="AE231">
        <v>29</v>
      </c>
      <c r="AF231">
        <v>4</v>
      </c>
      <c r="AH231" t="s">
        <v>2320</v>
      </c>
      <c r="AI231" t="s">
        <v>2319</v>
      </c>
      <c r="AK231" t="s">
        <v>2318</v>
      </c>
      <c r="AL231">
        <v>43</v>
      </c>
      <c r="AM231" s="4">
        <f t="shared" si="26"/>
        <v>1.0487804878048781</v>
      </c>
      <c r="AN231" s="21">
        <f t="shared" si="31"/>
        <v>1.5884596558953094E-3</v>
      </c>
      <c r="AO231" s="3"/>
      <c r="AP231">
        <v>0</v>
      </c>
      <c r="AR231" t="s">
        <v>1</v>
      </c>
      <c r="AT231" s="2" t="s">
        <v>0</v>
      </c>
      <c r="AU231" s="1">
        <f t="shared" si="27"/>
        <v>3.1345975445152248</v>
      </c>
      <c r="AV231" s="1">
        <f t="shared" si="28"/>
        <v>2.2843828076793122</v>
      </c>
      <c r="AW231" s="1">
        <f t="shared" si="29"/>
        <v>1.4341680708433995</v>
      </c>
    </row>
    <row r="232" spans="1:49" x14ac:dyDescent="0.2">
      <c r="A232">
        <v>230</v>
      </c>
      <c r="B232" t="s">
        <v>2317</v>
      </c>
      <c r="C232" t="s">
        <v>2316</v>
      </c>
      <c r="F232" t="s">
        <v>2315</v>
      </c>
      <c r="G232" t="s">
        <v>16</v>
      </c>
      <c r="H232" t="s">
        <v>15</v>
      </c>
      <c r="I232" t="s">
        <v>2314</v>
      </c>
      <c r="J232">
        <v>60008435</v>
      </c>
      <c r="K232" t="s">
        <v>1587</v>
      </c>
      <c r="L232" t="s">
        <v>1586</v>
      </c>
      <c r="M232" t="s">
        <v>312</v>
      </c>
      <c r="N232">
        <v>4</v>
      </c>
      <c r="O232" t="s">
        <v>2313</v>
      </c>
      <c r="P232" t="s">
        <v>2312</v>
      </c>
      <c r="Q232" t="s">
        <v>2311</v>
      </c>
      <c r="R232" s="6">
        <v>29587</v>
      </c>
      <c r="S232" s="7">
        <f t="shared" si="24"/>
        <v>1981</v>
      </c>
      <c r="T232" s="7">
        <v>1981</v>
      </c>
      <c r="U232" s="7">
        <f t="shared" si="25"/>
        <v>41</v>
      </c>
      <c r="V232" s="6">
        <v>29768</v>
      </c>
      <c r="W232" t="s">
        <v>235</v>
      </c>
      <c r="X232" s="2">
        <v>1.6519999999999999</v>
      </c>
      <c r="Y232" s="5">
        <f t="shared" si="30"/>
        <v>4.409919649769093E-2</v>
      </c>
      <c r="AA232" t="s">
        <v>234</v>
      </c>
      <c r="AB232">
        <v>17337</v>
      </c>
      <c r="AC232">
        <v>15582221</v>
      </c>
      <c r="AD232" t="s">
        <v>5</v>
      </c>
      <c r="AE232">
        <v>29</v>
      </c>
      <c r="AF232">
        <v>4</v>
      </c>
      <c r="AH232" t="s">
        <v>2310</v>
      </c>
      <c r="AI232" t="s">
        <v>2309</v>
      </c>
      <c r="AK232" t="s">
        <v>2308</v>
      </c>
      <c r="AL232">
        <v>0</v>
      </c>
      <c r="AM232" s="4">
        <f t="shared" si="26"/>
        <v>0</v>
      </c>
      <c r="AN232" s="21">
        <f t="shared" si="31"/>
        <v>0</v>
      </c>
      <c r="AO232" s="3"/>
      <c r="AP232">
        <v>0</v>
      </c>
      <c r="AR232" t="s">
        <v>1</v>
      </c>
      <c r="AT232" s="2" t="s">
        <v>0</v>
      </c>
      <c r="AU232" s="1">
        <f t="shared" si="27"/>
        <v>3.0869437548383649</v>
      </c>
      <c r="AV232" s="1">
        <f t="shared" si="28"/>
        <v>2.2049598248845466</v>
      </c>
      <c r="AW232" s="1">
        <f t="shared" si="29"/>
        <v>1.3229758949307278</v>
      </c>
    </row>
    <row r="233" spans="1:49" x14ac:dyDescent="0.2">
      <c r="A233">
        <v>231</v>
      </c>
      <c r="B233" t="s">
        <v>2307</v>
      </c>
      <c r="C233" t="s">
        <v>2306</v>
      </c>
      <c r="F233" t="s">
        <v>2305</v>
      </c>
      <c r="G233" t="s">
        <v>16</v>
      </c>
      <c r="H233" t="s">
        <v>15</v>
      </c>
      <c r="I233" t="s">
        <v>2304</v>
      </c>
      <c r="N233">
        <v>1</v>
      </c>
      <c r="O233" t="s">
        <v>2303</v>
      </c>
      <c r="P233">
        <v>6603868271</v>
      </c>
      <c r="R233" s="6">
        <v>29587</v>
      </c>
      <c r="S233" s="7">
        <f t="shared" si="24"/>
        <v>1981</v>
      </c>
      <c r="T233" s="7">
        <v>1981</v>
      </c>
      <c r="U233" s="7">
        <f t="shared" si="25"/>
        <v>41</v>
      </c>
      <c r="V233" s="6" t="s">
        <v>2276</v>
      </c>
      <c r="W233" t="s">
        <v>2275</v>
      </c>
      <c r="X233" s="2">
        <v>0.32300000000000001</v>
      </c>
      <c r="Y233" s="5">
        <f t="shared" si="30"/>
        <v>8.6223005258802502E-3</v>
      </c>
      <c r="AA233">
        <v>58580</v>
      </c>
      <c r="AB233">
        <v>36492</v>
      </c>
      <c r="AC233">
        <v>15387305</v>
      </c>
      <c r="AD233" t="s">
        <v>5</v>
      </c>
      <c r="AE233">
        <v>60</v>
      </c>
      <c r="AF233">
        <v>6</v>
      </c>
      <c r="AH233" t="s">
        <v>2302</v>
      </c>
      <c r="AI233" t="s">
        <v>2301</v>
      </c>
      <c r="AK233" t="s">
        <v>2300</v>
      </c>
      <c r="AL233">
        <v>12</v>
      </c>
      <c r="AM233" s="4">
        <f t="shared" si="26"/>
        <v>0.29268292682926828</v>
      </c>
      <c r="AN233" s="21">
        <f t="shared" si="31"/>
        <v>4.4329106676148166E-4</v>
      </c>
      <c r="AO233" s="3"/>
      <c r="AP233">
        <v>0</v>
      </c>
      <c r="AR233" t="s">
        <v>1</v>
      </c>
      <c r="AT233" s="2" t="s">
        <v>0</v>
      </c>
      <c r="AU233" s="1">
        <f t="shared" si="27"/>
        <v>0.61685976881446192</v>
      </c>
      <c r="AV233" s="1">
        <f t="shared" si="28"/>
        <v>0.45327957963208659</v>
      </c>
      <c r="AW233" s="1">
        <f t="shared" si="29"/>
        <v>0.28969939044971116</v>
      </c>
    </row>
    <row r="234" spans="1:49" x14ac:dyDescent="0.2">
      <c r="A234">
        <v>232</v>
      </c>
      <c r="B234" t="s">
        <v>2299</v>
      </c>
      <c r="C234" t="s">
        <v>2298</v>
      </c>
      <c r="F234" t="s">
        <v>2297</v>
      </c>
      <c r="G234" t="s">
        <v>16</v>
      </c>
      <c r="H234" t="s">
        <v>15</v>
      </c>
      <c r="I234" t="s">
        <v>517</v>
      </c>
      <c r="J234">
        <v>60019647</v>
      </c>
      <c r="K234" t="s">
        <v>2296</v>
      </c>
      <c r="L234" t="s">
        <v>2295</v>
      </c>
      <c r="M234" t="s">
        <v>11</v>
      </c>
      <c r="N234">
        <v>1</v>
      </c>
      <c r="O234" t="s">
        <v>2294</v>
      </c>
      <c r="P234">
        <v>56717808400</v>
      </c>
      <c r="Q234">
        <v>60019647</v>
      </c>
      <c r="R234" s="6">
        <v>29587</v>
      </c>
      <c r="S234" s="7">
        <f t="shared" si="24"/>
        <v>1981</v>
      </c>
      <c r="T234" s="7">
        <v>1981</v>
      </c>
      <c r="U234" s="7">
        <f t="shared" si="25"/>
        <v>41</v>
      </c>
      <c r="V234" s="6">
        <v>29768</v>
      </c>
      <c r="W234" t="s">
        <v>235</v>
      </c>
      <c r="X234" s="2">
        <v>1.6519999999999999</v>
      </c>
      <c r="Y234" s="5">
        <f t="shared" si="30"/>
        <v>4.409919649769093E-2</v>
      </c>
      <c r="AA234" t="s">
        <v>234</v>
      </c>
      <c r="AB234">
        <v>17337</v>
      </c>
      <c r="AC234">
        <v>15582221</v>
      </c>
      <c r="AD234" t="s">
        <v>5</v>
      </c>
      <c r="AE234">
        <v>29</v>
      </c>
      <c r="AF234">
        <v>4</v>
      </c>
      <c r="AH234" t="s">
        <v>2293</v>
      </c>
      <c r="AI234" t="s">
        <v>2292</v>
      </c>
      <c r="AK234" t="s">
        <v>2291</v>
      </c>
      <c r="AL234">
        <v>0</v>
      </c>
      <c r="AM234" s="4">
        <f t="shared" si="26"/>
        <v>0</v>
      </c>
      <c r="AN234" s="21">
        <f t="shared" si="31"/>
        <v>0</v>
      </c>
      <c r="AO234" s="3"/>
      <c r="AP234">
        <v>0</v>
      </c>
      <c r="AR234" t="s">
        <v>1</v>
      </c>
      <c r="AT234" s="2" t="s">
        <v>0</v>
      </c>
      <c r="AU234" s="1">
        <f t="shared" si="27"/>
        <v>3.0869437548383649</v>
      </c>
      <c r="AV234" s="1">
        <f t="shared" si="28"/>
        <v>2.2049598248845466</v>
      </c>
      <c r="AW234" s="1">
        <f t="shared" si="29"/>
        <v>1.3229758949307278</v>
      </c>
    </row>
    <row r="235" spans="1:49" x14ac:dyDescent="0.2">
      <c r="A235">
        <v>233</v>
      </c>
      <c r="B235" t="s">
        <v>2290</v>
      </c>
      <c r="C235" t="s">
        <v>2289</v>
      </c>
      <c r="F235" t="s">
        <v>2288</v>
      </c>
      <c r="G235" t="s">
        <v>16</v>
      </c>
      <c r="H235" t="s">
        <v>15</v>
      </c>
      <c r="I235" t="s">
        <v>2287</v>
      </c>
      <c r="J235">
        <v>60031707</v>
      </c>
      <c r="K235" t="s">
        <v>2286</v>
      </c>
      <c r="L235" t="s">
        <v>2285</v>
      </c>
      <c r="M235" t="s">
        <v>11</v>
      </c>
      <c r="N235">
        <v>1</v>
      </c>
      <c r="O235" t="s">
        <v>2284</v>
      </c>
      <c r="P235">
        <v>7410241808</v>
      </c>
      <c r="Q235">
        <v>60031707</v>
      </c>
      <c r="R235" s="6">
        <v>29587</v>
      </c>
      <c r="S235" s="7">
        <f t="shared" si="24"/>
        <v>1981</v>
      </c>
      <c r="T235" s="7">
        <v>1981</v>
      </c>
      <c r="U235" s="7">
        <f t="shared" si="25"/>
        <v>41</v>
      </c>
      <c r="V235" s="6">
        <v>29768</v>
      </c>
      <c r="W235" t="s">
        <v>235</v>
      </c>
      <c r="X235" s="2">
        <v>1.6519999999999999</v>
      </c>
      <c r="Y235" s="5">
        <f t="shared" si="30"/>
        <v>4.409919649769093E-2</v>
      </c>
      <c r="AA235" t="s">
        <v>234</v>
      </c>
      <c r="AB235">
        <v>17337</v>
      </c>
      <c r="AC235">
        <v>15582221</v>
      </c>
      <c r="AD235" t="s">
        <v>5</v>
      </c>
      <c r="AE235">
        <v>29</v>
      </c>
      <c r="AF235">
        <v>4</v>
      </c>
      <c r="AH235" t="s">
        <v>2283</v>
      </c>
      <c r="AI235" t="s">
        <v>2282</v>
      </c>
      <c r="AK235" t="s">
        <v>2281</v>
      </c>
      <c r="AL235">
        <v>17</v>
      </c>
      <c r="AM235" s="4">
        <f t="shared" si="26"/>
        <v>0.41463414634146339</v>
      </c>
      <c r="AN235" s="21">
        <f t="shared" si="31"/>
        <v>6.2799567791209908E-4</v>
      </c>
      <c r="AO235" s="3"/>
      <c r="AP235">
        <v>0</v>
      </c>
      <c r="AR235" t="s">
        <v>1</v>
      </c>
      <c r="AT235" s="2" t="s">
        <v>0</v>
      </c>
      <c r="AU235" s="1">
        <f t="shared" si="27"/>
        <v>3.1057836251757278</v>
      </c>
      <c r="AV235" s="1">
        <f t="shared" si="28"/>
        <v>2.2363596087801514</v>
      </c>
      <c r="AW235" s="1">
        <f t="shared" si="29"/>
        <v>1.3669355923845747</v>
      </c>
    </row>
    <row r="236" spans="1:49" x14ac:dyDescent="0.2">
      <c r="A236">
        <v>234</v>
      </c>
      <c r="B236" t="s">
        <v>2280</v>
      </c>
      <c r="C236" t="s">
        <v>2279</v>
      </c>
      <c r="F236" t="s">
        <v>2278</v>
      </c>
      <c r="G236" t="s">
        <v>16</v>
      </c>
      <c r="H236" t="s">
        <v>15</v>
      </c>
      <c r="I236" t="s">
        <v>554</v>
      </c>
      <c r="N236">
        <v>1</v>
      </c>
      <c r="O236" t="s">
        <v>2277</v>
      </c>
      <c r="P236">
        <v>6506753271</v>
      </c>
      <c r="R236" s="6">
        <v>29587</v>
      </c>
      <c r="S236" s="7">
        <f t="shared" si="24"/>
        <v>1981</v>
      </c>
      <c r="T236" s="7">
        <v>1981</v>
      </c>
      <c r="U236" s="7">
        <f t="shared" si="25"/>
        <v>41</v>
      </c>
      <c r="V236" s="6" t="s">
        <v>2276</v>
      </c>
      <c r="W236" t="s">
        <v>2275</v>
      </c>
      <c r="X236" s="2">
        <v>0.32300000000000001</v>
      </c>
      <c r="Y236" s="5">
        <f t="shared" si="30"/>
        <v>8.6223005258802502E-3</v>
      </c>
      <c r="AA236">
        <v>58580</v>
      </c>
      <c r="AB236">
        <v>36492</v>
      </c>
      <c r="AC236">
        <v>15387305</v>
      </c>
      <c r="AD236" t="s">
        <v>5</v>
      </c>
      <c r="AE236">
        <v>60</v>
      </c>
      <c r="AF236">
        <v>6</v>
      </c>
      <c r="AH236" t="s">
        <v>2274</v>
      </c>
      <c r="AI236" t="s">
        <v>2273</v>
      </c>
      <c r="AK236" t="s">
        <v>2272</v>
      </c>
      <c r="AL236">
        <v>3</v>
      </c>
      <c r="AM236" s="4">
        <f t="shared" si="26"/>
        <v>7.3170731707317069E-2</v>
      </c>
      <c r="AN236" s="21">
        <f t="shared" si="31"/>
        <v>1.1082276669037041E-4</v>
      </c>
      <c r="AO236" s="3"/>
      <c r="AP236">
        <v>0</v>
      </c>
      <c r="AR236" t="s">
        <v>1</v>
      </c>
      <c r="AT236" s="2" t="s">
        <v>0</v>
      </c>
      <c r="AU236" s="1">
        <f t="shared" si="27"/>
        <v>0.60688571981232864</v>
      </c>
      <c r="AV236" s="1">
        <f t="shared" si="28"/>
        <v>0.43665616462853107</v>
      </c>
      <c r="AW236" s="1">
        <f t="shared" si="29"/>
        <v>0.26642660944473345</v>
      </c>
    </row>
    <row r="237" spans="1:49" x14ac:dyDescent="0.2">
      <c r="A237">
        <v>235</v>
      </c>
      <c r="B237" t="s">
        <v>2271</v>
      </c>
      <c r="C237" t="s">
        <v>2270</v>
      </c>
      <c r="F237" t="s">
        <v>2269</v>
      </c>
      <c r="G237" t="s">
        <v>16</v>
      </c>
      <c r="H237" t="s">
        <v>15</v>
      </c>
      <c r="I237" t="s">
        <v>1768</v>
      </c>
      <c r="J237">
        <v>60025757</v>
      </c>
      <c r="K237" t="s">
        <v>1767</v>
      </c>
      <c r="L237" t="s">
        <v>1766</v>
      </c>
      <c r="M237" t="s">
        <v>577</v>
      </c>
      <c r="N237">
        <v>3</v>
      </c>
      <c r="O237" t="s">
        <v>2268</v>
      </c>
      <c r="P237" t="s">
        <v>2267</v>
      </c>
      <c r="Q237" t="s">
        <v>1763</v>
      </c>
      <c r="R237" s="6">
        <v>29587</v>
      </c>
      <c r="S237" s="7">
        <f t="shared" si="24"/>
        <v>1981</v>
      </c>
      <c r="T237" s="7">
        <v>1981</v>
      </c>
      <c r="U237" s="7">
        <f t="shared" si="25"/>
        <v>41</v>
      </c>
      <c r="V237" s="6">
        <v>29768</v>
      </c>
      <c r="W237" t="s">
        <v>235</v>
      </c>
      <c r="X237" s="2">
        <v>1.6519999999999999</v>
      </c>
      <c r="Y237" s="5">
        <f t="shared" si="30"/>
        <v>4.409919649769093E-2</v>
      </c>
      <c r="AA237" t="s">
        <v>234</v>
      </c>
      <c r="AB237">
        <v>17337</v>
      </c>
      <c r="AC237">
        <v>15582221</v>
      </c>
      <c r="AD237" t="s">
        <v>5</v>
      </c>
      <c r="AE237">
        <v>29</v>
      </c>
      <c r="AF237">
        <v>4</v>
      </c>
      <c r="AH237" t="s">
        <v>2266</v>
      </c>
      <c r="AI237" t="s">
        <v>2265</v>
      </c>
      <c r="AK237" t="s">
        <v>2264</v>
      </c>
      <c r="AL237">
        <v>3</v>
      </c>
      <c r="AM237" s="4">
        <f t="shared" si="26"/>
        <v>7.3170731707317069E-2</v>
      </c>
      <c r="AN237" s="21">
        <f t="shared" si="31"/>
        <v>1.1082276669037041E-4</v>
      </c>
      <c r="AO237" s="3"/>
      <c r="AP237">
        <v>0</v>
      </c>
      <c r="AR237" t="s">
        <v>1</v>
      </c>
      <c r="AT237" s="2" t="s">
        <v>0</v>
      </c>
      <c r="AU237" s="1">
        <f t="shared" si="27"/>
        <v>3.0902684378390761</v>
      </c>
      <c r="AV237" s="1">
        <f t="shared" si="28"/>
        <v>2.2105009632190651</v>
      </c>
      <c r="AW237" s="1">
        <f t="shared" si="29"/>
        <v>1.3307334885990536</v>
      </c>
    </row>
    <row r="238" spans="1:49" x14ac:dyDescent="0.2">
      <c r="A238">
        <v>236</v>
      </c>
      <c r="B238" t="s">
        <v>2263</v>
      </c>
      <c r="C238" t="s">
        <v>2262</v>
      </c>
      <c r="F238" t="s">
        <v>2261</v>
      </c>
      <c r="G238" t="s">
        <v>16</v>
      </c>
      <c r="H238" t="s">
        <v>15</v>
      </c>
      <c r="I238" t="s">
        <v>2260</v>
      </c>
      <c r="J238" t="s">
        <v>2259</v>
      </c>
      <c r="K238" t="s">
        <v>2258</v>
      </c>
      <c r="L238" t="s">
        <v>2257</v>
      </c>
      <c r="M238" t="s">
        <v>2256</v>
      </c>
      <c r="N238">
        <v>2</v>
      </c>
      <c r="O238" t="s">
        <v>2255</v>
      </c>
      <c r="P238" t="s">
        <v>2254</v>
      </c>
      <c r="Q238" t="s">
        <v>2253</v>
      </c>
      <c r="R238" s="6">
        <v>29587</v>
      </c>
      <c r="S238" s="7">
        <f t="shared" si="24"/>
        <v>1981</v>
      </c>
      <c r="T238" s="7">
        <v>1981</v>
      </c>
      <c r="U238" s="7">
        <f t="shared" si="25"/>
        <v>41</v>
      </c>
      <c r="V238" s="6">
        <v>29768</v>
      </c>
      <c r="W238" t="s">
        <v>235</v>
      </c>
      <c r="X238" s="2">
        <v>1.6519999999999999</v>
      </c>
      <c r="Y238" s="5">
        <f t="shared" si="30"/>
        <v>4.409919649769093E-2</v>
      </c>
      <c r="AA238" t="s">
        <v>234</v>
      </c>
      <c r="AB238">
        <v>17337</v>
      </c>
      <c r="AC238">
        <v>15582221</v>
      </c>
      <c r="AD238" t="s">
        <v>5</v>
      </c>
      <c r="AE238">
        <v>29</v>
      </c>
      <c r="AF238">
        <v>4</v>
      </c>
      <c r="AH238" t="s">
        <v>2252</v>
      </c>
      <c r="AI238" t="s">
        <v>2251</v>
      </c>
      <c r="AK238" t="s">
        <v>2250</v>
      </c>
      <c r="AL238">
        <v>79</v>
      </c>
      <c r="AM238" s="4">
        <f t="shared" si="26"/>
        <v>1.9268292682926829</v>
      </c>
      <c r="AN238" s="21">
        <f t="shared" si="31"/>
        <v>2.9183328561797543E-3</v>
      </c>
      <c r="AO238" s="3"/>
      <c r="AP238">
        <v>0</v>
      </c>
      <c r="AR238" t="s">
        <v>1</v>
      </c>
      <c r="AT238" s="2" t="s">
        <v>0</v>
      </c>
      <c r="AU238" s="1">
        <f t="shared" si="27"/>
        <v>3.1744937405237574</v>
      </c>
      <c r="AV238" s="1">
        <f t="shared" si="28"/>
        <v>2.3508764676935341</v>
      </c>
      <c r="AW238" s="1">
        <f t="shared" si="29"/>
        <v>1.5272591948633107</v>
      </c>
    </row>
    <row r="239" spans="1:49" x14ac:dyDescent="0.2">
      <c r="A239">
        <v>237</v>
      </c>
      <c r="B239" t="s">
        <v>2249</v>
      </c>
      <c r="C239" t="s">
        <v>2248</v>
      </c>
      <c r="F239" t="s">
        <v>2247</v>
      </c>
      <c r="G239" t="s">
        <v>16</v>
      </c>
      <c r="H239" t="s">
        <v>15</v>
      </c>
      <c r="I239" t="s">
        <v>1529</v>
      </c>
      <c r="J239">
        <v>60003500</v>
      </c>
      <c r="K239" t="s">
        <v>565</v>
      </c>
      <c r="L239" t="s">
        <v>564</v>
      </c>
      <c r="M239" t="s">
        <v>11</v>
      </c>
      <c r="N239">
        <v>1</v>
      </c>
      <c r="O239" t="s">
        <v>1528</v>
      </c>
      <c r="P239">
        <v>35611381200</v>
      </c>
      <c r="Q239">
        <v>60003500</v>
      </c>
      <c r="R239" s="6">
        <v>29587</v>
      </c>
      <c r="S239" s="7">
        <f t="shared" si="24"/>
        <v>1981</v>
      </c>
      <c r="T239" s="7">
        <v>1981</v>
      </c>
      <c r="U239" s="7">
        <f t="shared" si="25"/>
        <v>41</v>
      </c>
      <c r="V239" s="6">
        <v>29768</v>
      </c>
      <c r="W239" t="s">
        <v>725</v>
      </c>
      <c r="X239" s="2">
        <v>1.137</v>
      </c>
      <c r="Y239" s="5">
        <f t="shared" si="30"/>
        <v>3.0351565628253384E-2</v>
      </c>
      <c r="AA239">
        <v>189251</v>
      </c>
      <c r="AB239">
        <v>17336</v>
      </c>
      <c r="AD239" t="s">
        <v>5</v>
      </c>
      <c r="AE239" t="s">
        <v>724</v>
      </c>
      <c r="AF239">
        <v>4</v>
      </c>
      <c r="AH239" t="s">
        <v>2246</v>
      </c>
      <c r="AI239" t="s">
        <v>2245</v>
      </c>
      <c r="AK239" t="s">
        <v>2244</v>
      </c>
      <c r="AL239">
        <v>5</v>
      </c>
      <c r="AM239" s="4">
        <f t="shared" si="26"/>
        <v>0.12195121951219512</v>
      </c>
      <c r="AN239" s="21">
        <f t="shared" si="31"/>
        <v>1.8470461115061736E-4</v>
      </c>
      <c r="AO239" s="3"/>
      <c r="AP239">
        <v>0</v>
      </c>
      <c r="AR239" t="s">
        <v>1</v>
      </c>
      <c r="AT239" s="2" t="s">
        <v>0</v>
      </c>
      <c r="AU239" s="1">
        <f t="shared" si="27"/>
        <v>2.1301507323122548</v>
      </c>
      <c r="AV239" s="1">
        <f t="shared" si="28"/>
        <v>1.5268135119702</v>
      </c>
      <c r="AW239" s="1">
        <f t="shared" si="29"/>
        <v>0.92347629162814471</v>
      </c>
    </row>
    <row r="240" spans="1:49" x14ac:dyDescent="0.2">
      <c r="A240">
        <v>238</v>
      </c>
      <c r="B240" t="s">
        <v>2243</v>
      </c>
      <c r="C240" t="s">
        <v>2242</v>
      </c>
      <c r="F240" t="s">
        <v>2241</v>
      </c>
      <c r="G240" t="s">
        <v>16</v>
      </c>
      <c r="H240" t="s">
        <v>15</v>
      </c>
      <c r="I240" t="s">
        <v>2240</v>
      </c>
      <c r="J240">
        <v>60011107</v>
      </c>
      <c r="K240" t="s">
        <v>2239</v>
      </c>
      <c r="L240" t="s">
        <v>1586</v>
      </c>
      <c r="M240" t="s">
        <v>312</v>
      </c>
      <c r="N240">
        <v>2</v>
      </c>
      <c r="O240" t="s">
        <v>2238</v>
      </c>
      <c r="P240" t="s">
        <v>2237</v>
      </c>
      <c r="Q240" t="s">
        <v>2236</v>
      </c>
      <c r="R240" s="6">
        <v>29587</v>
      </c>
      <c r="S240" s="7">
        <f t="shared" si="24"/>
        <v>1981</v>
      </c>
      <c r="T240" s="7">
        <v>1981</v>
      </c>
      <c r="U240" s="7">
        <f t="shared" si="25"/>
        <v>41</v>
      </c>
      <c r="V240" s="6">
        <v>29768</v>
      </c>
      <c r="W240" t="s">
        <v>235</v>
      </c>
      <c r="X240" s="2">
        <v>1.6519999999999999</v>
      </c>
      <c r="Y240" s="5">
        <f t="shared" si="30"/>
        <v>4.409919649769093E-2</v>
      </c>
      <c r="AA240" t="s">
        <v>234</v>
      </c>
      <c r="AB240">
        <v>17337</v>
      </c>
      <c r="AC240">
        <v>15582221</v>
      </c>
      <c r="AD240" t="s">
        <v>5</v>
      </c>
      <c r="AE240">
        <v>29</v>
      </c>
      <c r="AF240">
        <v>4</v>
      </c>
      <c r="AH240" t="s">
        <v>2235</v>
      </c>
      <c r="AI240" t="s">
        <v>2234</v>
      </c>
      <c r="AK240" t="s">
        <v>2233</v>
      </c>
      <c r="AL240">
        <v>1</v>
      </c>
      <c r="AM240" s="4">
        <f t="shared" si="26"/>
        <v>2.4390243902439025E-2</v>
      </c>
      <c r="AN240" s="21">
        <f t="shared" si="31"/>
        <v>3.6940922230123474E-5</v>
      </c>
      <c r="AO240" s="3"/>
      <c r="AP240">
        <v>0</v>
      </c>
      <c r="AR240" t="s">
        <v>1</v>
      </c>
      <c r="AT240" s="2" t="s">
        <v>0</v>
      </c>
      <c r="AU240" s="1">
        <f t="shared" si="27"/>
        <v>3.0880519825052688</v>
      </c>
      <c r="AV240" s="1">
        <f t="shared" si="28"/>
        <v>2.2068068709960529</v>
      </c>
      <c r="AW240" s="1">
        <f t="shared" si="29"/>
        <v>1.3255617594868363</v>
      </c>
    </row>
    <row r="241" spans="1:49" x14ac:dyDescent="0.2">
      <c r="A241">
        <v>239</v>
      </c>
      <c r="B241" t="s">
        <v>2232</v>
      </c>
      <c r="C241" t="s">
        <v>2231</v>
      </c>
      <c r="F241" t="s">
        <v>2230</v>
      </c>
      <c r="G241" t="s">
        <v>16</v>
      </c>
      <c r="H241" t="s">
        <v>15</v>
      </c>
      <c r="I241" t="s">
        <v>2229</v>
      </c>
      <c r="J241">
        <v>60032619</v>
      </c>
      <c r="K241" t="s">
        <v>2228</v>
      </c>
      <c r="L241" t="s">
        <v>2227</v>
      </c>
      <c r="M241" t="s">
        <v>26</v>
      </c>
      <c r="N241">
        <v>3</v>
      </c>
      <c r="O241" t="s">
        <v>2226</v>
      </c>
      <c r="P241" t="s">
        <v>2225</v>
      </c>
      <c r="Q241" t="s">
        <v>2224</v>
      </c>
      <c r="R241" s="6">
        <v>29587</v>
      </c>
      <c r="S241" s="7">
        <f t="shared" si="24"/>
        <v>1981</v>
      </c>
      <c r="T241" s="7">
        <v>1981</v>
      </c>
      <c r="U241" s="7">
        <f t="shared" si="25"/>
        <v>41</v>
      </c>
      <c r="V241" s="6">
        <v>29768</v>
      </c>
      <c r="W241" t="s">
        <v>235</v>
      </c>
      <c r="X241" s="2">
        <v>1.6519999999999999</v>
      </c>
      <c r="Y241" s="5">
        <f t="shared" si="30"/>
        <v>4.409919649769093E-2</v>
      </c>
      <c r="AA241" t="s">
        <v>234</v>
      </c>
      <c r="AB241">
        <v>17337</v>
      </c>
      <c r="AC241">
        <v>15582221</v>
      </c>
      <c r="AD241" t="s">
        <v>5</v>
      </c>
      <c r="AE241">
        <v>29</v>
      </c>
      <c r="AF241">
        <v>4</v>
      </c>
      <c r="AH241" t="s">
        <v>2223</v>
      </c>
      <c r="AI241" t="s">
        <v>2222</v>
      </c>
      <c r="AK241" t="s">
        <v>2221</v>
      </c>
      <c r="AL241">
        <v>3</v>
      </c>
      <c r="AM241" s="4">
        <f t="shared" si="26"/>
        <v>7.3170731707317069E-2</v>
      </c>
      <c r="AN241" s="21">
        <f t="shared" si="31"/>
        <v>1.1082276669037041E-4</v>
      </c>
      <c r="AO241" s="3"/>
      <c r="AP241">
        <v>0</v>
      </c>
      <c r="AR241" t="s">
        <v>1</v>
      </c>
      <c r="AT241" s="2" t="s">
        <v>0</v>
      </c>
      <c r="AU241" s="1">
        <f t="shared" si="27"/>
        <v>3.0902684378390761</v>
      </c>
      <c r="AV241" s="1">
        <f t="shared" si="28"/>
        <v>2.2105009632190651</v>
      </c>
      <c r="AW241" s="1">
        <f t="shared" si="29"/>
        <v>1.3307334885990536</v>
      </c>
    </row>
    <row r="242" spans="1:49" x14ac:dyDescent="0.2">
      <c r="A242">
        <v>240</v>
      </c>
      <c r="B242" t="s">
        <v>2220</v>
      </c>
      <c r="C242" t="s">
        <v>2219</v>
      </c>
      <c r="F242" t="s">
        <v>2218</v>
      </c>
      <c r="G242" t="s">
        <v>16</v>
      </c>
      <c r="H242" t="s">
        <v>15</v>
      </c>
      <c r="I242" t="s">
        <v>2217</v>
      </c>
      <c r="J242" t="s">
        <v>2216</v>
      </c>
      <c r="K242" t="s">
        <v>2215</v>
      </c>
      <c r="L242" t="s">
        <v>2214</v>
      </c>
      <c r="M242" t="s">
        <v>2213</v>
      </c>
      <c r="N242">
        <v>2</v>
      </c>
      <c r="O242" t="s">
        <v>2212</v>
      </c>
      <c r="P242" t="s">
        <v>2211</v>
      </c>
      <c r="Q242" t="s">
        <v>2210</v>
      </c>
      <c r="R242" s="6">
        <v>29587</v>
      </c>
      <c r="S242" s="7">
        <f t="shared" si="24"/>
        <v>1981</v>
      </c>
      <c r="T242" s="7">
        <v>1981</v>
      </c>
      <c r="U242" s="7">
        <f t="shared" si="25"/>
        <v>41</v>
      </c>
      <c r="V242" s="6">
        <v>29768</v>
      </c>
      <c r="W242" t="s">
        <v>235</v>
      </c>
      <c r="X242" s="2">
        <v>1.6519999999999999</v>
      </c>
      <c r="Y242" s="5">
        <f t="shared" si="30"/>
        <v>4.409919649769093E-2</v>
      </c>
      <c r="AA242" t="s">
        <v>234</v>
      </c>
      <c r="AB242">
        <v>17337</v>
      </c>
      <c r="AC242">
        <v>15582221</v>
      </c>
      <c r="AD242" t="s">
        <v>5</v>
      </c>
      <c r="AE242">
        <v>29</v>
      </c>
      <c r="AF242">
        <v>4</v>
      </c>
      <c r="AH242" t="s">
        <v>2209</v>
      </c>
      <c r="AI242" t="s">
        <v>2208</v>
      </c>
      <c r="AK242" t="s">
        <v>2207</v>
      </c>
      <c r="AL242">
        <v>20</v>
      </c>
      <c r="AM242" s="4">
        <f t="shared" si="26"/>
        <v>0.48780487804878048</v>
      </c>
      <c r="AN242" s="21">
        <f t="shared" si="31"/>
        <v>7.3881844460246945E-4</v>
      </c>
      <c r="AO242" s="3"/>
      <c r="AP242">
        <v>0</v>
      </c>
      <c r="AR242" t="s">
        <v>1</v>
      </c>
      <c r="AT242" s="2" t="s">
        <v>0</v>
      </c>
      <c r="AU242" s="1">
        <f t="shared" si="27"/>
        <v>3.109108308176439</v>
      </c>
      <c r="AV242" s="1">
        <f t="shared" si="28"/>
        <v>2.2419007471146699</v>
      </c>
      <c r="AW242" s="1">
        <f t="shared" si="29"/>
        <v>1.3746931860529006</v>
      </c>
    </row>
    <row r="243" spans="1:49" x14ac:dyDescent="0.2">
      <c r="A243">
        <v>241</v>
      </c>
      <c r="B243" t="s">
        <v>2206</v>
      </c>
      <c r="C243" t="s">
        <v>2205</v>
      </c>
      <c r="F243" t="s">
        <v>2204</v>
      </c>
      <c r="G243" t="s">
        <v>16</v>
      </c>
      <c r="H243" t="s">
        <v>15</v>
      </c>
      <c r="I243" t="s">
        <v>2203</v>
      </c>
      <c r="J243">
        <v>60025576</v>
      </c>
      <c r="K243" t="s">
        <v>2202</v>
      </c>
      <c r="L243" t="s">
        <v>2201</v>
      </c>
      <c r="M243" t="s">
        <v>11</v>
      </c>
      <c r="N243">
        <v>1</v>
      </c>
      <c r="O243" t="s">
        <v>2200</v>
      </c>
      <c r="P243">
        <v>56310401100</v>
      </c>
      <c r="Q243">
        <v>60025576</v>
      </c>
      <c r="R243" s="6">
        <v>29587</v>
      </c>
      <c r="S243" s="7">
        <f t="shared" si="24"/>
        <v>1981</v>
      </c>
      <c r="T243" s="7">
        <v>1981</v>
      </c>
      <c r="U243" s="7">
        <f t="shared" si="25"/>
        <v>41</v>
      </c>
      <c r="V243" s="6">
        <v>29768</v>
      </c>
      <c r="W243" t="s">
        <v>235</v>
      </c>
      <c r="X243" s="2">
        <v>1.6519999999999999</v>
      </c>
      <c r="Y243" s="5">
        <f t="shared" si="30"/>
        <v>4.409919649769093E-2</v>
      </c>
      <c r="AA243" t="s">
        <v>234</v>
      </c>
      <c r="AB243">
        <v>17337</v>
      </c>
      <c r="AC243">
        <v>15582221</v>
      </c>
      <c r="AD243" t="s">
        <v>5</v>
      </c>
      <c r="AE243">
        <v>29</v>
      </c>
      <c r="AF243">
        <v>4</v>
      </c>
      <c r="AH243" t="s">
        <v>2199</v>
      </c>
      <c r="AI243" t="s">
        <v>2198</v>
      </c>
      <c r="AK243" t="s">
        <v>2197</v>
      </c>
      <c r="AL243">
        <v>2</v>
      </c>
      <c r="AM243" s="4">
        <f t="shared" si="26"/>
        <v>4.878048780487805E-2</v>
      </c>
      <c r="AN243" s="21">
        <f t="shared" si="31"/>
        <v>7.3881844460246948E-5</v>
      </c>
      <c r="AO243" s="3"/>
      <c r="AP243">
        <v>0</v>
      </c>
      <c r="AR243" t="s">
        <v>1</v>
      </c>
      <c r="AT243" s="2" t="s">
        <v>0</v>
      </c>
      <c r="AU243" s="1">
        <f t="shared" si="27"/>
        <v>3.0891602101721727</v>
      </c>
      <c r="AV243" s="1">
        <f t="shared" si="28"/>
        <v>2.2086539171075592</v>
      </c>
      <c r="AW243" s="1">
        <f t="shared" si="29"/>
        <v>1.3281476240429451</v>
      </c>
    </row>
    <row r="244" spans="1:49" x14ac:dyDescent="0.2">
      <c r="A244">
        <v>242</v>
      </c>
      <c r="B244" t="s">
        <v>2196</v>
      </c>
      <c r="C244" t="s">
        <v>2195</v>
      </c>
      <c r="F244" t="s">
        <v>2194</v>
      </c>
      <c r="G244" t="s">
        <v>16</v>
      </c>
      <c r="H244" t="s">
        <v>15</v>
      </c>
      <c r="I244" t="s">
        <v>2193</v>
      </c>
      <c r="J244">
        <v>60102562</v>
      </c>
      <c r="K244" t="s">
        <v>2192</v>
      </c>
      <c r="L244" t="s">
        <v>1670</v>
      </c>
      <c r="M244" t="s">
        <v>11</v>
      </c>
      <c r="N244">
        <v>2</v>
      </c>
      <c r="O244" t="s">
        <v>2191</v>
      </c>
      <c r="P244" t="s">
        <v>2190</v>
      </c>
      <c r="Q244" t="s">
        <v>2189</v>
      </c>
      <c r="R244" s="6">
        <v>29587</v>
      </c>
      <c r="S244" s="7">
        <f t="shared" si="24"/>
        <v>1981</v>
      </c>
      <c r="T244" s="7">
        <v>1981</v>
      </c>
      <c r="U244" s="7">
        <f t="shared" si="25"/>
        <v>41</v>
      </c>
      <c r="V244" s="6">
        <v>29768</v>
      </c>
      <c r="W244" t="s">
        <v>235</v>
      </c>
      <c r="X244" s="2">
        <v>1.6519999999999999</v>
      </c>
      <c r="Y244" s="5">
        <f t="shared" si="30"/>
        <v>4.409919649769093E-2</v>
      </c>
      <c r="AA244" t="s">
        <v>234</v>
      </c>
      <c r="AB244">
        <v>17337</v>
      </c>
      <c r="AC244">
        <v>15582221</v>
      </c>
      <c r="AD244" t="s">
        <v>5</v>
      </c>
      <c r="AE244">
        <v>29</v>
      </c>
      <c r="AF244">
        <v>4</v>
      </c>
      <c r="AH244" t="s">
        <v>2188</v>
      </c>
      <c r="AI244" t="s">
        <v>2187</v>
      </c>
      <c r="AK244" t="s">
        <v>2186</v>
      </c>
      <c r="AL244">
        <v>1</v>
      </c>
      <c r="AM244" s="4">
        <f t="shared" si="26"/>
        <v>2.4390243902439025E-2</v>
      </c>
      <c r="AN244" s="21">
        <f t="shared" si="31"/>
        <v>3.6940922230123474E-5</v>
      </c>
      <c r="AO244" s="3"/>
      <c r="AP244">
        <v>0</v>
      </c>
      <c r="AR244" t="s">
        <v>1</v>
      </c>
      <c r="AT244" s="2" t="s">
        <v>0</v>
      </c>
      <c r="AU244" s="1">
        <f t="shared" si="27"/>
        <v>3.0880519825052688</v>
      </c>
      <c r="AV244" s="1">
        <f t="shared" si="28"/>
        <v>2.2068068709960529</v>
      </c>
      <c r="AW244" s="1">
        <f t="shared" si="29"/>
        <v>1.3255617594868363</v>
      </c>
    </row>
    <row r="245" spans="1:49" x14ac:dyDescent="0.2">
      <c r="A245">
        <v>243</v>
      </c>
      <c r="B245" t="s">
        <v>2185</v>
      </c>
      <c r="C245" t="s">
        <v>2184</v>
      </c>
      <c r="F245" t="s">
        <v>2183</v>
      </c>
      <c r="G245" t="s">
        <v>16</v>
      </c>
      <c r="H245" t="s">
        <v>15</v>
      </c>
      <c r="I245" t="s">
        <v>2182</v>
      </c>
      <c r="J245">
        <v>60018829</v>
      </c>
      <c r="K245" t="s">
        <v>2181</v>
      </c>
      <c r="L245" t="s">
        <v>2180</v>
      </c>
      <c r="M245" t="s">
        <v>39</v>
      </c>
      <c r="N245">
        <v>1</v>
      </c>
      <c r="O245" t="s">
        <v>2179</v>
      </c>
      <c r="P245">
        <v>8266831600</v>
      </c>
      <c r="Q245">
        <v>60018829</v>
      </c>
      <c r="R245" s="6">
        <v>29587</v>
      </c>
      <c r="S245" s="7">
        <f t="shared" si="24"/>
        <v>1981</v>
      </c>
      <c r="T245" s="7">
        <v>1981</v>
      </c>
      <c r="U245" s="7">
        <f t="shared" si="25"/>
        <v>41</v>
      </c>
      <c r="V245" s="6">
        <v>29768</v>
      </c>
      <c r="W245" t="s">
        <v>235</v>
      </c>
      <c r="X245" s="2">
        <v>1.6519999999999999</v>
      </c>
      <c r="Y245" s="5">
        <f t="shared" si="30"/>
        <v>4.409919649769093E-2</v>
      </c>
      <c r="AA245" t="s">
        <v>234</v>
      </c>
      <c r="AB245">
        <v>17337</v>
      </c>
      <c r="AC245">
        <v>15582221</v>
      </c>
      <c r="AD245" t="s">
        <v>5</v>
      </c>
      <c r="AE245">
        <v>29</v>
      </c>
      <c r="AF245">
        <v>4</v>
      </c>
      <c r="AH245" t="s">
        <v>2178</v>
      </c>
      <c r="AI245" t="s">
        <v>2177</v>
      </c>
      <c r="AK245" t="s">
        <v>2176</v>
      </c>
      <c r="AL245">
        <v>0</v>
      </c>
      <c r="AM245" s="4">
        <f t="shared" si="26"/>
        <v>0</v>
      </c>
      <c r="AN245" s="21">
        <f t="shared" si="31"/>
        <v>0</v>
      </c>
      <c r="AO245" s="3"/>
      <c r="AP245">
        <v>0</v>
      </c>
      <c r="AR245" t="s">
        <v>1</v>
      </c>
      <c r="AT245" s="2" t="s">
        <v>0</v>
      </c>
      <c r="AU245" s="1">
        <f t="shared" si="27"/>
        <v>3.0869437548383649</v>
      </c>
      <c r="AV245" s="1">
        <f t="shared" si="28"/>
        <v>2.2049598248845466</v>
      </c>
      <c r="AW245" s="1">
        <f t="shared" si="29"/>
        <v>1.3229758949307278</v>
      </c>
    </row>
    <row r="246" spans="1:49" x14ac:dyDescent="0.2">
      <c r="A246">
        <v>244</v>
      </c>
      <c r="B246" t="s">
        <v>2175</v>
      </c>
      <c r="C246" t="s">
        <v>2174</v>
      </c>
      <c r="F246" t="s">
        <v>2173</v>
      </c>
      <c r="G246" t="s">
        <v>16</v>
      </c>
      <c r="H246" t="s">
        <v>15</v>
      </c>
      <c r="I246" t="s">
        <v>1588</v>
      </c>
      <c r="N246">
        <v>3</v>
      </c>
      <c r="O246" t="s">
        <v>2172</v>
      </c>
      <c r="P246" t="s">
        <v>2171</v>
      </c>
      <c r="Q246" t="s">
        <v>116</v>
      </c>
      <c r="R246" s="6">
        <v>29587</v>
      </c>
      <c r="S246" s="7">
        <f t="shared" si="24"/>
        <v>1981</v>
      </c>
      <c r="T246" s="7">
        <v>1981</v>
      </c>
      <c r="U246" s="7">
        <f t="shared" si="25"/>
        <v>41</v>
      </c>
      <c r="V246" s="6" t="s">
        <v>142</v>
      </c>
      <c r="W246" t="s">
        <v>323</v>
      </c>
      <c r="X246" s="2">
        <v>0.371</v>
      </c>
      <c r="Y246" s="5">
        <f t="shared" si="30"/>
        <v>9.9036331117695747E-3</v>
      </c>
      <c r="AA246">
        <v>486604</v>
      </c>
      <c r="AB246">
        <v>28580</v>
      </c>
      <c r="AC246" t="s">
        <v>322</v>
      </c>
      <c r="AD246" t="s">
        <v>5</v>
      </c>
      <c r="AE246">
        <v>16</v>
      </c>
      <c r="AF246">
        <v>4</v>
      </c>
      <c r="AH246" t="s">
        <v>2170</v>
      </c>
      <c r="AI246" t="s">
        <v>2169</v>
      </c>
      <c r="AK246" t="s">
        <v>2168</v>
      </c>
      <c r="AL246">
        <v>2</v>
      </c>
      <c r="AM246" s="4">
        <f t="shared" si="26"/>
        <v>4.878048780487805E-2</v>
      </c>
      <c r="AN246" s="21">
        <f t="shared" si="31"/>
        <v>7.3881844460246948E-5</v>
      </c>
      <c r="AO246" s="3"/>
      <c r="AP246">
        <v>0</v>
      </c>
      <c r="AR246" t="s">
        <v>1</v>
      </c>
      <c r="AT246" s="2">
        <v>1.431</v>
      </c>
      <c r="AU246" s="1">
        <f t="shared" si="27"/>
        <v>0.69547077315767758</v>
      </c>
      <c r="AV246" s="1">
        <f t="shared" si="28"/>
        <v>0.49887574781149102</v>
      </c>
      <c r="AW246" s="1">
        <f t="shared" si="29"/>
        <v>0.30228072246530457</v>
      </c>
    </row>
    <row r="247" spans="1:49" x14ac:dyDescent="0.2">
      <c r="A247">
        <v>245</v>
      </c>
      <c r="B247" t="s">
        <v>2167</v>
      </c>
      <c r="C247" t="s">
        <v>2166</v>
      </c>
      <c r="F247" t="s">
        <v>2165</v>
      </c>
      <c r="G247" t="s">
        <v>16</v>
      </c>
      <c r="H247" t="s">
        <v>15</v>
      </c>
      <c r="I247" t="s">
        <v>1588</v>
      </c>
      <c r="N247">
        <v>2</v>
      </c>
      <c r="O247" t="s">
        <v>1585</v>
      </c>
      <c r="P247" t="s">
        <v>1584</v>
      </c>
      <c r="Q247" t="s">
        <v>351</v>
      </c>
      <c r="R247" s="6">
        <v>29587</v>
      </c>
      <c r="S247" s="7">
        <f t="shared" si="24"/>
        <v>1981</v>
      </c>
      <c r="T247" s="7">
        <v>1981</v>
      </c>
      <c r="U247" s="7">
        <f t="shared" si="25"/>
        <v>41</v>
      </c>
      <c r="V247" s="6" t="s">
        <v>142</v>
      </c>
      <c r="W247" t="s">
        <v>323</v>
      </c>
      <c r="X247" s="2">
        <v>0.371</v>
      </c>
      <c r="Y247" s="5">
        <f t="shared" si="30"/>
        <v>9.9036331117695747E-3</v>
      </c>
      <c r="AA247">
        <v>486604</v>
      </c>
      <c r="AB247">
        <v>28580</v>
      </c>
      <c r="AC247" t="s">
        <v>322</v>
      </c>
      <c r="AD247" t="s">
        <v>5</v>
      </c>
      <c r="AE247">
        <v>16</v>
      </c>
      <c r="AF247">
        <v>4</v>
      </c>
      <c r="AH247" t="s">
        <v>2164</v>
      </c>
      <c r="AI247" t="s">
        <v>2163</v>
      </c>
      <c r="AK247" t="s">
        <v>2162</v>
      </c>
      <c r="AL247">
        <v>2</v>
      </c>
      <c r="AM247" s="4">
        <f t="shared" si="26"/>
        <v>4.878048780487805E-2</v>
      </c>
      <c r="AN247" s="21">
        <f t="shared" si="31"/>
        <v>7.3881844460246948E-5</v>
      </c>
      <c r="AO247" s="3"/>
      <c r="AP247">
        <v>0</v>
      </c>
      <c r="AR247" t="s">
        <v>1</v>
      </c>
      <c r="AT247" s="2">
        <v>1.431</v>
      </c>
      <c r="AU247" s="1">
        <f t="shared" si="27"/>
        <v>0.69547077315767758</v>
      </c>
      <c r="AV247" s="1">
        <f t="shared" si="28"/>
        <v>0.49887574781149102</v>
      </c>
      <c r="AW247" s="1">
        <f t="shared" si="29"/>
        <v>0.30228072246530457</v>
      </c>
    </row>
    <row r="248" spans="1:49" x14ac:dyDescent="0.2">
      <c r="A248">
        <v>246</v>
      </c>
      <c r="B248" t="s">
        <v>2161</v>
      </c>
      <c r="C248" t="s">
        <v>2160</v>
      </c>
      <c r="F248" t="s">
        <v>2159</v>
      </c>
      <c r="G248" t="s">
        <v>16</v>
      </c>
      <c r="H248" t="s">
        <v>15</v>
      </c>
      <c r="I248" t="s">
        <v>1626</v>
      </c>
      <c r="J248">
        <v>60028263</v>
      </c>
      <c r="K248" t="s">
        <v>1625</v>
      </c>
      <c r="L248" t="s">
        <v>1624</v>
      </c>
      <c r="M248" t="s">
        <v>312</v>
      </c>
      <c r="N248">
        <v>3</v>
      </c>
      <c r="O248" t="s">
        <v>2158</v>
      </c>
      <c r="P248" t="s">
        <v>2157</v>
      </c>
      <c r="Q248" t="s">
        <v>2156</v>
      </c>
      <c r="R248" s="6">
        <v>29587</v>
      </c>
      <c r="S248" s="7">
        <f t="shared" si="24"/>
        <v>1981</v>
      </c>
      <c r="T248" s="7">
        <v>1981</v>
      </c>
      <c r="U248" s="7">
        <f t="shared" si="25"/>
        <v>41</v>
      </c>
      <c r="V248" s="6">
        <v>29768</v>
      </c>
      <c r="W248" t="s">
        <v>466</v>
      </c>
      <c r="X248" s="2">
        <v>0.111</v>
      </c>
      <c r="Y248" s="5">
        <f t="shared" si="30"/>
        <v>2.9630816048690639E-3</v>
      </c>
      <c r="AA248">
        <v>87566621</v>
      </c>
      <c r="AB248">
        <v>24890</v>
      </c>
      <c r="AC248">
        <v>15206424</v>
      </c>
      <c r="AD248" t="s">
        <v>5</v>
      </c>
      <c r="AE248">
        <v>64</v>
      </c>
      <c r="AF248">
        <v>7</v>
      </c>
      <c r="AH248" t="s">
        <v>2155</v>
      </c>
      <c r="AI248" t="s">
        <v>2154</v>
      </c>
      <c r="AK248" t="s">
        <v>2153</v>
      </c>
      <c r="AL248">
        <v>6</v>
      </c>
      <c r="AM248" s="4">
        <f t="shared" si="26"/>
        <v>0.14634146341463414</v>
      </c>
      <c r="AN248" s="21">
        <f t="shared" si="31"/>
        <v>2.2164553338074083E-4</v>
      </c>
      <c r="AO248" s="3"/>
      <c r="AP248">
        <v>0</v>
      </c>
      <c r="AR248" t="s">
        <v>1</v>
      </c>
      <c r="AT248" s="2" t="s">
        <v>0</v>
      </c>
      <c r="AU248" s="1">
        <f t="shared" si="27"/>
        <v>0.21406507834225663</v>
      </c>
      <c r="AV248" s="1">
        <f t="shared" si="28"/>
        <v>0.15923635691249025</v>
      </c>
      <c r="AW248" s="1">
        <f t="shared" si="29"/>
        <v>0.10440763548272376</v>
      </c>
    </row>
    <row r="249" spans="1:49" x14ac:dyDescent="0.2">
      <c r="A249">
        <v>247</v>
      </c>
      <c r="B249" t="s">
        <v>2152</v>
      </c>
      <c r="C249" t="s">
        <v>2151</v>
      </c>
      <c r="F249" t="s">
        <v>2150</v>
      </c>
      <c r="G249" t="s">
        <v>16</v>
      </c>
      <c r="H249" t="s">
        <v>15</v>
      </c>
      <c r="I249" t="s">
        <v>2149</v>
      </c>
      <c r="J249">
        <v>60022195</v>
      </c>
      <c r="K249" t="s">
        <v>634</v>
      </c>
      <c r="L249" t="s">
        <v>81</v>
      </c>
      <c r="M249" t="s">
        <v>11</v>
      </c>
      <c r="N249">
        <v>2</v>
      </c>
      <c r="O249" t="s">
        <v>2148</v>
      </c>
      <c r="P249" t="s">
        <v>2147</v>
      </c>
      <c r="Q249" t="s">
        <v>631</v>
      </c>
      <c r="R249" s="6">
        <v>29587</v>
      </c>
      <c r="S249" s="7">
        <f t="shared" si="24"/>
        <v>1981</v>
      </c>
      <c r="T249" s="7">
        <v>1981</v>
      </c>
      <c r="U249" s="7">
        <f t="shared" si="25"/>
        <v>41</v>
      </c>
      <c r="V249" s="6">
        <v>29738</v>
      </c>
      <c r="W249" t="s">
        <v>2082</v>
      </c>
      <c r="X249" s="2" t="s">
        <v>0</v>
      </c>
      <c r="Y249" s="5" t="e">
        <f t="shared" si="30"/>
        <v>#VALUE!</v>
      </c>
      <c r="AA249">
        <v>984094</v>
      </c>
      <c r="AB249">
        <v>40260</v>
      </c>
      <c r="AD249" t="s">
        <v>5</v>
      </c>
      <c r="AE249">
        <v>28</v>
      </c>
      <c r="AF249">
        <v>6</v>
      </c>
      <c r="AH249" t="s">
        <v>2146</v>
      </c>
      <c r="AI249" t="s">
        <v>2145</v>
      </c>
      <c r="AK249" t="s">
        <v>2144</v>
      </c>
      <c r="AL249">
        <v>64</v>
      </c>
      <c r="AM249" s="4">
        <f t="shared" si="26"/>
        <v>1.5609756097560976</v>
      </c>
      <c r="AN249" s="21">
        <f t="shared" si="31"/>
        <v>2.3642190227279023E-3</v>
      </c>
      <c r="AO249" s="3"/>
      <c r="AP249">
        <v>0</v>
      </c>
      <c r="AR249" t="s">
        <v>1</v>
      </c>
      <c r="AT249" s="2" t="s">
        <v>0</v>
      </c>
      <c r="AU249" s="1" t="e">
        <f t="shared" si="27"/>
        <v>#VALUE!</v>
      </c>
      <c r="AV249" s="1" t="e">
        <f t="shared" si="28"/>
        <v>#VALUE!</v>
      </c>
      <c r="AW249" s="1" t="e">
        <f t="shared" si="29"/>
        <v>#VALUE!</v>
      </c>
    </row>
    <row r="250" spans="1:49" x14ac:dyDescent="0.2">
      <c r="A250">
        <v>248</v>
      </c>
      <c r="B250" t="s">
        <v>2143</v>
      </c>
      <c r="C250" t="s">
        <v>2142</v>
      </c>
      <c r="D250" t="s">
        <v>2141</v>
      </c>
      <c r="E250">
        <v>7248470</v>
      </c>
      <c r="F250" t="s">
        <v>2140</v>
      </c>
      <c r="G250" t="s">
        <v>16</v>
      </c>
      <c r="H250" t="s">
        <v>15</v>
      </c>
      <c r="I250" t="s">
        <v>2139</v>
      </c>
      <c r="N250">
        <v>4</v>
      </c>
      <c r="O250" t="s">
        <v>2138</v>
      </c>
      <c r="P250" t="s">
        <v>2137</v>
      </c>
      <c r="Q250" t="s">
        <v>2136</v>
      </c>
      <c r="R250" s="6">
        <v>29587</v>
      </c>
      <c r="S250" s="7">
        <f t="shared" si="24"/>
        <v>1981</v>
      </c>
      <c r="T250" s="7">
        <v>1981</v>
      </c>
      <c r="U250" s="7">
        <f t="shared" si="25"/>
        <v>41</v>
      </c>
      <c r="V250" s="6">
        <v>1981</v>
      </c>
      <c r="W250" t="s">
        <v>1091</v>
      </c>
      <c r="X250" s="2">
        <v>1.7130000000000001</v>
      </c>
      <c r="Y250" s="5">
        <f t="shared" si="30"/>
        <v>4.5727556658925285E-2</v>
      </c>
      <c r="AA250">
        <v>63495</v>
      </c>
      <c r="AB250">
        <v>14859</v>
      </c>
      <c r="AD250" t="s">
        <v>5</v>
      </c>
      <c r="AE250">
        <v>34</v>
      </c>
      <c r="AF250">
        <v>3</v>
      </c>
      <c r="AH250" t="s">
        <v>2135</v>
      </c>
      <c r="AI250" t="s">
        <v>2134</v>
      </c>
      <c r="AK250" t="s">
        <v>2133</v>
      </c>
      <c r="AL250">
        <v>16</v>
      </c>
      <c r="AM250" s="4">
        <f t="shared" si="26"/>
        <v>0.3902439024390244</v>
      </c>
      <c r="AN250" s="21">
        <f t="shared" si="31"/>
        <v>5.9105475568197558E-4</v>
      </c>
      <c r="AO250" s="3"/>
      <c r="AP250">
        <v>1</v>
      </c>
      <c r="AR250" t="s">
        <v>1</v>
      </c>
      <c r="AT250" s="2">
        <v>4.0330000000000004</v>
      </c>
      <c r="AU250" s="1">
        <f t="shared" si="27"/>
        <v>3.2186606087952292</v>
      </c>
      <c r="AV250" s="1">
        <f t="shared" si="28"/>
        <v>2.3159305707303632</v>
      </c>
      <c r="AW250" s="1">
        <f t="shared" si="29"/>
        <v>1.4132005326654966</v>
      </c>
    </row>
    <row r="251" spans="1:49" x14ac:dyDescent="0.2">
      <c r="A251">
        <v>249</v>
      </c>
      <c r="B251" t="s">
        <v>2132</v>
      </c>
      <c r="C251" t="s">
        <v>2131</v>
      </c>
      <c r="F251" t="s">
        <v>2130</v>
      </c>
      <c r="G251" t="s">
        <v>16</v>
      </c>
      <c r="H251" t="s">
        <v>15</v>
      </c>
      <c r="I251" t="s">
        <v>2129</v>
      </c>
      <c r="J251">
        <v>60004354</v>
      </c>
      <c r="K251" t="s">
        <v>668</v>
      </c>
      <c r="L251" t="s">
        <v>667</v>
      </c>
      <c r="M251" t="s">
        <v>11</v>
      </c>
      <c r="N251">
        <v>1</v>
      </c>
      <c r="O251" t="s">
        <v>2128</v>
      </c>
      <c r="P251">
        <v>36722662800</v>
      </c>
      <c r="Q251">
        <v>60004354</v>
      </c>
      <c r="R251" s="6">
        <v>29587</v>
      </c>
      <c r="S251" s="7">
        <f t="shared" si="24"/>
        <v>1981</v>
      </c>
      <c r="T251" s="7">
        <v>1981</v>
      </c>
      <c r="U251" s="7">
        <f t="shared" si="25"/>
        <v>41</v>
      </c>
      <c r="V251" s="6">
        <v>29738</v>
      </c>
      <c r="W251" t="s">
        <v>1582</v>
      </c>
      <c r="X251" s="2">
        <v>0.46</v>
      </c>
      <c r="Y251" s="5">
        <f t="shared" si="30"/>
        <v>1.2279437281439364E-2</v>
      </c>
      <c r="AA251">
        <v>933813</v>
      </c>
      <c r="AB251">
        <v>28031</v>
      </c>
      <c r="AC251">
        <v>19399375</v>
      </c>
      <c r="AD251" t="s">
        <v>5</v>
      </c>
      <c r="AE251">
        <v>9</v>
      </c>
      <c r="AF251">
        <v>2</v>
      </c>
      <c r="AH251" t="s">
        <v>2127</v>
      </c>
      <c r="AI251" t="s">
        <v>2126</v>
      </c>
      <c r="AK251" t="s">
        <v>2125</v>
      </c>
      <c r="AL251">
        <v>1</v>
      </c>
      <c r="AM251" s="4">
        <f t="shared" si="26"/>
        <v>2.4390243902439025E-2</v>
      </c>
      <c r="AN251" s="21">
        <f t="shared" si="31"/>
        <v>3.6940922230123474E-5</v>
      </c>
      <c r="AO251" s="3"/>
      <c r="AP251">
        <v>0</v>
      </c>
      <c r="AR251" t="s">
        <v>1</v>
      </c>
      <c r="AT251" s="2">
        <v>1.222</v>
      </c>
      <c r="AU251" s="1">
        <f t="shared" si="27"/>
        <v>0.86066883736765909</v>
      </c>
      <c r="AV251" s="1">
        <f t="shared" si="28"/>
        <v>0.61581891018347434</v>
      </c>
      <c r="AW251" s="1">
        <f t="shared" si="29"/>
        <v>0.37096898299928954</v>
      </c>
    </row>
    <row r="252" spans="1:49" x14ac:dyDescent="0.2">
      <c r="A252">
        <v>250</v>
      </c>
      <c r="B252" t="s">
        <v>2124</v>
      </c>
      <c r="C252" t="s">
        <v>2123</v>
      </c>
      <c r="F252" t="s">
        <v>2122</v>
      </c>
      <c r="G252" t="s">
        <v>16</v>
      </c>
      <c r="H252" t="s">
        <v>15</v>
      </c>
      <c r="I252" t="s">
        <v>2121</v>
      </c>
      <c r="J252">
        <v>115596374</v>
      </c>
      <c r="K252" t="s">
        <v>1473</v>
      </c>
      <c r="L252" t="s">
        <v>1472</v>
      </c>
      <c r="M252" t="s">
        <v>11</v>
      </c>
      <c r="N252">
        <v>1</v>
      </c>
      <c r="O252" t="s">
        <v>1471</v>
      </c>
      <c r="P252">
        <v>6602852699</v>
      </c>
      <c r="Q252">
        <v>115596374</v>
      </c>
      <c r="R252" s="6">
        <v>29587</v>
      </c>
      <c r="S252" s="7">
        <f t="shared" si="24"/>
        <v>1981</v>
      </c>
      <c r="T252" s="7">
        <v>1981</v>
      </c>
      <c r="U252" s="7">
        <f t="shared" si="25"/>
        <v>41</v>
      </c>
      <c r="V252" s="6">
        <v>29738</v>
      </c>
      <c r="W252" t="s">
        <v>1207</v>
      </c>
      <c r="X252" s="2">
        <v>2.383</v>
      </c>
      <c r="Y252" s="5">
        <f t="shared" si="30"/>
        <v>6.3612824003630442E-2</v>
      </c>
      <c r="AA252">
        <v>189219</v>
      </c>
      <c r="AB252">
        <v>17915</v>
      </c>
      <c r="AC252">
        <v>15582256</v>
      </c>
      <c r="AD252" t="s">
        <v>5</v>
      </c>
      <c r="AE252">
        <v>69</v>
      </c>
      <c r="AF252">
        <v>6</v>
      </c>
      <c r="AH252" t="s">
        <v>2120</v>
      </c>
      <c r="AI252" t="s">
        <v>2119</v>
      </c>
      <c r="AK252" t="s">
        <v>2118</v>
      </c>
      <c r="AL252">
        <v>6</v>
      </c>
      <c r="AM252" s="4">
        <f t="shared" si="26"/>
        <v>0.14634146341463414</v>
      </c>
      <c r="AN252" s="21">
        <f t="shared" si="31"/>
        <v>2.2164553338074083E-4</v>
      </c>
      <c r="AO252" s="3"/>
      <c r="AP252">
        <v>0</v>
      </c>
      <c r="AR252" t="s">
        <v>1</v>
      </c>
      <c r="AT252" s="2">
        <v>10.961</v>
      </c>
      <c r="AU252" s="1">
        <f t="shared" si="27"/>
        <v>4.4595470462555538</v>
      </c>
      <c r="AV252" s="1">
        <f t="shared" si="28"/>
        <v>3.1917234768505587</v>
      </c>
      <c r="AW252" s="1">
        <f t="shared" si="29"/>
        <v>1.9238999074455649</v>
      </c>
    </row>
    <row r="253" spans="1:49" x14ac:dyDescent="0.2">
      <c r="A253">
        <v>251</v>
      </c>
      <c r="B253" t="s">
        <v>2117</v>
      </c>
      <c r="C253" t="s">
        <v>2116</v>
      </c>
      <c r="F253" t="s">
        <v>2115</v>
      </c>
      <c r="G253" t="s">
        <v>16</v>
      </c>
      <c r="H253" t="s">
        <v>15</v>
      </c>
      <c r="I253" t="s">
        <v>2114</v>
      </c>
      <c r="J253">
        <v>60016296</v>
      </c>
      <c r="K253" t="s">
        <v>2113</v>
      </c>
      <c r="L253" t="s">
        <v>67</v>
      </c>
      <c r="M253" t="s">
        <v>11</v>
      </c>
      <c r="N253">
        <v>1</v>
      </c>
      <c r="O253" t="s">
        <v>2112</v>
      </c>
      <c r="P253">
        <v>7004420486</v>
      </c>
      <c r="Q253">
        <v>60016296</v>
      </c>
      <c r="R253" s="6">
        <v>29587</v>
      </c>
      <c r="S253" s="7">
        <f t="shared" si="24"/>
        <v>1981</v>
      </c>
      <c r="T253" s="7">
        <v>1981</v>
      </c>
      <c r="U253" s="7">
        <f t="shared" si="25"/>
        <v>41</v>
      </c>
      <c r="V253" s="6">
        <v>29738</v>
      </c>
      <c r="W253" t="s">
        <v>1207</v>
      </c>
      <c r="X253" s="2">
        <v>2.383</v>
      </c>
      <c r="Y253" s="5">
        <f t="shared" si="30"/>
        <v>6.3612824003630442E-2</v>
      </c>
      <c r="AA253">
        <v>189219</v>
      </c>
      <c r="AB253">
        <v>17915</v>
      </c>
      <c r="AC253">
        <v>15582256</v>
      </c>
      <c r="AD253" t="s">
        <v>5</v>
      </c>
      <c r="AE253">
        <v>69</v>
      </c>
      <c r="AF253">
        <v>6</v>
      </c>
      <c r="AH253" t="s">
        <v>2111</v>
      </c>
      <c r="AI253" t="s">
        <v>2110</v>
      </c>
      <c r="AK253" t="s">
        <v>2109</v>
      </c>
      <c r="AL253">
        <v>97</v>
      </c>
      <c r="AM253" s="4">
        <f t="shared" si="26"/>
        <v>2.3658536585365852</v>
      </c>
      <c r="AN253" s="21">
        <f t="shared" si="31"/>
        <v>3.5832694563219768E-3</v>
      </c>
      <c r="AO253" s="3"/>
      <c r="AP253">
        <v>0</v>
      </c>
      <c r="AR253" t="s">
        <v>1</v>
      </c>
      <c r="AT253" s="2">
        <v>10.961</v>
      </c>
      <c r="AU253" s="1">
        <f t="shared" si="27"/>
        <v>4.5603957639437898</v>
      </c>
      <c r="AV253" s="1">
        <f t="shared" si="28"/>
        <v>3.3598046729976212</v>
      </c>
      <c r="AW253" s="1">
        <f t="shared" si="29"/>
        <v>2.1592135820514518</v>
      </c>
    </row>
    <row r="254" spans="1:49" x14ac:dyDescent="0.2">
      <c r="A254">
        <v>252</v>
      </c>
      <c r="B254" t="s">
        <v>2108</v>
      </c>
      <c r="C254" t="s">
        <v>2107</v>
      </c>
      <c r="F254" t="s">
        <v>2106</v>
      </c>
      <c r="G254" t="s">
        <v>16</v>
      </c>
      <c r="H254" t="s">
        <v>15</v>
      </c>
      <c r="I254" t="s">
        <v>1929</v>
      </c>
      <c r="J254">
        <v>60015623</v>
      </c>
      <c r="K254" t="s">
        <v>691</v>
      </c>
      <c r="L254" t="s">
        <v>690</v>
      </c>
      <c r="M254" t="s">
        <v>11</v>
      </c>
      <c r="N254">
        <v>1</v>
      </c>
      <c r="O254" t="s">
        <v>1928</v>
      </c>
      <c r="P254">
        <v>7003291453</v>
      </c>
      <c r="Q254">
        <v>60015623</v>
      </c>
      <c r="R254" s="6">
        <v>29587</v>
      </c>
      <c r="S254" s="7">
        <f t="shared" si="24"/>
        <v>1981</v>
      </c>
      <c r="T254" s="7">
        <v>1981</v>
      </c>
      <c r="U254" s="7">
        <f t="shared" si="25"/>
        <v>41</v>
      </c>
      <c r="V254" s="6">
        <v>29738</v>
      </c>
      <c r="W254" t="s">
        <v>1207</v>
      </c>
      <c r="X254" s="2">
        <v>2.383</v>
      </c>
      <c r="Y254" s="5">
        <f t="shared" si="30"/>
        <v>6.3612824003630442E-2</v>
      </c>
      <c r="AA254">
        <v>189219</v>
      </c>
      <c r="AB254">
        <v>17915</v>
      </c>
      <c r="AC254">
        <v>15582256</v>
      </c>
      <c r="AD254" t="s">
        <v>5</v>
      </c>
      <c r="AE254">
        <v>69</v>
      </c>
      <c r="AF254">
        <v>6</v>
      </c>
      <c r="AH254" t="s">
        <v>2105</v>
      </c>
      <c r="AI254" t="s">
        <v>2104</v>
      </c>
      <c r="AK254" t="s">
        <v>2103</v>
      </c>
      <c r="AL254">
        <v>9</v>
      </c>
      <c r="AM254" s="4">
        <f t="shared" si="26"/>
        <v>0.21951219512195122</v>
      </c>
      <c r="AN254" s="21">
        <f t="shared" si="31"/>
        <v>3.3246830007111129E-4</v>
      </c>
      <c r="AO254" s="3"/>
      <c r="AP254">
        <v>0</v>
      </c>
      <c r="AR254" t="s">
        <v>1</v>
      </c>
      <c r="AT254" s="2">
        <v>10.961</v>
      </c>
      <c r="AU254" s="1">
        <f t="shared" si="27"/>
        <v>4.4628717292562641</v>
      </c>
      <c r="AV254" s="1">
        <f t="shared" si="28"/>
        <v>3.1972646151850777</v>
      </c>
      <c r="AW254" s="1">
        <f t="shared" si="29"/>
        <v>1.9316575011138912</v>
      </c>
    </row>
    <row r="255" spans="1:49" x14ac:dyDescent="0.2">
      <c r="A255">
        <v>253</v>
      </c>
      <c r="B255" t="s">
        <v>2102</v>
      </c>
      <c r="C255" t="s">
        <v>2101</v>
      </c>
      <c r="F255" t="s">
        <v>2100</v>
      </c>
      <c r="G255" t="s">
        <v>16</v>
      </c>
      <c r="H255" t="s">
        <v>15</v>
      </c>
      <c r="I255" t="s">
        <v>2099</v>
      </c>
      <c r="J255">
        <v>60000891</v>
      </c>
      <c r="K255" t="s">
        <v>2098</v>
      </c>
      <c r="L255" t="s">
        <v>2097</v>
      </c>
      <c r="M255" t="s">
        <v>39</v>
      </c>
      <c r="N255">
        <v>1</v>
      </c>
      <c r="O255" t="s">
        <v>2096</v>
      </c>
      <c r="P255">
        <v>56899990100</v>
      </c>
      <c r="Q255">
        <v>60000891</v>
      </c>
      <c r="R255" s="6">
        <v>29587</v>
      </c>
      <c r="S255" s="7">
        <f t="shared" si="24"/>
        <v>1981</v>
      </c>
      <c r="T255" s="7">
        <v>1981</v>
      </c>
      <c r="U255" s="7">
        <f t="shared" si="25"/>
        <v>41</v>
      </c>
      <c r="V255" s="6">
        <v>29738</v>
      </c>
      <c r="W255" s="10" t="s">
        <v>1219</v>
      </c>
      <c r="X255" s="2">
        <v>2.383</v>
      </c>
      <c r="Y255" s="5">
        <f t="shared" si="30"/>
        <v>6.3612824003630442E-2</v>
      </c>
      <c r="AA255">
        <v>1437070</v>
      </c>
      <c r="AB255">
        <v>39742</v>
      </c>
      <c r="AD255" t="s">
        <v>5</v>
      </c>
      <c r="AE255">
        <v>128</v>
      </c>
      <c r="AF255">
        <v>3</v>
      </c>
      <c r="AH255" t="s">
        <v>2095</v>
      </c>
      <c r="AI255" t="s">
        <v>2094</v>
      </c>
      <c r="AJ255" t="s">
        <v>2093</v>
      </c>
      <c r="AK255" t="s">
        <v>2092</v>
      </c>
      <c r="AL255">
        <v>16</v>
      </c>
      <c r="AM255" s="4">
        <f t="shared" si="26"/>
        <v>0.3902439024390244</v>
      </c>
      <c r="AN255" s="21">
        <f t="shared" si="31"/>
        <v>5.9105475568197558E-4</v>
      </c>
      <c r="AO255" s="3"/>
      <c r="AP255">
        <v>0</v>
      </c>
      <c r="AR255" t="s">
        <v>1</v>
      </c>
      <c r="AT255" s="2" t="s">
        <v>0</v>
      </c>
      <c r="AU255" s="1">
        <f t="shared" si="27"/>
        <v>4.4706293229245899</v>
      </c>
      <c r="AV255" s="1">
        <f t="shared" si="28"/>
        <v>3.2101939379656206</v>
      </c>
      <c r="AW255" s="1">
        <f t="shared" si="29"/>
        <v>1.9497585530066517</v>
      </c>
    </row>
    <row r="256" spans="1:49" x14ac:dyDescent="0.2">
      <c r="A256">
        <v>254</v>
      </c>
      <c r="B256" t="s">
        <v>2091</v>
      </c>
      <c r="C256" t="s">
        <v>2090</v>
      </c>
      <c r="F256" t="s">
        <v>2089</v>
      </c>
      <c r="G256" t="s">
        <v>16</v>
      </c>
      <c r="H256" t="s">
        <v>15</v>
      </c>
      <c r="I256" t="s">
        <v>2088</v>
      </c>
      <c r="J256" t="s">
        <v>2083</v>
      </c>
      <c r="K256" t="s">
        <v>2087</v>
      </c>
      <c r="L256" t="s">
        <v>2086</v>
      </c>
      <c r="M256" t="s">
        <v>277</v>
      </c>
      <c r="N256">
        <v>2</v>
      </c>
      <c r="O256" t="s">
        <v>2085</v>
      </c>
      <c r="P256" t="s">
        <v>2084</v>
      </c>
      <c r="Q256" t="s">
        <v>2083</v>
      </c>
      <c r="R256" s="6">
        <v>29587</v>
      </c>
      <c r="S256" s="7">
        <f t="shared" si="24"/>
        <v>1981</v>
      </c>
      <c r="T256" s="7">
        <v>1981</v>
      </c>
      <c r="U256" s="7">
        <f t="shared" si="25"/>
        <v>41</v>
      </c>
      <c r="V256" s="6">
        <v>29738</v>
      </c>
      <c r="W256" t="s">
        <v>2082</v>
      </c>
      <c r="X256" s="2" t="s">
        <v>0</v>
      </c>
      <c r="Y256" s="5" t="e">
        <f t="shared" si="30"/>
        <v>#VALUE!</v>
      </c>
      <c r="AA256">
        <v>984094</v>
      </c>
      <c r="AB256">
        <v>40260</v>
      </c>
      <c r="AD256" t="s">
        <v>5</v>
      </c>
      <c r="AE256">
        <v>28</v>
      </c>
      <c r="AF256">
        <v>6</v>
      </c>
      <c r="AH256" t="s">
        <v>2081</v>
      </c>
      <c r="AI256" t="s">
        <v>2080</v>
      </c>
      <c r="AK256" t="s">
        <v>2079</v>
      </c>
      <c r="AL256">
        <v>19</v>
      </c>
      <c r="AM256" s="4">
        <f t="shared" si="26"/>
        <v>0.46341463414634149</v>
      </c>
      <c r="AN256" s="21">
        <f t="shared" si="31"/>
        <v>7.0187752237234606E-4</v>
      </c>
      <c r="AO256" s="3"/>
      <c r="AP256">
        <v>0</v>
      </c>
      <c r="AR256" t="s">
        <v>1</v>
      </c>
      <c r="AT256" s="2" t="s">
        <v>0</v>
      </c>
      <c r="AU256" s="1" t="e">
        <f t="shared" si="27"/>
        <v>#VALUE!</v>
      </c>
      <c r="AV256" s="1" t="e">
        <f t="shared" si="28"/>
        <v>#VALUE!</v>
      </c>
      <c r="AW256" s="1" t="e">
        <f t="shared" si="29"/>
        <v>#VALUE!</v>
      </c>
    </row>
    <row r="257" spans="1:49" x14ac:dyDescent="0.2">
      <c r="A257">
        <v>255</v>
      </c>
      <c r="B257" t="s">
        <v>2078</v>
      </c>
      <c r="C257" t="s">
        <v>2077</v>
      </c>
      <c r="F257" t="s">
        <v>2076</v>
      </c>
      <c r="G257" t="s">
        <v>16</v>
      </c>
      <c r="H257" t="s">
        <v>15</v>
      </c>
      <c r="I257" t="s">
        <v>2075</v>
      </c>
      <c r="J257">
        <v>60025488</v>
      </c>
      <c r="K257" t="s">
        <v>2074</v>
      </c>
      <c r="L257" t="s">
        <v>2073</v>
      </c>
      <c r="M257" t="s">
        <v>11</v>
      </c>
      <c r="N257">
        <v>4</v>
      </c>
      <c r="O257" t="s">
        <v>2072</v>
      </c>
      <c r="P257" t="s">
        <v>2071</v>
      </c>
      <c r="Q257" t="s">
        <v>2070</v>
      </c>
      <c r="R257" s="6">
        <v>29587</v>
      </c>
      <c r="S257" s="7">
        <f t="shared" si="24"/>
        <v>1981</v>
      </c>
      <c r="T257" s="7">
        <v>1981</v>
      </c>
      <c r="U257" s="7">
        <f t="shared" si="25"/>
        <v>41</v>
      </c>
      <c r="V257" s="6">
        <v>29738</v>
      </c>
      <c r="W257" t="s">
        <v>573</v>
      </c>
      <c r="X257" s="2">
        <v>1.3720000000000001</v>
      </c>
      <c r="Y257" s="5">
        <f t="shared" si="30"/>
        <v>3.662475641333654E-2</v>
      </c>
      <c r="AA257">
        <v>189480</v>
      </c>
      <c r="AB257">
        <v>17366</v>
      </c>
      <c r="AC257">
        <v>15579670</v>
      </c>
      <c r="AD257" t="s">
        <v>5</v>
      </c>
      <c r="AE257">
        <v>29</v>
      </c>
      <c r="AF257">
        <v>6</v>
      </c>
      <c r="AH257" t="s">
        <v>2069</v>
      </c>
      <c r="AI257" t="s">
        <v>2068</v>
      </c>
      <c r="AK257" t="s">
        <v>2067</v>
      </c>
      <c r="AL257">
        <v>15</v>
      </c>
      <c r="AM257" s="4">
        <f t="shared" si="26"/>
        <v>0.36585365853658536</v>
      </c>
      <c r="AN257" s="21">
        <f t="shared" si="31"/>
        <v>5.5411383345185209E-4</v>
      </c>
      <c r="AO257" s="3"/>
      <c r="AP257">
        <v>0</v>
      </c>
      <c r="AR257" t="s">
        <v>1</v>
      </c>
      <c r="AT257" s="2" t="s">
        <v>0</v>
      </c>
      <c r="AU257" s="1">
        <f t="shared" si="27"/>
        <v>2.580356363937113</v>
      </c>
      <c r="AV257" s="1">
        <f t="shared" si="28"/>
        <v>1.8589435123394196</v>
      </c>
      <c r="AW257" s="1">
        <f t="shared" si="29"/>
        <v>1.1375306607417259</v>
      </c>
    </row>
    <row r="258" spans="1:49" x14ac:dyDescent="0.2">
      <c r="A258">
        <v>256</v>
      </c>
      <c r="B258" t="s">
        <v>2066</v>
      </c>
      <c r="C258" t="s">
        <v>2065</v>
      </c>
      <c r="F258" t="s">
        <v>2064</v>
      </c>
      <c r="G258" t="s">
        <v>16</v>
      </c>
      <c r="H258" t="s">
        <v>15</v>
      </c>
      <c r="I258" t="s">
        <v>2063</v>
      </c>
      <c r="N258">
        <v>3</v>
      </c>
      <c r="O258" t="s">
        <v>2062</v>
      </c>
      <c r="P258" t="s">
        <v>2061</v>
      </c>
      <c r="Q258" t="s">
        <v>116</v>
      </c>
      <c r="R258" s="6">
        <v>29587</v>
      </c>
      <c r="S258" s="7">
        <f t="shared" ref="S258:S321" si="32">YEAR(R258)</f>
        <v>1981</v>
      </c>
      <c r="T258" s="7">
        <v>1981</v>
      </c>
      <c r="U258" s="7">
        <f t="shared" ref="U258:U321" si="33">2022-T258</f>
        <v>41</v>
      </c>
      <c r="V258" s="6" t="s">
        <v>2017</v>
      </c>
      <c r="W258" t="s">
        <v>2016</v>
      </c>
      <c r="X258" s="2" t="s">
        <v>0</v>
      </c>
      <c r="Y258" s="5" t="e">
        <f t="shared" si="30"/>
        <v>#VALUE!</v>
      </c>
      <c r="AA258">
        <v>281522</v>
      </c>
      <c r="AB258">
        <v>12174</v>
      </c>
      <c r="AC258">
        <v>21614296</v>
      </c>
      <c r="AD258" t="s">
        <v>5</v>
      </c>
      <c r="AE258">
        <v>28</v>
      </c>
      <c r="AF258">
        <v>2</v>
      </c>
      <c r="AH258" t="s">
        <v>2060</v>
      </c>
      <c r="AI258" t="s">
        <v>2059</v>
      </c>
      <c r="AK258" t="s">
        <v>2058</v>
      </c>
      <c r="AL258">
        <v>6</v>
      </c>
      <c r="AM258" s="4">
        <f t="shared" ref="AM258:AM321" si="34">AL258/U258</f>
        <v>0.14634146341463414</v>
      </c>
      <c r="AN258" s="21">
        <f t="shared" si="31"/>
        <v>2.2164553338074083E-4</v>
      </c>
      <c r="AO258" s="3"/>
      <c r="AP258">
        <v>0</v>
      </c>
      <c r="AR258" t="s">
        <v>1</v>
      </c>
      <c r="AT258" s="2" t="s">
        <v>0</v>
      </c>
      <c r="AU258" s="1" t="e">
        <f t="shared" ref="AU258:AU321" si="35">(Y258*0.7+AN258*0.3)*100</f>
        <v>#VALUE!</v>
      </c>
      <c r="AV258" s="1" t="e">
        <f t="shared" ref="AV258:AV321" si="36">(Y258*0.5+AN258*0.5)*100</f>
        <v>#VALUE!</v>
      </c>
      <c r="AW258" s="1" t="e">
        <f t="shared" ref="AW258:AW321" si="37">(Y258*0.3+AN258*0.7)*100</f>
        <v>#VALUE!</v>
      </c>
    </row>
    <row r="259" spans="1:49" x14ac:dyDescent="0.2">
      <c r="A259">
        <v>257</v>
      </c>
      <c r="B259" t="s">
        <v>2057</v>
      </c>
      <c r="C259" t="s">
        <v>2056</v>
      </c>
      <c r="F259" t="s">
        <v>2055</v>
      </c>
      <c r="G259" t="s">
        <v>16</v>
      </c>
      <c r="H259" t="s">
        <v>15</v>
      </c>
      <c r="I259" t="s">
        <v>2054</v>
      </c>
      <c r="J259">
        <v>60025209</v>
      </c>
      <c r="K259" t="s">
        <v>516</v>
      </c>
      <c r="L259" t="s">
        <v>515</v>
      </c>
      <c r="M259" t="s">
        <v>11</v>
      </c>
      <c r="N259">
        <v>2</v>
      </c>
      <c r="O259" t="s">
        <v>2053</v>
      </c>
      <c r="P259" t="s">
        <v>2052</v>
      </c>
      <c r="Q259" t="s">
        <v>2051</v>
      </c>
      <c r="R259" s="6">
        <v>29587</v>
      </c>
      <c r="S259" s="7">
        <f t="shared" si="32"/>
        <v>1981</v>
      </c>
      <c r="T259" s="7">
        <v>1981</v>
      </c>
      <c r="U259" s="7">
        <f t="shared" si="33"/>
        <v>41</v>
      </c>
      <c r="V259" s="6">
        <v>29738</v>
      </c>
      <c r="W259" t="s">
        <v>2050</v>
      </c>
      <c r="X259" s="2">
        <v>0.53700000000000003</v>
      </c>
      <c r="Y259" s="5">
        <f t="shared" ref="Y259:Y322" si="38">(X259-$Z$3)/($Z$2-$Z$4)</f>
        <v>1.4334908304636823E-2</v>
      </c>
      <c r="AA259">
        <v>189499</v>
      </c>
      <c r="AB259">
        <v>17368</v>
      </c>
      <c r="AC259">
        <v>15581578</v>
      </c>
      <c r="AD259" t="s">
        <v>5</v>
      </c>
      <c r="AE259">
        <v>28</v>
      </c>
      <c r="AF259">
        <v>3</v>
      </c>
      <c r="AH259" t="s">
        <v>2049</v>
      </c>
      <c r="AI259" t="s">
        <v>2048</v>
      </c>
      <c r="AK259" t="s">
        <v>2047</v>
      </c>
      <c r="AL259">
        <v>6</v>
      </c>
      <c r="AM259" s="4">
        <f t="shared" si="34"/>
        <v>0.14634146341463414</v>
      </c>
      <c r="AN259" s="21">
        <f t="shared" ref="AN259:AN322" si="39">(AM259-$AO$3)/($AO$2-$AO$3)</f>
        <v>2.2164553338074083E-4</v>
      </c>
      <c r="AO259" s="3"/>
      <c r="AP259">
        <v>0</v>
      </c>
      <c r="AR259" t="s">
        <v>1</v>
      </c>
      <c r="AT259" s="2">
        <v>1.679</v>
      </c>
      <c r="AU259" s="1">
        <f t="shared" si="35"/>
        <v>1.0100929473259999</v>
      </c>
      <c r="AV259" s="1">
        <f t="shared" si="36"/>
        <v>0.72782769190087815</v>
      </c>
      <c r="AW259" s="1">
        <f t="shared" si="37"/>
        <v>0.44556243647575655</v>
      </c>
    </row>
    <row r="260" spans="1:49" x14ac:dyDescent="0.2">
      <c r="A260">
        <v>258</v>
      </c>
      <c r="B260" t="s">
        <v>2046</v>
      </c>
      <c r="C260" t="s">
        <v>2045</v>
      </c>
      <c r="F260" t="s">
        <v>2044</v>
      </c>
      <c r="G260" t="s">
        <v>16</v>
      </c>
      <c r="H260" t="s">
        <v>15</v>
      </c>
      <c r="I260" t="s">
        <v>2043</v>
      </c>
      <c r="J260">
        <v>60033154</v>
      </c>
      <c r="K260" t="s">
        <v>2042</v>
      </c>
      <c r="L260" t="s">
        <v>542</v>
      </c>
      <c r="M260" t="s">
        <v>26</v>
      </c>
      <c r="N260">
        <v>2</v>
      </c>
      <c r="O260" t="s">
        <v>2041</v>
      </c>
      <c r="P260" t="s">
        <v>2040</v>
      </c>
      <c r="Q260" t="s">
        <v>2039</v>
      </c>
      <c r="R260" s="6">
        <v>29587</v>
      </c>
      <c r="S260" s="7">
        <f t="shared" si="32"/>
        <v>1981</v>
      </c>
      <c r="T260" s="7">
        <v>1981</v>
      </c>
      <c r="U260" s="7">
        <f t="shared" si="33"/>
        <v>41</v>
      </c>
      <c r="V260" s="6">
        <v>29738</v>
      </c>
      <c r="W260" t="s">
        <v>1493</v>
      </c>
      <c r="X260" s="2">
        <v>0.78200000000000003</v>
      </c>
      <c r="Y260" s="5">
        <f t="shared" si="38"/>
        <v>2.0875043378446919E-2</v>
      </c>
      <c r="AA260">
        <v>189316</v>
      </c>
      <c r="AB260">
        <v>19901</v>
      </c>
      <c r="AC260">
        <v>15579611</v>
      </c>
      <c r="AD260" t="s">
        <v>5</v>
      </c>
      <c r="AE260" t="s">
        <v>1492</v>
      </c>
      <c r="AF260">
        <v>2</v>
      </c>
      <c r="AH260" t="s">
        <v>2038</v>
      </c>
      <c r="AI260" t="s">
        <v>2037</v>
      </c>
      <c r="AK260" t="s">
        <v>2036</v>
      </c>
      <c r="AL260">
        <v>31</v>
      </c>
      <c r="AM260" s="4">
        <f t="shared" si="34"/>
        <v>0.75609756097560976</v>
      </c>
      <c r="AN260" s="21">
        <f t="shared" si="39"/>
        <v>1.1451685891338277E-3</v>
      </c>
      <c r="AO260" s="3"/>
      <c r="AP260">
        <v>0</v>
      </c>
      <c r="AR260" t="s">
        <v>1</v>
      </c>
      <c r="AT260" s="2">
        <v>3.863</v>
      </c>
      <c r="AU260" s="1">
        <f t="shared" si="35"/>
        <v>1.4956080941652989</v>
      </c>
      <c r="AV260" s="1">
        <f t="shared" si="36"/>
        <v>1.1010105983790373</v>
      </c>
      <c r="AW260" s="1">
        <f t="shared" si="37"/>
        <v>0.70641310259277557</v>
      </c>
    </row>
    <row r="261" spans="1:49" x14ac:dyDescent="0.2">
      <c r="A261">
        <v>259</v>
      </c>
      <c r="B261" t="s">
        <v>2035</v>
      </c>
      <c r="C261" t="s">
        <v>2034</v>
      </c>
      <c r="D261" t="s">
        <v>2033</v>
      </c>
      <c r="F261" t="s">
        <v>2032</v>
      </c>
      <c r="G261" t="s">
        <v>16</v>
      </c>
      <c r="H261" t="s">
        <v>15</v>
      </c>
      <c r="I261" t="s">
        <v>2031</v>
      </c>
      <c r="J261">
        <v>60027716</v>
      </c>
      <c r="K261" t="s">
        <v>2030</v>
      </c>
      <c r="L261" t="s">
        <v>67</v>
      </c>
      <c r="M261" t="s">
        <v>11</v>
      </c>
      <c r="N261">
        <v>1</v>
      </c>
      <c r="O261" t="s">
        <v>2029</v>
      </c>
      <c r="P261">
        <v>7801496240</v>
      </c>
      <c r="Q261">
        <v>60027716</v>
      </c>
      <c r="R261" s="6">
        <v>29587</v>
      </c>
      <c r="S261" s="7">
        <f t="shared" si="32"/>
        <v>1981</v>
      </c>
      <c r="T261" s="7">
        <v>1981</v>
      </c>
      <c r="U261" s="7">
        <f t="shared" si="33"/>
        <v>41</v>
      </c>
      <c r="V261" s="6">
        <v>29738</v>
      </c>
      <c r="W261" t="s">
        <v>2028</v>
      </c>
      <c r="X261" s="2" t="s">
        <v>0</v>
      </c>
      <c r="Y261" s="5" t="e">
        <f t="shared" si="38"/>
        <v>#VALUE!</v>
      </c>
      <c r="AA261" t="s">
        <v>2027</v>
      </c>
      <c r="AB261">
        <v>40468</v>
      </c>
      <c r="AD261" t="s">
        <v>5</v>
      </c>
      <c r="AE261">
        <v>7</v>
      </c>
      <c r="AF261" s="8">
        <v>44287</v>
      </c>
      <c r="AH261" t="s">
        <v>2026</v>
      </c>
      <c r="AI261" t="s">
        <v>2025</v>
      </c>
      <c r="AK261" t="s">
        <v>2024</v>
      </c>
      <c r="AL261">
        <v>0</v>
      </c>
      <c r="AM261" s="4">
        <f t="shared" si="34"/>
        <v>0</v>
      </c>
      <c r="AN261" s="21">
        <f t="shared" si="39"/>
        <v>0</v>
      </c>
      <c r="AO261" s="3"/>
      <c r="AP261">
        <v>0</v>
      </c>
      <c r="AR261" t="s">
        <v>1</v>
      </c>
      <c r="AT261" s="2" t="s">
        <v>0</v>
      </c>
      <c r="AU261" s="1" t="e">
        <f t="shared" si="35"/>
        <v>#VALUE!</v>
      </c>
      <c r="AV261" s="1" t="e">
        <f t="shared" si="36"/>
        <v>#VALUE!</v>
      </c>
      <c r="AW261" s="1" t="e">
        <f t="shared" si="37"/>
        <v>#VALUE!</v>
      </c>
    </row>
    <row r="262" spans="1:49" x14ac:dyDescent="0.2">
      <c r="A262">
        <v>260</v>
      </c>
      <c r="B262" t="s">
        <v>2023</v>
      </c>
      <c r="C262" t="s">
        <v>2022</v>
      </c>
      <c r="F262" t="s">
        <v>2021</v>
      </c>
      <c r="G262" t="s">
        <v>16</v>
      </c>
      <c r="H262" t="s">
        <v>15</v>
      </c>
      <c r="I262" t="s">
        <v>2020</v>
      </c>
      <c r="N262">
        <v>3</v>
      </c>
      <c r="O262" t="s">
        <v>2019</v>
      </c>
      <c r="P262" t="s">
        <v>2018</v>
      </c>
      <c r="Q262" t="s">
        <v>116</v>
      </c>
      <c r="R262" s="6">
        <v>29587</v>
      </c>
      <c r="S262" s="7">
        <f t="shared" si="32"/>
        <v>1981</v>
      </c>
      <c r="T262" s="7">
        <v>1981</v>
      </c>
      <c r="U262" s="7">
        <f t="shared" si="33"/>
        <v>41</v>
      </c>
      <c r="V262" s="6" t="s">
        <v>2017</v>
      </c>
      <c r="W262" t="s">
        <v>2016</v>
      </c>
      <c r="X262" s="2" t="s">
        <v>0</v>
      </c>
      <c r="Y262" s="5" t="e">
        <f t="shared" si="38"/>
        <v>#VALUE!</v>
      </c>
      <c r="AA262">
        <v>281522</v>
      </c>
      <c r="AB262">
        <v>12174</v>
      </c>
      <c r="AC262">
        <v>21614296</v>
      </c>
      <c r="AD262" t="s">
        <v>5</v>
      </c>
      <c r="AE262">
        <v>28</v>
      </c>
      <c r="AF262">
        <v>2</v>
      </c>
      <c r="AH262" t="s">
        <v>2015</v>
      </c>
      <c r="AI262" t="s">
        <v>2014</v>
      </c>
      <c r="AK262" t="s">
        <v>2013</v>
      </c>
      <c r="AL262">
        <v>1</v>
      </c>
      <c r="AM262" s="4">
        <f t="shared" si="34"/>
        <v>2.4390243902439025E-2</v>
      </c>
      <c r="AN262" s="21">
        <f t="shared" si="39"/>
        <v>3.6940922230123474E-5</v>
      </c>
      <c r="AO262" s="3"/>
      <c r="AP262">
        <v>0</v>
      </c>
      <c r="AR262" t="s">
        <v>1</v>
      </c>
      <c r="AT262" s="2" t="s">
        <v>0</v>
      </c>
      <c r="AU262" s="1" t="e">
        <f t="shared" si="35"/>
        <v>#VALUE!</v>
      </c>
      <c r="AV262" s="1" t="e">
        <f t="shared" si="36"/>
        <v>#VALUE!</v>
      </c>
      <c r="AW262" s="1" t="e">
        <f t="shared" si="37"/>
        <v>#VALUE!</v>
      </c>
    </row>
    <row r="263" spans="1:49" x14ac:dyDescent="0.2">
      <c r="A263">
        <v>261</v>
      </c>
      <c r="B263" t="s">
        <v>2012</v>
      </c>
      <c r="C263" t="s">
        <v>2011</v>
      </c>
      <c r="F263" t="s">
        <v>2010</v>
      </c>
      <c r="G263" t="s">
        <v>16</v>
      </c>
      <c r="H263" t="s">
        <v>15</v>
      </c>
      <c r="I263" t="s">
        <v>1707</v>
      </c>
      <c r="N263">
        <v>3</v>
      </c>
      <c r="O263" t="s">
        <v>2009</v>
      </c>
      <c r="P263" t="s">
        <v>2008</v>
      </c>
      <c r="Q263" t="s">
        <v>116</v>
      </c>
      <c r="R263" s="6">
        <v>29587</v>
      </c>
      <c r="S263" s="7">
        <f t="shared" si="32"/>
        <v>1981</v>
      </c>
      <c r="T263" s="7">
        <v>1981</v>
      </c>
      <c r="U263" s="7">
        <f t="shared" si="33"/>
        <v>41</v>
      </c>
      <c r="V263" s="6" t="s">
        <v>2007</v>
      </c>
      <c r="W263" t="s">
        <v>2006</v>
      </c>
      <c r="X263" s="2" t="s">
        <v>0</v>
      </c>
      <c r="Y263" s="5" t="e">
        <f t="shared" si="38"/>
        <v>#VALUE!</v>
      </c>
      <c r="AA263">
        <v>3866831</v>
      </c>
      <c r="AB263">
        <v>31423</v>
      </c>
      <c r="AD263" t="s">
        <v>5</v>
      </c>
      <c r="AE263">
        <v>35</v>
      </c>
      <c r="AF263">
        <v>6</v>
      </c>
      <c r="AH263" t="s">
        <v>2005</v>
      </c>
      <c r="AI263" t="s">
        <v>2004</v>
      </c>
      <c r="AK263" t="s">
        <v>2003</v>
      </c>
      <c r="AL263">
        <v>0</v>
      </c>
      <c r="AM263" s="4">
        <f t="shared" si="34"/>
        <v>0</v>
      </c>
      <c r="AN263" s="21">
        <f t="shared" si="39"/>
        <v>0</v>
      </c>
      <c r="AO263" s="3"/>
      <c r="AP263">
        <v>1</v>
      </c>
      <c r="AR263" t="s">
        <v>1</v>
      </c>
      <c r="AT263" s="2" t="s">
        <v>0</v>
      </c>
      <c r="AU263" s="1" t="e">
        <f t="shared" si="35"/>
        <v>#VALUE!</v>
      </c>
      <c r="AV263" s="1" t="e">
        <f t="shared" si="36"/>
        <v>#VALUE!</v>
      </c>
      <c r="AW263" s="1" t="e">
        <f t="shared" si="37"/>
        <v>#VALUE!</v>
      </c>
    </row>
    <row r="264" spans="1:49" x14ac:dyDescent="0.2">
      <c r="A264">
        <v>262</v>
      </c>
      <c r="B264" t="s">
        <v>2002</v>
      </c>
      <c r="C264" t="s">
        <v>2001</v>
      </c>
      <c r="F264" t="s">
        <v>2000</v>
      </c>
      <c r="G264" t="s">
        <v>16</v>
      </c>
      <c r="H264" t="s">
        <v>15</v>
      </c>
      <c r="I264" t="s">
        <v>1999</v>
      </c>
      <c r="J264">
        <v>60019983</v>
      </c>
      <c r="K264" t="s">
        <v>1998</v>
      </c>
      <c r="L264" t="s">
        <v>1997</v>
      </c>
      <c r="M264" t="s">
        <v>312</v>
      </c>
      <c r="N264">
        <v>1</v>
      </c>
      <c r="O264" t="s">
        <v>1996</v>
      </c>
      <c r="P264">
        <v>55364509400</v>
      </c>
      <c r="Q264">
        <v>60019983</v>
      </c>
      <c r="R264" s="6">
        <v>29587</v>
      </c>
      <c r="S264" s="7">
        <f t="shared" si="32"/>
        <v>1981</v>
      </c>
      <c r="T264" s="7">
        <v>1981</v>
      </c>
      <c r="U264" s="7">
        <f t="shared" si="33"/>
        <v>41</v>
      </c>
      <c r="V264" s="6">
        <v>29738</v>
      </c>
      <c r="W264" t="s">
        <v>466</v>
      </c>
      <c r="X264" s="2">
        <v>0.111</v>
      </c>
      <c r="Y264" s="5">
        <f t="shared" si="38"/>
        <v>2.9630816048690639E-3</v>
      </c>
      <c r="AA264">
        <v>87566621</v>
      </c>
      <c r="AB264">
        <v>24890</v>
      </c>
      <c r="AC264">
        <v>15206424</v>
      </c>
      <c r="AD264" t="s">
        <v>5</v>
      </c>
      <c r="AE264">
        <v>64</v>
      </c>
      <c r="AF264">
        <v>6</v>
      </c>
      <c r="AH264" t="s">
        <v>1995</v>
      </c>
      <c r="AI264" t="s">
        <v>1994</v>
      </c>
      <c r="AK264" t="s">
        <v>1993</v>
      </c>
      <c r="AL264">
        <v>0</v>
      </c>
      <c r="AM264" s="4">
        <f t="shared" si="34"/>
        <v>0</v>
      </c>
      <c r="AN264" s="21">
        <f t="shared" si="39"/>
        <v>0</v>
      </c>
      <c r="AO264" s="3"/>
      <c r="AP264">
        <v>0</v>
      </c>
      <c r="AR264" t="s">
        <v>1</v>
      </c>
      <c r="AT264" s="2" t="s">
        <v>0</v>
      </c>
      <c r="AU264" s="1">
        <f t="shared" si="35"/>
        <v>0.20741571234083445</v>
      </c>
      <c r="AV264" s="1">
        <f t="shared" si="36"/>
        <v>0.1481540802434532</v>
      </c>
      <c r="AW264" s="1">
        <f t="shared" si="37"/>
        <v>8.8892448146071903E-2</v>
      </c>
    </row>
    <row r="265" spans="1:49" x14ac:dyDescent="0.2">
      <c r="A265">
        <v>263</v>
      </c>
      <c r="B265" t="s">
        <v>1992</v>
      </c>
      <c r="C265" t="s">
        <v>1991</v>
      </c>
      <c r="F265" t="s">
        <v>1990</v>
      </c>
      <c r="G265" t="s">
        <v>16</v>
      </c>
      <c r="H265" t="s">
        <v>15</v>
      </c>
      <c r="I265" t="s">
        <v>1989</v>
      </c>
      <c r="J265">
        <v>60000221</v>
      </c>
      <c r="K265" t="s">
        <v>1021</v>
      </c>
      <c r="L265" t="s">
        <v>600</v>
      </c>
      <c r="M265" t="s">
        <v>11</v>
      </c>
      <c r="N265">
        <v>2</v>
      </c>
      <c r="O265" t="s">
        <v>1988</v>
      </c>
      <c r="P265" t="s">
        <v>1987</v>
      </c>
      <c r="Q265" t="s">
        <v>1018</v>
      </c>
      <c r="R265" s="6">
        <v>29587</v>
      </c>
      <c r="S265" s="7">
        <f t="shared" si="32"/>
        <v>1981</v>
      </c>
      <c r="T265" s="7">
        <v>1981</v>
      </c>
      <c r="U265" s="7">
        <f t="shared" si="33"/>
        <v>41</v>
      </c>
      <c r="V265" s="6">
        <v>29707</v>
      </c>
      <c r="W265" t="s">
        <v>235</v>
      </c>
      <c r="X265" s="2">
        <v>1.6519999999999999</v>
      </c>
      <c r="Y265" s="5">
        <f t="shared" si="38"/>
        <v>4.409919649769093E-2</v>
      </c>
      <c r="AA265" t="s">
        <v>234</v>
      </c>
      <c r="AB265">
        <v>17337</v>
      </c>
      <c r="AC265">
        <v>15582221</v>
      </c>
      <c r="AD265" t="s">
        <v>5</v>
      </c>
      <c r="AE265">
        <v>29</v>
      </c>
      <c r="AF265">
        <v>3</v>
      </c>
      <c r="AH265" t="s">
        <v>1986</v>
      </c>
      <c r="AI265" t="s">
        <v>1985</v>
      </c>
      <c r="AK265" t="s">
        <v>1984</v>
      </c>
      <c r="AL265">
        <v>0</v>
      </c>
      <c r="AM265" s="4">
        <f t="shared" si="34"/>
        <v>0</v>
      </c>
      <c r="AN265" s="21">
        <f t="shared" si="39"/>
        <v>0</v>
      </c>
      <c r="AO265" s="3"/>
      <c r="AP265">
        <v>0</v>
      </c>
      <c r="AR265" t="s">
        <v>1</v>
      </c>
      <c r="AT265" s="2" t="s">
        <v>0</v>
      </c>
      <c r="AU265" s="1">
        <f t="shared" si="35"/>
        <v>3.0869437548383649</v>
      </c>
      <c r="AV265" s="1">
        <f t="shared" si="36"/>
        <v>2.2049598248845466</v>
      </c>
      <c r="AW265" s="1">
        <f t="shared" si="37"/>
        <v>1.3229758949307278</v>
      </c>
    </row>
    <row r="266" spans="1:49" x14ac:dyDescent="0.2">
      <c r="A266">
        <v>264</v>
      </c>
      <c r="B266" t="s">
        <v>1983</v>
      </c>
      <c r="C266" t="s">
        <v>1982</v>
      </c>
      <c r="F266" t="s">
        <v>1981</v>
      </c>
      <c r="G266" t="s">
        <v>16</v>
      </c>
      <c r="H266" t="s">
        <v>15</v>
      </c>
      <c r="I266" t="s">
        <v>1980</v>
      </c>
      <c r="J266">
        <v>60003088</v>
      </c>
      <c r="K266" t="s">
        <v>1979</v>
      </c>
      <c r="L266" t="s">
        <v>67</v>
      </c>
      <c r="M266" t="s">
        <v>11</v>
      </c>
      <c r="N266">
        <v>1</v>
      </c>
      <c r="O266" t="s">
        <v>1978</v>
      </c>
      <c r="P266">
        <v>7006218526</v>
      </c>
      <c r="Q266">
        <v>60003088</v>
      </c>
      <c r="R266" s="6">
        <v>29587</v>
      </c>
      <c r="S266" s="7">
        <f t="shared" si="32"/>
        <v>1981</v>
      </c>
      <c r="T266" s="7">
        <v>1981</v>
      </c>
      <c r="U266" s="7">
        <f t="shared" si="33"/>
        <v>41</v>
      </c>
      <c r="V266" s="6">
        <v>29707</v>
      </c>
      <c r="W266" t="s">
        <v>235</v>
      </c>
      <c r="X266" s="2">
        <v>1.6519999999999999</v>
      </c>
      <c r="Y266" s="5">
        <f t="shared" si="38"/>
        <v>4.409919649769093E-2</v>
      </c>
      <c r="AA266" t="s">
        <v>234</v>
      </c>
      <c r="AB266">
        <v>17337</v>
      </c>
      <c r="AC266">
        <v>15582221</v>
      </c>
      <c r="AD266" t="s">
        <v>5</v>
      </c>
      <c r="AE266">
        <v>29</v>
      </c>
      <c r="AF266">
        <v>3</v>
      </c>
      <c r="AH266" t="s">
        <v>1977</v>
      </c>
      <c r="AI266" t="s">
        <v>1976</v>
      </c>
      <c r="AK266" t="s">
        <v>1975</v>
      </c>
      <c r="AL266">
        <v>6</v>
      </c>
      <c r="AM266" s="4">
        <f t="shared" si="34"/>
        <v>0.14634146341463414</v>
      </c>
      <c r="AN266" s="21">
        <f t="shared" si="39"/>
        <v>2.2164553338074083E-4</v>
      </c>
      <c r="AO266" s="3"/>
      <c r="AP266">
        <v>0</v>
      </c>
      <c r="AR266" t="s">
        <v>1</v>
      </c>
      <c r="AT266" s="2" t="s">
        <v>0</v>
      </c>
      <c r="AU266" s="1">
        <f t="shared" si="35"/>
        <v>3.0935931208397873</v>
      </c>
      <c r="AV266" s="1">
        <f t="shared" si="36"/>
        <v>2.2160421015535836</v>
      </c>
      <c r="AW266" s="1">
        <f t="shared" si="37"/>
        <v>1.3384910822673797</v>
      </c>
    </row>
    <row r="267" spans="1:49" x14ac:dyDescent="0.2">
      <c r="A267">
        <v>265</v>
      </c>
      <c r="B267" t="s">
        <v>1974</v>
      </c>
      <c r="C267" t="s">
        <v>1973</v>
      </c>
      <c r="F267" t="s">
        <v>1972</v>
      </c>
      <c r="G267" t="s">
        <v>16</v>
      </c>
      <c r="H267" t="s">
        <v>15</v>
      </c>
      <c r="I267" t="s">
        <v>1971</v>
      </c>
      <c r="J267" t="s">
        <v>1970</v>
      </c>
      <c r="K267" t="s">
        <v>1969</v>
      </c>
      <c r="L267" t="s">
        <v>1968</v>
      </c>
      <c r="M267" t="s">
        <v>277</v>
      </c>
      <c r="N267">
        <v>2</v>
      </c>
      <c r="O267" t="s">
        <v>1967</v>
      </c>
      <c r="P267" t="s">
        <v>1966</v>
      </c>
      <c r="Q267" t="s">
        <v>1965</v>
      </c>
      <c r="R267" s="6">
        <v>29587</v>
      </c>
      <c r="S267" s="7">
        <f t="shared" si="32"/>
        <v>1981</v>
      </c>
      <c r="T267" s="7">
        <v>1981</v>
      </c>
      <c r="U267" s="7">
        <f t="shared" si="33"/>
        <v>41</v>
      </c>
      <c r="V267" s="6">
        <v>29707</v>
      </c>
      <c r="W267" t="s">
        <v>235</v>
      </c>
      <c r="X267" s="2">
        <v>1.6519999999999999</v>
      </c>
      <c r="Y267" s="5">
        <f t="shared" si="38"/>
        <v>4.409919649769093E-2</v>
      </c>
      <c r="AA267" t="s">
        <v>234</v>
      </c>
      <c r="AB267">
        <v>17337</v>
      </c>
      <c r="AC267">
        <v>15582221</v>
      </c>
      <c r="AD267" t="s">
        <v>5</v>
      </c>
      <c r="AE267">
        <v>29</v>
      </c>
      <c r="AF267">
        <v>3</v>
      </c>
      <c r="AH267" t="s">
        <v>1964</v>
      </c>
      <c r="AI267" t="s">
        <v>1963</v>
      </c>
      <c r="AK267" t="s">
        <v>1962</v>
      </c>
      <c r="AL267">
        <v>30</v>
      </c>
      <c r="AM267" s="4">
        <f t="shared" si="34"/>
        <v>0.73170731707317072</v>
      </c>
      <c r="AN267" s="21">
        <f t="shared" si="39"/>
        <v>1.1082276669037042E-3</v>
      </c>
      <c r="AO267" s="3"/>
      <c r="AP267">
        <v>0</v>
      </c>
      <c r="AR267" t="s">
        <v>1</v>
      </c>
      <c r="AT267" s="2" t="s">
        <v>0</v>
      </c>
      <c r="AU267" s="1">
        <f t="shared" si="35"/>
        <v>3.1201905848454765</v>
      </c>
      <c r="AV267" s="1">
        <f t="shared" si="36"/>
        <v>2.2603712082297318</v>
      </c>
      <c r="AW267" s="1">
        <f t="shared" si="37"/>
        <v>1.4005518316139871</v>
      </c>
    </row>
    <row r="268" spans="1:49" x14ac:dyDescent="0.2">
      <c r="A268">
        <v>266</v>
      </c>
      <c r="B268" t="s">
        <v>1961</v>
      </c>
      <c r="C268" t="s">
        <v>1960</v>
      </c>
      <c r="F268" t="s">
        <v>1959</v>
      </c>
      <c r="G268" t="s">
        <v>16</v>
      </c>
      <c r="H268" t="s">
        <v>15</v>
      </c>
      <c r="R268" s="6">
        <v>29587</v>
      </c>
      <c r="S268" s="7">
        <f t="shared" si="32"/>
        <v>1981</v>
      </c>
      <c r="T268" s="7">
        <v>1981</v>
      </c>
      <c r="U268" s="7">
        <f t="shared" si="33"/>
        <v>41</v>
      </c>
      <c r="V268" s="6">
        <v>29707</v>
      </c>
      <c r="W268" t="s">
        <v>725</v>
      </c>
      <c r="X268" s="2">
        <v>1.137</v>
      </c>
      <c r="Y268" s="5">
        <f t="shared" si="38"/>
        <v>3.0351565628253384E-2</v>
      </c>
      <c r="AA268">
        <v>189251</v>
      </c>
      <c r="AB268">
        <v>17336</v>
      </c>
      <c r="AD268" t="s">
        <v>5</v>
      </c>
      <c r="AE268" t="s">
        <v>724</v>
      </c>
      <c r="AF268">
        <v>3</v>
      </c>
      <c r="AH268" t="s">
        <v>1958</v>
      </c>
      <c r="AI268" t="s">
        <v>1957</v>
      </c>
      <c r="AK268" t="s">
        <v>1956</v>
      </c>
      <c r="AL268">
        <v>0</v>
      </c>
      <c r="AM268" s="4">
        <f t="shared" si="34"/>
        <v>0</v>
      </c>
      <c r="AN268" s="21">
        <f t="shared" si="39"/>
        <v>0</v>
      </c>
      <c r="AO268" s="3"/>
      <c r="AP268">
        <v>0</v>
      </c>
      <c r="AR268" t="s">
        <v>1</v>
      </c>
      <c r="AT268" s="2" t="s">
        <v>0</v>
      </c>
      <c r="AU268" s="1">
        <f t="shared" si="35"/>
        <v>2.1246095939777367</v>
      </c>
      <c r="AV268" s="1">
        <f t="shared" si="36"/>
        <v>1.5175782814126693</v>
      </c>
      <c r="AW268" s="1">
        <f t="shared" si="37"/>
        <v>0.91054696884760156</v>
      </c>
    </row>
    <row r="269" spans="1:49" x14ac:dyDescent="0.2">
      <c r="A269">
        <v>267</v>
      </c>
      <c r="B269" t="s">
        <v>1955</v>
      </c>
      <c r="C269" t="s">
        <v>1954</v>
      </c>
      <c r="E269">
        <v>7241065</v>
      </c>
      <c r="F269" t="s">
        <v>1953</v>
      </c>
      <c r="G269" t="s">
        <v>16</v>
      </c>
      <c r="H269" t="s">
        <v>15</v>
      </c>
      <c r="I269" t="s">
        <v>1952</v>
      </c>
      <c r="J269">
        <v>60006297</v>
      </c>
      <c r="K269" t="s">
        <v>1951</v>
      </c>
      <c r="L269" t="s">
        <v>1670</v>
      </c>
      <c r="M269" t="s">
        <v>11</v>
      </c>
      <c r="N269">
        <v>3</v>
      </c>
      <c r="O269" t="s">
        <v>1950</v>
      </c>
      <c r="P269" t="s">
        <v>1949</v>
      </c>
      <c r="Q269" t="s">
        <v>1948</v>
      </c>
      <c r="R269" s="6">
        <v>29587</v>
      </c>
      <c r="S269" s="7">
        <f t="shared" si="32"/>
        <v>1981</v>
      </c>
      <c r="T269" s="7">
        <v>1981</v>
      </c>
      <c r="U269" s="7">
        <f t="shared" si="33"/>
        <v>41</v>
      </c>
      <c r="V269" s="6">
        <v>29707</v>
      </c>
      <c r="W269" t="s">
        <v>1947</v>
      </c>
      <c r="X269" s="2" t="s">
        <v>0</v>
      </c>
      <c r="Y269" s="5" t="e">
        <f t="shared" si="38"/>
        <v>#VALUE!</v>
      </c>
      <c r="AA269" t="s">
        <v>1946</v>
      </c>
      <c r="AB269">
        <v>35950</v>
      </c>
      <c r="AC269" t="s">
        <v>1945</v>
      </c>
      <c r="AD269" t="s">
        <v>5</v>
      </c>
      <c r="AE269">
        <v>216</v>
      </c>
      <c r="AF269">
        <v>2</v>
      </c>
      <c r="AH269" t="s">
        <v>1944</v>
      </c>
      <c r="AI269" t="s">
        <v>1943</v>
      </c>
      <c r="AK269" t="s">
        <v>1942</v>
      </c>
      <c r="AL269">
        <v>1</v>
      </c>
      <c r="AM269" s="4">
        <f t="shared" si="34"/>
        <v>2.4390243902439025E-2</v>
      </c>
      <c r="AN269" s="21">
        <f t="shared" si="39"/>
        <v>3.6940922230123474E-5</v>
      </c>
      <c r="AO269" s="3"/>
      <c r="AP269">
        <v>0</v>
      </c>
      <c r="AR269" t="s">
        <v>1</v>
      </c>
      <c r="AT269" s="2" t="s">
        <v>0</v>
      </c>
      <c r="AU269" s="1" t="e">
        <f t="shared" si="35"/>
        <v>#VALUE!</v>
      </c>
      <c r="AV269" s="1" t="e">
        <f t="shared" si="36"/>
        <v>#VALUE!</v>
      </c>
      <c r="AW269" s="1" t="e">
        <f t="shared" si="37"/>
        <v>#VALUE!</v>
      </c>
    </row>
    <row r="270" spans="1:49" x14ac:dyDescent="0.2">
      <c r="A270">
        <v>268</v>
      </c>
      <c r="B270" t="s">
        <v>1941</v>
      </c>
      <c r="C270" t="s">
        <v>1940</v>
      </c>
      <c r="F270" t="s">
        <v>1939</v>
      </c>
      <c r="G270" t="s">
        <v>16</v>
      </c>
      <c r="H270" t="s">
        <v>15</v>
      </c>
      <c r="I270" t="s">
        <v>1938</v>
      </c>
      <c r="J270">
        <v>60018735</v>
      </c>
      <c r="K270" t="s">
        <v>1937</v>
      </c>
      <c r="L270" t="s">
        <v>313</v>
      </c>
      <c r="M270" t="s">
        <v>312</v>
      </c>
      <c r="N270">
        <v>1</v>
      </c>
      <c r="O270" t="s">
        <v>1936</v>
      </c>
      <c r="P270">
        <v>7402452132</v>
      </c>
      <c r="Q270">
        <v>60018735</v>
      </c>
      <c r="R270" s="6">
        <v>29587</v>
      </c>
      <c r="S270" s="7">
        <f t="shared" si="32"/>
        <v>1981</v>
      </c>
      <c r="T270" s="7">
        <v>1981</v>
      </c>
      <c r="U270" s="7">
        <f t="shared" si="33"/>
        <v>41</v>
      </c>
      <c r="V270" s="6">
        <v>29707</v>
      </c>
      <c r="W270" t="s">
        <v>235</v>
      </c>
      <c r="X270" s="2">
        <v>1.6519999999999999</v>
      </c>
      <c r="Y270" s="5">
        <f t="shared" si="38"/>
        <v>4.409919649769093E-2</v>
      </c>
      <c r="AA270" t="s">
        <v>234</v>
      </c>
      <c r="AB270">
        <v>17337</v>
      </c>
      <c r="AC270">
        <v>15582221</v>
      </c>
      <c r="AD270" t="s">
        <v>5</v>
      </c>
      <c r="AE270">
        <v>29</v>
      </c>
      <c r="AF270">
        <v>3</v>
      </c>
      <c r="AH270" t="s">
        <v>1935</v>
      </c>
      <c r="AI270" t="s">
        <v>1934</v>
      </c>
      <c r="AK270" t="s">
        <v>1933</v>
      </c>
      <c r="AL270">
        <v>23</v>
      </c>
      <c r="AM270" s="4">
        <f t="shared" si="34"/>
        <v>0.56097560975609762</v>
      </c>
      <c r="AN270" s="21">
        <f t="shared" si="39"/>
        <v>8.4964121129284004E-4</v>
      </c>
      <c r="AO270" s="3"/>
      <c r="AP270">
        <v>0</v>
      </c>
      <c r="AR270" t="s">
        <v>1</v>
      </c>
      <c r="AT270" s="2" t="s">
        <v>0</v>
      </c>
      <c r="AU270" s="1">
        <f t="shared" si="35"/>
        <v>3.1124329911771502</v>
      </c>
      <c r="AV270" s="1">
        <f t="shared" si="36"/>
        <v>2.2474418854491884</v>
      </c>
      <c r="AW270" s="1">
        <f t="shared" si="37"/>
        <v>1.3824507797212267</v>
      </c>
    </row>
    <row r="271" spans="1:49" x14ac:dyDescent="0.2">
      <c r="A271">
        <v>269</v>
      </c>
      <c r="B271" t="s">
        <v>1932</v>
      </c>
      <c r="C271" t="s">
        <v>1931</v>
      </c>
      <c r="F271" t="s">
        <v>1930</v>
      </c>
      <c r="G271" t="s">
        <v>16</v>
      </c>
      <c r="H271" t="s">
        <v>15</v>
      </c>
      <c r="I271" t="s">
        <v>1929</v>
      </c>
      <c r="J271">
        <v>60015623</v>
      </c>
      <c r="K271" t="s">
        <v>691</v>
      </c>
      <c r="L271" t="s">
        <v>690</v>
      </c>
      <c r="M271" t="s">
        <v>11</v>
      </c>
      <c r="N271">
        <v>1</v>
      </c>
      <c r="O271" t="s">
        <v>1928</v>
      </c>
      <c r="P271">
        <v>7003291453</v>
      </c>
      <c r="Q271">
        <v>60015623</v>
      </c>
      <c r="R271" s="6">
        <v>29587</v>
      </c>
      <c r="S271" s="7">
        <f t="shared" si="32"/>
        <v>1981</v>
      </c>
      <c r="T271" s="7">
        <v>1981</v>
      </c>
      <c r="U271" s="7">
        <f t="shared" si="33"/>
        <v>41</v>
      </c>
      <c r="V271" s="6">
        <v>29707</v>
      </c>
      <c r="W271" t="s">
        <v>1207</v>
      </c>
      <c r="X271" s="2">
        <v>2.383</v>
      </c>
      <c r="Y271" s="5">
        <f t="shared" si="38"/>
        <v>6.3612824003630442E-2</v>
      </c>
      <c r="AA271">
        <v>189219</v>
      </c>
      <c r="AB271">
        <v>17915</v>
      </c>
      <c r="AC271">
        <v>15582256</v>
      </c>
      <c r="AD271" t="s">
        <v>5</v>
      </c>
      <c r="AE271">
        <v>69</v>
      </c>
      <c r="AF271">
        <v>5</v>
      </c>
      <c r="AH271" t="s">
        <v>1927</v>
      </c>
      <c r="AI271" t="s">
        <v>1926</v>
      </c>
      <c r="AK271" t="s">
        <v>1925</v>
      </c>
      <c r="AL271">
        <v>0</v>
      </c>
      <c r="AM271" s="4">
        <f t="shared" si="34"/>
        <v>0</v>
      </c>
      <c r="AN271" s="21">
        <f t="shared" si="39"/>
        <v>0</v>
      </c>
      <c r="AO271" s="3"/>
      <c r="AP271">
        <v>0</v>
      </c>
      <c r="AR271" t="s">
        <v>1</v>
      </c>
      <c r="AT271" s="2">
        <v>10.961</v>
      </c>
      <c r="AU271" s="1">
        <f t="shared" si="35"/>
        <v>4.4528976802541305</v>
      </c>
      <c r="AV271" s="1">
        <f t="shared" si="36"/>
        <v>3.1806412001815221</v>
      </c>
      <c r="AW271" s="1">
        <f t="shared" si="37"/>
        <v>1.9083847201089132</v>
      </c>
    </row>
    <row r="272" spans="1:49" x14ac:dyDescent="0.2">
      <c r="A272">
        <v>270</v>
      </c>
      <c r="B272" t="s">
        <v>1924</v>
      </c>
      <c r="C272" t="s">
        <v>1923</v>
      </c>
      <c r="F272" t="s">
        <v>1922</v>
      </c>
      <c r="G272" t="s">
        <v>16</v>
      </c>
      <c r="H272" t="s">
        <v>15</v>
      </c>
      <c r="I272" t="s">
        <v>1921</v>
      </c>
      <c r="J272">
        <v>115487451</v>
      </c>
      <c r="K272" t="s">
        <v>1920</v>
      </c>
      <c r="L272" t="s">
        <v>1919</v>
      </c>
      <c r="M272" t="s">
        <v>11</v>
      </c>
      <c r="N272">
        <v>1</v>
      </c>
      <c r="O272" t="s">
        <v>1918</v>
      </c>
      <c r="P272">
        <v>7004988978</v>
      </c>
      <c r="Q272">
        <v>115487451</v>
      </c>
      <c r="R272" s="6">
        <v>29587</v>
      </c>
      <c r="S272" s="7">
        <f t="shared" si="32"/>
        <v>1981</v>
      </c>
      <c r="T272" s="7">
        <v>1981</v>
      </c>
      <c r="U272" s="7">
        <f t="shared" si="33"/>
        <v>41</v>
      </c>
      <c r="V272" s="6">
        <v>29707</v>
      </c>
      <c r="W272" t="s">
        <v>1778</v>
      </c>
      <c r="X272" s="2">
        <v>0.65500000000000003</v>
      </c>
      <c r="Y272" s="5">
        <f t="shared" si="38"/>
        <v>1.7484850911614749E-2</v>
      </c>
      <c r="AA272">
        <v>189375</v>
      </c>
      <c r="AB272">
        <v>26051</v>
      </c>
      <c r="AC272" t="s">
        <v>1777</v>
      </c>
      <c r="AD272" t="s">
        <v>5</v>
      </c>
      <c r="AE272" t="s">
        <v>1776</v>
      </c>
      <c r="AF272">
        <v>2</v>
      </c>
      <c r="AH272" t="s">
        <v>1917</v>
      </c>
      <c r="AI272" t="s">
        <v>1916</v>
      </c>
      <c r="AJ272" t="s">
        <v>1915</v>
      </c>
      <c r="AK272" t="s">
        <v>1914</v>
      </c>
      <c r="AL272">
        <v>1</v>
      </c>
      <c r="AM272" s="4">
        <f t="shared" si="34"/>
        <v>2.4390243902439025E-2</v>
      </c>
      <c r="AN272" s="21">
        <f t="shared" si="39"/>
        <v>3.6940922230123474E-5</v>
      </c>
      <c r="AO272" s="3"/>
      <c r="AP272">
        <v>0</v>
      </c>
      <c r="AR272" t="s">
        <v>1</v>
      </c>
      <c r="AT272" s="2" t="s">
        <v>0</v>
      </c>
      <c r="AU272" s="1">
        <f t="shared" si="35"/>
        <v>1.225047791479936</v>
      </c>
      <c r="AV272" s="1">
        <f t="shared" si="36"/>
        <v>0.87608959169224365</v>
      </c>
      <c r="AW272" s="1">
        <f t="shared" si="37"/>
        <v>0.52713139190455116</v>
      </c>
    </row>
    <row r="273" spans="1:49" x14ac:dyDescent="0.2">
      <c r="A273">
        <v>271</v>
      </c>
      <c r="B273" t="s">
        <v>1913</v>
      </c>
      <c r="C273" t="s">
        <v>1912</v>
      </c>
      <c r="F273" t="s">
        <v>1911</v>
      </c>
      <c r="G273" t="s">
        <v>16</v>
      </c>
      <c r="H273" t="s">
        <v>15</v>
      </c>
      <c r="I273" t="s">
        <v>1910</v>
      </c>
      <c r="J273">
        <v>60020444</v>
      </c>
      <c r="K273" t="s">
        <v>1909</v>
      </c>
      <c r="L273" t="s">
        <v>67</v>
      </c>
      <c r="M273" t="s">
        <v>11</v>
      </c>
      <c r="N273">
        <v>1</v>
      </c>
      <c r="O273" t="s">
        <v>1908</v>
      </c>
      <c r="P273">
        <v>7005064847</v>
      </c>
      <c r="Q273">
        <v>60020444</v>
      </c>
      <c r="R273" s="6">
        <v>29587</v>
      </c>
      <c r="S273" s="7">
        <f t="shared" si="32"/>
        <v>1981</v>
      </c>
      <c r="T273" s="7">
        <v>1981</v>
      </c>
      <c r="U273" s="7">
        <f t="shared" si="33"/>
        <v>41</v>
      </c>
      <c r="V273" s="6">
        <v>29707</v>
      </c>
      <c r="W273" t="s">
        <v>1778</v>
      </c>
      <c r="X273" s="2">
        <v>0.65500000000000003</v>
      </c>
      <c r="Y273" s="5">
        <f t="shared" si="38"/>
        <v>1.7484850911614749E-2</v>
      </c>
      <c r="AA273">
        <v>189375</v>
      </c>
      <c r="AB273">
        <v>26051</v>
      </c>
      <c r="AC273" t="s">
        <v>1777</v>
      </c>
      <c r="AD273" t="s">
        <v>5</v>
      </c>
      <c r="AE273" t="s">
        <v>1776</v>
      </c>
      <c r="AF273">
        <v>2</v>
      </c>
      <c r="AH273" t="s">
        <v>1907</v>
      </c>
      <c r="AI273" t="s">
        <v>1906</v>
      </c>
      <c r="AJ273" t="s">
        <v>1905</v>
      </c>
      <c r="AK273" t="s">
        <v>1904</v>
      </c>
      <c r="AL273">
        <v>4</v>
      </c>
      <c r="AM273" s="4">
        <f t="shared" si="34"/>
        <v>9.7560975609756101E-2</v>
      </c>
      <c r="AN273" s="21">
        <f t="shared" si="39"/>
        <v>1.477636889204939E-4</v>
      </c>
      <c r="AO273" s="3"/>
      <c r="AP273">
        <v>0</v>
      </c>
      <c r="AR273" t="s">
        <v>1</v>
      </c>
      <c r="AT273" s="2" t="s">
        <v>0</v>
      </c>
      <c r="AU273" s="1">
        <f t="shared" si="35"/>
        <v>1.228372474480647</v>
      </c>
      <c r="AV273" s="1">
        <f t="shared" si="36"/>
        <v>0.88163073002676207</v>
      </c>
      <c r="AW273" s="1">
        <f t="shared" si="37"/>
        <v>0.53488898557287712</v>
      </c>
    </row>
    <row r="274" spans="1:49" x14ac:dyDescent="0.2">
      <c r="A274">
        <v>272</v>
      </c>
      <c r="B274" t="s">
        <v>1903</v>
      </c>
      <c r="C274" t="s">
        <v>1902</v>
      </c>
      <c r="F274" t="s">
        <v>1901</v>
      </c>
      <c r="G274" t="s">
        <v>16</v>
      </c>
      <c r="H274" t="s">
        <v>15</v>
      </c>
      <c r="I274" t="s">
        <v>624</v>
      </c>
      <c r="J274">
        <v>60001247</v>
      </c>
      <c r="K274" t="s">
        <v>623</v>
      </c>
      <c r="M274" t="s">
        <v>11</v>
      </c>
      <c r="N274">
        <v>1</v>
      </c>
      <c r="O274" t="s">
        <v>1900</v>
      </c>
      <c r="P274">
        <v>55951888900</v>
      </c>
      <c r="Q274">
        <v>60001247</v>
      </c>
      <c r="R274" s="6">
        <v>29587</v>
      </c>
      <c r="S274" s="7">
        <f t="shared" si="32"/>
        <v>1981</v>
      </c>
      <c r="T274" s="7">
        <v>1981</v>
      </c>
      <c r="U274" s="7">
        <f t="shared" si="33"/>
        <v>41</v>
      </c>
      <c r="V274" s="6">
        <v>29707</v>
      </c>
      <c r="W274" t="s">
        <v>235</v>
      </c>
      <c r="X274" s="2">
        <v>1.6519999999999999</v>
      </c>
      <c r="Y274" s="5">
        <f t="shared" si="38"/>
        <v>4.409919649769093E-2</v>
      </c>
      <c r="AA274" t="s">
        <v>234</v>
      </c>
      <c r="AB274">
        <v>17337</v>
      </c>
      <c r="AC274">
        <v>15582221</v>
      </c>
      <c r="AD274" t="s">
        <v>5</v>
      </c>
      <c r="AE274">
        <v>29</v>
      </c>
      <c r="AF274">
        <v>3</v>
      </c>
      <c r="AH274" t="s">
        <v>1899</v>
      </c>
      <c r="AI274" t="s">
        <v>1898</v>
      </c>
      <c r="AK274" t="s">
        <v>1897</v>
      </c>
      <c r="AL274">
        <v>4</v>
      </c>
      <c r="AM274" s="4">
        <f t="shared" si="34"/>
        <v>9.7560975609756101E-2</v>
      </c>
      <c r="AN274" s="21">
        <f t="shared" si="39"/>
        <v>1.477636889204939E-4</v>
      </c>
      <c r="AO274" s="3"/>
      <c r="AP274">
        <v>0</v>
      </c>
      <c r="AR274" t="s">
        <v>1</v>
      </c>
      <c r="AT274" s="2" t="s">
        <v>0</v>
      </c>
      <c r="AU274" s="1">
        <f t="shared" si="35"/>
        <v>3.09137666550598</v>
      </c>
      <c r="AV274" s="1">
        <f t="shared" si="36"/>
        <v>2.212348009330571</v>
      </c>
      <c r="AW274" s="1">
        <f t="shared" si="37"/>
        <v>1.3333193531551624</v>
      </c>
    </row>
    <row r="275" spans="1:49" x14ac:dyDescent="0.2">
      <c r="A275">
        <v>273</v>
      </c>
      <c r="B275" t="s">
        <v>1896</v>
      </c>
      <c r="C275" t="s">
        <v>1895</v>
      </c>
      <c r="F275" t="s">
        <v>1894</v>
      </c>
      <c r="G275" t="s">
        <v>16</v>
      </c>
      <c r="H275" t="s">
        <v>15</v>
      </c>
      <c r="I275" t="s">
        <v>1893</v>
      </c>
      <c r="J275">
        <v>60009982</v>
      </c>
      <c r="K275" t="s">
        <v>1892</v>
      </c>
      <c r="L275" t="s">
        <v>81</v>
      </c>
      <c r="M275" t="s">
        <v>11</v>
      </c>
      <c r="N275">
        <v>2</v>
      </c>
      <c r="O275" t="s">
        <v>1891</v>
      </c>
      <c r="P275" t="s">
        <v>1890</v>
      </c>
      <c r="Q275" t="s">
        <v>1889</v>
      </c>
      <c r="R275" s="6">
        <v>29587</v>
      </c>
      <c r="S275" s="7">
        <f t="shared" si="32"/>
        <v>1981</v>
      </c>
      <c r="T275" s="7">
        <v>1981</v>
      </c>
      <c r="U275" s="7">
        <f t="shared" si="33"/>
        <v>41</v>
      </c>
      <c r="V275" s="6">
        <v>29707</v>
      </c>
      <c r="W275" t="s">
        <v>235</v>
      </c>
      <c r="X275" s="2">
        <v>1.6519999999999999</v>
      </c>
      <c r="Y275" s="5">
        <f t="shared" si="38"/>
        <v>4.409919649769093E-2</v>
      </c>
      <c r="AA275" t="s">
        <v>234</v>
      </c>
      <c r="AB275">
        <v>17337</v>
      </c>
      <c r="AC275">
        <v>15582221</v>
      </c>
      <c r="AD275" t="s">
        <v>5</v>
      </c>
      <c r="AE275">
        <v>29</v>
      </c>
      <c r="AF275">
        <v>3</v>
      </c>
      <c r="AH275" t="s">
        <v>1888</v>
      </c>
      <c r="AI275" t="s">
        <v>1887</v>
      </c>
      <c r="AK275" t="s">
        <v>1886</v>
      </c>
      <c r="AL275">
        <v>4</v>
      </c>
      <c r="AM275" s="4">
        <f t="shared" si="34"/>
        <v>9.7560975609756101E-2</v>
      </c>
      <c r="AN275" s="21">
        <f t="shared" si="39"/>
        <v>1.477636889204939E-4</v>
      </c>
      <c r="AO275" s="3"/>
      <c r="AP275">
        <v>0</v>
      </c>
      <c r="AR275" t="s">
        <v>1</v>
      </c>
      <c r="AT275" s="2" t="s">
        <v>0</v>
      </c>
      <c r="AU275" s="1">
        <f t="shared" si="35"/>
        <v>3.09137666550598</v>
      </c>
      <c r="AV275" s="1">
        <f t="shared" si="36"/>
        <v>2.212348009330571</v>
      </c>
      <c r="AW275" s="1">
        <f t="shared" si="37"/>
        <v>1.3333193531551624</v>
      </c>
    </row>
    <row r="276" spans="1:49" x14ac:dyDescent="0.2">
      <c r="A276">
        <v>274</v>
      </c>
      <c r="B276" t="s">
        <v>1885</v>
      </c>
      <c r="C276" t="s">
        <v>1884</v>
      </c>
      <c r="F276" t="s">
        <v>1883</v>
      </c>
      <c r="G276" t="s">
        <v>16</v>
      </c>
      <c r="H276" t="s">
        <v>15</v>
      </c>
      <c r="I276" t="s">
        <v>1882</v>
      </c>
      <c r="J276" t="s">
        <v>1877</v>
      </c>
      <c r="K276" t="s">
        <v>1881</v>
      </c>
      <c r="L276" t="s">
        <v>1880</v>
      </c>
      <c r="M276" t="s">
        <v>277</v>
      </c>
      <c r="N276">
        <v>2</v>
      </c>
      <c r="O276" t="s">
        <v>1879</v>
      </c>
      <c r="P276" t="s">
        <v>1878</v>
      </c>
      <c r="Q276" t="s">
        <v>1877</v>
      </c>
      <c r="R276" s="6">
        <v>29587</v>
      </c>
      <c r="S276" s="7">
        <f t="shared" si="32"/>
        <v>1981</v>
      </c>
      <c r="T276" s="7">
        <v>1981</v>
      </c>
      <c r="U276" s="7">
        <f t="shared" si="33"/>
        <v>41</v>
      </c>
      <c r="V276" s="6">
        <v>29707</v>
      </c>
      <c r="W276" t="s">
        <v>235</v>
      </c>
      <c r="X276" s="2">
        <v>1.6519999999999999</v>
      </c>
      <c r="Y276" s="5">
        <f t="shared" si="38"/>
        <v>4.409919649769093E-2</v>
      </c>
      <c r="AA276" t="s">
        <v>234</v>
      </c>
      <c r="AB276">
        <v>17337</v>
      </c>
      <c r="AC276">
        <v>15582221</v>
      </c>
      <c r="AD276" t="s">
        <v>5</v>
      </c>
      <c r="AE276">
        <v>29</v>
      </c>
      <c r="AF276">
        <v>3</v>
      </c>
      <c r="AH276" t="s">
        <v>1876</v>
      </c>
      <c r="AI276" t="s">
        <v>1875</v>
      </c>
      <c r="AK276" t="s">
        <v>1874</v>
      </c>
      <c r="AL276">
        <v>27</v>
      </c>
      <c r="AM276" s="4">
        <f t="shared" si="34"/>
        <v>0.65853658536585369</v>
      </c>
      <c r="AN276" s="21">
        <f t="shared" si="39"/>
        <v>9.9740490021333391E-4</v>
      </c>
      <c r="AO276" s="3"/>
      <c r="AP276">
        <v>0</v>
      </c>
      <c r="AR276" t="s">
        <v>1</v>
      </c>
      <c r="AT276" s="2" t="s">
        <v>0</v>
      </c>
      <c r="AU276" s="1">
        <f t="shared" si="35"/>
        <v>3.1168659018447653</v>
      </c>
      <c r="AV276" s="1">
        <f t="shared" si="36"/>
        <v>2.2548300698952133</v>
      </c>
      <c r="AW276" s="1">
        <f t="shared" si="37"/>
        <v>1.3927942379456613</v>
      </c>
    </row>
    <row r="277" spans="1:49" x14ac:dyDescent="0.2">
      <c r="A277">
        <v>275</v>
      </c>
      <c r="B277" t="s">
        <v>1873</v>
      </c>
      <c r="C277" t="s">
        <v>1872</v>
      </c>
      <c r="F277" t="s">
        <v>1871</v>
      </c>
      <c r="G277" t="s">
        <v>16</v>
      </c>
      <c r="H277" t="s">
        <v>15</v>
      </c>
      <c r="I277" t="s">
        <v>1870</v>
      </c>
      <c r="J277" t="s">
        <v>1865</v>
      </c>
      <c r="K277" t="s">
        <v>1869</v>
      </c>
      <c r="L277" t="s">
        <v>1868</v>
      </c>
      <c r="M277" t="s">
        <v>277</v>
      </c>
      <c r="N277">
        <v>2</v>
      </c>
      <c r="O277" t="s">
        <v>1867</v>
      </c>
      <c r="P277" t="s">
        <v>1866</v>
      </c>
      <c r="Q277" t="s">
        <v>1865</v>
      </c>
      <c r="R277" s="6">
        <v>29587</v>
      </c>
      <c r="S277" s="7">
        <f t="shared" si="32"/>
        <v>1981</v>
      </c>
      <c r="T277" s="7">
        <v>1981</v>
      </c>
      <c r="U277" s="7">
        <f t="shared" si="33"/>
        <v>41</v>
      </c>
      <c r="V277" s="6">
        <v>29707</v>
      </c>
      <c r="W277" t="s">
        <v>235</v>
      </c>
      <c r="X277" s="2">
        <v>1.6519999999999999</v>
      </c>
      <c r="Y277" s="5">
        <f t="shared" si="38"/>
        <v>4.409919649769093E-2</v>
      </c>
      <c r="AA277" t="s">
        <v>234</v>
      </c>
      <c r="AB277">
        <v>17337</v>
      </c>
      <c r="AC277">
        <v>15582221</v>
      </c>
      <c r="AD277" t="s">
        <v>5</v>
      </c>
      <c r="AE277">
        <v>29</v>
      </c>
      <c r="AF277">
        <v>3</v>
      </c>
      <c r="AH277" t="s">
        <v>1864</v>
      </c>
      <c r="AI277" t="s">
        <v>1863</v>
      </c>
      <c r="AK277" t="s">
        <v>1862</v>
      </c>
      <c r="AL277">
        <v>18</v>
      </c>
      <c r="AM277" s="4">
        <f t="shared" si="34"/>
        <v>0.43902439024390244</v>
      </c>
      <c r="AN277" s="21">
        <f t="shared" si="39"/>
        <v>6.6493660014222257E-4</v>
      </c>
      <c r="AO277" s="3"/>
      <c r="AP277">
        <v>0</v>
      </c>
      <c r="AR277" t="s">
        <v>1</v>
      </c>
      <c r="AT277" s="2" t="s">
        <v>0</v>
      </c>
      <c r="AU277" s="1">
        <f t="shared" si="35"/>
        <v>3.1068918528426317</v>
      </c>
      <c r="AV277" s="1">
        <f t="shared" si="36"/>
        <v>2.2382066548916577</v>
      </c>
      <c r="AW277" s="1">
        <f t="shared" si="37"/>
        <v>1.3695214569406833</v>
      </c>
    </row>
    <row r="278" spans="1:49" x14ac:dyDescent="0.2">
      <c r="A278">
        <v>276</v>
      </c>
      <c r="B278" t="s">
        <v>1861</v>
      </c>
      <c r="C278" t="s">
        <v>1860</v>
      </c>
      <c r="F278" t="s">
        <v>1859</v>
      </c>
      <c r="G278" t="s">
        <v>16</v>
      </c>
      <c r="H278" t="s">
        <v>15</v>
      </c>
      <c r="I278" t="s">
        <v>1858</v>
      </c>
      <c r="J278" t="s">
        <v>1853</v>
      </c>
      <c r="K278" t="s">
        <v>1857</v>
      </c>
      <c r="L278" t="s">
        <v>1856</v>
      </c>
      <c r="M278" t="s">
        <v>209</v>
      </c>
      <c r="N278">
        <v>2</v>
      </c>
      <c r="O278" t="s">
        <v>1855</v>
      </c>
      <c r="P278" t="s">
        <v>1854</v>
      </c>
      <c r="Q278" t="s">
        <v>1853</v>
      </c>
      <c r="R278" s="6">
        <v>29587</v>
      </c>
      <c r="S278" s="7">
        <f t="shared" si="32"/>
        <v>1981</v>
      </c>
      <c r="T278" s="7">
        <v>1981</v>
      </c>
      <c r="U278" s="7">
        <f t="shared" si="33"/>
        <v>41</v>
      </c>
      <c r="V278" s="6">
        <v>29707</v>
      </c>
      <c r="W278" t="s">
        <v>235</v>
      </c>
      <c r="X278" s="2">
        <v>1.6519999999999999</v>
      </c>
      <c r="Y278" s="5">
        <f t="shared" si="38"/>
        <v>4.409919649769093E-2</v>
      </c>
      <c r="AA278" t="s">
        <v>234</v>
      </c>
      <c r="AB278">
        <v>17337</v>
      </c>
      <c r="AC278">
        <v>15582221</v>
      </c>
      <c r="AD278" t="s">
        <v>5</v>
      </c>
      <c r="AE278">
        <v>29</v>
      </c>
      <c r="AF278">
        <v>3</v>
      </c>
      <c r="AH278" t="s">
        <v>1852</v>
      </c>
      <c r="AI278" t="s">
        <v>1851</v>
      </c>
      <c r="AK278" t="s">
        <v>1850</v>
      </c>
      <c r="AL278">
        <v>3</v>
      </c>
      <c r="AM278" s="4">
        <f t="shared" si="34"/>
        <v>7.3170731707317069E-2</v>
      </c>
      <c r="AN278" s="21">
        <f t="shared" si="39"/>
        <v>1.1082276669037041E-4</v>
      </c>
      <c r="AO278" s="3"/>
      <c r="AP278">
        <v>0</v>
      </c>
      <c r="AR278" t="s">
        <v>1</v>
      </c>
      <c r="AT278" s="2" t="s">
        <v>0</v>
      </c>
      <c r="AU278" s="1">
        <f t="shared" si="35"/>
        <v>3.0902684378390761</v>
      </c>
      <c r="AV278" s="1">
        <f t="shared" si="36"/>
        <v>2.2105009632190651</v>
      </c>
      <c r="AW278" s="1">
        <f t="shared" si="37"/>
        <v>1.3307334885990536</v>
      </c>
    </row>
    <row r="279" spans="1:49" x14ac:dyDescent="0.2">
      <c r="A279">
        <v>277</v>
      </c>
      <c r="B279" t="s">
        <v>1849</v>
      </c>
      <c r="C279" t="s">
        <v>1848</v>
      </c>
      <c r="F279" t="s">
        <v>1847</v>
      </c>
      <c r="G279" t="s">
        <v>16</v>
      </c>
      <c r="H279" t="s">
        <v>15</v>
      </c>
      <c r="I279" t="s">
        <v>1846</v>
      </c>
      <c r="J279">
        <v>60022195</v>
      </c>
      <c r="K279" t="s">
        <v>634</v>
      </c>
      <c r="L279" t="s">
        <v>81</v>
      </c>
      <c r="M279" t="s">
        <v>11</v>
      </c>
      <c r="N279">
        <v>1</v>
      </c>
      <c r="O279" t="s">
        <v>1845</v>
      </c>
      <c r="P279">
        <v>7103308810</v>
      </c>
      <c r="Q279">
        <v>60022195</v>
      </c>
      <c r="R279" s="6">
        <v>29587</v>
      </c>
      <c r="S279" s="7">
        <f t="shared" si="32"/>
        <v>1981</v>
      </c>
      <c r="T279" s="7">
        <v>1981</v>
      </c>
      <c r="U279" s="7">
        <f t="shared" si="33"/>
        <v>41</v>
      </c>
      <c r="V279" s="6">
        <v>29707</v>
      </c>
      <c r="W279" t="s">
        <v>235</v>
      </c>
      <c r="X279" s="2">
        <v>1.6519999999999999</v>
      </c>
      <c r="Y279" s="5">
        <f t="shared" si="38"/>
        <v>4.409919649769093E-2</v>
      </c>
      <c r="AA279" t="s">
        <v>234</v>
      </c>
      <c r="AB279">
        <v>17337</v>
      </c>
      <c r="AC279">
        <v>15582221</v>
      </c>
      <c r="AD279" t="s">
        <v>5</v>
      </c>
      <c r="AE279">
        <v>29</v>
      </c>
      <c r="AF279">
        <v>3</v>
      </c>
      <c r="AH279" t="s">
        <v>1844</v>
      </c>
      <c r="AI279" t="s">
        <v>1843</v>
      </c>
      <c r="AK279" t="s">
        <v>1842</v>
      </c>
      <c r="AL279">
        <v>14</v>
      </c>
      <c r="AM279" s="4">
        <f t="shared" si="34"/>
        <v>0.34146341463414637</v>
      </c>
      <c r="AN279" s="21">
        <f t="shared" si="39"/>
        <v>5.171729112217287E-4</v>
      </c>
      <c r="AO279" s="3"/>
      <c r="AP279">
        <v>0</v>
      </c>
      <c r="AR279" t="s">
        <v>1</v>
      </c>
      <c r="AT279" s="2" t="s">
        <v>0</v>
      </c>
      <c r="AU279" s="1">
        <f t="shared" si="35"/>
        <v>3.1024589421750166</v>
      </c>
      <c r="AV279" s="1">
        <f t="shared" si="36"/>
        <v>2.2308184704456329</v>
      </c>
      <c r="AW279" s="1">
        <f t="shared" si="37"/>
        <v>1.3591779987162489</v>
      </c>
    </row>
    <row r="280" spans="1:49" x14ac:dyDescent="0.2">
      <c r="A280">
        <v>278</v>
      </c>
      <c r="B280" t="s">
        <v>1841</v>
      </c>
      <c r="C280" t="s">
        <v>1840</v>
      </c>
      <c r="F280" t="s">
        <v>1839</v>
      </c>
      <c r="G280" t="s">
        <v>16</v>
      </c>
      <c r="H280" t="s">
        <v>15</v>
      </c>
      <c r="I280" t="s">
        <v>1838</v>
      </c>
      <c r="J280">
        <v>60005248</v>
      </c>
      <c r="K280" t="s">
        <v>1549</v>
      </c>
      <c r="L280" t="s">
        <v>1548</v>
      </c>
      <c r="M280" t="s">
        <v>11</v>
      </c>
      <c r="N280">
        <v>1</v>
      </c>
      <c r="O280" t="s">
        <v>1837</v>
      </c>
      <c r="P280">
        <v>7003942539</v>
      </c>
      <c r="Q280">
        <v>60005248</v>
      </c>
      <c r="R280" s="6">
        <v>29587</v>
      </c>
      <c r="S280" s="7">
        <f t="shared" si="32"/>
        <v>1981</v>
      </c>
      <c r="T280" s="7">
        <v>1981</v>
      </c>
      <c r="U280" s="7">
        <f t="shared" si="33"/>
        <v>41</v>
      </c>
      <c r="V280" s="6">
        <v>29707</v>
      </c>
      <c r="W280" t="s">
        <v>725</v>
      </c>
      <c r="X280" s="2">
        <v>1.137</v>
      </c>
      <c r="Y280" s="5">
        <f t="shared" si="38"/>
        <v>3.0351565628253384E-2</v>
      </c>
      <c r="AA280">
        <v>189251</v>
      </c>
      <c r="AB280">
        <v>17336</v>
      </c>
      <c r="AD280" t="s">
        <v>5</v>
      </c>
      <c r="AE280" t="s">
        <v>724</v>
      </c>
      <c r="AF280">
        <v>3</v>
      </c>
      <c r="AH280" t="s">
        <v>1836</v>
      </c>
      <c r="AI280" t="s">
        <v>1835</v>
      </c>
      <c r="AK280" t="s">
        <v>1834</v>
      </c>
      <c r="AL280">
        <v>28</v>
      </c>
      <c r="AM280" s="4">
        <f t="shared" si="34"/>
        <v>0.68292682926829273</v>
      </c>
      <c r="AN280" s="21">
        <f t="shared" si="39"/>
        <v>1.0343458224434574E-3</v>
      </c>
      <c r="AO280" s="3"/>
      <c r="AP280">
        <v>0</v>
      </c>
      <c r="AR280" t="s">
        <v>1</v>
      </c>
      <c r="AT280" s="2" t="s">
        <v>0</v>
      </c>
      <c r="AU280" s="1">
        <f t="shared" si="35"/>
        <v>2.1556399686510406</v>
      </c>
      <c r="AV280" s="1">
        <f t="shared" si="36"/>
        <v>1.5692955725348421</v>
      </c>
      <c r="AW280" s="1">
        <f t="shared" si="37"/>
        <v>0.9829511764186436</v>
      </c>
    </row>
    <row r="281" spans="1:49" x14ac:dyDescent="0.2">
      <c r="A281">
        <v>279</v>
      </c>
      <c r="B281" t="s">
        <v>1833</v>
      </c>
      <c r="C281" t="s">
        <v>1832</v>
      </c>
      <c r="F281" t="s">
        <v>1831</v>
      </c>
      <c r="G281" t="s">
        <v>16</v>
      </c>
      <c r="H281" t="s">
        <v>15</v>
      </c>
      <c r="I281" t="s">
        <v>1830</v>
      </c>
      <c r="J281" t="s">
        <v>1825</v>
      </c>
      <c r="K281" t="s">
        <v>1829</v>
      </c>
      <c r="L281" t="s">
        <v>1828</v>
      </c>
      <c r="M281" t="s">
        <v>654</v>
      </c>
      <c r="N281">
        <v>3</v>
      </c>
      <c r="O281" t="s">
        <v>1827</v>
      </c>
      <c r="P281" t="s">
        <v>1826</v>
      </c>
      <c r="Q281" t="s">
        <v>1825</v>
      </c>
      <c r="R281" s="6">
        <v>29587</v>
      </c>
      <c r="S281" s="7">
        <f t="shared" si="32"/>
        <v>1981</v>
      </c>
      <c r="T281" s="7">
        <v>1981</v>
      </c>
      <c r="U281" s="7">
        <f t="shared" si="33"/>
        <v>41</v>
      </c>
      <c r="V281" s="6">
        <v>29707</v>
      </c>
      <c r="W281" t="s">
        <v>725</v>
      </c>
      <c r="X281" s="2">
        <v>1.137</v>
      </c>
      <c r="Y281" s="5">
        <f t="shared" si="38"/>
        <v>3.0351565628253384E-2</v>
      </c>
      <c r="AA281">
        <v>189251</v>
      </c>
      <c r="AB281">
        <v>17336</v>
      </c>
      <c r="AD281" t="s">
        <v>5</v>
      </c>
      <c r="AE281" t="s">
        <v>724</v>
      </c>
      <c r="AF281">
        <v>3</v>
      </c>
      <c r="AH281" t="s">
        <v>1824</v>
      </c>
      <c r="AI281" t="s">
        <v>1823</v>
      </c>
      <c r="AK281" t="s">
        <v>1822</v>
      </c>
      <c r="AL281">
        <v>149</v>
      </c>
      <c r="AM281" s="4">
        <f t="shared" si="34"/>
        <v>3.6341463414634148</v>
      </c>
      <c r="AN281" s="21">
        <f t="shared" si="39"/>
        <v>5.5041974122883976E-3</v>
      </c>
      <c r="AO281" s="3"/>
      <c r="AP281">
        <v>0</v>
      </c>
      <c r="AR281" t="s">
        <v>1</v>
      </c>
      <c r="AT281" s="2" t="s">
        <v>0</v>
      </c>
      <c r="AU281" s="1">
        <f t="shared" si="35"/>
        <v>2.2897355163463886</v>
      </c>
      <c r="AV281" s="1">
        <f t="shared" si="36"/>
        <v>1.7927881520270892</v>
      </c>
      <c r="AW281" s="1">
        <f t="shared" si="37"/>
        <v>1.2958407877077895</v>
      </c>
    </row>
    <row r="282" spans="1:49" x14ac:dyDescent="0.2">
      <c r="A282">
        <v>280</v>
      </c>
      <c r="B282" t="s">
        <v>1821</v>
      </c>
      <c r="C282" t="s">
        <v>1820</v>
      </c>
      <c r="F282" t="s">
        <v>1819</v>
      </c>
      <c r="G282" t="s">
        <v>16</v>
      </c>
      <c r="H282" t="s">
        <v>15</v>
      </c>
      <c r="I282" t="s">
        <v>1818</v>
      </c>
      <c r="J282" t="s">
        <v>1817</v>
      </c>
      <c r="K282" t="s">
        <v>1816</v>
      </c>
      <c r="L282" t="s">
        <v>1815</v>
      </c>
      <c r="M282" t="s">
        <v>1814</v>
      </c>
      <c r="N282">
        <v>3</v>
      </c>
      <c r="O282" t="s">
        <v>1813</v>
      </c>
      <c r="P282" t="s">
        <v>1812</v>
      </c>
      <c r="Q282" t="s">
        <v>1811</v>
      </c>
      <c r="R282" s="6">
        <v>29587</v>
      </c>
      <c r="S282" s="7">
        <f t="shared" si="32"/>
        <v>1981</v>
      </c>
      <c r="T282" s="7">
        <v>1981</v>
      </c>
      <c r="U282" s="7">
        <f t="shared" si="33"/>
        <v>41</v>
      </c>
      <c r="V282" s="6">
        <v>29707</v>
      </c>
      <c r="W282" t="s">
        <v>688</v>
      </c>
      <c r="X282" s="2">
        <v>0.75800000000000001</v>
      </c>
      <c r="Y282" s="5">
        <f t="shared" si="38"/>
        <v>2.0234377085502256E-2</v>
      </c>
      <c r="AA282">
        <v>224650</v>
      </c>
      <c r="AB282">
        <v>29589</v>
      </c>
      <c r="AD282" t="s">
        <v>5</v>
      </c>
      <c r="AE282">
        <v>18</v>
      </c>
      <c r="AF282">
        <v>3</v>
      </c>
      <c r="AH282" t="s">
        <v>1810</v>
      </c>
      <c r="AI282" t="s">
        <v>1809</v>
      </c>
      <c r="AK282" t="s">
        <v>1808</v>
      </c>
      <c r="AL282">
        <v>0</v>
      </c>
      <c r="AM282" s="4">
        <f t="shared" si="34"/>
        <v>0</v>
      </c>
      <c r="AN282" s="21">
        <f t="shared" si="39"/>
        <v>0</v>
      </c>
      <c r="AO282" s="3"/>
      <c r="AP282">
        <v>0</v>
      </c>
      <c r="AR282" t="s">
        <v>1</v>
      </c>
      <c r="AT282" s="2">
        <v>1.282</v>
      </c>
      <c r="AU282" s="1">
        <f t="shared" si="35"/>
        <v>1.4164063959851578</v>
      </c>
      <c r="AV282" s="1">
        <f t="shared" si="36"/>
        <v>1.0117188542751128</v>
      </c>
      <c r="AW282" s="1">
        <f t="shared" si="37"/>
        <v>0.60703131256506759</v>
      </c>
    </row>
    <row r="283" spans="1:49" x14ac:dyDescent="0.2">
      <c r="A283">
        <v>281</v>
      </c>
      <c r="B283" t="s">
        <v>1807</v>
      </c>
      <c r="C283" t="s">
        <v>1806</v>
      </c>
      <c r="F283" t="s">
        <v>1805</v>
      </c>
      <c r="G283" t="s">
        <v>16</v>
      </c>
      <c r="H283" t="s">
        <v>15</v>
      </c>
      <c r="I283" t="s">
        <v>1804</v>
      </c>
      <c r="J283">
        <v>60005429</v>
      </c>
      <c r="K283" t="s">
        <v>1803</v>
      </c>
      <c r="L283" t="s">
        <v>1802</v>
      </c>
      <c r="M283" t="s">
        <v>1801</v>
      </c>
      <c r="N283">
        <v>1</v>
      </c>
      <c r="O283" t="s">
        <v>1800</v>
      </c>
      <c r="P283">
        <v>7404389264</v>
      </c>
      <c r="Q283">
        <v>60005429</v>
      </c>
      <c r="R283" s="6">
        <v>29587</v>
      </c>
      <c r="S283" s="7">
        <f t="shared" si="32"/>
        <v>1981</v>
      </c>
      <c r="T283" s="7">
        <v>1981</v>
      </c>
      <c r="U283" s="7">
        <f t="shared" si="33"/>
        <v>41</v>
      </c>
      <c r="V283" s="6">
        <v>29707</v>
      </c>
      <c r="W283" t="s">
        <v>273</v>
      </c>
      <c r="X283" s="2">
        <v>1.468</v>
      </c>
      <c r="Y283" s="5">
        <f t="shared" si="38"/>
        <v>3.9187421585115186E-2</v>
      </c>
      <c r="AA283">
        <v>906778</v>
      </c>
      <c r="AB283">
        <v>18931</v>
      </c>
      <c r="AD283" t="s">
        <v>5</v>
      </c>
      <c r="AE283">
        <v>29</v>
      </c>
      <c r="AF283">
        <v>5</v>
      </c>
      <c r="AH283" t="s">
        <v>1799</v>
      </c>
      <c r="AI283" t="s">
        <v>1798</v>
      </c>
      <c r="AK283" t="s">
        <v>1797</v>
      </c>
      <c r="AL283">
        <v>1</v>
      </c>
      <c r="AM283" s="4">
        <f t="shared" si="34"/>
        <v>2.4390243902439025E-2</v>
      </c>
      <c r="AN283" s="21">
        <f t="shared" si="39"/>
        <v>3.6940922230123474E-5</v>
      </c>
      <c r="AO283" s="3"/>
      <c r="AP283">
        <v>0</v>
      </c>
      <c r="AR283" t="s">
        <v>1</v>
      </c>
      <c r="AT283" s="2">
        <v>5.0830000000000002</v>
      </c>
      <c r="AU283" s="1">
        <f t="shared" si="35"/>
        <v>2.7442277386249665</v>
      </c>
      <c r="AV283" s="1">
        <f t="shared" si="36"/>
        <v>1.9612181253672656</v>
      </c>
      <c r="AW283" s="1">
        <f t="shared" si="37"/>
        <v>1.1782085121095642</v>
      </c>
    </row>
    <row r="284" spans="1:49" x14ac:dyDescent="0.2">
      <c r="A284">
        <v>282</v>
      </c>
      <c r="B284" t="s">
        <v>1796</v>
      </c>
      <c r="C284" t="s">
        <v>1795</v>
      </c>
      <c r="F284" t="s">
        <v>1794</v>
      </c>
      <c r="G284" t="s">
        <v>16</v>
      </c>
      <c r="H284" t="s">
        <v>15</v>
      </c>
      <c r="I284" t="s">
        <v>1793</v>
      </c>
      <c r="N284">
        <v>1</v>
      </c>
      <c r="O284" t="s">
        <v>1792</v>
      </c>
      <c r="P284">
        <v>6602288108</v>
      </c>
      <c r="R284" s="6">
        <v>29587</v>
      </c>
      <c r="S284" s="7">
        <f t="shared" si="32"/>
        <v>1981</v>
      </c>
      <c r="T284" s="7">
        <v>1981</v>
      </c>
      <c r="U284" s="7">
        <f t="shared" si="33"/>
        <v>41</v>
      </c>
      <c r="V284" s="6" t="s">
        <v>1791</v>
      </c>
      <c r="W284" t="s">
        <v>323</v>
      </c>
      <c r="X284" s="2">
        <v>0.371</v>
      </c>
      <c r="Y284" s="5">
        <f t="shared" si="38"/>
        <v>9.9036331117695747E-3</v>
      </c>
      <c r="AA284">
        <v>486604</v>
      </c>
      <c r="AB284">
        <v>28580</v>
      </c>
      <c r="AC284" t="s">
        <v>322</v>
      </c>
      <c r="AD284" t="s">
        <v>5</v>
      </c>
      <c r="AE284">
        <v>16</v>
      </c>
      <c r="AF284">
        <v>3</v>
      </c>
      <c r="AH284" t="s">
        <v>1790</v>
      </c>
      <c r="AI284" t="s">
        <v>1789</v>
      </c>
      <c r="AK284" t="s">
        <v>1788</v>
      </c>
      <c r="AL284">
        <v>2</v>
      </c>
      <c r="AM284" s="4">
        <f t="shared" si="34"/>
        <v>4.878048780487805E-2</v>
      </c>
      <c r="AN284" s="21">
        <f t="shared" si="39"/>
        <v>7.3881844460246948E-5</v>
      </c>
      <c r="AO284" s="3"/>
      <c r="AP284">
        <v>0</v>
      </c>
      <c r="AR284" t="s">
        <v>1</v>
      </c>
      <c r="AT284" s="2">
        <v>1.431</v>
      </c>
      <c r="AU284" s="1">
        <f t="shared" si="35"/>
        <v>0.69547077315767758</v>
      </c>
      <c r="AV284" s="1">
        <f t="shared" si="36"/>
        <v>0.49887574781149102</v>
      </c>
      <c r="AW284" s="1">
        <f t="shared" si="37"/>
        <v>0.30228072246530457</v>
      </c>
    </row>
    <row r="285" spans="1:49" x14ac:dyDescent="0.2">
      <c r="A285">
        <v>283</v>
      </c>
      <c r="B285" t="s">
        <v>1787</v>
      </c>
      <c r="C285" t="s">
        <v>1786</v>
      </c>
      <c r="F285" t="s">
        <v>1785</v>
      </c>
      <c r="G285" t="s">
        <v>16</v>
      </c>
      <c r="H285" t="s">
        <v>15</v>
      </c>
      <c r="I285" t="s">
        <v>1784</v>
      </c>
      <c r="J285">
        <v>60092996</v>
      </c>
      <c r="K285" t="s">
        <v>1783</v>
      </c>
      <c r="L285" t="s">
        <v>1782</v>
      </c>
      <c r="M285" t="s">
        <v>11</v>
      </c>
      <c r="N285">
        <v>2</v>
      </c>
      <c r="O285" t="s">
        <v>1781</v>
      </c>
      <c r="P285" t="s">
        <v>1780</v>
      </c>
      <c r="Q285" t="s">
        <v>1779</v>
      </c>
      <c r="R285" s="6">
        <v>29587</v>
      </c>
      <c r="S285" s="7">
        <f t="shared" si="32"/>
        <v>1981</v>
      </c>
      <c r="T285" s="7">
        <v>1981</v>
      </c>
      <c r="U285" s="7">
        <f t="shared" si="33"/>
        <v>41</v>
      </c>
      <c r="V285" s="6">
        <v>29707</v>
      </c>
      <c r="W285" t="s">
        <v>1778</v>
      </c>
      <c r="X285" s="2">
        <v>0.65500000000000003</v>
      </c>
      <c r="Y285" s="5">
        <f t="shared" si="38"/>
        <v>1.7484850911614749E-2</v>
      </c>
      <c r="AA285">
        <v>189375</v>
      </c>
      <c r="AB285">
        <v>26051</v>
      </c>
      <c r="AC285" t="s">
        <v>1777</v>
      </c>
      <c r="AD285" t="s">
        <v>5</v>
      </c>
      <c r="AE285" t="s">
        <v>1776</v>
      </c>
      <c r="AF285">
        <v>2</v>
      </c>
      <c r="AH285" t="s">
        <v>1775</v>
      </c>
      <c r="AI285" t="s">
        <v>1774</v>
      </c>
      <c r="AJ285" t="s">
        <v>1773</v>
      </c>
      <c r="AK285" t="s">
        <v>1772</v>
      </c>
      <c r="AL285">
        <v>239</v>
      </c>
      <c r="AM285" s="4">
        <f t="shared" si="34"/>
        <v>5.8292682926829267</v>
      </c>
      <c r="AN285" s="21">
        <f t="shared" si="39"/>
        <v>8.8288804129995103E-3</v>
      </c>
      <c r="AO285" s="3"/>
      <c r="AP285">
        <v>0</v>
      </c>
      <c r="AR285" t="s">
        <v>1</v>
      </c>
      <c r="AT285" s="2" t="s">
        <v>0</v>
      </c>
      <c r="AU285" s="1">
        <f t="shared" si="35"/>
        <v>1.4888059762030175</v>
      </c>
      <c r="AV285" s="1">
        <f t="shared" si="36"/>
        <v>1.3156865662307129</v>
      </c>
      <c r="AW285" s="1">
        <f t="shared" si="37"/>
        <v>1.1425671562584081</v>
      </c>
    </row>
    <row r="286" spans="1:49" x14ac:dyDescent="0.2">
      <c r="A286">
        <v>284</v>
      </c>
      <c r="B286" t="s">
        <v>1771</v>
      </c>
      <c r="C286" t="s">
        <v>1770</v>
      </c>
      <c r="F286" t="s">
        <v>1769</v>
      </c>
      <c r="G286" t="s">
        <v>16</v>
      </c>
      <c r="H286" t="s">
        <v>15</v>
      </c>
      <c r="I286" t="s">
        <v>1768</v>
      </c>
      <c r="J286">
        <v>60025757</v>
      </c>
      <c r="K286" t="s">
        <v>1767</v>
      </c>
      <c r="L286" t="s">
        <v>1766</v>
      </c>
      <c r="M286" t="s">
        <v>577</v>
      </c>
      <c r="N286">
        <v>3</v>
      </c>
      <c r="O286" t="s">
        <v>1765</v>
      </c>
      <c r="P286" t="s">
        <v>1764</v>
      </c>
      <c r="Q286" t="s">
        <v>1763</v>
      </c>
      <c r="R286" s="6">
        <v>29587</v>
      </c>
      <c r="S286" s="7">
        <f t="shared" si="32"/>
        <v>1981</v>
      </c>
      <c r="T286" s="7">
        <v>1981</v>
      </c>
      <c r="U286" s="7">
        <f t="shared" si="33"/>
        <v>41</v>
      </c>
      <c r="V286" s="6">
        <v>29707</v>
      </c>
      <c r="W286" t="s">
        <v>235</v>
      </c>
      <c r="X286" s="2">
        <v>1.6519999999999999</v>
      </c>
      <c r="Y286" s="5">
        <f t="shared" si="38"/>
        <v>4.409919649769093E-2</v>
      </c>
      <c r="AA286" t="s">
        <v>234</v>
      </c>
      <c r="AB286">
        <v>17337</v>
      </c>
      <c r="AC286">
        <v>15582221</v>
      </c>
      <c r="AD286" t="s">
        <v>5</v>
      </c>
      <c r="AE286">
        <v>29</v>
      </c>
      <c r="AF286">
        <v>3</v>
      </c>
      <c r="AH286" t="s">
        <v>1762</v>
      </c>
      <c r="AI286" t="s">
        <v>1761</v>
      </c>
      <c r="AK286" t="s">
        <v>1760</v>
      </c>
      <c r="AL286">
        <v>2</v>
      </c>
      <c r="AM286" s="4">
        <f t="shared" si="34"/>
        <v>4.878048780487805E-2</v>
      </c>
      <c r="AN286" s="21">
        <f t="shared" si="39"/>
        <v>7.3881844460246948E-5</v>
      </c>
      <c r="AO286" s="3"/>
      <c r="AP286">
        <v>0</v>
      </c>
      <c r="AR286" t="s">
        <v>1</v>
      </c>
      <c r="AT286" s="2" t="s">
        <v>0</v>
      </c>
      <c r="AU286" s="1">
        <f t="shared" si="35"/>
        <v>3.0891602101721727</v>
      </c>
      <c r="AV286" s="1">
        <f t="shared" si="36"/>
        <v>2.2086539171075592</v>
      </c>
      <c r="AW286" s="1">
        <f t="shared" si="37"/>
        <v>1.3281476240429451</v>
      </c>
    </row>
    <row r="287" spans="1:49" x14ac:dyDescent="0.2">
      <c r="A287">
        <v>285</v>
      </c>
      <c r="B287" t="s">
        <v>1759</v>
      </c>
      <c r="C287" t="s">
        <v>1758</v>
      </c>
      <c r="F287" t="s">
        <v>1757</v>
      </c>
      <c r="G287" t="s">
        <v>16</v>
      </c>
      <c r="H287" t="s">
        <v>15</v>
      </c>
      <c r="I287" t="s">
        <v>1756</v>
      </c>
      <c r="J287" t="s">
        <v>1750</v>
      </c>
      <c r="K287" t="s">
        <v>1755</v>
      </c>
      <c r="L287" t="s">
        <v>1754</v>
      </c>
      <c r="M287" t="s">
        <v>1753</v>
      </c>
      <c r="N287">
        <v>2</v>
      </c>
      <c r="O287" t="s">
        <v>1752</v>
      </c>
      <c r="P287" t="s">
        <v>1751</v>
      </c>
      <c r="Q287" t="s">
        <v>1750</v>
      </c>
      <c r="R287" s="6">
        <v>29587</v>
      </c>
      <c r="S287" s="7">
        <f t="shared" si="32"/>
        <v>1981</v>
      </c>
      <c r="T287" s="7">
        <v>1981</v>
      </c>
      <c r="U287" s="7">
        <f t="shared" si="33"/>
        <v>41</v>
      </c>
      <c r="V287" s="6">
        <v>29707</v>
      </c>
      <c r="W287" t="s">
        <v>235</v>
      </c>
      <c r="X287" s="2">
        <v>1.6519999999999999</v>
      </c>
      <c r="Y287" s="5">
        <f t="shared" si="38"/>
        <v>4.409919649769093E-2</v>
      </c>
      <c r="AA287" t="s">
        <v>234</v>
      </c>
      <c r="AB287">
        <v>17337</v>
      </c>
      <c r="AC287">
        <v>15582221</v>
      </c>
      <c r="AD287" t="s">
        <v>5</v>
      </c>
      <c r="AE287">
        <v>29</v>
      </c>
      <c r="AF287">
        <v>3</v>
      </c>
      <c r="AH287" t="s">
        <v>1749</v>
      </c>
      <c r="AI287" t="s">
        <v>1748</v>
      </c>
      <c r="AK287" t="s">
        <v>1747</v>
      </c>
      <c r="AL287">
        <v>23</v>
      </c>
      <c r="AM287" s="4">
        <f t="shared" si="34"/>
        <v>0.56097560975609762</v>
      </c>
      <c r="AN287" s="21">
        <f t="shared" si="39"/>
        <v>8.4964121129284004E-4</v>
      </c>
      <c r="AO287" s="3"/>
      <c r="AP287">
        <v>0</v>
      </c>
      <c r="AR287" t="s">
        <v>1</v>
      </c>
      <c r="AT287" s="2" t="s">
        <v>0</v>
      </c>
      <c r="AU287" s="1">
        <f t="shared" si="35"/>
        <v>3.1124329911771502</v>
      </c>
      <c r="AV287" s="1">
        <f t="shared" si="36"/>
        <v>2.2474418854491884</v>
      </c>
      <c r="AW287" s="1">
        <f t="shared" si="37"/>
        <v>1.3824507797212267</v>
      </c>
    </row>
    <row r="288" spans="1:49" x14ac:dyDescent="0.2">
      <c r="A288">
        <v>286</v>
      </c>
      <c r="B288" t="s">
        <v>1746</v>
      </c>
      <c r="C288" t="s">
        <v>1745</v>
      </c>
      <c r="F288" t="s">
        <v>1744</v>
      </c>
      <c r="G288" t="s">
        <v>16</v>
      </c>
      <c r="H288" t="s">
        <v>15</v>
      </c>
      <c r="I288" t="s">
        <v>1743</v>
      </c>
      <c r="J288">
        <v>60004750</v>
      </c>
      <c r="K288" t="s">
        <v>1742</v>
      </c>
      <c r="L288" t="s">
        <v>1741</v>
      </c>
      <c r="M288" t="s">
        <v>577</v>
      </c>
      <c r="N288">
        <v>3</v>
      </c>
      <c r="O288" t="s">
        <v>1740</v>
      </c>
      <c r="P288" t="s">
        <v>1739</v>
      </c>
      <c r="Q288" t="s">
        <v>1738</v>
      </c>
      <c r="R288" s="6">
        <v>29587</v>
      </c>
      <c r="S288" s="7">
        <f t="shared" si="32"/>
        <v>1981</v>
      </c>
      <c r="T288" s="7">
        <v>1981</v>
      </c>
      <c r="U288" s="7">
        <f t="shared" si="33"/>
        <v>41</v>
      </c>
      <c r="V288" s="6">
        <v>29707</v>
      </c>
      <c r="W288" t="s">
        <v>235</v>
      </c>
      <c r="X288" s="2">
        <v>1.6519999999999999</v>
      </c>
      <c r="Y288" s="5">
        <f t="shared" si="38"/>
        <v>4.409919649769093E-2</v>
      </c>
      <c r="AA288" t="s">
        <v>234</v>
      </c>
      <c r="AB288">
        <v>17337</v>
      </c>
      <c r="AC288">
        <v>15582221</v>
      </c>
      <c r="AD288" t="s">
        <v>5</v>
      </c>
      <c r="AE288">
        <v>29</v>
      </c>
      <c r="AF288">
        <v>3</v>
      </c>
      <c r="AH288" t="s">
        <v>1737</v>
      </c>
      <c r="AI288" t="s">
        <v>1736</v>
      </c>
      <c r="AK288" t="s">
        <v>1735</v>
      </c>
      <c r="AL288">
        <v>37</v>
      </c>
      <c r="AM288" s="4">
        <f t="shared" si="34"/>
        <v>0.90243902439024393</v>
      </c>
      <c r="AN288" s="21">
        <f t="shared" si="39"/>
        <v>1.3668141225145686E-3</v>
      </c>
      <c r="AO288" s="3"/>
      <c r="AP288">
        <v>0</v>
      </c>
      <c r="AR288" t="s">
        <v>1</v>
      </c>
      <c r="AT288" s="2" t="s">
        <v>0</v>
      </c>
      <c r="AU288" s="1">
        <f t="shared" si="35"/>
        <v>3.1279481785138024</v>
      </c>
      <c r="AV288" s="1">
        <f t="shared" si="36"/>
        <v>2.2733005310102747</v>
      </c>
      <c r="AW288" s="1">
        <f t="shared" si="37"/>
        <v>1.4186528835067476</v>
      </c>
    </row>
    <row r="289" spans="1:49" x14ac:dyDescent="0.2">
      <c r="A289">
        <v>287</v>
      </c>
      <c r="B289" t="s">
        <v>1734</v>
      </c>
      <c r="C289" t="s">
        <v>1733</v>
      </c>
      <c r="F289" t="s">
        <v>1732</v>
      </c>
      <c r="G289" t="s">
        <v>16</v>
      </c>
      <c r="H289" t="s">
        <v>15</v>
      </c>
      <c r="I289" t="s">
        <v>1731</v>
      </c>
      <c r="J289">
        <v>60076690</v>
      </c>
      <c r="K289" t="s">
        <v>1730</v>
      </c>
      <c r="L289" t="s">
        <v>1729</v>
      </c>
      <c r="M289" t="s">
        <v>11</v>
      </c>
      <c r="N289">
        <v>2</v>
      </c>
      <c r="O289" t="s">
        <v>1728</v>
      </c>
      <c r="P289" t="s">
        <v>1727</v>
      </c>
      <c r="Q289" t="s">
        <v>1726</v>
      </c>
      <c r="R289" s="6">
        <v>29587</v>
      </c>
      <c r="S289" s="7">
        <f t="shared" si="32"/>
        <v>1981</v>
      </c>
      <c r="T289" s="7">
        <v>1981</v>
      </c>
      <c r="U289" s="7">
        <f t="shared" si="33"/>
        <v>41</v>
      </c>
      <c r="V289" s="6">
        <v>29707</v>
      </c>
      <c r="W289" t="s">
        <v>235</v>
      </c>
      <c r="X289" s="2">
        <v>1.6519999999999999</v>
      </c>
      <c r="Y289" s="5">
        <f t="shared" si="38"/>
        <v>4.409919649769093E-2</v>
      </c>
      <c r="AA289" t="s">
        <v>234</v>
      </c>
      <c r="AB289">
        <v>17337</v>
      </c>
      <c r="AC289">
        <v>15582221</v>
      </c>
      <c r="AD289" t="s">
        <v>5</v>
      </c>
      <c r="AE289">
        <v>29</v>
      </c>
      <c r="AF289">
        <v>3</v>
      </c>
      <c r="AH289" t="s">
        <v>1725</v>
      </c>
      <c r="AI289" t="s">
        <v>1724</v>
      </c>
      <c r="AK289" t="s">
        <v>1723</v>
      </c>
      <c r="AL289">
        <v>33</v>
      </c>
      <c r="AM289" s="4">
        <f t="shared" si="34"/>
        <v>0.80487804878048785</v>
      </c>
      <c r="AN289" s="21">
        <f t="shared" si="39"/>
        <v>1.2190504335940747E-3</v>
      </c>
      <c r="AO289" s="3"/>
      <c r="AP289">
        <v>0</v>
      </c>
      <c r="AR289" t="s">
        <v>1</v>
      </c>
      <c r="AT289" s="2" t="s">
        <v>0</v>
      </c>
      <c r="AU289" s="1">
        <f t="shared" si="35"/>
        <v>3.1235152678461873</v>
      </c>
      <c r="AV289" s="1">
        <f t="shared" si="36"/>
        <v>2.2659123465642503</v>
      </c>
      <c r="AW289" s="1">
        <f t="shared" si="37"/>
        <v>1.408309425282313</v>
      </c>
    </row>
    <row r="290" spans="1:49" x14ac:dyDescent="0.2">
      <c r="A290">
        <v>288</v>
      </c>
      <c r="B290" t="s">
        <v>1722</v>
      </c>
      <c r="C290" t="s">
        <v>1721</v>
      </c>
      <c r="F290" t="s">
        <v>1720</v>
      </c>
      <c r="G290" t="s">
        <v>16</v>
      </c>
      <c r="H290" t="s">
        <v>15</v>
      </c>
      <c r="I290" t="s">
        <v>1719</v>
      </c>
      <c r="J290">
        <v>60005811</v>
      </c>
      <c r="K290" t="s">
        <v>1718</v>
      </c>
      <c r="L290" t="s">
        <v>1717</v>
      </c>
      <c r="M290" t="s">
        <v>92</v>
      </c>
      <c r="N290">
        <v>2</v>
      </c>
      <c r="O290" t="s">
        <v>1716</v>
      </c>
      <c r="P290" t="s">
        <v>1715</v>
      </c>
      <c r="Q290" t="s">
        <v>1714</v>
      </c>
      <c r="R290" s="6">
        <v>29587</v>
      </c>
      <c r="S290" s="7">
        <f t="shared" si="32"/>
        <v>1981</v>
      </c>
      <c r="T290" s="7">
        <v>1981</v>
      </c>
      <c r="U290" s="7">
        <f t="shared" si="33"/>
        <v>41</v>
      </c>
      <c r="V290" s="6">
        <v>29707</v>
      </c>
      <c r="W290" t="s">
        <v>573</v>
      </c>
      <c r="X290" s="2">
        <v>1.3720000000000001</v>
      </c>
      <c r="Y290" s="5">
        <f t="shared" si="38"/>
        <v>3.662475641333654E-2</v>
      </c>
      <c r="AA290">
        <v>189480</v>
      </c>
      <c r="AB290">
        <v>17366</v>
      </c>
      <c r="AC290">
        <v>15579670</v>
      </c>
      <c r="AD290" t="s">
        <v>5</v>
      </c>
      <c r="AE290">
        <v>29</v>
      </c>
      <c r="AF290">
        <v>5</v>
      </c>
      <c r="AH290" t="s">
        <v>1713</v>
      </c>
      <c r="AI290" t="s">
        <v>1712</v>
      </c>
      <c r="AK290" t="s">
        <v>1711</v>
      </c>
      <c r="AL290">
        <v>1</v>
      </c>
      <c r="AM290" s="4">
        <f t="shared" si="34"/>
        <v>2.4390243902439025E-2</v>
      </c>
      <c r="AN290" s="21">
        <f t="shared" si="39"/>
        <v>3.6940922230123474E-5</v>
      </c>
      <c r="AO290" s="3"/>
      <c r="AP290">
        <v>0</v>
      </c>
      <c r="AR290" t="s">
        <v>1</v>
      </c>
      <c r="AT290" s="2" t="s">
        <v>0</v>
      </c>
      <c r="AU290" s="1">
        <f t="shared" si="35"/>
        <v>2.5648411766004613</v>
      </c>
      <c r="AV290" s="1">
        <f t="shared" si="36"/>
        <v>1.8330848667783333</v>
      </c>
      <c r="AW290" s="1">
        <f t="shared" si="37"/>
        <v>1.1013285569562048</v>
      </c>
    </row>
    <row r="291" spans="1:49" x14ac:dyDescent="0.2">
      <c r="A291">
        <v>289</v>
      </c>
      <c r="B291" t="s">
        <v>1710</v>
      </c>
      <c r="C291" t="s">
        <v>1709</v>
      </c>
      <c r="F291" t="s">
        <v>1708</v>
      </c>
      <c r="G291" t="s">
        <v>16</v>
      </c>
      <c r="H291" t="s">
        <v>15</v>
      </c>
      <c r="I291" t="s">
        <v>1707</v>
      </c>
      <c r="J291" t="s">
        <v>1706</v>
      </c>
      <c r="K291" t="s">
        <v>1705</v>
      </c>
      <c r="L291" t="s">
        <v>1704</v>
      </c>
      <c r="M291" t="s">
        <v>1703</v>
      </c>
      <c r="N291">
        <v>4</v>
      </c>
      <c r="O291" t="s">
        <v>1702</v>
      </c>
      <c r="P291" t="s">
        <v>1701</v>
      </c>
      <c r="Q291" t="s">
        <v>1700</v>
      </c>
      <c r="R291" s="6">
        <v>29587</v>
      </c>
      <c r="S291" s="7">
        <f t="shared" si="32"/>
        <v>1981</v>
      </c>
      <c r="T291" s="7">
        <v>1981</v>
      </c>
      <c r="U291" s="7">
        <f t="shared" si="33"/>
        <v>41</v>
      </c>
      <c r="V291" s="6">
        <v>29707</v>
      </c>
      <c r="W291" t="s">
        <v>466</v>
      </c>
      <c r="X291" s="2">
        <v>0.111</v>
      </c>
      <c r="Y291" s="5">
        <f t="shared" si="38"/>
        <v>2.9630816048690639E-3</v>
      </c>
      <c r="AA291">
        <v>87566621</v>
      </c>
      <c r="AB291">
        <v>24890</v>
      </c>
      <c r="AC291">
        <v>15206424</v>
      </c>
      <c r="AD291" t="s">
        <v>5</v>
      </c>
      <c r="AE291">
        <v>64</v>
      </c>
      <c r="AF291">
        <v>5</v>
      </c>
      <c r="AH291" t="s">
        <v>1699</v>
      </c>
      <c r="AI291" t="s">
        <v>1698</v>
      </c>
      <c r="AK291" t="s">
        <v>1697</v>
      </c>
      <c r="AL291">
        <v>0</v>
      </c>
      <c r="AM291" s="4">
        <f t="shared" si="34"/>
        <v>0</v>
      </c>
      <c r="AN291" s="21">
        <f t="shared" si="39"/>
        <v>0</v>
      </c>
      <c r="AO291" s="3"/>
      <c r="AP291">
        <v>0</v>
      </c>
      <c r="AR291" t="s">
        <v>1</v>
      </c>
      <c r="AT291" s="2" t="s">
        <v>0</v>
      </c>
      <c r="AU291" s="1">
        <f t="shared" si="35"/>
        <v>0.20741571234083445</v>
      </c>
      <c r="AV291" s="1">
        <f t="shared" si="36"/>
        <v>0.1481540802434532</v>
      </c>
      <c r="AW291" s="1">
        <f t="shared" si="37"/>
        <v>8.8892448146071903E-2</v>
      </c>
    </row>
    <row r="292" spans="1:49" x14ac:dyDescent="0.2">
      <c r="A292">
        <v>290</v>
      </c>
      <c r="B292" t="s">
        <v>1696</v>
      </c>
      <c r="C292" t="s">
        <v>1695</v>
      </c>
      <c r="F292" t="s">
        <v>1694</v>
      </c>
      <c r="G292" t="s">
        <v>16</v>
      </c>
      <c r="H292" t="s">
        <v>15</v>
      </c>
      <c r="I292" t="s">
        <v>717</v>
      </c>
      <c r="J292">
        <v>60009658</v>
      </c>
      <c r="K292" t="s">
        <v>716</v>
      </c>
      <c r="L292" t="s">
        <v>715</v>
      </c>
      <c r="M292" t="s">
        <v>39</v>
      </c>
      <c r="N292">
        <v>2</v>
      </c>
      <c r="O292" t="s">
        <v>1693</v>
      </c>
      <c r="P292" t="s">
        <v>1692</v>
      </c>
      <c r="Q292" t="s">
        <v>1691</v>
      </c>
      <c r="R292" s="6">
        <v>29587</v>
      </c>
      <c r="S292" s="7">
        <f t="shared" si="32"/>
        <v>1981</v>
      </c>
      <c r="T292" s="7">
        <v>1981</v>
      </c>
      <c r="U292" s="7">
        <f t="shared" si="33"/>
        <v>41</v>
      </c>
      <c r="V292" s="6">
        <v>29860</v>
      </c>
      <c r="W292" t="s">
        <v>1595</v>
      </c>
      <c r="X292" s="2" t="s">
        <v>0</v>
      </c>
      <c r="Y292" s="5" t="e">
        <f t="shared" si="38"/>
        <v>#VALUE!</v>
      </c>
      <c r="AA292">
        <v>337722</v>
      </c>
      <c r="AB292">
        <v>35312</v>
      </c>
      <c r="AD292" t="s">
        <v>5</v>
      </c>
      <c r="AE292">
        <v>51</v>
      </c>
      <c r="AF292">
        <v>5</v>
      </c>
      <c r="AH292" t="s">
        <v>1690</v>
      </c>
      <c r="AI292" t="s">
        <v>1689</v>
      </c>
      <c r="AJ292" t="s">
        <v>1688</v>
      </c>
      <c r="AK292" t="s">
        <v>1687</v>
      </c>
      <c r="AL292">
        <v>4</v>
      </c>
      <c r="AM292" s="4">
        <f t="shared" si="34"/>
        <v>9.7560975609756101E-2</v>
      </c>
      <c r="AN292" s="21">
        <f t="shared" si="39"/>
        <v>1.477636889204939E-4</v>
      </c>
      <c r="AO292" s="3"/>
      <c r="AP292">
        <v>0</v>
      </c>
      <c r="AR292" t="s">
        <v>1</v>
      </c>
      <c r="AT292" s="2" t="s">
        <v>0</v>
      </c>
      <c r="AU292" s="1" t="e">
        <f t="shared" si="35"/>
        <v>#VALUE!</v>
      </c>
      <c r="AV292" s="1" t="e">
        <f t="shared" si="36"/>
        <v>#VALUE!</v>
      </c>
      <c r="AW292" s="1" t="e">
        <f t="shared" si="37"/>
        <v>#VALUE!</v>
      </c>
    </row>
    <row r="293" spans="1:49" x14ac:dyDescent="0.2">
      <c r="A293">
        <v>291</v>
      </c>
      <c r="B293" t="s">
        <v>1686</v>
      </c>
      <c r="C293" t="s">
        <v>1685</v>
      </c>
      <c r="F293" t="s">
        <v>1684</v>
      </c>
      <c r="G293" t="s">
        <v>16</v>
      </c>
      <c r="H293" t="s">
        <v>15</v>
      </c>
      <c r="I293" t="s">
        <v>1683</v>
      </c>
      <c r="J293">
        <v>60031126</v>
      </c>
      <c r="K293" t="s">
        <v>1682</v>
      </c>
      <c r="L293" t="s">
        <v>313</v>
      </c>
      <c r="M293" t="s">
        <v>312</v>
      </c>
      <c r="N293">
        <v>2</v>
      </c>
      <c r="O293" t="s">
        <v>1681</v>
      </c>
      <c r="P293" t="s">
        <v>1680</v>
      </c>
      <c r="Q293" t="s">
        <v>1679</v>
      </c>
      <c r="R293" s="6">
        <v>29587</v>
      </c>
      <c r="S293" s="7">
        <f t="shared" si="32"/>
        <v>1981</v>
      </c>
      <c r="T293" s="7">
        <v>1981</v>
      </c>
      <c r="U293" s="7">
        <f t="shared" si="33"/>
        <v>41</v>
      </c>
      <c r="V293" s="6">
        <v>29707</v>
      </c>
      <c r="W293" t="s">
        <v>466</v>
      </c>
      <c r="X293" s="2">
        <v>0.111</v>
      </c>
      <c r="Y293" s="5">
        <f t="shared" si="38"/>
        <v>2.9630816048690639E-3</v>
      </c>
      <c r="AA293">
        <v>87566621</v>
      </c>
      <c r="AB293">
        <v>24890</v>
      </c>
      <c r="AC293">
        <v>15206424</v>
      </c>
      <c r="AD293" t="s">
        <v>5</v>
      </c>
      <c r="AE293">
        <v>64</v>
      </c>
      <c r="AF293">
        <v>5</v>
      </c>
      <c r="AH293" t="s">
        <v>1678</v>
      </c>
      <c r="AI293" t="s">
        <v>1677</v>
      </c>
      <c r="AK293" t="s">
        <v>1676</v>
      </c>
      <c r="AL293">
        <v>2</v>
      </c>
      <c r="AM293" s="4">
        <f t="shared" si="34"/>
        <v>4.878048780487805E-2</v>
      </c>
      <c r="AN293" s="21">
        <f t="shared" si="39"/>
        <v>7.3881844460246948E-5</v>
      </c>
      <c r="AO293" s="3"/>
      <c r="AP293">
        <v>0</v>
      </c>
      <c r="AR293" t="s">
        <v>1</v>
      </c>
      <c r="AT293" s="2" t="s">
        <v>0</v>
      </c>
      <c r="AU293" s="1">
        <f t="shared" si="35"/>
        <v>0.20963216767464185</v>
      </c>
      <c r="AV293" s="1">
        <f t="shared" si="36"/>
        <v>0.15184817246646554</v>
      </c>
      <c r="AW293" s="1">
        <f t="shared" si="37"/>
        <v>9.4064177258289194E-2</v>
      </c>
    </row>
    <row r="294" spans="1:49" x14ac:dyDescent="0.2">
      <c r="A294">
        <v>292</v>
      </c>
      <c r="B294" t="s">
        <v>1675</v>
      </c>
      <c r="C294" t="s">
        <v>1674</v>
      </c>
      <c r="F294" t="s">
        <v>1673</v>
      </c>
      <c r="G294" t="s">
        <v>16</v>
      </c>
      <c r="H294" t="s">
        <v>15</v>
      </c>
      <c r="I294" t="s">
        <v>1672</v>
      </c>
      <c r="J294">
        <v>105179689</v>
      </c>
      <c r="K294" t="s">
        <v>1671</v>
      </c>
      <c r="L294" t="s">
        <v>1670</v>
      </c>
      <c r="M294" t="s">
        <v>11</v>
      </c>
      <c r="N294">
        <v>1</v>
      </c>
      <c r="O294" t="s">
        <v>1669</v>
      </c>
      <c r="P294">
        <v>7006807417</v>
      </c>
      <c r="Q294">
        <v>105179689</v>
      </c>
      <c r="R294" s="6">
        <v>29587</v>
      </c>
      <c r="S294" s="7">
        <f t="shared" si="32"/>
        <v>1981</v>
      </c>
      <c r="T294" s="7">
        <v>1981</v>
      </c>
      <c r="U294" s="7">
        <f t="shared" si="33"/>
        <v>41</v>
      </c>
      <c r="V294" s="6">
        <v>29677</v>
      </c>
      <c r="W294" t="s">
        <v>1668</v>
      </c>
      <c r="X294" s="2">
        <v>2.141</v>
      </c>
      <c r="Y294" s="5">
        <f t="shared" si="38"/>
        <v>5.7152772216438434E-2</v>
      </c>
      <c r="AA294">
        <v>1962892</v>
      </c>
      <c r="AB294">
        <v>17360</v>
      </c>
      <c r="AC294">
        <v>15580644</v>
      </c>
      <c r="AD294" t="s">
        <v>5</v>
      </c>
      <c r="AE294" t="s">
        <v>1667</v>
      </c>
      <c r="AF294">
        <v>2</v>
      </c>
      <c r="AH294" t="s">
        <v>1666</v>
      </c>
      <c r="AI294" t="s">
        <v>1665</v>
      </c>
      <c r="AK294" t="s">
        <v>1664</v>
      </c>
      <c r="AL294">
        <v>127</v>
      </c>
      <c r="AM294" s="4">
        <f t="shared" si="34"/>
        <v>3.0975609756097562</v>
      </c>
      <c r="AN294" s="21">
        <f t="shared" si="39"/>
        <v>4.6914971232256816E-3</v>
      </c>
      <c r="AO294" s="3"/>
      <c r="AP294">
        <v>0</v>
      </c>
      <c r="AR294" t="s">
        <v>1</v>
      </c>
      <c r="AT294" s="2" t="s">
        <v>0</v>
      </c>
      <c r="AU294" s="1">
        <f t="shared" si="35"/>
        <v>4.1414389688474609</v>
      </c>
      <c r="AV294" s="1">
        <f t="shared" si="36"/>
        <v>3.092213466983206</v>
      </c>
      <c r="AW294" s="1">
        <f t="shared" si="37"/>
        <v>2.0429879651189506</v>
      </c>
    </row>
    <row r="295" spans="1:49" x14ac:dyDescent="0.2">
      <c r="A295">
        <v>293</v>
      </c>
      <c r="B295" t="s">
        <v>1663</v>
      </c>
      <c r="C295" t="s">
        <v>1662</v>
      </c>
      <c r="F295" t="s">
        <v>1661</v>
      </c>
      <c r="G295" t="s">
        <v>16</v>
      </c>
      <c r="H295" t="s">
        <v>15</v>
      </c>
      <c r="I295" t="s">
        <v>1660</v>
      </c>
      <c r="J295">
        <v>60008524</v>
      </c>
      <c r="K295" t="s">
        <v>1659</v>
      </c>
      <c r="L295" t="s">
        <v>1658</v>
      </c>
      <c r="M295" t="s">
        <v>39</v>
      </c>
      <c r="N295">
        <v>3</v>
      </c>
      <c r="O295" t="s">
        <v>1657</v>
      </c>
      <c r="P295" t="s">
        <v>1656</v>
      </c>
      <c r="Q295" t="s">
        <v>1655</v>
      </c>
      <c r="R295" s="6">
        <v>29587</v>
      </c>
      <c r="S295" s="7">
        <f t="shared" si="32"/>
        <v>1981</v>
      </c>
      <c r="T295" s="7">
        <v>1981</v>
      </c>
      <c r="U295" s="7">
        <f t="shared" si="33"/>
        <v>41</v>
      </c>
      <c r="V295" s="6">
        <v>29860</v>
      </c>
      <c r="W295" t="s">
        <v>1595</v>
      </c>
      <c r="X295" s="2" t="s">
        <v>0</v>
      </c>
      <c r="Y295" s="5" t="e">
        <f t="shared" si="38"/>
        <v>#VALUE!</v>
      </c>
      <c r="AA295">
        <v>337722</v>
      </c>
      <c r="AB295">
        <v>35312</v>
      </c>
      <c r="AD295" t="s">
        <v>5</v>
      </c>
      <c r="AE295">
        <v>51</v>
      </c>
      <c r="AF295">
        <v>4</v>
      </c>
      <c r="AH295" t="s">
        <v>1654</v>
      </c>
      <c r="AI295" t="s">
        <v>1653</v>
      </c>
      <c r="AJ295" t="s">
        <v>1652</v>
      </c>
      <c r="AK295" t="s">
        <v>1651</v>
      </c>
      <c r="AL295">
        <v>9</v>
      </c>
      <c r="AM295" s="4">
        <f t="shared" si="34"/>
        <v>0.21951219512195122</v>
      </c>
      <c r="AN295" s="21">
        <f t="shared" si="39"/>
        <v>3.3246830007111129E-4</v>
      </c>
      <c r="AO295" s="3"/>
      <c r="AP295">
        <v>0</v>
      </c>
      <c r="AR295" t="s">
        <v>1</v>
      </c>
      <c r="AT295" s="2" t="s">
        <v>0</v>
      </c>
      <c r="AU295" s="1" t="e">
        <f t="shared" si="35"/>
        <v>#VALUE!</v>
      </c>
      <c r="AV295" s="1" t="e">
        <f t="shared" si="36"/>
        <v>#VALUE!</v>
      </c>
      <c r="AW295" s="1" t="e">
        <f t="shared" si="37"/>
        <v>#VALUE!</v>
      </c>
    </row>
    <row r="296" spans="1:49" x14ac:dyDescent="0.2">
      <c r="A296">
        <v>294</v>
      </c>
      <c r="B296" t="s">
        <v>1650</v>
      </c>
      <c r="C296" t="s">
        <v>1649</v>
      </c>
      <c r="D296">
        <v>94576581900035</v>
      </c>
      <c r="F296" t="s">
        <v>1648</v>
      </c>
      <c r="G296" t="s">
        <v>16</v>
      </c>
      <c r="H296" t="s">
        <v>15</v>
      </c>
      <c r="I296" t="s">
        <v>1647</v>
      </c>
      <c r="J296">
        <v>60017989</v>
      </c>
      <c r="K296" t="s">
        <v>1646</v>
      </c>
      <c r="L296" t="s">
        <v>900</v>
      </c>
      <c r="M296" t="s">
        <v>899</v>
      </c>
      <c r="N296">
        <v>7</v>
      </c>
      <c r="O296" t="s">
        <v>1645</v>
      </c>
      <c r="P296" t="s">
        <v>1644</v>
      </c>
      <c r="Q296" t="s">
        <v>1643</v>
      </c>
      <c r="R296" s="6">
        <v>29587</v>
      </c>
      <c r="S296" s="7">
        <f t="shared" si="32"/>
        <v>1981</v>
      </c>
      <c r="T296" s="7">
        <v>1981</v>
      </c>
      <c r="U296" s="7">
        <f t="shared" si="33"/>
        <v>41</v>
      </c>
      <c r="V296" s="6">
        <v>29677</v>
      </c>
      <c r="W296" t="s">
        <v>309</v>
      </c>
      <c r="X296" s="2">
        <v>1.1339999999999999</v>
      </c>
      <c r="Y296" s="5">
        <f t="shared" si="38"/>
        <v>3.0271482341635299E-2</v>
      </c>
      <c r="AA296">
        <v>945765</v>
      </c>
      <c r="AB296">
        <v>12372</v>
      </c>
      <c r="AD296" t="s">
        <v>5</v>
      </c>
      <c r="AE296">
        <v>8</v>
      </c>
      <c r="AF296">
        <v>4</v>
      </c>
      <c r="AH296" t="s">
        <v>1642</v>
      </c>
      <c r="AI296" t="s">
        <v>1641</v>
      </c>
      <c r="AK296" t="s">
        <v>1640</v>
      </c>
      <c r="AL296">
        <v>2</v>
      </c>
      <c r="AM296" s="4">
        <f t="shared" si="34"/>
        <v>4.878048780487805E-2</v>
      </c>
      <c r="AN296" s="21">
        <f t="shared" si="39"/>
        <v>7.3881844460246948E-5</v>
      </c>
      <c r="AO296" s="3"/>
      <c r="AP296">
        <v>0</v>
      </c>
      <c r="AR296" t="s">
        <v>1</v>
      </c>
      <c r="AT296" s="2">
        <v>2.4129999999999998</v>
      </c>
      <c r="AU296" s="1">
        <f t="shared" si="35"/>
        <v>2.1212202192482783</v>
      </c>
      <c r="AV296" s="1">
        <f t="shared" si="36"/>
        <v>1.5172682093047773</v>
      </c>
      <c r="AW296" s="1">
        <f t="shared" si="37"/>
        <v>0.91331619936127617</v>
      </c>
    </row>
    <row r="297" spans="1:49" x14ac:dyDescent="0.2">
      <c r="A297">
        <v>295</v>
      </c>
      <c r="B297" t="s">
        <v>1639</v>
      </c>
      <c r="C297" t="s">
        <v>1638</v>
      </c>
      <c r="F297" t="s">
        <v>1637</v>
      </c>
      <c r="G297" t="s">
        <v>16</v>
      </c>
      <c r="H297" t="s">
        <v>15</v>
      </c>
      <c r="I297" t="s">
        <v>1636</v>
      </c>
      <c r="N297">
        <v>2</v>
      </c>
      <c r="O297" t="s">
        <v>1635</v>
      </c>
      <c r="P297" t="s">
        <v>1634</v>
      </c>
      <c r="Q297" t="s">
        <v>351</v>
      </c>
      <c r="R297" s="6">
        <v>29587</v>
      </c>
      <c r="S297" s="7">
        <f t="shared" si="32"/>
        <v>1981</v>
      </c>
      <c r="T297" s="7">
        <v>1981</v>
      </c>
      <c r="U297" s="7">
        <f t="shared" si="33"/>
        <v>41</v>
      </c>
      <c r="V297" s="6">
        <v>29677</v>
      </c>
      <c r="W297" t="s">
        <v>1633</v>
      </c>
      <c r="X297" s="2">
        <v>0.14899999999999999</v>
      </c>
      <c r="Y297" s="5">
        <f t="shared" si="38"/>
        <v>3.977469902031446E-3</v>
      </c>
      <c r="AA297">
        <v>281425</v>
      </c>
      <c r="AB297">
        <v>21100416801</v>
      </c>
      <c r="AC297">
        <v>15593584</v>
      </c>
      <c r="AD297" t="s">
        <v>5</v>
      </c>
      <c r="AE297">
        <v>93</v>
      </c>
      <c r="AF297">
        <v>2</v>
      </c>
      <c r="AH297" t="s">
        <v>1632</v>
      </c>
      <c r="AI297" t="s">
        <v>1631</v>
      </c>
      <c r="AK297" t="s">
        <v>1630</v>
      </c>
      <c r="AL297">
        <v>0</v>
      </c>
      <c r="AM297" s="4">
        <f t="shared" si="34"/>
        <v>0</v>
      </c>
      <c r="AN297" s="21">
        <f t="shared" si="39"/>
        <v>0</v>
      </c>
      <c r="AO297" s="3"/>
      <c r="AP297">
        <v>0</v>
      </c>
      <c r="AR297" t="s">
        <v>1</v>
      </c>
      <c r="AT297" s="2">
        <v>0.24299999999999999</v>
      </c>
      <c r="AU297" s="1">
        <f t="shared" si="35"/>
        <v>0.2784228931422012</v>
      </c>
      <c r="AV297" s="1">
        <f t="shared" si="36"/>
        <v>0.19887349510157229</v>
      </c>
      <c r="AW297" s="1">
        <f t="shared" si="37"/>
        <v>0.11932409706094337</v>
      </c>
    </row>
    <row r="298" spans="1:49" x14ac:dyDescent="0.2">
      <c r="A298">
        <v>296</v>
      </c>
      <c r="B298" t="s">
        <v>1629</v>
      </c>
      <c r="C298" t="s">
        <v>1628</v>
      </c>
      <c r="F298" t="s">
        <v>1627</v>
      </c>
      <c r="G298" t="s">
        <v>16</v>
      </c>
      <c r="H298" t="s">
        <v>15</v>
      </c>
      <c r="I298" t="s">
        <v>1626</v>
      </c>
      <c r="J298">
        <v>60028263</v>
      </c>
      <c r="K298" t="s">
        <v>1625</v>
      </c>
      <c r="L298" t="s">
        <v>1624</v>
      </c>
      <c r="M298" t="s">
        <v>312</v>
      </c>
      <c r="N298">
        <v>2</v>
      </c>
      <c r="O298" t="s">
        <v>1623</v>
      </c>
      <c r="P298" t="s">
        <v>1622</v>
      </c>
      <c r="Q298" t="s">
        <v>1621</v>
      </c>
      <c r="R298" s="6">
        <v>29587</v>
      </c>
      <c r="S298" s="7">
        <f t="shared" si="32"/>
        <v>1981</v>
      </c>
      <c r="T298" s="7">
        <v>1981</v>
      </c>
      <c r="U298" s="7">
        <f t="shared" si="33"/>
        <v>41</v>
      </c>
      <c r="V298" s="6">
        <v>29677</v>
      </c>
      <c r="W298" t="s">
        <v>466</v>
      </c>
      <c r="X298" s="2">
        <v>0.111</v>
      </c>
      <c r="Y298" s="5">
        <f t="shared" si="38"/>
        <v>2.9630816048690639E-3</v>
      </c>
      <c r="AA298">
        <v>87566621</v>
      </c>
      <c r="AB298">
        <v>24890</v>
      </c>
      <c r="AC298">
        <v>15206424</v>
      </c>
      <c r="AD298" t="s">
        <v>5</v>
      </c>
      <c r="AE298">
        <v>64</v>
      </c>
      <c r="AF298">
        <v>4</v>
      </c>
      <c r="AH298" t="s">
        <v>1620</v>
      </c>
      <c r="AI298" t="s">
        <v>1619</v>
      </c>
      <c r="AK298" t="s">
        <v>1618</v>
      </c>
      <c r="AL298">
        <v>47</v>
      </c>
      <c r="AM298" s="4">
        <f t="shared" si="34"/>
        <v>1.1463414634146341</v>
      </c>
      <c r="AN298" s="21">
        <f t="shared" si="39"/>
        <v>1.7362233448158031E-3</v>
      </c>
      <c r="AO298" s="3"/>
      <c r="AP298">
        <v>0</v>
      </c>
      <c r="AR298" t="s">
        <v>1</v>
      </c>
      <c r="AT298" s="2" t="s">
        <v>0</v>
      </c>
      <c r="AU298" s="1">
        <f t="shared" si="35"/>
        <v>0.25950241268530855</v>
      </c>
      <c r="AV298" s="1">
        <f t="shared" si="36"/>
        <v>0.23496524748424336</v>
      </c>
      <c r="AW298" s="1">
        <f t="shared" si="37"/>
        <v>0.21042808228317811</v>
      </c>
    </row>
    <row r="299" spans="1:49" x14ac:dyDescent="0.2">
      <c r="A299">
        <v>297</v>
      </c>
      <c r="B299" t="s">
        <v>1617</v>
      </c>
      <c r="C299" t="s">
        <v>1616</v>
      </c>
      <c r="F299" t="s">
        <v>1615</v>
      </c>
      <c r="G299" t="s">
        <v>16</v>
      </c>
      <c r="H299" t="s">
        <v>15</v>
      </c>
      <c r="I299" t="s">
        <v>1614</v>
      </c>
      <c r="J299">
        <v>60030526</v>
      </c>
      <c r="K299" t="s">
        <v>1613</v>
      </c>
      <c r="L299" t="s">
        <v>313</v>
      </c>
      <c r="M299" t="s">
        <v>312</v>
      </c>
      <c r="N299">
        <v>3</v>
      </c>
      <c r="O299" t="s">
        <v>1612</v>
      </c>
      <c r="P299" t="s">
        <v>1611</v>
      </c>
      <c r="Q299" t="s">
        <v>1610</v>
      </c>
      <c r="R299" s="6">
        <v>29587</v>
      </c>
      <c r="S299" s="7">
        <f t="shared" si="32"/>
        <v>1981</v>
      </c>
      <c r="T299" s="7">
        <v>1981</v>
      </c>
      <c r="U299" s="7">
        <f t="shared" si="33"/>
        <v>41</v>
      </c>
      <c r="V299" s="6">
        <v>29677</v>
      </c>
      <c r="W299" t="s">
        <v>466</v>
      </c>
      <c r="X299" s="2">
        <v>0.111</v>
      </c>
      <c r="Y299" s="5">
        <f t="shared" si="38"/>
        <v>2.9630816048690639E-3</v>
      </c>
      <c r="AA299">
        <v>87566621</v>
      </c>
      <c r="AB299">
        <v>24890</v>
      </c>
      <c r="AC299">
        <v>15206424</v>
      </c>
      <c r="AD299" t="s">
        <v>5</v>
      </c>
      <c r="AE299">
        <v>64</v>
      </c>
      <c r="AF299">
        <v>4</v>
      </c>
      <c r="AH299" t="s">
        <v>1609</v>
      </c>
      <c r="AI299" t="s">
        <v>1608</v>
      </c>
      <c r="AK299" t="s">
        <v>1607</v>
      </c>
      <c r="AL299">
        <v>0</v>
      </c>
      <c r="AM299" s="4">
        <f t="shared" si="34"/>
        <v>0</v>
      </c>
      <c r="AN299" s="21">
        <f t="shared" si="39"/>
        <v>0</v>
      </c>
      <c r="AO299" s="3"/>
      <c r="AP299">
        <v>0</v>
      </c>
      <c r="AR299" t="s">
        <v>1</v>
      </c>
      <c r="AT299" s="2" t="s">
        <v>0</v>
      </c>
      <c r="AU299" s="1">
        <f t="shared" si="35"/>
        <v>0.20741571234083445</v>
      </c>
      <c r="AV299" s="1">
        <f t="shared" si="36"/>
        <v>0.1481540802434532</v>
      </c>
      <c r="AW299" s="1">
        <f t="shared" si="37"/>
        <v>8.8892448146071903E-2</v>
      </c>
    </row>
    <row r="300" spans="1:49" x14ac:dyDescent="0.2">
      <c r="A300">
        <v>298</v>
      </c>
      <c r="B300" t="s">
        <v>1606</v>
      </c>
      <c r="C300" t="s">
        <v>1605</v>
      </c>
      <c r="F300" t="s">
        <v>1604</v>
      </c>
      <c r="G300" t="s">
        <v>16</v>
      </c>
      <c r="H300" t="s">
        <v>15</v>
      </c>
      <c r="I300" t="s">
        <v>1603</v>
      </c>
      <c r="J300">
        <v>60068815</v>
      </c>
      <c r="K300" t="s">
        <v>1602</v>
      </c>
      <c r="L300" t="s">
        <v>1601</v>
      </c>
      <c r="M300" t="s">
        <v>1600</v>
      </c>
      <c r="N300">
        <v>3</v>
      </c>
      <c r="O300" t="s">
        <v>1599</v>
      </c>
      <c r="P300" t="s">
        <v>1598</v>
      </c>
      <c r="Q300" t="s">
        <v>1597</v>
      </c>
      <c r="R300" s="6">
        <v>29587</v>
      </c>
      <c r="S300" s="7">
        <f t="shared" si="32"/>
        <v>1981</v>
      </c>
      <c r="T300" s="7">
        <v>1981</v>
      </c>
      <c r="U300" s="7">
        <f t="shared" si="33"/>
        <v>41</v>
      </c>
      <c r="V300" s="6" t="s">
        <v>1596</v>
      </c>
      <c r="W300" t="s">
        <v>1595</v>
      </c>
      <c r="X300" s="2" t="s">
        <v>0</v>
      </c>
      <c r="Y300" s="5" t="e">
        <f t="shared" si="38"/>
        <v>#VALUE!</v>
      </c>
      <c r="AA300">
        <v>337722</v>
      </c>
      <c r="AB300">
        <v>35312</v>
      </c>
      <c r="AD300" t="s">
        <v>5</v>
      </c>
      <c r="AE300">
        <v>51</v>
      </c>
      <c r="AF300">
        <v>3</v>
      </c>
      <c r="AH300" t="s">
        <v>1594</v>
      </c>
      <c r="AI300" t="s">
        <v>1593</v>
      </c>
      <c r="AK300" t="s">
        <v>1592</v>
      </c>
      <c r="AL300">
        <v>13</v>
      </c>
      <c r="AM300" s="4">
        <f t="shared" si="34"/>
        <v>0.31707317073170732</v>
      </c>
      <c r="AN300" s="21">
        <f t="shared" si="39"/>
        <v>4.8023198899160521E-4</v>
      </c>
      <c r="AO300" s="3"/>
      <c r="AP300">
        <v>0</v>
      </c>
      <c r="AR300" t="s">
        <v>1</v>
      </c>
      <c r="AT300" s="2" t="s">
        <v>0</v>
      </c>
      <c r="AU300" s="1" t="e">
        <f t="shared" si="35"/>
        <v>#VALUE!</v>
      </c>
      <c r="AV300" s="1" t="e">
        <f t="shared" si="36"/>
        <v>#VALUE!</v>
      </c>
      <c r="AW300" s="1" t="e">
        <f t="shared" si="37"/>
        <v>#VALUE!</v>
      </c>
    </row>
    <row r="301" spans="1:49" x14ac:dyDescent="0.2">
      <c r="A301">
        <v>299</v>
      </c>
      <c r="B301" t="s">
        <v>1591</v>
      </c>
      <c r="C301" t="s">
        <v>1590</v>
      </c>
      <c r="F301" t="s">
        <v>1589</v>
      </c>
      <c r="G301" t="s">
        <v>16</v>
      </c>
      <c r="H301" t="s">
        <v>15</v>
      </c>
      <c r="I301" t="s">
        <v>1588</v>
      </c>
      <c r="J301">
        <v>60008435</v>
      </c>
      <c r="K301" t="s">
        <v>1587</v>
      </c>
      <c r="L301" t="s">
        <v>1586</v>
      </c>
      <c r="M301" t="s">
        <v>312</v>
      </c>
      <c r="N301">
        <v>2</v>
      </c>
      <c r="O301" t="s">
        <v>1585</v>
      </c>
      <c r="P301" t="s">
        <v>1584</v>
      </c>
      <c r="Q301" t="s">
        <v>1583</v>
      </c>
      <c r="R301" s="6">
        <v>29587</v>
      </c>
      <c r="S301" s="7">
        <f t="shared" si="32"/>
        <v>1981</v>
      </c>
      <c r="T301" s="7">
        <v>1981</v>
      </c>
      <c r="U301" s="7">
        <f t="shared" si="33"/>
        <v>41</v>
      </c>
      <c r="V301" s="6">
        <v>29646</v>
      </c>
      <c r="W301" t="s">
        <v>1582</v>
      </c>
      <c r="X301" s="2">
        <v>0.46</v>
      </c>
      <c r="Y301" s="5">
        <f t="shared" si="38"/>
        <v>1.2279437281439364E-2</v>
      </c>
      <c r="AA301">
        <v>933813</v>
      </c>
      <c r="AB301">
        <v>28031</v>
      </c>
      <c r="AC301">
        <v>19399375</v>
      </c>
      <c r="AD301" t="s">
        <v>5</v>
      </c>
      <c r="AE301">
        <v>9</v>
      </c>
      <c r="AF301">
        <v>1</v>
      </c>
      <c r="AH301" t="s">
        <v>1581</v>
      </c>
      <c r="AI301" t="s">
        <v>1580</v>
      </c>
      <c r="AK301" t="s">
        <v>1579</v>
      </c>
      <c r="AL301">
        <v>4</v>
      </c>
      <c r="AM301" s="4">
        <f t="shared" si="34"/>
        <v>9.7560975609756101E-2</v>
      </c>
      <c r="AN301" s="21">
        <f t="shared" si="39"/>
        <v>1.477636889204939E-4</v>
      </c>
      <c r="AO301" s="3"/>
      <c r="AP301">
        <v>0</v>
      </c>
      <c r="AR301" t="s">
        <v>1</v>
      </c>
      <c r="AT301" s="2">
        <v>1.222</v>
      </c>
      <c r="AU301" s="1">
        <f t="shared" si="35"/>
        <v>0.86399352036837018</v>
      </c>
      <c r="AV301" s="1">
        <f t="shared" si="36"/>
        <v>0.62136004851799287</v>
      </c>
      <c r="AW301" s="1">
        <f t="shared" si="37"/>
        <v>0.37872657666761544</v>
      </c>
    </row>
    <row r="302" spans="1:49" x14ac:dyDescent="0.2">
      <c r="A302">
        <v>300</v>
      </c>
      <c r="B302" t="s">
        <v>1578</v>
      </c>
      <c r="C302" t="s">
        <v>1577</v>
      </c>
      <c r="D302">
        <v>377221781902319</v>
      </c>
      <c r="F302" t="s">
        <v>1576</v>
      </c>
      <c r="G302" t="s">
        <v>16</v>
      </c>
      <c r="H302" t="s">
        <v>15</v>
      </c>
      <c r="I302" t="s">
        <v>1575</v>
      </c>
      <c r="J302">
        <v>60001439</v>
      </c>
      <c r="K302" t="s">
        <v>1574</v>
      </c>
      <c r="L302" t="s">
        <v>1573</v>
      </c>
      <c r="M302" t="s">
        <v>11</v>
      </c>
      <c r="N302">
        <v>1</v>
      </c>
      <c r="O302" t="s">
        <v>1572</v>
      </c>
      <c r="P302">
        <v>7003742697</v>
      </c>
      <c r="Q302">
        <v>60001439</v>
      </c>
      <c r="R302" s="6">
        <v>29587</v>
      </c>
      <c r="S302" s="7">
        <f t="shared" si="32"/>
        <v>1981</v>
      </c>
      <c r="T302" s="7">
        <v>1981</v>
      </c>
      <c r="U302" s="7">
        <f t="shared" si="33"/>
        <v>41</v>
      </c>
      <c r="V302" s="6">
        <v>29646</v>
      </c>
      <c r="W302" t="s">
        <v>1571</v>
      </c>
      <c r="X302" s="2">
        <v>2.161</v>
      </c>
      <c r="Y302" s="5">
        <f t="shared" si="38"/>
        <v>5.7686660793892321E-2</v>
      </c>
      <c r="AA302">
        <v>3772217</v>
      </c>
      <c r="AB302">
        <v>22489</v>
      </c>
      <c r="AD302" t="s">
        <v>5</v>
      </c>
      <c r="AE302">
        <v>6</v>
      </c>
      <c r="AF302">
        <v>3</v>
      </c>
      <c r="AH302" t="s">
        <v>1570</v>
      </c>
      <c r="AL302">
        <v>10</v>
      </c>
      <c r="AM302" s="4">
        <f t="shared" si="34"/>
        <v>0.24390243902439024</v>
      </c>
      <c r="AN302" s="21">
        <f t="shared" si="39"/>
        <v>3.6940922230123473E-4</v>
      </c>
      <c r="AO302" s="3"/>
      <c r="AP302">
        <v>0</v>
      </c>
      <c r="AR302" t="s">
        <v>1569</v>
      </c>
      <c r="AT302" s="2" t="s">
        <v>0</v>
      </c>
      <c r="AU302" s="1">
        <f t="shared" si="35"/>
        <v>4.0491485322414995</v>
      </c>
      <c r="AV302" s="1">
        <f t="shared" si="36"/>
        <v>2.9028035008096778</v>
      </c>
      <c r="AW302" s="1">
        <f t="shared" si="37"/>
        <v>1.756458469377856</v>
      </c>
    </row>
    <row r="303" spans="1:49" x14ac:dyDescent="0.2">
      <c r="A303">
        <v>301</v>
      </c>
      <c r="B303" t="s">
        <v>1568</v>
      </c>
      <c r="C303" t="s">
        <v>1567</v>
      </c>
      <c r="F303" t="s">
        <v>1566</v>
      </c>
      <c r="G303" t="s">
        <v>16</v>
      </c>
      <c r="H303" t="s">
        <v>15</v>
      </c>
      <c r="I303" t="s">
        <v>1565</v>
      </c>
      <c r="N303">
        <v>1</v>
      </c>
      <c r="O303" t="s">
        <v>1564</v>
      </c>
      <c r="P303">
        <v>6508230442</v>
      </c>
      <c r="R303" s="6">
        <v>29587</v>
      </c>
      <c r="S303" s="7">
        <f t="shared" si="32"/>
        <v>1981</v>
      </c>
      <c r="T303" s="7">
        <v>1981</v>
      </c>
      <c r="U303" s="7">
        <f t="shared" si="33"/>
        <v>41</v>
      </c>
      <c r="V303" s="6">
        <v>29646</v>
      </c>
      <c r="W303" t="s">
        <v>1493</v>
      </c>
      <c r="X303" s="2">
        <v>0.78200000000000003</v>
      </c>
      <c r="Y303" s="5">
        <f t="shared" si="38"/>
        <v>2.0875043378446919E-2</v>
      </c>
      <c r="AA303">
        <v>189316</v>
      </c>
      <c r="AB303">
        <v>19901</v>
      </c>
      <c r="AC303">
        <v>15579611</v>
      </c>
      <c r="AD303" t="s">
        <v>5</v>
      </c>
      <c r="AE303" t="s">
        <v>1492</v>
      </c>
      <c r="AF303">
        <v>1</v>
      </c>
      <c r="AH303" s="8">
        <v>44348</v>
      </c>
      <c r="AL303">
        <v>1</v>
      </c>
      <c r="AM303" s="4">
        <f t="shared" si="34"/>
        <v>2.4390243902439025E-2</v>
      </c>
      <c r="AN303" s="21">
        <f t="shared" si="39"/>
        <v>3.6940922230123474E-5</v>
      </c>
      <c r="AO303" s="3"/>
      <c r="AP303">
        <v>0</v>
      </c>
      <c r="AR303" t="s">
        <v>1</v>
      </c>
      <c r="AT303" s="2">
        <v>3.863</v>
      </c>
      <c r="AU303" s="1">
        <f t="shared" si="35"/>
        <v>1.4623612641581878</v>
      </c>
      <c r="AV303" s="1">
        <f t="shared" si="36"/>
        <v>1.0455992150338522</v>
      </c>
      <c r="AW303" s="1">
        <f t="shared" si="37"/>
        <v>0.62883716590951622</v>
      </c>
    </row>
    <row r="304" spans="1:49" x14ac:dyDescent="0.2">
      <c r="A304">
        <v>302</v>
      </c>
      <c r="B304" t="s">
        <v>1563</v>
      </c>
      <c r="C304" t="s">
        <v>1562</v>
      </c>
      <c r="F304" t="s">
        <v>1561</v>
      </c>
      <c r="G304" t="s">
        <v>16</v>
      </c>
      <c r="H304" t="s">
        <v>15</v>
      </c>
      <c r="I304" t="s">
        <v>1560</v>
      </c>
      <c r="J304">
        <v>60003537</v>
      </c>
      <c r="K304" t="s">
        <v>1559</v>
      </c>
      <c r="L304" t="s">
        <v>1558</v>
      </c>
      <c r="M304" t="s">
        <v>11</v>
      </c>
      <c r="N304">
        <v>1</v>
      </c>
      <c r="O304" t="s">
        <v>1557</v>
      </c>
      <c r="P304">
        <v>7006672734</v>
      </c>
      <c r="Q304">
        <v>60003537</v>
      </c>
      <c r="R304" s="6">
        <v>29587</v>
      </c>
      <c r="S304" s="7">
        <f t="shared" si="32"/>
        <v>1981</v>
      </c>
      <c r="T304" s="7">
        <v>1981</v>
      </c>
      <c r="U304" s="7">
        <f t="shared" si="33"/>
        <v>41</v>
      </c>
      <c r="V304" s="6">
        <v>29646</v>
      </c>
      <c r="W304" t="s">
        <v>725</v>
      </c>
      <c r="X304" s="2">
        <v>1.137</v>
      </c>
      <c r="Y304" s="5">
        <f t="shared" si="38"/>
        <v>3.0351565628253384E-2</v>
      </c>
      <c r="AA304">
        <v>189251</v>
      </c>
      <c r="AB304">
        <v>17336</v>
      </c>
      <c r="AD304" t="s">
        <v>5</v>
      </c>
      <c r="AE304" t="s">
        <v>724</v>
      </c>
      <c r="AF304">
        <v>2</v>
      </c>
      <c r="AH304" t="s">
        <v>1556</v>
      </c>
      <c r="AI304" t="s">
        <v>1555</v>
      </c>
      <c r="AK304" t="s">
        <v>1554</v>
      </c>
      <c r="AL304">
        <v>15</v>
      </c>
      <c r="AM304" s="4">
        <f t="shared" si="34"/>
        <v>0.36585365853658536</v>
      </c>
      <c r="AN304" s="21">
        <f t="shared" si="39"/>
        <v>5.5411383345185209E-4</v>
      </c>
      <c r="AO304" s="3"/>
      <c r="AP304">
        <v>0</v>
      </c>
      <c r="AR304" t="s">
        <v>1</v>
      </c>
      <c r="AT304" s="2" t="s">
        <v>0</v>
      </c>
      <c r="AU304" s="1">
        <f t="shared" si="35"/>
        <v>2.1412330089812923</v>
      </c>
      <c r="AV304" s="1">
        <f t="shared" si="36"/>
        <v>1.5452839730852617</v>
      </c>
      <c r="AW304" s="1">
        <f t="shared" si="37"/>
        <v>0.94933493718923123</v>
      </c>
    </row>
    <row r="305" spans="1:49" x14ac:dyDescent="0.2">
      <c r="A305">
        <v>303</v>
      </c>
      <c r="B305" t="s">
        <v>1553</v>
      </c>
      <c r="C305" t="s">
        <v>1552</v>
      </c>
      <c r="F305" t="s">
        <v>1551</v>
      </c>
      <c r="G305" t="s">
        <v>16</v>
      </c>
      <c r="H305" t="s">
        <v>15</v>
      </c>
      <c r="I305" t="s">
        <v>1550</v>
      </c>
      <c r="J305">
        <v>60005248</v>
      </c>
      <c r="K305" t="s">
        <v>1549</v>
      </c>
      <c r="L305" t="s">
        <v>1548</v>
      </c>
      <c r="M305" t="s">
        <v>11</v>
      </c>
      <c r="N305">
        <v>1</v>
      </c>
      <c r="O305" t="s">
        <v>1547</v>
      </c>
      <c r="P305">
        <v>6506752603</v>
      </c>
      <c r="Q305">
        <v>60005248</v>
      </c>
      <c r="R305" s="6">
        <v>29587</v>
      </c>
      <c r="S305" s="7">
        <f t="shared" si="32"/>
        <v>1981</v>
      </c>
      <c r="T305" s="7">
        <v>1981</v>
      </c>
      <c r="U305" s="7">
        <f t="shared" si="33"/>
        <v>41</v>
      </c>
      <c r="V305" s="6">
        <v>29646</v>
      </c>
      <c r="W305" t="s">
        <v>573</v>
      </c>
      <c r="X305" s="2">
        <v>1.3720000000000001</v>
      </c>
      <c r="Y305" s="5">
        <f t="shared" si="38"/>
        <v>3.662475641333654E-2</v>
      </c>
      <c r="AA305">
        <v>189480</v>
      </c>
      <c r="AB305">
        <v>17366</v>
      </c>
      <c r="AC305">
        <v>15579670</v>
      </c>
      <c r="AD305" t="s">
        <v>5</v>
      </c>
      <c r="AE305">
        <v>29</v>
      </c>
      <c r="AF305">
        <v>3</v>
      </c>
      <c r="AH305" t="s">
        <v>1546</v>
      </c>
      <c r="AI305" t="s">
        <v>1545</v>
      </c>
      <c r="AK305" t="s">
        <v>1544</v>
      </c>
      <c r="AL305">
        <v>2</v>
      </c>
      <c r="AM305" s="4">
        <f t="shared" si="34"/>
        <v>4.878048780487805E-2</v>
      </c>
      <c r="AN305" s="21">
        <f t="shared" si="39"/>
        <v>7.3881844460246948E-5</v>
      </c>
      <c r="AO305" s="3"/>
      <c r="AP305">
        <v>0</v>
      </c>
      <c r="AR305" t="s">
        <v>1</v>
      </c>
      <c r="AT305" s="2" t="s">
        <v>0</v>
      </c>
      <c r="AU305" s="1">
        <f t="shared" si="35"/>
        <v>2.5659494042673652</v>
      </c>
      <c r="AV305" s="1">
        <f t="shared" si="36"/>
        <v>1.8349319128898394</v>
      </c>
      <c r="AW305" s="1">
        <f t="shared" si="37"/>
        <v>1.1039144215123136</v>
      </c>
    </row>
    <row r="306" spans="1:49" x14ac:dyDescent="0.2">
      <c r="A306">
        <v>304</v>
      </c>
      <c r="B306" t="s">
        <v>1543</v>
      </c>
      <c r="C306" t="s">
        <v>1542</v>
      </c>
      <c r="F306" t="s">
        <v>1541</v>
      </c>
      <c r="G306" t="s">
        <v>16</v>
      </c>
      <c r="H306" t="s">
        <v>15</v>
      </c>
      <c r="I306" t="s">
        <v>1540</v>
      </c>
      <c r="J306">
        <v>60004541</v>
      </c>
      <c r="K306" t="s">
        <v>1539</v>
      </c>
      <c r="L306" t="s">
        <v>67</v>
      </c>
      <c r="M306" t="s">
        <v>11</v>
      </c>
      <c r="N306">
        <v>2</v>
      </c>
      <c r="O306" t="s">
        <v>1538</v>
      </c>
      <c r="P306" t="s">
        <v>1537</v>
      </c>
      <c r="Q306" t="s">
        <v>1536</v>
      </c>
      <c r="R306" s="6">
        <v>29587</v>
      </c>
      <c r="S306" s="7">
        <f t="shared" si="32"/>
        <v>1981</v>
      </c>
      <c r="T306" s="7">
        <v>1981</v>
      </c>
      <c r="U306" s="7">
        <f t="shared" si="33"/>
        <v>41</v>
      </c>
      <c r="V306" s="6">
        <v>29646</v>
      </c>
      <c r="W306" t="s">
        <v>273</v>
      </c>
      <c r="X306" s="2">
        <v>1.468</v>
      </c>
      <c r="Y306" s="5">
        <f t="shared" si="38"/>
        <v>3.9187421585115186E-2</v>
      </c>
      <c r="AA306">
        <v>906778</v>
      </c>
      <c r="AB306">
        <v>18931</v>
      </c>
      <c r="AD306" t="s">
        <v>5</v>
      </c>
      <c r="AE306">
        <v>29</v>
      </c>
      <c r="AF306">
        <v>3</v>
      </c>
      <c r="AH306" t="s">
        <v>1535</v>
      </c>
      <c r="AI306" t="s">
        <v>1534</v>
      </c>
      <c r="AK306" t="s">
        <v>1533</v>
      </c>
      <c r="AL306">
        <v>8</v>
      </c>
      <c r="AM306" s="4">
        <f t="shared" si="34"/>
        <v>0.1951219512195122</v>
      </c>
      <c r="AN306" s="21">
        <f t="shared" si="39"/>
        <v>2.9552737784098779E-4</v>
      </c>
      <c r="AO306" s="3"/>
      <c r="AP306">
        <v>0</v>
      </c>
      <c r="AR306" t="s">
        <v>1</v>
      </c>
      <c r="AT306" s="2">
        <v>5.0830000000000002</v>
      </c>
      <c r="AU306" s="1">
        <f t="shared" si="35"/>
        <v>2.7519853322932923</v>
      </c>
      <c r="AV306" s="1">
        <f t="shared" si="36"/>
        <v>1.9741474481478085</v>
      </c>
      <c r="AW306" s="1">
        <f t="shared" si="37"/>
        <v>1.1963095640023247</v>
      </c>
    </row>
    <row r="307" spans="1:49" x14ac:dyDescent="0.2">
      <c r="A307">
        <v>305</v>
      </c>
      <c r="B307" t="s">
        <v>1532</v>
      </c>
      <c r="C307" t="s">
        <v>1531</v>
      </c>
      <c r="F307" t="s">
        <v>1530</v>
      </c>
      <c r="G307" t="s">
        <v>16</v>
      </c>
      <c r="H307" t="s">
        <v>15</v>
      </c>
      <c r="I307" t="s">
        <v>1529</v>
      </c>
      <c r="J307">
        <v>60003500</v>
      </c>
      <c r="K307" t="s">
        <v>565</v>
      </c>
      <c r="L307" t="s">
        <v>564</v>
      </c>
      <c r="M307" t="s">
        <v>11</v>
      </c>
      <c r="N307">
        <v>2</v>
      </c>
      <c r="O307" t="s">
        <v>1528</v>
      </c>
      <c r="P307">
        <v>35611381200</v>
      </c>
      <c r="Q307">
        <v>60003500</v>
      </c>
      <c r="R307" s="6">
        <v>29587</v>
      </c>
      <c r="S307" s="7">
        <f t="shared" si="32"/>
        <v>1981</v>
      </c>
      <c r="T307" s="7">
        <v>1981</v>
      </c>
      <c r="U307" s="7">
        <f t="shared" si="33"/>
        <v>41</v>
      </c>
      <c r="V307" s="6">
        <v>29646</v>
      </c>
      <c r="W307" t="s">
        <v>725</v>
      </c>
      <c r="X307" s="2">
        <v>1.137</v>
      </c>
      <c r="Y307" s="5">
        <f t="shared" si="38"/>
        <v>3.0351565628253384E-2</v>
      </c>
      <c r="AA307">
        <v>189251</v>
      </c>
      <c r="AB307">
        <v>17336</v>
      </c>
      <c r="AD307" t="s">
        <v>5</v>
      </c>
      <c r="AE307" t="s">
        <v>724</v>
      </c>
      <c r="AF307">
        <v>2</v>
      </c>
      <c r="AH307" t="s">
        <v>1527</v>
      </c>
      <c r="AI307" t="s">
        <v>1526</v>
      </c>
      <c r="AK307" t="s">
        <v>1525</v>
      </c>
      <c r="AL307">
        <v>4</v>
      </c>
      <c r="AM307" s="4">
        <f t="shared" si="34"/>
        <v>9.7560975609756101E-2</v>
      </c>
      <c r="AN307" s="21">
        <f t="shared" si="39"/>
        <v>1.477636889204939E-4</v>
      </c>
      <c r="AO307" s="3"/>
      <c r="AP307">
        <v>0</v>
      </c>
      <c r="AR307" t="s">
        <v>1</v>
      </c>
      <c r="AT307" s="2" t="s">
        <v>0</v>
      </c>
      <c r="AU307" s="1">
        <f t="shared" si="35"/>
        <v>2.1290425046453518</v>
      </c>
      <c r="AV307" s="1">
        <f t="shared" si="36"/>
        <v>1.5249664658586939</v>
      </c>
      <c r="AW307" s="1">
        <f t="shared" si="37"/>
        <v>0.92089042707203617</v>
      </c>
    </row>
    <row r="308" spans="1:49" x14ac:dyDescent="0.2">
      <c r="A308">
        <v>306</v>
      </c>
      <c r="B308" t="s">
        <v>1524</v>
      </c>
      <c r="C308" t="s">
        <v>1523</v>
      </c>
      <c r="D308">
        <v>94576581900369</v>
      </c>
      <c r="F308" t="s">
        <v>1522</v>
      </c>
      <c r="G308" t="s">
        <v>16</v>
      </c>
      <c r="H308" t="s">
        <v>15</v>
      </c>
      <c r="I308" t="s">
        <v>1521</v>
      </c>
      <c r="J308">
        <v>60002286</v>
      </c>
      <c r="K308" t="s">
        <v>1520</v>
      </c>
      <c r="L308" t="s">
        <v>1519</v>
      </c>
      <c r="M308" t="s">
        <v>131</v>
      </c>
      <c r="N308">
        <v>2</v>
      </c>
      <c r="O308" t="s">
        <v>1518</v>
      </c>
      <c r="P308" t="s">
        <v>1517</v>
      </c>
      <c r="Q308" t="s">
        <v>1516</v>
      </c>
      <c r="R308" s="6">
        <v>29587</v>
      </c>
      <c r="S308" s="7">
        <f t="shared" si="32"/>
        <v>1981</v>
      </c>
      <c r="T308" s="7">
        <v>1981</v>
      </c>
      <c r="U308" s="7">
        <f t="shared" si="33"/>
        <v>41</v>
      </c>
      <c r="V308" s="6">
        <v>29646</v>
      </c>
      <c r="W308" t="s">
        <v>309</v>
      </c>
      <c r="X308" s="2">
        <v>1.1339999999999999</v>
      </c>
      <c r="Y308" s="5">
        <f t="shared" si="38"/>
        <v>3.0271482341635299E-2</v>
      </c>
      <c r="AA308">
        <v>945765</v>
      </c>
      <c r="AB308">
        <v>12372</v>
      </c>
      <c r="AD308" t="s">
        <v>5</v>
      </c>
      <c r="AE308">
        <v>8</v>
      </c>
      <c r="AF308">
        <v>3</v>
      </c>
      <c r="AH308" t="s">
        <v>1515</v>
      </c>
      <c r="AI308" t="s">
        <v>1514</v>
      </c>
      <c r="AK308" t="s">
        <v>1513</v>
      </c>
      <c r="AL308">
        <v>11</v>
      </c>
      <c r="AM308" s="4">
        <f t="shared" si="34"/>
        <v>0.26829268292682928</v>
      </c>
      <c r="AN308" s="21">
        <f t="shared" si="39"/>
        <v>4.0635014453135827E-4</v>
      </c>
      <c r="AO308" s="3"/>
      <c r="AP308">
        <v>0</v>
      </c>
      <c r="AR308" t="s">
        <v>1</v>
      </c>
      <c r="AT308" s="2">
        <v>2.4129999999999998</v>
      </c>
      <c r="AU308" s="1">
        <f t="shared" si="35"/>
        <v>2.1311942682504115</v>
      </c>
      <c r="AV308" s="1">
        <f t="shared" si="36"/>
        <v>1.5338916243083329</v>
      </c>
      <c r="AW308" s="1">
        <f t="shared" si="37"/>
        <v>0.93658898036625393</v>
      </c>
    </row>
    <row r="309" spans="1:49" x14ac:dyDescent="0.2">
      <c r="A309">
        <v>307</v>
      </c>
      <c r="B309" t="s">
        <v>1512</v>
      </c>
      <c r="C309" t="s">
        <v>1511</v>
      </c>
      <c r="D309">
        <v>12160681904486</v>
      </c>
      <c r="E309">
        <v>6785121</v>
      </c>
      <c r="F309" t="s">
        <v>1510</v>
      </c>
      <c r="G309" t="s">
        <v>16</v>
      </c>
      <c r="H309" t="s">
        <v>15</v>
      </c>
      <c r="I309" t="s">
        <v>1509</v>
      </c>
      <c r="J309" t="s">
        <v>1503</v>
      </c>
      <c r="K309" t="s">
        <v>1508</v>
      </c>
      <c r="L309" t="s">
        <v>1507</v>
      </c>
      <c r="M309" t="s">
        <v>1506</v>
      </c>
      <c r="N309">
        <v>2</v>
      </c>
      <c r="O309" t="s">
        <v>1505</v>
      </c>
      <c r="P309" t="s">
        <v>1504</v>
      </c>
      <c r="Q309" t="s">
        <v>1503</v>
      </c>
      <c r="R309" s="6">
        <v>29587</v>
      </c>
      <c r="S309" s="7">
        <f t="shared" si="32"/>
        <v>1981</v>
      </c>
      <c r="T309" s="7">
        <v>1981</v>
      </c>
      <c r="U309" s="7">
        <f t="shared" si="33"/>
        <v>41</v>
      </c>
      <c r="V309" s="6">
        <v>29646</v>
      </c>
      <c r="W309" t="s">
        <v>79</v>
      </c>
      <c r="X309" s="2">
        <v>1.77</v>
      </c>
      <c r="Y309" s="5">
        <f t="shared" si="38"/>
        <v>4.7249139104668859E-2</v>
      </c>
      <c r="AA309">
        <v>121606</v>
      </c>
      <c r="AB309">
        <v>14536</v>
      </c>
      <c r="AD309" t="s">
        <v>5</v>
      </c>
      <c r="AE309">
        <v>82</v>
      </c>
      <c r="AF309">
        <v>2</v>
      </c>
      <c r="AH309" t="s">
        <v>1502</v>
      </c>
      <c r="AI309" t="s">
        <v>1501</v>
      </c>
      <c r="AK309" t="s">
        <v>1500</v>
      </c>
      <c r="AL309">
        <v>33</v>
      </c>
      <c r="AM309" s="4">
        <f t="shared" si="34"/>
        <v>0.80487804878048785</v>
      </c>
      <c r="AN309" s="21">
        <f t="shared" si="39"/>
        <v>1.2190504335940747E-3</v>
      </c>
      <c r="AO309" s="3"/>
      <c r="AP309">
        <v>0</v>
      </c>
      <c r="AR309" t="s">
        <v>1499</v>
      </c>
      <c r="AT309" s="2">
        <v>3.5819999999999999</v>
      </c>
      <c r="AU309" s="1">
        <f t="shared" si="35"/>
        <v>3.344011250334642</v>
      </c>
      <c r="AV309" s="1">
        <f t="shared" si="36"/>
        <v>2.4234094769131467</v>
      </c>
      <c r="AW309" s="1">
        <f t="shared" si="37"/>
        <v>1.5028077034916507</v>
      </c>
    </row>
    <row r="310" spans="1:49" x14ac:dyDescent="0.2">
      <c r="A310">
        <v>308</v>
      </c>
      <c r="B310" t="s">
        <v>1498</v>
      </c>
      <c r="C310" t="s">
        <v>1497</v>
      </c>
      <c r="F310" t="s">
        <v>1496</v>
      </c>
      <c r="G310" t="s">
        <v>16</v>
      </c>
      <c r="H310" t="s">
        <v>15</v>
      </c>
      <c r="I310" t="s">
        <v>1495</v>
      </c>
      <c r="N310">
        <v>1</v>
      </c>
      <c r="O310" t="s">
        <v>1494</v>
      </c>
      <c r="P310">
        <v>7101688147</v>
      </c>
      <c r="R310" s="6">
        <v>29587</v>
      </c>
      <c r="S310" s="7">
        <f t="shared" si="32"/>
        <v>1981</v>
      </c>
      <c r="T310" s="7">
        <v>1981</v>
      </c>
      <c r="U310" s="7">
        <f t="shared" si="33"/>
        <v>41</v>
      </c>
      <c r="V310" s="6">
        <v>29646</v>
      </c>
      <c r="W310" t="s">
        <v>1493</v>
      </c>
      <c r="X310" s="2">
        <v>0.78200000000000003</v>
      </c>
      <c r="Y310" s="5">
        <f t="shared" si="38"/>
        <v>2.0875043378446919E-2</v>
      </c>
      <c r="AA310">
        <v>189316</v>
      </c>
      <c r="AB310">
        <v>19901</v>
      </c>
      <c r="AC310">
        <v>15579611</v>
      </c>
      <c r="AD310" t="s">
        <v>5</v>
      </c>
      <c r="AE310" t="s">
        <v>1492</v>
      </c>
      <c r="AF310">
        <v>1</v>
      </c>
      <c r="AH310" s="9">
        <v>44013</v>
      </c>
      <c r="AI310" t="s">
        <v>1491</v>
      </c>
      <c r="AK310" t="s">
        <v>1490</v>
      </c>
      <c r="AL310">
        <v>3</v>
      </c>
      <c r="AM310" s="4">
        <f t="shared" si="34"/>
        <v>7.3170731707317069E-2</v>
      </c>
      <c r="AN310" s="21">
        <f t="shared" si="39"/>
        <v>1.1082276669037041E-4</v>
      </c>
      <c r="AO310" s="3"/>
      <c r="AP310">
        <v>0</v>
      </c>
      <c r="AR310" t="s">
        <v>1</v>
      </c>
      <c r="AT310" s="2">
        <v>3.863</v>
      </c>
      <c r="AU310" s="1">
        <f t="shared" si="35"/>
        <v>1.4645777194919951</v>
      </c>
      <c r="AV310" s="1">
        <f t="shared" si="36"/>
        <v>1.0492933072568644</v>
      </c>
      <c r="AW310" s="1">
        <f t="shared" si="37"/>
        <v>0.63400889502173352</v>
      </c>
    </row>
    <row r="311" spans="1:49" x14ac:dyDescent="0.2">
      <c r="A311">
        <v>309</v>
      </c>
      <c r="B311" t="s">
        <v>1489</v>
      </c>
      <c r="C311" t="s">
        <v>1488</v>
      </c>
      <c r="F311" t="s">
        <v>1487</v>
      </c>
      <c r="G311" t="s">
        <v>16</v>
      </c>
      <c r="H311" t="s">
        <v>15</v>
      </c>
      <c r="I311" t="s">
        <v>1486</v>
      </c>
      <c r="J311">
        <v>60010167</v>
      </c>
      <c r="K311" t="s">
        <v>1485</v>
      </c>
      <c r="L311" t="s">
        <v>1484</v>
      </c>
      <c r="M311" t="s">
        <v>11</v>
      </c>
      <c r="N311">
        <v>1</v>
      </c>
      <c r="O311" t="s">
        <v>1483</v>
      </c>
      <c r="P311">
        <v>7203016121</v>
      </c>
      <c r="Q311">
        <v>60010167</v>
      </c>
      <c r="R311" s="6">
        <v>29587</v>
      </c>
      <c r="S311" s="7">
        <f t="shared" si="32"/>
        <v>1981</v>
      </c>
      <c r="T311" s="7">
        <v>1981</v>
      </c>
      <c r="U311" s="7">
        <f t="shared" si="33"/>
        <v>41</v>
      </c>
      <c r="V311" s="6">
        <v>29646</v>
      </c>
      <c r="W311" t="s">
        <v>1482</v>
      </c>
      <c r="X311" s="2" t="s">
        <v>0</v>
      </c>
      <c r="Y311" s="5" t="e">
        <f t="shared" si="38"/>
        <v>#VALUE!</v>
      </c>
      <c r="AA311">
        <v>189510</v>
      </c>
      <c r="AB311">
        <v>30904</v>
      </c>
      <c r="AD311" t="s">
        <v>5</v>
      </c>
      <c r="AE311" t="s">
        <v>1481</v>
      </c>
      <c r="AF311">
        <v>3</v>
      </c>
      <c r="AH311" t="s">
        <v>1480</v>
      </c>
      <c r="AI311" t="s">
        <v>1479</v>
      </c>
      <c r="AK311" t="s">
        <v>1478</v>
      </c>
      <c r="AL311">
        <v>0</v>
      </c>
      <c r="AM311" s="4">
        <f t="shared" si="34"/>
        <v>0</v>
      </c>
      <c r="AN311" s="21">
        <f t="shared" si="39"/>
        <v>0</v>
      </c>
      <c r="AO311" s="3"/>
      <c r="AP311">
        <v>0</v>
      </c>
      <c r="AR311" t="s">
        <v>1</v>
      </c>
      <c r="AT311" s="2" t="s">
        <v>0</v>
      </c>
      <c r="AU311" s="1" t="e">
        <f t="shared" si="35"/>
        <v>#VALUE!</v>
      </c>
      <c r="AV311" s="1" t="e">
        <f t="shared" si="36"/>
        <v>#VALUE!</v>
      </c>
      <c r="AW311" s="1" t="e">
        <f t="shared" si="37"/>
        <v>#VALUE!</v>
      </c>
    </row>
    <row r="312" spans="1:49" x14ac:dyDescent="0.2">
      <c r="A312">
        <v>310</v>
      </c>
      <c r="B312" t="s">
        <v>1477</v>
      </c>
      <c r="C312" t="s">
        <v>1476</v>
      </c>
      <c r="F312" t="s">
        <v>1475</v>
      </c>
      <c r="G312" t="s">
        <v>16</v>
      </c>
      <c r="H312" t="s">
        <v>15</v>
      </c>
      <c r="I312" t="s">
        <v>1474</v>
      </c>
      <c r="J312">
        <v>115596374</v>
      </c>
      <c r="K312" t="s">
        <v>1473</v>
      </c>
      <c r="L312" t="s">
        <v>1472</v>
      </c>
      <c r="M312" t="s">
        <v>11</v>
      </c>
      <c r="N312">
        <v>1</v>
      </c>
      <c r="O312" t="s">
        <v>1471</v>
      </c>
      <c r="P312">
        <v>6602852699</v>
      </c>
      <c r="Q312">
        <v>115596374</v>
      </c>
      <c r="R312" s="6">
        <v>29587</v>
      </c>
      <c r="S312" s="7">
        <f t="shared" si="32"/>
        <v>1981</v>
      </c>
      <c r="T312" s="7">
        <v>1981</v>
      </c>
      <c r="U312" s="7">
        <f t="shared" si="33"/>
        <v>41</v>
      </c>
      <c r="V312" s="6">
        <v>29646</v>
      </c>
      <c r="W312" t="s">
        <v>1207</v>
      </c>
      <c r="X312" s="2">
        <v>2.383</v>
      </c>
      <c r="Y312" s="5">
        <f t="shared" si="38"/>
        <v>6.3612824003630442E-2</v>
      </c>
      <c r="AA312">
        <v>189219</v>
      </c>
      <c r="AB312">
        <v>17915</v>
      </c>
      <c r="AC312">
        <v>15582256</v>
      </c>
      <c r="AD312" t="s">
        <v>5</v>
      </c>
      <c r="AE312">
        <v>69</v>
      </c>
      <c r="AF312">
        <v>3</v>
      </c>
      <c r="AH312" t="s">
        <v>1470</v>
      </c>
      <c r="AI312" t="s">
        <v>1469</v>
      </c>
      <c r="AK312" t="s">
        <v>1468</v>
      </c>
      <c r="AL312">
        <v>1</v>
      </c>
      <c r="AM312" s="4">
        <f t="shared" si="34"/>
        <v>2.4390243902439025E-2</v>
      </c>
      <c r="AN312" s="21">
        <f t="shared" si="39"/>
        <v>3.6940922230123474E-5</v>
      </c>
      <c r="AO312" s="3"/>
      <c r="AP312">
        <v>0</v>
      </c>
      <c r="AR312" t="s">
        <v>1</v>
      </c>
      <c r="AT312" s="2">
        <v>10.961</v>
      </c>
      <c r="AU312" s="1">
        <f t="shared" si="35"/>
        <v>4.4540059079210348</v>
      </c>
      <c r="AV312" s="1">
        <f t="shared" si="36"/>
        <v>3.1824882462930284</v>
      </c>
      <c r="AW312" s="1">
        <f t="shared" si="37"/>
        <v>1.910970584665022</v>
      </c>
    </row>
    <row r="313" spans="1:49" x14ac:dyDescent="0.2">
      <c r="A313">
        <v>311</v>
      </c>
      <c r="B313" t="s">
        <v>1467</v>
      </c>
      <c r="C313" t="s">
        <v>1466</v>
      </c>
      <c r="D313">
        <v>94576581900357</v>
      </c>
      <c r="F313" t="s">
        <v>1465</v>
      </c>
      <c r="G313" t="s">
        <v>16</v>
      </c>
      <c r="H313" t="s">
        <v>15</v>
      </c>
      <c r="I313" t="s">
        <v>1464</v>
      </c>
      <c r="J313">
        <v>60024411</v>
      </c>
      <c r="K313" t="s">
        <v>1463</v>
      </c>
      <c r="L313" t="s">
        <v>1462</v>
      </c>
      <c r="M313" t="s">
        <v>299</v>
      </c>
      <c r="N313">
        <v>1</v>
      </c>
      <c r="O313" t="s">
        <v>1461</v>
      </c>
      <c r="P313">
        <v>6505803878</v>
      </c>
      <c r="Q313">
        <v>60024411</v>
      </c>
      <c r="R313" s="6">
        <v>29587</v>
      </c>
      <c r="S313" s="7">
        <f t="shared" si="32"/>
        <v>1981</v>
      </c>
      <c r="T313" s="7">
        <v>1981</v>
      </c>
      <c r="U313" s="7">
        <f t="shared" si="33"/>
        <v>41</v>
      </c>
      <c r="V313" s="6">
        <v>29646</v>
      </c>
      <c r="W313" t="s">
        <v>309</v>
      </c>
      <c r="X313" s="2">
        <v>1.1339999999999999</v>
      </c>
      <c r="Y313" s="5">
        <f t="shared" si="38"/>
        <v>3.0271482341635299E-2</v>
      </c>
      <c r="AA313">
        <v>945765</v>
      </c>
      <c r="AB313">
        <v>12372</v>
      </c>
      <c r="AD313" t="s">
        <v>5</v>
      </c>
      <c r="AE313">
        <v>8</v>
      </c>
      <c r="AF313">
        <v>3</v>
      </c>
      <c r="AH313" t="s">
        <v>1460</v>
      </c>
      <c r="AI313" t="s">
        <v>1459</v>
      </c>
      <c r="AK313" t="s">
        <v>1458</v>
      </c>
      <c r="AL313">
        <v>0</v>
      </c>
      <c r="AM313" s="4">
        <f t="shared" si="34"/>
        <v>0</v>
      </c>
      <c r="AN313" s="21">
        <f t="shared" si="39"/>
        <v>0</v>
      </c>
      <c r="AO313" s="3"/>
      <c r="AP313">
        <v>0</v>
      </c>
      <c r="AR313" t="s">
        <v>1</v>
      </c>
      <c r="AT313" s="2">
        <v>2.4129999999999998</v>
      </c>
      <c r="AU313" s="1">
        <f t="shared" si="35"/>
        <v>2.119003763914471</v>
      </c>
      <c r="AV313" s="1">
        <f t="shared" si="36"/>
        <v>1.5135741170817649</v>
      </c>
      <c r="AW313" s="1">
        <f t="shared" si="37"/>
        <v>0.90814447024905898</v>
      </c>
    </row>
    <row r="314" spans="1:49" x14ac:dyDescent="0.2">
      <c r="A314">
        <v>312</v>
      </c>
      <c r="B314" t="s">
        <v>1457</v>
      </c>
      <c r="C314" t="s">
        <v>1456</v>
      </c>
      <c r="F314" t="s">
        <v>1455</v>
      </c>
      <c r="G314" t="s">
        <v>16</v>
      </c>
      <c r="H314" t="s">
        <v>15</v>
      </c>
      <c r="I314" t="s">
        <v>1454</v>
      </c>
      <c r="J314">
        <v>60024232</v>
      </c>
      <c r="K314" t="s">
        <v>1453</v>
      </c>
      <c r="L314" t="s">
        <v>1452</v>
      </c>
      <c r="M314" t="s">
        <v>577</v>
      </c>
      <c r="N314">
        <v>2</v>
      </c>
      <c r="O314" t="s">
        <v>1451</v>
      </c>
      <c r="P314" t="s">
        <v>1450</v>
      </c>
      <c r="Q314" t="s">
        <v>1449</v>
      </c>
      <c r="R314" s="6">
        <v>29587</v>
      </c>
      <c r="S314" s="7">
        <f t="shared" si="32"/>
        <v>1981</v>
      </c>
      <c r="T314" s="7">
        <v>1981</v>
      </c>
      <c r="U314" s="7">
        <f t="shared" si="33"/>
        <v>41</v>
      </c>
      <c r="V314" s="6">
        <v>29646</v>
      </c>
      <c r="W314" t="s">
        <v>235</v>
      </c>
      <c r="X314" s="2">
        <v>1.6519999999999999</v>
      </c>
      <c r="Y314" s="5">
        <f t="shared" si="38"/>
        <v>4.409919649769093E-2</v>
      </c>
      <c r="AA314" t="s">
        <v>234</v>
      </c>
      <c r="AB314">
        <v>17337</v>
      </c>
      <c r="AC314">
        <v>15582221</v>
      </c>
      <c r="AD314" t="s">
        <v>5</v>
      </c>
      <c r="AE314">
        <v>29</v>
      </c>
      <c r="AF314">
        <v>2</v>
      </c>
      <c r="AH314" t="s">
        <v>1448</v>
      </c>
      <c r="AI314" t="s">
        <v>1447</v>
      </c>
      <c r="AK314" t="s">
        <v>1446</v>
      </c>
      <c r="AL314">
        <v>12</v>
      </c>
      <c r="AM314" s="4">
        <f t="shared" si="34"/>
        <v>0.29268292682926828</v>
      </c>
      <c r="AN314" s="21">
        <f t="shared" si="39"/>
        <v>4.4329106676148166E-4</v>
      </c>
      <c r="AO314" s="3"/>
      <c r="AP314">
        <v>0</v>
      </c>
      <c r="AR314" t="s">
        <v>1</v>
      </c>
      <c r="AT314" s="2" t="s">
        <v>0</v>
      </c>
      <c r="AU314" s="1">
        <f t="shared" si="35"/>
        <v>3.1002424868412097</v>
      </c>
      <c r="AV314" s="1">
        <f t="shared" si="36"/>
        <v>2.2271243782226207</v>
      </c>
      <c r="AW314" s="1">
        <f t="shared" si="37"/>
        <v>1.3540062696040316</v>
      </c>
    </row>
    <row r="315" spans="1:49" x14ac:dyDescent="0.2">
      <c r="A315">
        <v>313</v>
      </c>
      <c r="B315" t="s">
        <v>1445</v>
      </c>
      <c r="C315" t="s">
        <v>1444</v>
      </c>
      <c r="F315" t="s">
        <v>1443</v>
      </c>
      <c r="G315" t="s">
        <v>16</v>
      </c>
      <c r="H315" t="s">
        <v>15</v>
      </c>
      <c r="I315" t="s">
        <v>1442</v>
      </c>
      <c r="J315">
        <v>60023004</v>
      </c>
      <c r="K315" t="s">
        <v>1326</v>
      </c>
      <c r="L315" t="s">
        <v>1325</v>
      </c>
      <c r="M315" t="s">
        <v>11</v>
      </c>
      <c r="N315">
        <v>1</v>
      </c>
      <c r="O315" t="s">
        <v>1441</v>
      </c>
      <c r="P315">
        <v>57206384573</v>
      </c>
      <c r="Q315">
        <v>60023004</v>
      </c>
      <c r="R315" s="6">
        <v>29587</v>
      </c>
      <c r="S315" s="7">
        <f t="shared" si="32"/>
        <v>1981</v>
      </c>
      <c r="T315" s="7">
        <v>1981</v>
      </c>
      <c r="U315" s="7">
        <f t="shared" si="33"/>
        <v>41</v>
      </c>
      <c r="V315" s="6">
        <v>29646</v>
      </c>
      <c r="W315" t="s">
        <v>235</v>
      </c>
      <c r="X315" s="2">
        <v>1.6519999999999999</v>
      </c>
      <c r="Y315" s="5">
        <f t="shared" si="38"/>
        <v>4.409919649769093E-2</v>
      </c>
      <c r="AA315" t="s">
        <v>234</v>
      </c>
      <c r="AB315">
        <v>17337</v>
      </c>
      <c r="AC315">
        <v>15582221</v>
      </c>
      <c r="AD315" t="s">
        <v>5</v>
      </c>
      <c r="AE315">
        <v>29</v>
      </c>
      <c r="AF315">
        <v>2</v>
      </c>
      <c r="AH315" t="s">
        <v>1440</v>
      </c>
      <c r="AI315" t="s">
        <v>1439</v>
      </c>
      <c r="AK315" t="s">
        <v>1438</v>
      </c>
      <c r="AL315">
        <v>15</v>
      </c>
      <c r="AM315" s="4">
        <f t="shared" si="34"/>
        <v>0.36585365853658536</v>
      </c>
      <c r="AN315" s="21">
        <f t="shared" si="39"/>
        <v>5.5411383345185209E-4</v>
      </c>
      <c r="AO315" s="3"/>
      <c r="AP315">
        <v>0</v>
      </c>
      <c r="AR315" t="s">
        <v>1</v>
      </c>
      <c r="AT315" s="2" t="s">
        <v>0</v>
      </c>
      <c r="AU315" s="1">
        <f t="shared" si="35"/>
        <v>3.1035671698419205</v>
      </c>
      <c r="AV315" s="1">
        <f t="shared" si="36"/>
        <v>2.2326655165571392</v>
      </c>
      <c r="AW315" s="1">
        <f t="shared" si="37"/>
        <v>1.3617638632723574</v>
      </c>
    </row>
    <row r="316" spans="1:49" x14ac:dyDescent="0.2">
      <c r="A316">
        <v>314</v>
      </c>
      <c r="B316" t="s">
        <v>1437</v>
      </c>
      <c r="C316" t="s">
        <v>1436</v>
      </c>
      <c r="F316" t="s">
        <v>1435</v>
      </c>
      <c r="G316" t="s">
        <v>16</v>
      </c>
      <c r="H316" t="s">
        <v>15</v>
      </c>
      <c r="I316" t="s">
        <v>1434</v>
      </c>
      <c r="J316" t="s">
        <v>1304</v>
      </c>
      <c r="K316" t="s">
        <v>1303</v>
      </c>
      <c r="L316" t="s">
        <v>1302</v>
      </c>
      <c r="M316" t="s">
        <v>277</v>
      </c>
      <c r="N316">
        <v>3</v>
      </c>
      <c r="O316" t="s">
        <v>1433</v>
      </c>
      <c r="P316" t="s">
        <v>1432</v>
      </c>
      <c r="Q316" t="s">
        <v>1431</v>
      </c>
      <c r="R316" s="6">
        <v>29587</v>
      </c>
      <c r="S316" s="7">
        <f t="shared" si="32"/>
        <v>1981</v>
      </c>
      <c r="T316" s="7">
        <v>1981</v>
      </c>
      <c r="U316" s="7">
        <f t="shared" si="33"/>
        <v>41</v>
      </c>
      <c r="V316" s="6">
        <v>29646</v>
      </c>
      <c r="W316" t="s">
        <v>235</v>
      </c>
      <c r="X316" s="2">
        <v>1.6519999999999999</v>
      </c>
      <c r="Y316" s="5">
        <f t="shared" si="38"/>
        <v>4.409919649769093E-2</v>
      </c>
      <c r="AA316" t="s">
        <v>234</v>
      </c>
      <c r="AB316">
        <v>17337</v>
      </c>
      <c r="AC316">
        <v>15582221</v>
      </c>
      <c r="AD316" t="s">
        <v>5</v>
      </c>
      <c r="AE316">
        <v>29</v>
      </c>
      <c r="AF316">
        <v>2</v>
      </c>
      <c r="AH316" t="s">
        <v>1430</v>
      </c>
      <c r="AI316" t="s">
        <v>1429</v>
      </c>
      <c r="AK316" t="s">
        <v>1428</v>
      </c>
      <c r="AL316">
        <v>30</v>
      </c>
      <c r="AM316" s="4">
        <f t="shared" si="34"/>
        <v>0.73170731707317072</v>
      </c>
      <c r="AN316" s="21">
        <f t="shared" si="39"/>
        <v>1.1082276669037042E-3</v>
      </c>
      <c r="AO316" s="3"/>
      <c r="AP316">
        <v>0</v>
      </c>
      <c r="AR316" t="s">
        <v>1</v>
      </c>
      <c r="AT316" s="2" t="s">
        <v>0</v>
      </c>
      <c r="AU316" s="1">
        <f t="shared" si="35"/>
        <v>3.1201905848454765</v>
      </c>
      <c r="AV316" s="1">
        <f t="shared" si="36"/>
        <v>2.2603712082297318</v>
      </c>
      <c r="AW316" s="1">
        <f t="shared" si="37"/>
        <v>1.4005518316139871</v>
      </c>
    </row>
    <row r="317" spans="1:49" x14ac:dyDescent="0.2">
      <c r="A317">
        <v>315</v>
      </c>
      <c r="B317" t="s">
        <v>1427</v>
      </c>
      <c r="C317" t="s">
        <v>1426</v>
      </c>
      <c r="F317" t="s">
        <v>1425</v>
      </c>
      <c r="G317" t="s">
        <v>16</v>
      </c>
      <c r="H317" t="s">
        <v>15</v>
      </c>
      <c r="I317" t="s">
        <v>1424</v>
      </c>
      <c r="J317">
        <v>60014169</v>
      </c>
      <c r="K317" t="s">
        <v>1423</v>
      </c>
      <c r="L317" t="s">
        <v>1422</v>
      </c>
      <c r="M317" t="s">
        <v>11</v>
      </c>
      <c r="N317">
        <v>3</v>
      </c>
      <c r="O317" t="s">
        <v>1421</v>
      </c>
      <c r="P317" t="s">
        <v>1420</v>
      </c>
      <c r="Q317" t="s">
        <v>1419</v>
      </c>
      <c r="R317" s="6">
        <v>29587</v>
      </c>
      <c r="S317" s="7">
        <f t="shared" si="32"/>
        <v>1981</v>
      </c>
      <c r="T317" s="7">
        <v>1981</v>
      </c>
      <c r="U317" s="7">
        <f t="shared" si="33"/>
        <v>41</v>
      </c>
      <c r="V317" s="6">
        <v>29646</v>
      </c>
      <c r="W317" t="s">
        <v>235</v>
      </c>
      <c r="X317" s="2">
        <v>1.6519999999999999</v>
      </c>
      <c r="Y317" s="5">
        <f t="shared" si="38"/>
        <v>4.409919649769093E-2</v>
      </c>
      <c r="AA317" t="s">
        <v>234</v>
      </c>
      <c r="AB317">
        <v>17337</v>
      </c>
      <c r="AC317">
        <v>15582221</v>
      </c>
      <c r="AD317" t="s">
        <v>5</v>
      </c>
      <c r="AE317">
        <v>29</v>
      </c>
      <c r="AF317">
        <v>2</v>
      </c>
      <c r="AH317" t="s">
        <v>1418</v>
      </c>
      <c r="AI317" t="s">
        <v>1417</v>
      </c>
      <c r="AK317" t="s">
        <v>1416</v>
      </c>
      <c r="AL317">
        <v>3</v>
      </c>
      <c r="AM317" s="4">
        <f t="shared" si="34"/>
        <v>7.3170731707317069E-2</v>
      </c>
      <c r="AN317" s="21">
        <f t="shared" si="39"/>
        <v>1.1082276669037041E-4</v>
      </c>
      <c r="AO317" s="3"/>
      <c r="AP317">
        <v>0</v>
      </c>
      <c r="AR317" t="s">
        <v>1</v>
      </c>
      <c r="AT317" s="2" t="s">
        <v>0</v>
      </c>
      <c r="AU317" s="1">
        <f t="shared" si="35"/>
        <v>3.0902684378390761</v>
      </c>
      <c r="AV317" s="1">
        <f t="shared" si="36"/>
        <v>2.2105009632190651</v>
      </c>
      <c r="AW317" s="1">
        <f t="shared" si="37"/>
        <v>1.3307334885990536</v>
      </c>
    </row>
    <row r="318" spans="1:49" x14ac:dyDescent="0.2">
      <c r="A318">
        <v>316</v>
      </c>
      <c r="B318" t="s">
        <v>1415</v>
      </c>
      <c r="C318" t="s">
        <v>1414</v>
      </c>
      <c r="F318" t="s">
        <v>1413</v>
      </c>
      <c r="G318" t="s">
        <v>16</v>
      </c>
      <c r="H318" t="s">
        <v>15</v>
      </c>
      <c r="I318" t="s">
        <v>1412</v>
      </c>
      <c r="J318">
        <v>60017597</v>
      </c>
      <c r="K318" t="s">
        <v>1411</v>
      </c>
      <c r="L318" t="s">
        <v>27</v>
      </c>
      <c r="M318" t="s">
        <v>26</v>
      </c>
      <c r="N318">
        <v>2</v>
      </c>
      <c r="O318" t="s">
        <v>1410</v>
      </c>
      <c r="P318" t="s">
        <v>1409</v>
      </c>
      <c r="Q318" t="s">
        <v>1408</v>
      </c>
      <c r="R318" s="6">
        <v>29587</v>
      </c>
      <c r="S318" s="7">
        <f t="shared" si="32"/>
        <v>1981</v>
      </c>
      <c r="T318" s="7">
        <v>1981</v>
      </c>
      <c r="U318" s="7">
        <f t="shared" si="33"/>
        <v>41</v>
      </c>
      <c r="V318" s="6">
        <v>29646</v>
      </c>
      <c r="W318" t="s">
        <v>235</v>
      </c>
      <c r="X318" s="2">
        <v>1.6519999999999999</v>
      </c>
      <c r="Y318" s="5">
        <f t="shared" si="38"/>
        <v>4.409919649769093E-2</v>
      </c>
      <c r="AA318" t="s">
        <v>234</v>
      </c>
      <c r="AB318">
        <v>17337</v>
      </c>
      <c r="AC318">
        <v>15582221</v>
      </c>
      <c r="AD318" t="s">
        <v>5</v>
      </c>
      <c r="AE318">
        <v>29</v>
      </c>
      <c r="AF318">
        <v>2</v>
      </c>
      <c r="AH318" t="s">
        <v>1407</v>
      </c>
      <c r="AI318" t="s">
        <v>1406</v>
      </c>
      <c r="AK318" t="s">
        <v>1405</v>
      </c>
      <c r="AL318">
        <v>57</v>
      </c>
      <c r="AM318" s="4">
        <f t="shared" si="34"/>
        <v>1.3902439024390243</v>
      </c>
      <c r="AN318" s="21">
        <f t="shared" si="39"/>
        <v>2.1056325671170379E-3</v>
      </c>
      <c r="AO318" s="3"/>
      <c r="AP318">
        <v>0</v>
      </c>
      <c r="AR318" t="s">
        <v>1</v>
      </c>
      <c r="AT318" s="2" t="s">
        <v>0</v>
      </c>
      <c r="AU318" s="1">
        <f t="shared" si="35"/>
        <v>3.1501127318518765</v>
      </c>
      <c r="AV318" s="1">
        <f t="shared" si="36"/>
        <v>2.3102414532403985</v>
      </c>
      <c r="AW318" s="1">
        <f t="shared" si="37"/>
        <v>1.4703701746289204</v>
      </c>
    </row>
    <row r="319" spans="1:49" x14ac:dyDescent="0.2">
      <c r="A319">
        <v>317</v>
      </c>
      <c r="B319" t="s">
        <v>1404</v>
      </c>
      <c r="C319" t="s">
        <v>1403</v>
      </c>
      <c r="F319" t="s">
        <v>1402</v>
      </c>
      <c r="G319" t="s">
        <v>16</v>
      </c>
      <c r="H319" t="s">
        <v>15</v>
      </c>
      <c r="I319" t="s">
        <v>1401</v>
      </c>
      <c r="J319">
        <v>60027271</v>
      </c>
      <c r="K319" t="s">
        <v>1400</v>
      </c>
      <c r="L319" t="s">
        <v>67</v>
      </c>
      <c r="M319" t="s">
        <v>11</v>
      </c>
      <c r="N319">
        <v>2</v>
      </c>
      <c r="O319" t="s">
        <v>1399</v>
      </c>
      <c r="P319" t="s">
        <v>1398</v>
      </c>
      <c r="Q319" t="s">
        <v>1397</v>
      </c>
      <c r="R319" s="6">
        <v>29587</v>
      </c>
      <c r="S319" s="7">
        <f t="shared" si="32"/>
        <v>1981</v>
      </c>
      <c r="T319" s="7">
        <v>1981</v>
      </c>
      <c r="U319" s="7">
        <f t="shared" si="33"/>
        <v>41</v>
      </c>
      <c r="V319" s="6">
        <v>29646</v>
      </c>
      <c r="W319" t="s">
        <v>235</v>
      </c>
      <c r="X319" s="2">
        <v>1.6519999999999999</v>
      </c>
      <c r="Y319" s="5">
        <f t="shared" si="38"/>
        <v>4.409919649769093E-2</v>
      </c>
      <c r="AA319" t="s">
        <v>234</v>
      </c>
      <c r="AB319">
        <v>17337</v>
      </c>
      <c r="AC319">
        <v>15582221</v>
      </c>
      <c r="AD319" t="s">
        <v>5</v>
      </c>
      <c r="AE319">
        <v>29</v>
      </c>
      <c r="AF319">
        <v>2</v>
      </c>
      <c r="AH319" t="s">
        <v>1396</v>
      </c>
      <c r="AI319" t="s">
        <v>1395</v>
      </c>
      <c r="AK319" t="s">
        <v>1394</v>
      </c>
      <c r="AL319">
        <v>22</v>
      </c>
      <c r="AM319" s="4">
        <f t="shared" si="34"/>
        <v>0.53658536585365857</v>
      </c>
      <c r="AN319" s="21">
        <f t="shared" si="39"/>
        <v>8.1270028906271655E-4</v>
      </c>
      <c r="AO319" s="3"/>
      <c r="AP319">
        <v>0</v>
      </c>
      <c r="AR319" t="s">
        <v>1</v>
      </c>
      <c r="AT319" s="2" t="s">
        <v>0</v>
      </c>
      <c r="AU319" s="1">
        <f t="shared" si="35"/>
        <v>3.1113247635102463</v>
      </c>
      <c r="AV319" s="1">
        <f t="shared" si="36"/>
        <v>2.2455948393376826</v>
      </c>
      <c r="AW319" s="1">
        <f t="shared" si="37"/>
        <v>1.3798649151651179</v>
      </c>
    </row>
    <row r="320" spans="1:49" x14ac:dyDescent="0.2">
      <c r="A320">
        <v>318</v>
      </c>
      <c r="B320" t="s">
        <v>1393</v>
      </c>
      <c r="C320" t="s">
        <v>1392</v>
      </c>
      <c r="F320" t="s">
        <v>1391</v>
      </c>
      <c r="G320" t="s">
        <v>16</v>
      </c>
      <c r="H320" t="s">
        <v>15</v>
      </c>
      <c r="I320" t="s">
        <v>1380</v>
      </c>
      <c r="J320">
        <v>60027561</v>
      </c>
      <c r="K320" t="s">
        <v>1390</v>
      </c>
      <c r="L320" t="s">
        <v>996</v>
      </c>
      <c r="M320" t="s">
        <v>11</v>
      </c>
      <c r="N320">
        <v>4</v>
      </c>
      <c r="O320" t="s">
        <v>1389</v>
      </c>
      <c r="P320" t="s">
        <v>1388</v>
      </c>
      <c r="Q320" t="s">
        <v>1387</v>
      </c>
      <c r="R320" s="6">
        <v>29587</v>
      </c>
      <c r="S320" s="7">
        <f t="shared" si="32"/>
        <v>1981</v>
      </c>
      <c r="T320" s="7">
        <v>1981</v>
      </c>
      <c r="U320" s="7">
        <f t="shared" si="33"/>
        <v>41</v>
      </c>
      <c r="V320" s="6">
        <v>29646</v>
      </c>
      <c r="W320" t="s">
        <v>235</v>
      </c>
      <c r="X320" s="2">
        <v>1.6519999999999999</v>
      </c>
      <c r="Y320" s="5">
        <f t="shared" si="38"/>
        <v>4.409919649769093E-2</v>
      </c>
      <c r="AA320" t="s">
        <v>234</v>
      </c>
      <c r="AB320">
        <v>17337</v>
      </c>
      <c r="AC320">
        <v>15582221</v>
      </c>
      <c r="AD320" t="s">
        <v>5</v>
      </c>
      <c r="AE320">
        <v>29</v>
      </c>
      <c r="AF320">
        <v>2</v>
      </c>
      <c r="AH320" t="s">
        <v>1386</v>
      </c>
      <c r="AI320" t="s">
        <v>1385</v>
      </c>
      <c r="AK320" t="s">
        <v>1384</v>
      </c>
      <c r="AL320">
        <v>98</v>
      </c>
      <c r="AM320" s="4">
        <f t="shared" si="34"/>
        <v>2.3902439024390243</v>
      </c>
      <c r="AN320" s="21">
        <f t="shared" si="39"/>
        <v>3.6202103785521003E-3</v>
      </c>
      <c r="AO320" s="3"/>
      <c r="AP320">
        <v>0</v>
      </c>
      <c r="AR320" t="s">
        <v>1</v>
      </c>
      <c r="AT320" s="2" t="s">
        <v>0</v>
      </c>
      <c r="AU320" s="1">
        <f t="shared" si="35"/>
        <v>3.1955500661949277</v>
      </c>
      <c r="AV320" s="1">
        <f t="shared" si="36"/>
        <v>2.3859703438121516</v>
      </c>
      <c r="AW320" s="1">
        <f t="shared" si="37"/>
        <v>1.5763906214293748</v>
      </c>
    </row>
    <row r="321" spans="1:49" x14ac:dyDescent="0.2">
      <c r="A321">
        <v>319</v>
      </c>
      <c r="B321" t="s">
        <v>1383</v>
      </c>
      <c r="C321" t="s">
        <v>1382</v>
      </c>
      <c r="F321" t="s">
        <v>1381</v>
      </c>
      <c r="G321" t="s">
        <v>16</v>
      </c>
      <c r="H321" t="s">
        <v>15</v>
      </c>
      <c r="I321" t="s">
        <v>1380</v>
      </c>
      <c r="J321" t="s">
        <v>1379</v>
      </c>
      <c r="K321" t="s">
        <v>1378</v>
      </c>
      <c r="L321" t="s">
        <v>1377</v>
      </c>
      <c r="M321" t="s">
        <v>654</v>
      </c>
      <c r="N321">
        <v>2</v>
      </c>
      <c r="O321" t="s">
        <v>1376</v>
      </c>
      <c r="P321" t="s">
        <v>1375</v>
      </c>
      <c r="Q321" t="s">
        <v>1374</v>
      </c>
      <c r="R321" s="6">
        <v>29587</v>
      </c>
      <c r="S321" s="7">
        <f t="shared" si="32"/>
        <v>1981</v>
      </c>
      <c r="T321" s="7">
        <v>1981</v>
      </c>
      <c r="U321" s="7">
        <f t="shared" si="33"/>
        <v>41</v>
      </c>
      <c r="V321" s="6">
        <v>29646</v>
      </c>
      <c r="W321" t="s">
        <v>235</v>
      </c>
      <c r="X321" s="2">
        <v>1.6519999999999999</v>
      </c>
      <c r="Y321" s="5">
        <f t="shared" si="38"/>
        <v>4.409919649769093E-2</v>
      </c>
      <c r="AA321" t="s">
        <v>234</v>
      </c>
      <c r="AB321">
        <v>17337</v>
      </c>
      <c r="AC321">
        <v>15582221</v>
      </c>
      <c r="AD321" t="s">
        <v>5</v>
      </c>
      <c r="AE321">
        <v>29</v>
      </c>
      <c r="AF321">
        <v>2</v>
      </c>
      <c r="AH321" t="s">
        <v>1373</v>
      </c>
      <c r="AI321" t="s">
        <v>1372</v>
      </c>
      <c r="AK321" t="s">
        <v>1371</v>
      </c>
      <c r="AL321">
        <v>37</v>
      </c>
      <c r="AM321" s="4">
        <f t="shared" si="34"/>
        <v>0.90243902439024393</v>
      </c>
      <c r="AN321" s="21">
        <f t="shared" si="39"/>
        <v>1.3668141225145686E-3</v>
      </c>
      <c r="AO321" s="3"/>
      <c r="AP321">
        <v>0</v>
      </c>
      <c r="AR321" t="s">
        <v>1</v>
      </c>
      <c r="AT321" s="2" t="s">
        <v>0</v>
      </c>
      <c r="AU321" s="1">
        <f t="shared" si="35"/>
        <v>3.1279481785138024</v>
      </c>
      <c r="AV321" s="1">
        <f t="shared" si="36"/>
        <v>2.2733005310102747</v>
      </c>
      <c r="AW321" s="1">
        <f t="shared" si="37"/>
        <v>1.4186528835067476</v>
      </c>
    </row>
    <row r="322" spans="1:49" x14ac:dyDescent="0.2">
      <c r="A322">
        <v>320</v>
      </c>
      <c r="B322" t="s">
        <v>1370</v>
      </c>
      <c r="C322" t="s">
        <v>1369</v>
      </c>
      <c r="F322" t="s">
        <v>1368</v>
      </c>
      <c r="G322" t="s">
        <v>16</v>
      </c>
      <c r="H322" t="s">
        <v>15</v>
      </c>
      <c r="I322" t="s">
        <v>1367</v>
      </c>
      <c r="J322">
        <v>60026306</v>
      </c>
      <c r="K322" t="s">
        <v>1366</v>
      </c>
      <c r="L322" t="s">
        <v>1365</v>
      </c>
      <c r="M322" t="s">
        <v>11</v>
      </c>
      <c r="N322">
        <v>1</v>
      </c>
      <c r="O322" t="s">
        <v>1364</v>
      </c>
      <c r="P322">
        <v>23022155300</v>
      </c>
      <c r="Q322">
        <v>60026306</v>
      </c>
      <c r="R322" s="6">
        <v>29587</v>
      </c>
      <c r="S322" s="7">
        <f t="shared" ref="S322:S385" si="40">YEAR(R322)</f>
        <v>1981</v>
      </c>
      <c r="T322" s="7">
        <v>1981</v>
      </c>
      <c r="U322" s="7">
        <f t="shared" ref="U322:U385" si="41">2022-T322</f>
        <v>41</v>
      </c>
      <c r="V322" s="6">
        <v>29646</v>
      </c>
      <c r="W322" t="s">
        <v>235</v>
      </c>
      <c r="X322" s="2">
        <v>1.6519999999999999</v>
      </c>
      <c r="Y322" s="5">
        <f t="shared" si="38"/>
        <v>4.409919649769093E-2</v>
      </c>
      <c r="AA322" t="s">
        <v>234</v>
      </c>
      <c r="AB322">
        <v>17337</v>
      </c>
      <c r="AC322">
        <v>15582221</v>
      </c>
      <c r="AD322" t="s">
        <v>5</v>
      </c>
      <c r="AE322">
        <v>29</v>
      </c>
      <c r="AF322">
        <v>2</v>
      </c>
      <c r="AH322" t="s">
        <v>1363</v>
      </c>
      <c r="AI322" t="s">
        <v>1362</v>
      </c>
      <c r="AK322" t="s">
        <v>1361</v>
      </c>
      <c r="AL322">
        <v>20</v>
      </c>
      <c r="AM322" s="4">
        <f t="shared" ref="AM322:AM385" si="42">AL322/U322</f>
        <v>0.48780487804878048</v>
      </c>
      <c r="AN322" s="21">
        <f t="shared" si="39"/>
        <v>7.3881844460246945E-4</v>
      </c>
      <c r="AO322" s="3"/>
      <c r="AP322">
        <v>0</v>
      </c>
      <c r="AR322" t="s">
        <v>1</v>
      </c>
      <c r="AT322" s="2" t="s">
        <v>0</v>
      </c>
      <c r="AU322" s="1">
        <f t="shared" ref="AU322:AU385" si="43">(Y322*0.7+AN322*0.3)*100</f>
        <v>3.109108308176439</v>
      </c>
      <c r="AV322" s="1">
        <f t="shared" ref="AV322:AV385" si="44">(Y322*0.5+AN322*0.5)*100</f>
        <v>2.2419007471146699</v>
      </c>
      <c r="AW322" s="1">
        <f t="shared" ref="AW322:AW385" si="45">(Y322*0.3+AN322*0.7)*100</f>
        <v>1.3746931860529006</v>
      </c>
    </row>
    <row r="323" spans="1:49" x14ac:dyDescent="0.2">
      <c r="A323">
        <v>321</v>
      </c>
      <c r="B323" t="s">
        <v>1360</v>
      </c>
      <c r="C323" t="s">
        <v>1359</v>
      </c>
      <c r="F323" t="s">
        <v>1358</v>
      </c>
      <c r="G323" t="s">
        <v>16</v>
      </c>
      <c r="H323" t="s">
        <v>15</v>
      </c>
      <c r="I323" t="s">
        <v>1357</v>
      </c>
      <c r="J323">
        <v>60006288</v>
      </c>
      <c r="K323" t="s">
        <v>1356</v>
      </c>
      <c r="L323" t="s">
        <v>1355</v>
      </c>
      <c r="M323" t="s">
        <v>131</v>
      </c>
      <c r="N323">
        <v>1</v>
      </c>
      <c r="O323" t="s">
        <v>1354</v>
      </c>
      <c r="P323">
        <v>7003525820</v>
      </c>
      <c r="Q323">
        <v>60006288</v>
      </c>
      <c r="R323" s="6">
        <v>29587</v>
      </c>
      <c r="S323" s="7">
        <f t="shared" si="40"/>
        <v>1981</v>
      </c>
      <c r="T323" s="7">
        <v>1981</v>
      </c>
      <c r="U323" s="7">
        <f t="shared" si="41"/>
        <v>41</v>
      </c>
      <c r="V323" s="6">
        <v>29646</v>
      </c>
      <c r="W323" t="s">
        <v>235</v>
      </c>
      <c r="X323" s="2">
        <v>1.6519999999999999</v>
      </c>
      <c r="Y323" s="5">
        <f t="shared" ref="Y323:Y386" si="46">(X323-$Z$3)/($Z$2-$Z$4)</f>
        <v>4.409919649769093E-2</v>
      </c>
      <c r="AA323" t="s">
        <v>234</v>
      </c>
      <c r="AB323">
        <v>17337</v>
      </c>
      <c r="AC323">
        <v>15582221</v>
      </c>
      <c r="AD323" t="s">
        <v>5</v>
      </c>
      <c r="AE323">
        <v>29</v>
      </c>
      <c r="AF323">
        <v>2</v>
      </c>
      <c r="AH323" t="s">
        <v>1353</v>
      </c>
      <c r="AI323" t="s">
        <v>1352</v>
      </c>
      <c r="AK323" t="s">
        <v>1351</v>
      </c>
      <c r="AL323">
        <v>65</v>
      </c>
      <c r="AM323" s="4">
        <f t="shared" si="42"/>
        <v>1.5853658536585367</v>
      </c>
      <c r="AN323" s="21">
        <f t="shared" ref="AN323:AN386" si="47">(AM323-$AO$3)/($AO$2-$AO$3)</f>
        <v>2.4011599449580258E-3</v>
      </c>
      <c r="AO323" s="3"/>
      <c r="AP323">
        <v>0</v>
      </c>
      <c r="AR323" t="s">
        <v>1</v>
      </c>
      <c r="AT323" s="2" t="s">
        <v>0</v>
      </c>
      <c r="AU323" s="1">
        <f t="shared" si="43"/>
        <v>3.1589785531871057</v>
      </c>
      <c r="AV323" s="1">
        <f t="shared" si="44"/>
        <v>2.3250178221324478</v>
      </c>
      <c r="AW323" s="1">
        <f t="shared" si="45"/>
        <v>1.4910570910777896</v>
      </c>
    </row>
    <row r="324" spans="1:49" x14ac:dyDescent="0.2">
      <c r="A324">
        <v>322</v>
      </c>
      <c r="B324" t="s">
        <v>1350</v>
      </c>
      <c r="C324" t="s">
        <v>1349</v>
      </c>
      <c r="F324" t="s">
        <v>1348</v>
      </c>
      <c r="G324" t="s">
        <v>16</v>
      </c>
      <c r="H324" t="s">
        <v>15</v>
      </c>
      <c r="I324" t="s">
        <v>1347</v>
      </c>
      <c r="J324">
        <v>60102127</v>
      </c>
      <c r="K324" t="s">
        <v>1346</v>
      </c>
      <c r="L324" t="s">
        <v>1345</v>
      </c>
      <c r="M324" t="s">
        <v>678</v>
      </c>
      <c r="N324">
        <v>1</v>
      </c>
      <c r="O324" t="s">
        <v>1344</v>
      </c>
      <c r="P324">
        <v>7004844226</v>
      </c>
      <c r="Q324">
        <v>60102127</v>
      </c>
      <c r="R324" s="6">
        <v>29587</v>
      </c>
      <c r="S324" s="7">
        <f t="shared" si="40"/>
        <v>1981</v>
      </c>
      <c r="T324" s="7">
        <v>1981</v>
      </c>
      <c r="U324" s="7">
        <f t="shared" si="41"/>
        <v>41</v>
      </c>
      <c r="V324" s="6">
        <v>29646</v>
      </c>
      <c r="W324" t="s">
        <v>235</v>
      </c>
      <c r="X324" s="2">
        <v>1.6519999999999999</v>
      </c>
      <c r="Y324" s="5">
        <f t="shared" si="46"/>
        <v>4.409919649769093E-2</v>
      </c>
      <c r="AA324" t="s">
        <v>234</v>
      </c>
      <c r="AB324">
        <v>17337</v>
      </c>
      <c r="AC324">
        <v>15582221</v>
      </c>
      <c r="AD324" t="s">
        <v>5</v>
      </c>
      <c r="AE324">
        <v>29</v>
      </c>
      <c r="AF324">
        <v>2</v>
      </c>
      <c r="AH324" t="s">
        <v>1343</v>
      </c>
      <c r="AI324" t="s">
        <v>1342</v>
      </c>
      <c r="AK324" t="s">
        <v>1341</v>
      </c>
      <c r="AL324">
        <v>270</v>
      </c>
      <c r="AM324" s="4">
        <f t="shared" si="42"/>
        <v>6.5853658536585362</v>
      </c>
      <c r="AN324" s="21">
        <f t="shared" si="47"/>
        <v>9.9740490021333374E-3</v>
      </c>
      <c r="AO324" s="3"/>
      <c r="AP324">
        <v>0</v>
      </c>
      <c r="AR324" t="s">
        <v>1</v>
      </c>
      <c r="AT324" s="2" t="s">
        <v>0</v>
      </c>
      <c r="AU324" s="1">
        <f t="shared" si="43"/>
        <v>3.3861652249023653</v>
      </c>
      <c r="AV324" s="1">
        <f t="shared" si="44"/>
        <v>2.7036622749912134</v>
      </c>
      <c r="AW324" s="1">
        <f t="shared" si="45"/>
        <v>2.0211593250800615</v>
      </c>
    </row>
    <row r="325" spans="1:49" x14ac:dyDescent="0.2">
      <c r="A325">
        <v>323</v>
      </c>
      <c r="B325" t="s">
        <v>1340</v>
      </c>
      <c r="C325" t="s">
        <v>1339</v>
      </c>
      <c r="F325" t="s">
        <v>1338</v>
      </c>
      <c r="G325" t="s">
        <v>16</v>
      </c>
      <c r="H325" t="s">
        <v>15</v>
      </c>
      <c r="I325" t="s">
        <v>1337</v>
      </c>
      <c r="J325">
        <v>60006168</v>
      </c>
      <c r="K325" t="s">
        <v>1336</v>
      </c>
      <c r="L325" t="s">
        <v>1335</v>
      </c>
      <c r="M325" t="s">
        <v>11</v>
      </c>
      <c r="N325">
        <v>1</v>
      </c>
      <c r="O325" t="s">
        <v>1334</v>
      </c>
      <c r="P325">
        <v>7401714882</v>
      </c>
      <c r="Q325">
        <v>60006168</v>
      </c>
      <c r="R325" s="6">
        <v>29587</v>
      </c>
      <c r="S325" s="7">
        <f t="shared" si="40"/>
        <v>1981</v>
      </c>
      <c r="T325" s="7">
        <v>1981</v>
      </c>
      <c r="U325" s="7">
        <f t="shared" si="41"/>
        <v>41</v>
      </c>
      <c r="V325" s="6">
        <v>29646</v>
      </c>
      <c r="W325" t="s">
        <v>235</v>
      </c>
      <c r="X325" s="2">
        <v>1.6519999999999999</v>
      </c>
      <c r="Y325" s="5">
        <f t="shared" si="46"/>
        <v>4.409919649769093E-2</v>
      </c>
      <c r="AA325" t="s">
        <v>234</v>
      </c>
      <c r="AB325">
        <v>17337</v>
      </c>
      <c r="AC325">
        <v>15582221</v>
      </c>
      <c r="AD325" t="s">
        <v>5</v>
      </c>
      <c r="AE325">
        <v>29</v>
      </c>
      <c r="AF325">
        <v>2</v>
      </c>
      <c r="AH325" t="s">
        <v>1333</v>
      </c>
      <c r="AI325" t="s">
        <v>1332</v>
      </c>
      <c r="AK325" t="s">
        <v>1331</v>
      </c>
      <c r="AL325">
        <v>24</v>
      </c>
      <c r="AM325" s="4">
        <f t="shared" si="42"/>
        <v>0.58536585365853655</v>
      </c>
      <c r="AN325" s="21">
        <f t="shared" si="47"/>
        <v>8.8658213352296332E-4</v>
      </c>
      <c r="AO325" s="3"/>
      <c r="AP325">
        <v>0</v>
      </c>
      <c r="AR325" t="s">
        <v>1</v>
      </c>
      <c r="AT325" s="2" t="s">
        <v>0</v>
      </c>
      <c r="AU325" s="1">
        <f t="shared" si="43"/>
        <v>3.1135412188440537</v>
      </c>
      <c r="AV325" s="1">
        <f t="shared" si="44"/>
        <v>2.2492889315606943</v>
      </c>
      <c r="AW325" s="1">
        <f t="shared" si="45"/>
        <v>1.3850366442773352</v>
      </c>
    </row>
    <row r="326" spans="1:49" x14ac:dyDescent="0.2">
      <c r="A326">
        <v>324</v>
      </c>
      <c r="B326" t="s">
        <v>1330</v>
      </c>
      <c r="C326" t="s">
        <v>1329</v>
      </c>
      <c r="F326" t="s">
        <v>1328</v>
      </c>
      <c r="G326" t="s">
        <v>16</v>
      </c>
      <c r="H326" t="s">
        <v>15</v>
      </c>
      <c r="I326" t="s">
        <v>1327</v>
      </c>
      <c r="J326">
        <v>60023004</v>
      </c>
      <c r="K326" t="s">
        <v>1326</v>
      </c>
      <c r="L326" t="s">
        <v>1325</v>
      </c>
      <c r="M326" t="s">
        <v>11</v>
      </c>
      <c r="N326">
        <v>1</v>
      </c>
      <c r="O326" t="s">
        <v>1324</v>
      </c>
      <c r="P326">
        <v>7004017929</v>
      </c>
      <c r="Q326">
        <v>60023004</v>
      </c>
      <c r="R326" s="6">
        <v>29587</v>
      </c>
      <c r="S326" s="7">
        <f t="shared" si="40"/>
        <v>1981</v>
      </c>
      <c r="T326" s="7">
        <v>1981</v>
      </c>
      <c r="U326" s="7">
        <f t="shared" si="41"/>
        <v>41</v>
      </c>
      <c r="V326" s="6">
        <v>29646</v>
      </c>
      <c r="W326" t="s">
        <v>235</v>
      </c>
      <c r="X326" s="2">
        <v>1.6519999999999999</v>
      </c>
      <c r="Y326" s="5">
        <f t="shared" si="46"/>
        <v>4.409919649769093E-2</v>
      </c>
      <c r="AA326" t="s">
        <v>234</v>
      </c>
      <c r="AB326">
        <v>17337</v>
      </c>
      <c r="AC326">
        <v>15582221</v>
      </c>
      <c r="AD326" t="s">
        <v>5</v>
      </c>
      <c r="AE326">
        <v>29</v>
      </c>
      <c r="AF326">
        <v>2</v>
      </c>
      <c r="AH326" t="s">
        <v>1323</v>
      </c>
      <c r="AI326" t="s">
        <v>1322</v>
      </c>
      <c r="AK326" t="s">
        <v>1321</v>
      </c>
      <c r="AL326">
        <v>107</v>
      </c>
      <c r="AM326" s="4">
        <f t="shared" si="42"/>
        <v>2.6097560975609757</v>
      </c>
      <c r="AN326" s="21">
        <f t="shared" si="47"/>
        <v>3.9526786786232117E-3</v>
      </c>
      <c r="AO326" s="3"/>
      <c r="AP326">
        <v>0</v>
      </c>
      <c r="AR326" t="s">
        <v>1</v>
      </c>
      <c r="AT326" s="2" t="s">
        <v>0</v>
      </c>
      <c r="AU326" s="1">
        <f t="shared" si="43"/>
        <v>3.2055241151970613</v>
      </c>
      <c r="AV326" s="1">
        <f t="shared" si="44"/>
        <v>2.4025937588157071</v>
      </c>
      <c r="AW326" s="1">
        <f t="shared" si="45"/>
        <v>1.5996634024343526</v>
      </c>
    </row>
    <row r="327" spans="1:49" x14ac:dyDescent="0.2">
      <c r="A327">
        <v>325</v>
      </c>
      <c r="B327" t="s">
        <v>1320</v>
      </c>
      <c r="C327" t="s">
        <v>1319</v>
      </c>
      <c r="F327" t="s">
        <v>1318</v>
      </c>
      <c r="G327" t="s">
        <v>16</v>
      </c>
      <c r="H327" t="s">
        <v>15</v>
      </c>
      <c r="I327" t="s">
        <v>1317</v>
      </c>
      <c r="J327">
        <v>60007136</v>
      </c>
      <c r="K327" t="s">
        <v>1316</v>
      </c>
      <c r="L327" t="s">
        <v>1315</v>
      </c>
      <c r="M327" t="s">
        <v>678</v>
      </c>
      <c r="N327">
        <v>3</v>
      </c>
      <c r="O327" t="s">
        <v>1314</v>
      </c>
      <c r="P327" t="s">
        <v>1313</v>
      </c>
      <c r="Q327" t="s">
        <v>1312</v>
      </c>
      <c r="R327" s="6">
        <v>29587</v>
      </c>
      <c r="S327" s="7">
        <f t="shared" si="40"/>
        <v>1981</v>
      </c>
      <c r="T327" s="7">
        <v>1981</v>
      </c>
      <c r="U327" s="7">
        <f t="shared" si="41"/>
        <v>41</v>
      </c>
      <c r="V327" s="6">
        <v>29646</v>
      </c>
      <c r="W327" t="s">
        <v>235</v>
      </c>
      <c r="X327" s="2">
        <v>1.6519999999999999</v>
      </c>
      <c r="Y327" s="5">
        <f t="shared" si="46"/>
        <v>4.409919649769093E-2</v>
      </c>
      <c r="AA327" t="s">
        <v>234</v>
      </c>
      <c r="AB327">
        <v>17337</v>
      </c>
      <c r="AC327">
        <v>15582221</v>
      </c>
      <c r="AD327" t="s">
        <v>5</v>
      </c>
      <c r="AE327">
        <v>29</v>
      </c>
      <c r="AF327">
        <v>2</v>
      </c>
      <c r="AH327" t="s">
        <v>1311</v>
      </c>
      <c r="AI327" t="s">
        <v>1310</v>
      </c>
      <c r="AK327" t="s">
        <v>1309</v>
      </c>
      <c r="AL327">
        <v>34</v>
      </c>
      <c r="AM327" s="4">
        <f t="shared" si="42"/>
        <v>0.82926829268292679</v>
      </c>
      <c r="AN327" s="21">
        <f t="shared" si="47"/>
        <v>1.2559913558241982E-3</v>
      </c>
      <c r="AO327" s="3"/>
      <c r="AP327">
        <v>0</v>
      </c>
      <c r="AR327" t="s">
        <v>1</v>
      </c>
      <c r="AT327" s="2" t="s">
        <v>0</v>
      </c>
      <c r="AU327" s="1">
        <f t="shared" si="43"/>
        <v>3.1246234955130912</v>
      </c>
      <c r="AV327" s="1">
        <f t="shared" si="44"/>
        <v>2.2677593926757567</v>
      </c>
      <c r="AW327" s="1">
        <f t="shared" si="45"/>
        <v>1.4108952898384217</v>
      </c>
    </row>
    <row r="328" spans="1:49" x14ac:dyDescent="0.2">
      <c r="A328">
        <v>326</v>
      </c>
      <c r="B328" t="s">
        <v>1308</v>
      </c>
      <c r="C328" t="s">
        <v>1307</v>
      </c>
      <c r="F328" t="s">
        <v>1306</v>
      </c>
      <c r="G328" t="s">
        <v>16</v>
      </c>
      <c r="H328" t="s">
        <v>15</v>
      </c>
      <c r="I328" t="s">
        <v>1305</v>
      </c>
      <c r="J328" t="s">
        <v>1304</v>
      </c>
      <c r="K328" t="s">
        <v>1303</v>
      </c>
      <c r="L328" t="s">
        <v>1302</v>
      </c>
      <c r="M328" t="s">
        <v>277</v>
      </c>
      <c r="N328">
        <v>4</v>
      </c>
      <c r="O328" t="s">
        <v>1301</v>
      </c>
      <c r="P328" t="s">
        <v>1300</v>
      </c>
      <c r="Q328" t="s">
        <v>1299</v>
      </c>
      <c r="R328" s="6">
        <v>29587</v>
      </c>
      <c r="S328" s="7">
        <f t="shared" si="40"/>
        <v>1981</v>
      </c>
      <c r="T328" s="7">
        <v>1981</v>
      </c>
      <c r="U328" s="7">
        <f t="shared" si="41"/>
        <v>41</v>
      </c>
      <c r="V328" s="6">
        <v>29646</v>
      </c>
      <c r="W328" t="s">
        <v>235</v>
      </c>
      <c r="X328" s="2">
        <v>1.6519999999999999</v>
      </c>
      <c r="Y328" s="5">
        <f t="shared" si="46"/>
        <v>4.409919649769093E-2</v>
      </c>
      <c r="AA328" t="s">
        <v>234</v>
      </c>
      <c r="AB328">
        <v>17337</v>
      </c>
      <c r="AC328">
        <v>15582221</v>
      </c>
      <c r="AD328" t="s">
        <v>5</v>
      </c>
      <c r="AE328">
        <v>29</v>
      </c>
      <c r="AF328">
        <v>2</v>
      </c>
      <c r="AH328" t="s">
        <v>1298</v>
      </c>
      <c r="AI328" t="s">
        <v>1297</v>
      </c>
      <c r="AK328" t="s">
        <v>1296</v>
      </c>
      <c r="AL328">
        <v>30</v>
      </c>
      <c r="AM328" s="4">
        <f t="shared" si="42"/>
        <v>0.73170731707317072</v>
      </c>
      <c r="AN328" s="21">
        <f t="shared" si="47"/>
        <v>1.1082276669037042E-3</v>
      </c>
      <c r="AO328" s="3"/>
      <c r="AP328">
        <v>0</v>
      </c>
      <c r="AR328" t="s">
        <v>1</v>
      </c>
      <c r="AT328" s="2" t="s">
        <v>0</v>
      </c>
      <c r="AU328" s="1">
        <f t="shared" si="43"/>
        <v>3.1201905848454765</v>
      </c>
      <c r="AV328" s="1">
        <f t="shared" si="44"/>
        <v>2.2603712082297318</v>
      </c>
      <c r="AW328" s="1">
        <f t="shared" si="45"/>
        <v>1.4005518316139871</v>
      </c>
    </row>
    <row r="329" spans="1:49" x14ac:dyDescent="0.2">
      <c r="A329">
        <v>327</v>
      </c>
      <c r="B329" t="s">
        <v>1295</v>
      </c>
      <c r="C329" t="s">
        <v>1294</v>
      </c>
      <c r="F329" t="s">
        <v>1293</v>
      </c>
      <c r="G329" t="s">
        <v>16</v>
      </c>
      <c r="H329" t="s">
        <v>15</v>
      </c>
      <c r="I329" t="s">
        <v>1292</v>
      </c>
      <c r="N329">
        <v>2</v>
      </c>
      <c r="O329" t="s">
        <v>1291</v>
      </c>
      <c r="P329" t="s">
        <v>1290</v>
      </c>
      <c r="Q329" t="s">
        <v>351</v>
      </c>
      <c r="R329" s="6">
        <v>29587</v>
      </c>
      <c r="S329" s="7">
        <f t="shared" si="40"/>
        <v>1981</v>
      </c>
      <c r="T329" s="7">
        <v>1981</v>
      </c>
      <c r="U329" s="7">
        <f t="shared" si="41"/>
        <v>41</v>
      </c>
      <c r="V329" s="6" t="s">
        <v>1271</v>
      </c>
      <c r="W329" t="s">
        <v>323</v>
      </c>
      <c r="X329" s="2">
        <v>0.371</v>
      </c>
      <c r="Y329" s="5">
        <f t="shared" si="46"/>
        <v>9.9036331117695747E-3</v>
      </c>
      <c r="AA329">
        <v>486604</v>
      </c>
      <c r="AB329">
        <v>28580</v>
      </c>
      <c r="AC329" t="s">
        <v>322</v>
      </c>
      <c r="AD329" t="s">
        <v>5</v>
      </c>
      <c r="AE329">
        <v>16</v>
      </c>
      <c r="AF329">
        <v>2</v>
      </c>
      <c r="AH329" t="s">
        <v>1289</v>
      </c>
      <c r="AI329" t="s">
        <v>1288</v>
      </c>
      <c r="AK329" t="s">
        <v>1287</v>
      </c>
      <c r="AL329">
        <v>10</v>
      </c>
      <c r="AM329" s="4">
        <f t="shared" si="42"/>
        <v>0.24390243902439024</v>
      </c>
      <c r="AN329" s="21">
        <f t="shared" si="47"/>
        <v>3.6940922230123473E-4</v>
      </c>
      <c r="AO329" s="3"/>
      <c r="AP329">
        <v>0</v>
      </c>
      <c r="AR329" t="s">
        <v>1</v>
      </c>
      <c r="AT329" s="2">
        <v>1.431</v>
      </c>
      <c r="AU329" s="1">
        <f t="shared" si="43"/>
        <v>0.7043365944929072</v>
      </c>
      <c r="AV329" s="1">
        <f t="shared" si="44"/>
        <v>0.51365211670354038</v>
      </c>
      <c r="AW329" s="1">
        <f t="shared" si="45"/>
        <v>0.32296763891417368</v>
      </c>
    </row>
    <row r="330" spans="1:49" x14ac:dyDescent="0.2">
      <c r="A330">
        <v>328</v>
      </c>
      <c r="B330" t="s">
        <v>1286</v>
      </c>
      <c r="C330" t="s">
        <v>1285</v>
      </c>
      <c r="F330" t="s">
        <v>1284</v>
      </c>
      <c r="G330" t="s">
        <v>16</v>
      </c>
      <c r="H330" t="s">
        <v>15</v>
      </c>
      <c r="I330" t="s">
        <v>1283</v>
      </c>
      <c r="N330">
        <v>2</v>
      </c>
      <c r="O330" t="s">
        <v>1282</v>
      </c>
      <c r="P330" t="s">
        <v>1281</v>
      </c>
      <c r="Q330" t="s">
        <v>351</v>
      </c>
      <c r="R330" s="6">
        <v>29587</v>
      </c>
      <c r="S330" s="7">
        <f t="shared" si="40"/>
        <v>1981</v>
      </c>
      <c r="T330" s="7">
        <v>1981</v>
      </c>
      <c r="U330" s="7">
        <f t="shared" si="41"/>
        <v>41</v>
      </c>
      <c r="V330" s="6" t="s">
        <v>1271</v>
      </c>
      <c r="W330" t="s">
        <v>323</v>
      </c>
      <c r="X330" s="2">
        <v>0.371</v>
      </c>
      <c r="Y330" s="5">
        <f t="shared" si="46"/>
        <v>9.9036331117695747E-3</v>
      </c>
      <c r="AA330">
        <v>486604</v>
      </c>
      <c r="AB330">
        <v>28580</v>
      </c>
      <c r="AC330" t="s">
        <v>322</v>
      </c>
      <c r="AD330" t="s">
        <v>5</v>
      </c>
      <c r="AE330">
        <v>16</v>
      </c>
      <c r="AF330">
        <v>2</v>
      </c>
      <c r="AH330" t="s">
        <v>1280</v>
      </c>
      <c r="AI330" t="s">
        <v>1279</v>
      </c>
      <c r="AK330" t="s">
        <v>1278</v>
      </c>
      <c r="AL330">
        <v>10</v>
      </c>
      <c r="AM330" s="4">
        <f t="shared" si="42"/>
        <v>0.24390243902439024</v>
      </c>
      <c r="AN330" s="21">
        <f t="shared" si="47"/>
        <v>3.6940922230123473E-4</v>
      </c>
      <c r="AO330" s="3"/>
      <c r="AP330">
        <v>0</v>
      </c>
      <c r="AR330" t="s">
        <v>1</v>
      </c>
      <c r="AT330" s="2">
        <v>1.431</v>
      </c>
      <c r="AU330" s="1">
        <f t="shared" si="43"/>
        <v>0.7043365944929072</v>
      </c>
      <c r="AV330" s="1">
        <f t="shared" si="44"/>
        <v>0.51365211670354038</v>
      </c>
      <c r="AW330" s="1">
        <f t="shared" si="45"/>
        <v>0.32296763891417368</v>
      </c>
    </row>
    <row r="331" spans="1:49" x14ac:dyDescent="0.2">
      <c r="A331">
        <v>329</v>
      </c>
      <c r="B331" t="s">
        <v>1277</v>
      </c>
      <c r="C331" t="s">
        <v>1276</v>
      </c>
      <c r="F331" t="s">
        <v>1275</v>
      </c>
      <c r="G331" t="s">
        <v>16</v>
      </c>
      <c r="H331" t="s">
        <v>15</v>
      </c>
      <c r="I331" t="s">
        <v>1274</v>
      </c>
      <c r="N331">
        <v>2</v>
      </c>
      <c r="O331" t="s">
        <v>1273</v>
      </c>
      <c r="P331" t="s">
        <v>1272</v>
      </c>
      <c r="Q331" t="s">
        <v>351</v>
      </c>
      <c r="R331" s="6">
        <v>29587</v>
      </c>
      <c r="S331" s="7">
        <f t="shared" si="40"/>
        <v>1981</v>
      </c>
      <c r="T331" s="7">
        <v>1981</v>
      </c>
      <c r="U331" s="7">
        <f t="shared" si="41"/>
        <v>41</v>
      </c>
      <c r="V331" s="6" t="s">
        <v>1271</v>
      </c>
      <c r="W331" t="s">
        <v>323</v>
      </c>
      <c r="X331" s="2">
        <v>0.371</v>
      </c>
      <c r="Y331" s="5">
        <f t="shared" si="46"/>
        <v>9.9036331117695747E-3</v>
      </c>
      <c r="AA331">
        <v>486604</v>
      </c>
      <c r="AB331">
        <v>28580</v>
      </c>
      <c r="AC331" t="s">
        <v>322</v>
      </c>
      <c r="AD331" t="s">
        <v>5</v>
      </c>
      <c r="AE331">
        <v>16</v>
      </c>
      <c r="AF331">
        <v>2</v>
      </c>
      <c r="AH331" t="s">
        <v>1270</v>
      </c>
      <c r="AI331" t="s">
        <v>1269</v>
      </c>
      <c r="AK331" t="s">
        <v>1268</v>
      </c>
      <c r="AL331">
        <v>1</v>
      </c>
      <c r="AM331" s="4">
        <f t="shared" si="42"/>
        <v>2.4390243902439025E-2</v>
      </c>
      <c r="AN331" s="21">
        <f t="shared" si="47"/>
        <v>3.6940922230123474E-5</v>
      </c>
      <c r="AO331" s="3"/>
      <c r="AP331">
        <v>0</v>
      </c>
      <c r="AR331" t="s">
        <v>1</v>
      </c>
      <c r="AT331" s="2">
        <v>1.431</v>
      </c>
      <c r="AU331" s="1">
        <f t="shared" si="43"/>
        <v>0.69436254549077392</v>
      </c>
      <c r="AV331" s="1">
        <f t="shared" si="44"/>
        <v>0.49702870169998487</v>
      </c>
      <c r="AW331" s="1">
        <f t="shared" si="45"/>
        <v>0.29969485790919592</v>
      </c>
    </row>
    <row r="332" spans="1:49" x14ac:dyDescent="0.2">
      <c r="A332">
        <v>330</v>
      </c>
      <c r="B332" t="s">
        <v>1267</v>
      </c>
      <c r="C332" t="s">
        <v>1266</v>
      </c>
      <c r="F332" t="s">
        <v>1265</v>
      </c>
      <c r="G332" t="s">
        <v>16</v>
      </c>
      <c r="H332" t="s">
        <v>15</v>
      </c>
      <c r="I332" t="s">
        <v>1264</v>
      </c>
      <c r="J332" t="s">
        <v>1263</v>
      </c>
      <c r="K332" t="s">
        <v>1262</v>
      </c>
      <c r="L332" t="s">
        <v>1261</v>
      </c>
      <c r="M332" t="s">
        <v>1260</v>
      </c>
      <c r="N332">
        <v>2</v>
      </c>
      <c r="O332" t="s">
        <v>1259</v>
      </c>
      <c r="P332" t="s">
        <v>1258</v>
      </c>
      <c r="Q332" t="s">
        <v>1257</v>
      </c>
      <c r="R332" s="6">
        <v>29587</v>
      </c>
      <c r="S332" s="7">
        <f t="shared" si="40"/>
        <v>1981</v>
      </c>
      <c r="T332" s="7">
        <v>1981</v>
      </c>
      <c r="U332" s="7">
        <f t="shared" si="41"/>
        <v>41</v>
      </c>
      <c r="V332" s="6">
        <v>29618</v>
      </c>
      <c r="W332" t="s">
        <v>573</v>
      </c>
      <c r="X332" s="2">
        <v>1.3720000000000001</v>
      </c>
      <c r="Y332" s="5">
        <f t="shared" si="46"/>
        <v>3.662475641333654E-2</v>
      </c>
      <c r="AA332">
        <v>189480</v>
      </c>
      <c r="AB332">
        <v>17366</v>
      </c>
      <c r="AC332">
        <v>15579670</v>
      </c>
      <c r="AD332" t="s">
        <v>5</v>
      </c>
      <c r="AE332">
        <v>29</v>
      </c>
      <c r="AF332">
        <v>2</v>
      </c>
      <c r="AH332" t="s">
        <v>1256</v>
      </c>
      <c r="AI332" t="s">
        <v>1255</v>
      </c>
      <c r="AK332" t="s">
        <v>1254</v>
      </c>
      <c r="AL332">
        <v>25</v>
      </c>
      <c r="AM332" s="4">
        <f t="shared" si="42"/>
        <v>0.6097560975609756</v>
      </c>
      <c r="AN332" s="21">
        <f t="shared" si="47"/>
        <v>9.2352305575308681E-4</v>
      </c>
      <c r="AO332" s="3"/>
      <c r="AP332">
        <v>0</v>
      </c>
      <c r="AR332" t="s">
        <v>1</v>
      </c>
      <c r="AT332" s="2" t="s">
        <v>0</v>
      </c>
      <c r="AU332" s="1">
        <f t="shared" si="43"/>
        <v>2.59143864060615</v>
      </c>
      <c r="AV332" s="1">
        <f t="shared" si="44"/>
        <v>1.8774139734544812</v>
      </c>
      <c r="AW332" s="1">
        <f t="shared" si="45"/>
        <v>1.1633893063028125</v>
      </c>
    </row>
    <row r="333" spans="1:49" x14ac:dyDescent="0.2">
      <c r="A333">
        <v>331</v>
      </c>
      <c r="B333" t="s">
        <v>1253</v>
      </c>
      <c r="C333" t="s">
        <v>1252</v>
      </c>
      <c r="F333" t="s">
        <v>1251</v>
      </c>
      <c r="G333" t="s">
        <v>16</v>
      </c>
      <c r="H333" t="s">
        <v>15</v>
      </c>
      <c r="I333" t="s">
        <v>1250</v>
      </c>
      <c r="J333">
        <v>60021378</v>
      </c>
      <c r="K333" t="s">
        <v>553</v>
      </c>
      <c r="L333" t="s">
        <v>552</v>
      </c>
      <c r="M333" t="s">
        <v>11</v>
      </c>
      <c r="N333">
        <v>3</v>
      </c>
      <c r="O333" t="s">
        <v>1249</v>
      </c>
      <c r="P333" t="s">
        <v>1248</v>
      </c>
      <c r="Q333" t="s">
        <v>1247</v>
      </c>
      <c r="R333" s="6">
        <v>29587</v>
      </c>
      <c r="S333" s="7">
        <f t="shared" si="40"/>
        <v>1981</v>
      </c>
      <c r="T333" s="7">
        <v>1981</v>
      </c>
      <c r="U333" s="7">
        <f t="shared" si="41"/>
        <v>41</v>
      </c>
      <c r="V333" s="6">
        <v>29618</v>
      </c>
      <c r="W333" t="s">
        <v>1207</v>
      </c>
      <c r="X333" s="2">
        <v>2.383</v>
      </c>
      <c r="Y333" s="5">
        <f t="shared" si="46"/>
        <v>6.3612824003630442E-2</v>
      </c>
      <c r="AA333">
        <v>189219</v>
      </c>
      <c r="AB333">
        <v>17915</v>
      </c>
      <c r="AC333">
        <v>15582256</v>
      </c>
      <c r="AD333" t="s">
        <v>5</v>
      </c>
      <c r="AE333">
        <v>69</v>
      </c>
      <c r="AF333">
        <v>2</v>
      </c>
      <c r="AH333" t="s">
        <v>1246</v>
      </c>
      <c r="AI333" t="s">
        <v>1245</v>
      </c>
      <c r="AK333" t="s">
        <v>1244</v>
      </c>
      <c r="AL333">
        <v>5</v>
      </c>
      <c r="AM333" s="4">
        <f t="shared" si="42"/>
        <v>0.12195121951219512</v>
      </c>
      <c r="AN333" s="21">
        <f t="shared" si="47"/>
        <v>1.8470461115061736E-4</v>
      </c>
      <c r="AO333" s="3"/>
      <c r="AP333">
        <v>0</v>
      </c>
      <c r="AR333" t="s">
        <v>1</v>
      </c>
      <c r="AT333" s="2">
        <v>10.961</v>
      </c>
      <c r="AU333" s="1">
        <f t="shared" si="43"/>
        <v>4.4584388185886494</v>
      </c>
      <c r="AV333" s="1">
        <f t="shared" si="44"/>
        <v>3.1898764307390532</v>
      </c>
      <c r="AW333" s="1">
        <f t="shared" si="45"/>
        <v>1.9213140428894566</v>
      </c>
    </row>
    <row r="334" spans="1:49" x14ac:dyDescent="0.2">
      <c r="A334">
        <v>332</v>
      </c>
      <c r="B334" t="s">
        <v>1243</v>
      </c>
      <c r="C334" t="s">
        <v>1242</v>
      </c>
      <c r="F334" t="s">
        <v>1241</v>
      </c>
      <c r="G334" t="s">
        <v>16</v>
      </c>
      <c r="H334" t="s">
        <v>15</v>
      </c>
      <c r="I334" t="s">
        <v>1240</v>
      </c>
      <c r="J334" t="s">
        <v>1239</v>
      </c>
      <c r="K334" t="s">
        <v>1238</v>
      </c>
      <c r="L334" t="s">
        <v>1237</v>
      </c>
      <c r="M334" t="s">
        <v>277</v>
      </c>
      <c r="N334">
        <v>3</v>
      </c>
      <c r="O334" t="s">
        <v>1236</v>
      </c>
      <c r="P334" t="s">
        <v>1235</v>
      </c>
      <c r="Q334" t="s">
        <v>1234</v>
      </c>
      <c r="R334" s="6">
        <v>29587</v>
      </c>
      <c r="S334" s="7">
        <f t="shared" si="40"/>
        <v>1981</v>
      </c>
      <c r="T334" s="7">
        <v>1981</v>
      </c>
      <c r="U334" s="7">
        <f t="shared" si="41"/>
        <v>41</v>
      </c>
      <c r="V334" s="6">
        <v>1981</v>
      </c>
      <c r="W334" t="s">
        <v>1233</v>
      </c>
      <c r="X334" s="2">
        <v>0.77200000000000002</v>
      </c>
      <c r="Y334" s="5">
        <f t="shared" si="46"/>
        <v>2.0608099089719976E-2</v>
      </c>
      <c r="AA334">
        <v>223778</v>
      </c>
      <c r="AB334">
        <v>28572</v>
      </c>
      <c r="AC334">
        <v>14697807</v>
      </c>
      <c r="AD334" t="s">
        <v>5</v>
      </c>
      <c r="AE334">
        <v>25</v>
      </c>
      <c r="AF334">
        <v>1</v>
      </c>
      <c r="AH334" t="s">
        <v>1232</v>
      </c>
      <c r="AI334" t="s">
        <v>1231</v>
      </c>
      <c r="AK334" t="s">
        <v>1230</v>
      </c>
      <c r="AL334">
        <v>3</v>
      </c>
      <c r="AM334" s="4">
        <f t="shared" si="42"/>
        <v>7.3170731707317069E-2</v>
      </c>
      <c r="AN334" s="21">
        <f t="shared" si="47"/>
        <v>1.1082276669037041E-4</v>
      </c>
      <c r="AO334" s="3"/>
      <c r="AP334">
        <v>0</v>
      </c>
      <c r="AQ334" t="s">
        <v>1229</v>
      </c>
      <c r="AR334" t="s">
        <v>1228</v>
      </c>
      <c r="AS334" t="s">
        <v>1227</v>
      </c>
      <c r="AT334" s="2">
        <v>2.0139999999999998</v>
      </c>
      <c r="AU334" s="1">
        <f t="shared" si="43"/>
        <v>1.4458916192811093</v>
      </c>
      <c r="AV334" s="1">
        <f t="shared" si="44"/>
        <v>1.0359460928205173</v>
      </c>
      <c r="AW334" s="1">
        <f t="shared" si="45"/>
        <v>0.62600056635992518</v>
      </c>
    </row>
    <row r="335" spans="1:49" x14ac:dyDescent="0.2">
      <c r="A335">
        <v>333</v>
      </c>
      <c r="B335" t="s">
        <v>1226</v>
      </c>
      <c r="C335" t="s">
        <v>1225</v>
      </c>
      <c r="F335" t="s">
        <v>1224</v>
      </c>
      <c r="G335" t="s">
        <v>16</v>
      </c>
      <c r="H335" t="s">
        <v>15</v>
      </c>
      <c r="I335" t="s">
        <v>1223</v>
      </c>
      <c r="J335">
        <v>100344380</v>
      </c>
      <c r="K335" t="s">
        <v>1222</v>
      </c>
      <c r="L335" t="s">
        <v>1221</v>
      </c>
      <c r="M335" t="s">
        <v>39</v>
      </c>
      <c r="N335">
        <v>1</v>
      </c>
      <c r="O335" t="s">
        <v>1220</v>
      </c>
      <c r="P335">
        <v>55435770700</v>
      </c>
      <c r="Q335">
        <v>100344380</v>
      </c>
      <c r="R335" s="6">
        <v>29587</v>
      </c>
      <c r="S335" s="7">
        <f t="shared" si="40"/>
        <v>1981</v>
      </c>
      <c r="T335" s="7">
        <v>1981</v>
      </c>
      <c r="U335" s="7">
        <f t="shared" si="41"/>
        <v>41</v>
      </c>
      <c r="V335" s="6">
        <v>29618</v>
      </c>
      <c r="W335" s="10" t="s">
        <v>1219</v>
      </c>
      <c r="X335" s="2">
        <v>2.383</v>
      </c>
      <c r="Y335" s="5">
        <f t="shared" si="46"/>
        <v>6.3612824003630442E-2</v>
      </c>
      <c r="AA335">
        <v>1437070</v>
      </c>
      <c r="AB335">
        <v>39742</v>
      </c>
      <c r="AD335" t="s">
        <v>5</v>
      </c>
      <c r="AE335">
        <v>128</v>
      </c>
      <c r="AF335">
        <v>1</v>
      </c>
      <c r="AH335" t="s">
        <v>1218</v>
      </c>
      <c r="AI335" t="s">
        <v>1217</v>
      </c>
      <c r="AJ335" t="s">
        <v>1216</v>
      </c>
      <c r="AK335" t="s">
        <v>1215</v>
      </c>
      <c r="AL335">
        <v>3</v>
      </c>
      <c r="AM335" s="4">
        <f t="shared" si="42"/>
        <v>7.3170731707317069E-2</v>
      </c>
      <c r="AN335" s="21">
        <f t="shared" si="47"/>
        <v>1.1082276669037041E-4</v>
      </c>
      <c r="AO335" s="3"/>
      <c r="AP335">
        <v>0</v>
      </c>
      <c r="AR335" t="s">
        <v>1</v>
      </c>
      <c r="AT335" s="2" t="s">
        <v>0</v>
      </c>
      <c r="AU335" s="1">
        <f t="shared" si="43"/>
        <v>4.4562223632548426</v>
      </c>
      <c r="AV335" s="1">
        <f t="shared" si="44"/>
        <v>3.1861823385160406</v>
      </c>
      <c r="AW335" s="1">
        <f t="shared" si="45"/>
        <v>1.9161423137772391</v>
      </c>
    </row>
    <row r="336" spans="1:49" x14ac:dyDescent="0.2">
      <c r="A336">
        <v>334</v>
      </c>
      <c r="B336" t="s">
        <v>1214</v>
      </c>
      <c r="C336" t="s">
        <v>1213</v>
      </c>
      <c r="F336" t="s">
        <v>1212</v>
      </c>
      <c r="G336" t="s">
        <v>16</v>
      </c>
      <c r="H336" t="s">
        <v>15</v>
      </c>
      <c r="I336" t="s">
        <v>1211</v>
      </c>
      <c r="J336">
        <v>115597094</v>
      </c>
      <c r="K336" t="s">
        <v>1210</v>
      </c>
      <c r="L336" t="s">
        <v>1209</v>
      </c>
      <c r="M336" t="s">
        <v>11</v>
      </c>
      <c r="N336">
        <v>1</v>
      </c>
      <c r="O336" t="s">
        <v>1208</v>
      </c>
      <c r="P336">
        <v>24512080300</v>
      </c>
      <c r="Q336">
        <v>115597094</v>
      </c>
      <c r="R336" s="6">
        <v>29587</v>
      </c>
      <c r="S336" s="7">
        <f t="shared" si="40"/>
        <v>1981</v>
      </c>
      <c r="T336" s="7">
        <v>1981</v>
      </c>
      <c r="U336" s="7">
        <f t="shared" si="41"/>
        <v>41</v>
      </c>
      <c r="V336" s="6">
        <v>29618</v>
      </c>
      <c r="W336" t="s">
        <v>1207</v>
      </c>
      <c r="X336" s="2">
        <v>2.383</v>
      </c>
      <c r="Y336" s="5">
        <f t="shared" si="46"/>
        <v>6.3612824003630442E-2</v>
      </c>
      <c r="AA336">
        <v>189219</v>
      </c>
      <c r="AB336">
        <v>17915</v>
      </c>
      <c r="AC336">
        <v>15582256</v>
      </c>
      <c r="AD336" t="s">
        <v>5</v>
      </c>
      <c r="AE336">
        <v>69</v>
      </c>
      <c r="AF336">
        <v>2</v>
      </c>
      <c r="AH336" t="s">
        <v>1206</v>
      </c>
      <c r="AI336" t="s">
        <v>1205</v>
      </c>
      <c r="AK336" t="s">
        <v>1204</v>
      </c>
      <c r="AL336">
        <v>406</v>
      </c>
      <c r="AM336" s="4">
        <f t="shared" si="42"/>
        <v>9.9024390243902438</v>
      </c>
      <c r="AN336" s="21">
        <f t="shared" si="47"/>
        <v>1.4998014425430131E-2</v>
      </c>
      <c r="AO336" s="3"/>
      <c r="AP336">
        <v>0</v>
      </c>
      <c r="AR336" t="s">
        <v>1</v>
      </c>
      <c r="AT336" s="2">
        <v>10.961</v>
      </c>
      <c r="AU336" s="1">
        <f t="shared" si="43"/>
        <v>4.9028381130170349</v>
      </c>
      <c r="AV336" s="1">
        <f t="shared" si="44"/>
        <v>3.9305419214530284</v>
      </c>
      <c r="AW336" s="1">
        <f t="shared" si="45"/>
        <v>2.9582457298890223</v>
      </c>
    </row>
    <row r="337" spans="1:49" x14ac:dyDescent="0.2">
      <c r="A337">
        <v>335</v>
      </c>
      <c r="B337" t="s">
        <v>1203</v>
      </c>
      <c r="C337" t="s">
        <v>1202</v>
      </c>
      <c r="F337" t="s">
        <v>1201</v>
      </c>
      <c r="G337" t="s">
        <v>16</v>
      </c>
      <c r="H337" t="s">
        <v>15</v>
      </c>
      <c r="I337" t="s">
        <v>1200</v>
      </c>
      <c r="J337">
        <v>60023643</v>
      </c>
      <c r="K337" t="s">
        <v>1199</v>
      </c>
      <c r="L337" t="s">
        <v>1198</v>
      </c>
      <c r="M337" t="s">
        <v>39</v>
      </c>
      <c r="N337">
        <v>3</v>
      </c>
      <c r="O337" t="s">
        <v>1197</v>
      </c>
      <c r="P337" t="s">
        <v>1196</v>
      </c>
      <c r="Q337" t="s">
        <v>1195</v>
      </c>
      <c r="R337" s="6">
        <v>29587</v>
      </c>
      <c r="S337" s="7">
        <f t="shared" si="40"/>
        <v>1981</v>
      </c>
      <c r="T337" s="7">
        <v>1981</v>
      </c>
      <c r="U337" s="7">
        <f t="shared" si="41"/>
        <v>41</v>
      </c>
      <c r="V337" s="6">
        <v>29618</v>
      </c>
      <c r="W337" t="s">
        <v>573</v>
      </c>
      <c r="X337" s="2">
        <v>1.3720000000000001</v>
      </c>
      <c r="Y337" s="5">
        <f t="shared" si="46"/>
        <v>3.662475641333654E-2</v>
      </c>
      <c r="AA337">
        <v>189480</v>
      </c>
      <c r="AB337">
        <v>17366</v>
      </c>
      <c r="AC337">
        <v>15579670</v>
      </c>
      <c r="AD337" t="s">
        <v>5</v>
      </c>
      <c r="AE337">
        <v>29</v>
      </c>
      <c r="AF337">
        <v>2</v>
      </c>
      <c r="AH337" t="s">
        <v>1194</v>
      </c>
      <c r="AI337" t="s">
        <v>1193</v>
      </c>
      <c r="AK337" t="s">
        <v>1192</v>
      </c>
      <c r="AL337">
        <v>7</v>
      </c>
      <c r="AM337" s="4">
        <f t="shared" si="42"/>
        <v>0.17073170731707318</v>
      </c>
      <c r="AN337" s="21">
        <f t="shared" si="47"/>
        <v>2.5858645561086435E-4</v>
      </c>
      <c r="AO337" s="3"/>
      <c r="AP337">
        <v>0</v>
      </c>
      <c r="AR337" t="s">
        <v>1</v>
      </c>
      <c r="AT337" s="2" t="s">
        <v>0</v>
      </c>
      <c r="AU337" s="1">
        <f t="shared" si="43"/>
        <v>2.5714905426018833</v>
      </c>
      <c r="AV337" s="1">
        <f t="shared" si="44"/>
        <v>1.8441671434473703</v>
      </c>
      <c r="AW337" s="1">
        <f t="shared" si="45"/>
        <v>1.1168437442928567</v>
      </c>
    </row>
    <row r="338" spans="1:49" x14ac:dyDescent="0.2">
      <c r="A338">
        <v>336</v>
      </c>
      <c r="B338" t="s">
        <v>1191</v>
      </c>
      <c r="C338" t="s">
        <v>1190</v>
      </c>
      <c r="F338" t="s">
        <v>1189</v>
      </c>
      <c r="G338" t="s">
        <v>16</v>
      </c>
      <c r="H338" t="s">
        <v>15</v>
      </c>
      <c r="I338" t="s">
        <v>1188</v>
      </c>
      <c r="J338">
        <v>60011001</v>
      </c>
      <c r="K338" t="s">
        <v>1187</v>
      </c>
      <c r="L338" t="s">
        <v>1186</v>
      </c>
      <c r="M338" t="s">
        <v>312</v>
      </c>
      <c r="N338">
        <v>5</v>
      </c>
      <c r="O338" t="s">
        <v>1185</v>
      </c>
      <c r="P338" t="s">
        <v>1184</v>
      </c>
      <c r="Q338" t="s">
        <v>1183</v>
      </c>
      <c r="R338" s="6">
        <v>29587</v>
      </c>
      <c r="S338" s="7">
        <f t="shared" si="40"/>
        <v>1981</v>
      </c>
      <c r="T338" s="7">
        <v>1981</v>
      </c>
      <c r="U338" s="7">
        <f t="shared" si="41"/>
        <v>41</v>
      </c>
      <c r="V338" s="6">
        <v>29618</v>
      </c>
      <c r="W338" t="s">
        <v>466</v>
      </c>
      <c r="X338" s="2">
        <v>0.111</v>
      </c>
      <c r="Y338" s="5">
        <f t="shared" si="46"/>
        <v>2.9630816048690639E-3</v>
      </c>
      <c r="AA338">
        <v>87566621</v>
      </c>
      <c r="AB338">
        <v>24890</v>
      </c>
      <c r="AC338">
        <v>15206424</v>
      </c>
      <c r="AD338" t="s">
        <v>5</v>
      </c>
      <c r="AE338">
        <v>64</v>
      </c>
      <c r="AF338">
        <v>2</v>
      </c>
      <c r="AH338" t="s">
        <v>1182</v>
      </c>
      <c r="AI338" t="s">
        <v>1181</v>
      </c>
      <c r="AK338" t="s">
        <v>1180</v>
      </c>
      <c r="AL338">
        <v>0</v>
      </c>
      <c r="AM338" s="4">
        <f t="shared" si="42"/>
        <v>0</v>
      </c>
      <c r="AN338" s="21">
        <f t="shared" si="47"/>
        <v>0</v>
      </c>
      <c r="AO338" s="3"/>
      <c r="AP338">
        <v>0</v>
      </c>
      <c r="AR338" t="s">
        <v>1</v>
      </c>
      <c r="AT338" s="2" t="s">
        <v>0</v>
      </c>
      <c r="AU338" s="1">
        <f t="shared" si="43"/>
        <v>0.20741571234083445</v>
      </c>
      <c r="AV338" s="1">
        <f t="shared" si="44"/>
        <v>0.1481540802434532</v>
      </c>
      <c r="AW338" s="1">
        <f t="shared" si="45"/>
        <v>8.8892448146071903E-2</v>
      </c>
    </row>
    <row r="339" spans="1:49" x14ac:dyDescent="0.2">
      <c r="A339">
        <v>337</v>
      </c>
      <c r="B339" t="s">
        <v>1179</v>
      </c>
      <c r="C339" t="s">
        <v>1178</v>
      </c>
      <c r="F339" t="s">
        <v>1177</v>
      </c>
      <c r="G339" t="s">
        <v>16</v>
      </c>
      <c r="H339" t="s">
        <v>15</v>
      </c>
      <c r="I339" t="s">
        <v>1176</v>
      </c>
      <c r="J339">
        <v>60014264</v>
      </c>
      <c r="K339" t="s">
        <v>1175</v>
      </c>
      <c r="L339" t="s">
        <v>1174</v>
      </c>
      <c r="M339" t="s">
        <v>92</v>
      </c>
      <c r="N339">
        <v>1</v>
      </c>
      <c r="O339" t="s">
        <v>1173</v>
      </c>
      <c r="P339">
        <v>7003495221</v>
      </c>
      <c r="Q339">
        <v>60014264</v>
      </c>
      <c r="R339" s="6">
        <v>29587</v>
      </c>
      <c r="S339" s="7">
        <f t="shared" si="40"/>
        <v>1981</v>
      </c>
      <c r="T339" s="7">
        <v>1981</v>
      </c>
      <c r="U339" s="7">
        <f t="shared" si="41"/>
        <v>41</v>
      </c>
      <c r="V339" s="6">
        <v>29587</v>
      </c>
      <c r="W339" t="s">
        <v>573</v>
      </c>
      <c r="X339" s="2">
        <v>1.3720000000000001</v>
      </c>
      <c r="Y339" s="5">
        <f t="shared" si="46"/>
        <v>3.662475641333654E-2</v>
      </c>
      <c r="AA339">
        <v>189480</v>
      </c>
      <c r="AB339">
        <v>17366</v>
      </c>
      <c r="AC339">
        <v>15579670</v>
      </c>
      <c r="AD339" t="s">
        <v>5</v>
      </c>
      <c r="AE339">
        <v>29</v>
      </c>
      <c r="AF339">
        <v>1</v>
      </c>
      <c r="AH339" s="9">
        <v>42644</v>
      </c>
      <c r="AI339" t="s">
        <v>1172</v>
      </c>
      <c r="AK339" t="s">
        <v>1171</v>
      </c>
      <c r="AL339">
        <v>10</v>
      </c>
      <c r="AM339" s="4">
        <f t="shared" si="42"/>
        <v>0.24390243902439024</v>
      </c>
      <c r="AN339" s="21">
        <f t="shared" si="47"/>
        <v>3.6940922230123473E-4</v>
      </c>
      <c r="AO339" s="3"/>
      <c r="AP339">
        <v>0</v>
      </c>
      <c r="AR339" t="s">
        <v>1</v>
      </c>
      <c r="AT339" s="2" t="s">
        <v>0</v>
      </c>
      <c r="AU339" s="1">
        <f t="shared" si="43"/>
        <v>2.5748152256025945</v>
      </c>
      <c r="AV339" s="1">
        <f t="shared" si="44"/>
        <v>1.8497082817818886</v>
      </c>
      <c r="AW339" s="1">
        <f t="shared" si="45"/>
        <v>1.1246013379611828</v>
      </c>
    </row>
    <row r="340" spans="1:49" x14ac:dyDescent="0.2">
      <c r="A340">
        <v>338</v>
      </c>
      <c r="B340" t="s">
        <v>1170</v>
      </c>
      <c r="C340" t="s">
        <v>1169</v>
      </c>
      <c r="F340" t="s">
        <v>1168</v>
      </c>
      <c r="G340" t="s">
        <v>16</v>
      </c>
      <c r="H340" t="s">
        <v>15</v>
      </c>
      <c r="I340" t="s">
        <v>1167</v>
      </c>
      <c r="J340" t="s">
        <v>1166</v>
      </c>
      <c r="K340" t="s">
        <v>1165</v>
      </c>
      <c r="L340" t="s">
        <v>1164</v>
      </c>
      <c r="M340" t="s">
        <v>277</v>
      </c>
      <c r="N340">
        <v>2</v>
      </c>
      <c r="O340" t="s">
        <v>1163</v>
      </c>
      <c r="P340" t="s">
        <v>1162</v>
      </c>
      <c r="Q340" t="s">
        <v>1161</v>
      </c>
      <c r="R340" s="6">
        <v>29587</v>
      </c>
      <c r="S340" s="7">
        <f t="shared" si="40"/>
        <v>1981</v>
      </c>
      <c r="T340" s="7">
        <v>1981</v>
      </c>
      <c r="U340" s="7">
        <f t="shared" si="41"/>
        <v>41</v>
      </c>
      <c r="V340" s="6">
        <v>29587</v>
      </c>
      <c r="W340" t="s">
        <v>235</v>
      </c>
      <c r="X340" s="2">
        <v>1.6519999999999999</v>
      </c>
      <c r="Y340" s="5">
        <f t="shared" si="46"/>
        <v>4.409919649769093E-2</v>
      </c>
      <c r="AA340" t="s">
        <v>234</v>
      </c>
      <c r="AB340">
        <v>17337</v>
      </c>
      <c r="AC340">
        <v>15582221</v>
      </c>
      <c r="AD340" t="s">
        <v>5</v>
      </c>
      <c r="AE340">
        <v>29</v>
      </c>
      <c r="AF340">
        <v>1</v>
      </c>
      <c r="AH340" t="s">
        <v>1160</v>
      </c>
      <c r="AI340" t="s">
        <v>1159</v>
      </c>
      <c r="AK340" t="s">
        <v>1158</v>
      </c>
      <c r="AL340">
        <v>10</v>
      </c>
      <c r="AM340" s="4">
        <f t="shared" si="42"/>
        <v>0.24390243902439024</v>
      </c>
      <c r="AN340" s="21">
        <f t="shared" si="47"/>
        <v>3.6940922230123473E-4</v>
      </c>
      <c r="AO340" s="3"/>
      <c r="AP340">
        <v>0</v>
      </c>
      <c r="AR340" t="s">
        <v>1</v>
      </c>
      <c r="AT340" s="2" t="s">
        <v>0</v>
      </c>
      <c r="AU340" s="1">
        <f t="shared" si="43"/>
        <v>3.098026031507402</v>
      </c>
      <c r="AV340" s="1">
        <f t="shared" si="44"/>
        <v>2.223430285999608</v>
      </c>
      <c r="AW340" s="1">
        <f t="shared" si="45"/>
        <v>1.3488345404918143</v>
      </c>
    </row>
    <row r="341" spans="1:49" x14ac:dyDescent="0.2">
      <c r="A341">
        <v>339</v>
      </c>
      <c r="B341" t="s">
        <v>1157</v>
      </c>
      <c r="C341" t="s">
        <v>1156</v>
      </c>
      <c r="F341" t="s">
        <v>1155</v>
      </c>
      <c r="G341" t="s">
        <v>16</v>
      </c>
      <c r="H341" t="s">
        <v>15</v>
      </c>
      <c r="I341" t="s">
        <v>1154</v>
      </c>
      <c r="J341" t="s">
        <v>844</v>
      </c>
      <c r="K341" t="s">
        <v>849</v>
      </c>
      <c r="L341" t="s">
        <v>848</v>
      </c>
      <c r="M341" t="s">
        <v>847</v>
      </c>
      <c r="N341">
        <v>2</v>
      </c>
      <c r="O341" t="s">
        <v>1153</v>
      </c>
      <c r="P341" t="s">
        <v>1152</v>
      </c>
      <c r="Q341" t="s">
        <v>1151</v>
      </c>
      <c r="R341" s="6">
        <v>29587</v>
      </c>
      <c r="S341" s="7">
        <f t="shared" si="40"/>
        <v>1981</v>
      </c>
      <c r="T341" s="7">
        <v>1981</v>
      </c>
      <c r="U341" s="7">
        <f t="shared" si="41"/>
        <v>41</v>
      </c>
      <c r="V341" s="6">
        <v>29587</v>
      </c>
      <c r="W341" t="s">
        <v>235</v>
      </c>
      <c r="X341" s="2">
        <v>1.6519999999999999</v>
      </c>
      <c r="Y341" s="5">
        <f t="shared" si="46"/>
        <v>4.409919649769093E-2</v>
      </c>
      <c r="AA341" t="s">
        <v>234</v>
      </c>
      <c r="AB341">
        <v>17337</v>
      </c>
      <c r="AC341">
        <v>15582221</v>
      </c>
      <c r="AD341" t="s">
        <v>5</v>
      </c>
      <c r="AE341">
        <v>29</v>
      </c>
      <c r="AF341">
        <v>1</v>
      </c>
      <c r="AH341" t="s">
        <v>1150</v>
      </c>
      <c r="AI341" t="s">
        <v>1149</v>
      </c>
      <c r="AK341" t="s">
        <v>1148</v>
      </c>
      <c r="AL341">
        <v>82</v>
      </c>
      <c r="AM341" s="4">
        <f t="shared" si="42"/>
        <v>2</v>
      </c>
      <c r="AN341" s="21">
        <f t="shared" si="47"/>
        <v>3.0291556228701248E-3</v>
      </c>
      <c r="AO341" s="3"/>
      <c r="AP341">
        <v>0</v>
      </c>
      <c r="AR341" t="s">
        <v>1</v>
      </c>
      <c r="AT341" s="2" t="s">
        <v>0</v>
      </c>
      <c r="AU341" s="1">
        <f t="shared" si="43"/>
        <v>3.1778184235244686</v>
      </c>
      <c r="AV341" s="1">
        <f t="shared" si="44"/>
        <v>2.3564176060280526</v>
      </c>
      <c r="AW341" s="1">
        <f t="shared" si="45"/>
        <v>1.5350167885316366</v>
      </c>
    </row>
    <row r="342" spans="1:49" x14ac:dyDescent="0.2">
      <c r="A342">
        <v>340</v>
      </c>
      <c r="B342" t="s">
        <v>1147</v>
      </c>
      <c r="C342" t="s">
        <v>1146</v>
      </c>
      <c r="F342" t="s">
        <v>1145</v>
      </c>
      <c r="G342" t="s">
        <v>16</v>
      </c>
      <c r="H342" t="s">
        <v>15</v>
      </c>
      <c r="I342" t="s">
        <v>1144</v>
      </c>
      <c r="J342" t="s">
        <v>1138</v>
      </c>
      <c r="K342" t="s">
        <v>1143</v>
      </c>
      <c r="L342" t="s">
        <v>1142</v>
      </c>
      <c r="M342" t="s">
        <v>1141</v>
      </c>
      <c r="N342">
        <v>2</v>
      </c>
      <c r="O342" t="s">
        <v>1140</v>
      </c>
      <c r="P342" t="s">
        <v>1139</v>
      </c>
      <c r="Q342" t="s">
        <v>1138</v>
      </c>
      <c r="R342" s="6">
        <v>29587</v>
      </c>
      <c r="S342" s="7">
        <f t="shared" si="40"/>
        <v>1981</v>
      </c>
      <c r="T342" s="7">
        <v>1981</v>
      </c>
      <c r="U342" s="7">
        <f t="shared" si="41"/>
        <v>41</v>
      </c>
      <c r="V342" s="6">
        <v>29587</v>
      </c>
      <c r="W342" t="s">
        <v>235</v>
      </c>
      <c r="X342" s="2">
        <v>1.6519999999999999</v>
      </c>
      <c r="Y342" s="5">
        <f t="shared" si="46"/>
        <v>4.409919649769093E-2</v>
      </c>
      <c r="AA342" t="s">
        <v>234</v>
      </c>
      <c r="AB342">
        <v>17337</v>
      </c>
      <c r="AC342">
        <v>15582221</v>
      </c>
      <c r="AD342" t="s">
        <v>5</v>
      </c>
      <c r="AE342">
        <v>29</v>
      </c>
      <c r="AF342">
        <v>1</v>
      </c>
      <c r="AH342" t="s">
        <v>1137</v>
      </c>
      <c r="AI342" t="s">
        <v>1136</v>
      </c>
      <c r="AK342" t="s">
        <v>1135</v>
      </c>
      <c r="AL342">
        <v>86</v>
      </c>
      <c r="AM342" s="4">
        <f t="shared" si="42"/>
        <v>2.0975609756097562</v>
      </c>
      <c r="AN342" s="21">
        <f t="shared" si="47"/>
        <v>3.1769193117906188E-3</v>
      </c>
      <c r="AO342" s="3"/>
      <c r="AP342">
        <v>0</v>
      </c>
      <c r="AR342" t="s">
        <v>1</v>
      </c>
      <c r="AT342" s="2" t="s">
        <v>0</v>
      </c>
      <c r="AU342" s="1">
        <f t="shared" si="43"/>
        <v>3.1822513341920837</v>
      </c>
      <c r="AV342" s="1">
        <f t="shared" si="44"/>
        <v>2.3638057904740775</v>
      </c>
      <c r="AW342" s="1">
        <f t="shared" si="45"/>
        <v>1.5453602467560712</v>
      </c>
    </row>
    <row r="343" spans="1:49" x14ac:dyDescent="0.2">
      <c r="A343">
        <v>341</v>
      </c>
      <c r="B343" t="s">
        <v>1134</v>
      </c>
      <c r="C343" t="s">
        <v>1133</v>
      </c>
      <c r="F343" t="s">
        <v>1132</v>
      </c>
      <c r="G343" t="s">
        <v>16</v>
      </c>
      <c r="H343" t="s">
        <v>15</v>
      </c>
      <c r="I343" t="s">
        <v>1131</v>
      </c>
      <c r="J343">
        <v>60000221</v>
      </c>
      <c r="K343" t="s">
        <v>1021</v>
      </c>
      <c r="L343" t="s">
        <v>600</v>
      </c>
      <c r="M343" t="s">
        <v>11</v>
      </c>
      <c r="N343">
        <v>1</v>
      </c>
      <c r="O343" t="s">
        <v>1130</v>
      </c>
      <c r="P343">
        <v>7403319959</v>
      </c>
      <c r="Q343">
        <v>60000221</v>
      </c>
      <c r="R343" s="6">
        <v>29587</v>
      </c>
      <c r="S343" s="7">
        <f t="shared" si="40"/>
        <v>1981</v>
      </c>
      <c r="T343" s="7">
        <v>1981</v>
      </c>
      <c r="U343" s="7">
        <f t="shared" si="41"/>
        <v>41</v>
      </c>
      <c r="V343" s="6">
        <v>29587</v>
      </c>
      <c r="W343" t="s">
        <v>235</v>
      </c>
      <c r="X343" s="2">
        <v>1.6519999999999999</v>
      </c>
      <c r="Y343" s="5">
        <f t="shared" si="46"/>
        <v>4.409919649769093E-2</v>
      </c>
      <c r="AA343" t="s">
        <v>234</v>
      </c>
      <c r="AB343">
        <v>17337</v>
      </c>
      <c r="AC343">
        <v>15582221</v>
      </c>
      <c r="AD343" t="s">
        <v>5</v>
      </c>
      <c r="AE343">
        <v>29</v>
      </c>
      <c r="AF343">
        <v>1</v>
      </c>
      <c r="AH343" t="s">
        <v>1129</v>
      </c>
      <c r="AI343" t="s">
        <v>1128</v>
      </c>
      <c r="AK343" t="s">
        <v>1127</v>
      </c>
      <c r="AL343">
        <v>16</v>
      </c>
      <c r="AM343" s="4">
        <f t="shared" si="42"/>
        <v>0.3902439024390244</v>
      </c>
      <c r="AN343" s="21">
        <f t="shared" si="47"/>
        <v>5.9105475568197558E-4</v>
      </c>
      <c r="AO343" s="3"/>
      <c r="AP343">
        <v>0</v>
      </c>
      <c r="AR343" t="s">
        <v>1</v>
      </c>
      <c r="AT343" s="2" t="s">
        <v>0</v>
      </c>
      <c r="AU343" s="1">
        <f t="shared" si="43"/>
        <v>3.1046753975088244</v>
      </c>
      <c r="AV343" s="1">
        <f t="shared" si="44"/>
        <v>2.2345125626686455</v>
      </c>
      <c r="AW343" s="1">
        <f t="shared" si="45"/>
        <v>1.364349727828466</v>
      </c>
    </row>
    <row r="344" spans="1:49" x14ac:dyDescent="0.2">
      <c r="A344">
        <v>342</v>
      </c>
      <c r="B344" t="s">
        <v>1126</v>
      </c>
      <c r="C344" t="s">
        <v>1125</v>
      </c>
      <c r="F344" t="s">
        <v>1124</v>
      </c>
      <c r="G344" t="s">
        <v>16</v>
      </c>
      <c r="H344" t="s">
        <v>15</v>
      </c>
      <c r="I344" t="s">
        <v>1123</v>
      </c>
      <c r="J344">
        <v>60022476</v>
      </c>
      <c r="K344" t="s">
        <v>601</v>
      </c>
      <c r="L344" t="s">
        <v>600</v>
      </c>
      <c r="M344" t="s">
        <v>11</v>
      </c>
      <c r="N344">
        <v>1</v>
      </c>
      <c r="O344" t="s">
        <v>1122</v>
      </c>
      <c r="P344">
        <v>57214387704</v>
      </c>
      <c r="Q344">
        <v>60022476</v>
      </c>
      <c r="R344" s="6">
        <v>29587</v>
      </c>
      <c r="S344" s="7">
        <f t="shared" si="40"/>
        <v>1981</v>
      </c>
      <c r="T344" s="7">
        <v>1981</v>
      </c>
      <c r="U344" s="7">
        <f t="shared" si="41"/>
        <v>41</v>
      </c>
      <c r="V344" s="6">
        <v>29587</v>
      </c>
      <c r="W344" t="s">
        <v>235</v>
      </c>
      <c r="X344" s="2">
        <v>1.6519999999999999</v>
      </c>
      <c r="Y344" s="5">
        <f t="shared" si="46"/>
        <v>4.409919649769093E-2</v>
      </c>
      <c r="AA344" t="s">
        <v>234</v>
      </c>
      <c r="AB344">
        <v>17337</v>
      </c>
      <c r="AC344">
        <v>15582221</v>
      </c>
      <c r="AD344" t="s">
        <v>5</v>
      </c>
      <c r="AE344">
        <v>29</v>
      </c>
      <c r="AF344">
        <v>1</v>
      </c>
      <c r="AH344" t="s">
        <v>1121</v>
      </c>
      <c r="AI344" t="s">
        <v>1120</v>
      </c>
      <c r="AK344" t="s">
        <v>1119</v>
      </c>
      <c r="AL344">
        <v>36</v>
      </c>
      <c r="AM344" s="4">
        <f t="shared" si="42"/>
        <v>0.87804878048780488</v>
      </c>
      <c r="AN344" s="21">
        <f t="shared" si="47"/>
        <v>1.3298732002844451E-3</v>
      </c>
      <c r="AO344" s="3"/>
      <c r="AP344">
        <v>0</v>
      </c>
      <c r="AR344" t="s">
        <v>1</v>
      </c>
      <c r="AT344" s="2" t="s">
        <v>0</v>
      </c>
      <c r="AU344" s="1">
        <f t="shared" si="43"/>
        <v>3.1268399508468985</v>
      </c>
      <c r="AV344" s="1">
        <f t="shared" si="44"/>
        <v>2.2714534848987689</v>
      </c>
      <c r="AW344" s="1">
        <f t="shared" si="45"/>
        <v>1.416067018950639</v>
      </c>
    </row>
    <row r="345" spans="1:49" x14ac:dyDescent="0.2">
      <c r="A345">
        <v>343</v>
      </c>
      <c r="B345" t="s">
        <v>1118</v>
      </c>
      <c r="C345" t="s">
        <v>1117</v>
      </c>
      <c r="F345" t="s">
        <v>1116</v>
      </c>
      <c r="G345" t="s">
        <v>16</v>
      </c>
      <c r="H345" t="s">
        <v>15</v>
      </c>
      <c r="I345" t="s">
        <v>1115</v>
      </c>
      <c r="N345">
        <v>1</v>
      </c>
      <c r="O345" t="s">
        <v>1114</v>
      </c>
      <c r="P345">
        <v>56318546300</v>
      </c>
      <c r="R345" s="6">
        <v>29587</v>
      </c>
      <c r="S345" s="7">
        <f t="shared" si="40"/>
        <v>1981</v>
      </c>
      <c r="T345" s="7">
        <v>1981</v>
      </c>
      <c r="U345" s="7">
        <f t="shared" si="41"/>
        <v>41</v>
      </c>
      <c r="V345" s="6" t="s">
        <v>642</v>
      </c>
      <c r="W345" t="s">
        <v>323</v>
      </c>
      <c r="X345" s="2">
        <v>0.371</v>
      </c>
      <c r="Y345" s="5">
        <f t="shared" si="46"/>
        <v>9.9036331117695747E-3</v>
      </c>
      <c r="AA345">
        <v>486604</v>
      </c>
      <c r="AB345">
        <v>28580</v>
      </c>
      <c r="AC345" t="s">
        <v>322</v>
      </c>
      <c r="AD345" t="s">
        <v>5</v>
      </c>
      <c r="AE345">
        <v>16</v>
      </c>
      <c r="AF345">
        <v>1</v>
      </c>
      <c r="AH345" t="s">
        <v>1113</v>
      </c>
      <c r="AI345" t="s">
        <v>1112</v>
      </c>
      <c r="AK345" t="s">
        <v>1111</v>
      </c>
      <c r="AL345">
        <v>2</v>
      </c>
      <c r="AM345" s="4">
        <f t="shared" si="42"/>
        <v>4.878048780487805E-2</v>
      </c>
      <c r="AN345" s="21">
        <f t="shared" si="47"/>
        <v>7.3881844460246948E-5</v>
      </c>
      <c r="AO345" s="3"/>
      <c r="AP345">
        <v>0</v>
      </c>
      <c r="AR345" t="s">
        <v>1</v>
      </c>
      <c r="AT345" s="2">
        <v>1.431</v>
      </c>
      <c r="AU345" s="1">
        <f t="shared" si="43"/>
        <v>0.69547077315767758</v>
      </c>
      <c r="AV345" s="1">
        <f t="shared" si="44"/>
        <v>0.49887574781149102</v>
      </c>
      <c r="AW345" s="1">
        <f t="shared" si="45"/>
        <v>0.30228072246530457</v>
      </c>
    </row>
    <row r="346" spans="1:49" x14ac:dyDescent="0.2">
      <c r="A346">
        <v>344</v>
      </c>
      <c r="B346" t="s">
        <v>1110</v>
      </c>
      <c r="F346" t="s">
        <v>1109</v>
      </c>
      <c r="G346" t="s">
        <v>16</v>
      </c>
      <c r="H346" t="s">
        <v>15</v>
      </c>
      <c r="I346" t="s">
        <v>1108</v>
      </c>
      <c r="J346">
        <v>60025447</v>
      </c>
      <c r="K346" t="s">
        <v>1107</v>
      </c>
      <c r="L346" t="s">
        <v>1106</v>
      </c>
      <c r="M346" t="s">
        <v>11</v>
      </c>
      <c r="N346">
        <v>2</v>
      </c>
      <c r="O346" t="s">
        <v>1105</v>
      </c>
      <c r="P346" t="s">
        <v>1104</v>
      </c>
      <c r="Q346" t="s">
        <v>1103</v>
      </c>
      <c r="R346" s="6">
        <v>29587</v>
      </c>
      <c r="S346" s="7">
        <f t="shared" si="40"/>
        <v>1981</v>
      </c>
      <c r="T346" s="7">
        <v>1981</v>
      </c>
      <c r="U346" s="7">
        <f t="shared" si="41"/>
        <v>41</v>
      </c>
      <c r="V346" s="6">
        <v>1981</v>
      </c>
      <c r="W346" t="s">
        <v>1102</v>
      </c>
      <c r="X346" s="2" t="s">
        <v>0</v>
      </c>
      <c r="Y346" s="5" t="e">
        <f t="shared" si="46"/>
        <v>#VALUE!</v>
      </c>
      <c r="AA346">
        <v>5865581</v>
      </c>
      <c r="AB346">
        <v>33916</v>
      </c>
      <c r="AD346" t="s">
        <v>5</v>
      </c>
      <c r="AE346">
        <v>1981</v>
      </c>
      <c r="AF346">
        <v>3</v>
      </c>
      <c r="AH346" t="s">
        <v>1101</v>
      </c>
      <c r="AI346" t="s">
        <v>1100</v>
      </c>
      <c r="AK346" t="s">
        <v>1099</v>
      </c>
      <c r="AL346">
        <v>1</v>
      </c>
      <c r="AM346" s="4">
        <f t="shared" si="42"/>
        <v>2.4390243902439025E-2</v>
      </c>
      <c r="AN346" s="21">
        <f t="shared" si="47"/>
        <v>3.6940922230123474E-5</v>
      </c>
      <c r="AO346" s="3"/>
      <c r="AP346">
        <v>0</v>
      </c>
      <c r="AR346" t="s">
        <v>1</v>
      </c>
      <c r="AT346" s="2" t="s">
        <v>0</v>
      </c>
      <c r="AU346" s="1" t="e">
        <f t="shared" si="43"/>
        <v>#VALUE!</v>
      </c>
      <c r="AV346" s="1" t="e">
        <f t="shared" si="44"/>
        <v>#VALUE!</v>
      </c>
      <c r="AW346" s="1" t="e">
        <f t="shared" si="45"/>
        <v>#VALUE!</v>
      </c>
    </row>
    <row r="347" spans="1:49" x14ac:dyDescent="0.2">
      <c r="A347">
        <v>345</v>
      </c>
      <c r="B347" t="s">
        <v>1098</v>
      </c>
      <c r="C347" t="s">
        <v>1097</v>
      </c>
      <c r="D347" t="s">
        <v>1096</v>
      </c>
      <c r="E347">
        <v>6972236</v>
      </c>
      <c r="F347" t="s">
        <v>1095</v>
      </c>
      <c r="G347" t="s">
        <v>16</v>
      </c>
      <c r="H347" t="s">
        <v>15</v>
      </c>
      <c r="I347" t="s">
        <v>1094</v>
      </c>
      <c r="N347">
        <v>2</v>
      </c>
      <c r="O347" t="s">
        <v>1093</v>
      </c>
      <c r="P347" t="s">
        <v>1092</v>
      </c>
      <c r="Q347" t="s">
        <v>351</v>
      </c>
      <c r="R347" s="6">
        <v>29587</v>
      </c>
      <c r="S347" s="7">
        <f t="shared" si="40"/>
        <v>1981</v>
      </c>
      <c r="T347" s="7">
        <v>1981</v>
      </c>
      <c r="U347" s="7">
        <f t="shared" si="41"/>
        <v>41</v>
      </c>
      <c r="V347" s="6">
        <v>1981</v>
      </c>
      <c r="W347" t="s">
        <v>1091</v>
      </c>
      <c r="X347" s="2">
        <v>1.7130000000000001</v>
      </c>
      <c r="Y347" s="5">
        <f t="shared" si="46"/>
        <v>4.5727556658925285E-2</v>
      </c>
      <c r="AA347">
        <v>63495</v>
      </c>
      <c r="AB347">
        <v>14859</v>
      </c>
      <c r="AD347" t="s">
        <v>5</v>
      </c>
      <c r="AE347">
        <v>34</v>
      </c>
      <c r="AF347">
        <v>2</v>
      </c>
      <c r="AH347" t="s">
        <v>1090</v>
      </c>
      <c r="AI347" t="s">
        <v>1089</v>
      </c>
      <c r="AK347" t="s">
        <v>1088</v>
      </c>
      <c r="AL347">
        <v>24</v>
      </c>
      <c r="AM347" s="4">
        <f t="shared" si="42"/>
        <v>0.58536585365853655</v>
      </c>
      <c r="AN347" s="21">
        <f t="shared" si="47"/>
        <v>8.8658213352296332E-4</v>
      </c>
      <c r="AO347" s="3"/>
      <c r="AP347">
        <v>1</v>
      </c>
      <c r="AR347" t="s">
        <v>1087</v>
      </c>
      <c r="AT347" s="2">
        <v>4.0330000000000004</v>
      </c>
      <c r="AU347" s="1">
        <f t="shared" si="43"/>
        <v>3.2275264301304589</v>
      </c>
      <c r="AV347" s="1">
        <f t="shared" si="44"/>
        <v>2.330706939622412</v>
      </c>
      <c r="AW347" s="1">
        <f t="shared" si="45"/>
        <v>1.4338874491143658</v>
      </c>
    </row>
    <row r="348" spans="1:49" x14ac:dyDescent="0.2">
      <c r="A348">
        <v>346</v>
      </c>
      <c r="B348" t="s">
        <v>1086</v>
      </c>
      <c r="C348" t="s">
        <v>1085</v>
      </c>
      <c r="F348" t="s">
        <v>1084</v>
      </c>
      <c r="G348" t="s">
        <v>16</v>
      </c>
      <c r="H348" t="s">
        <v>15</v>
      </c>
      <c r="I348" t="s">
        <v>1083</v>
      </c>
      <c r="J348" t="s">
        <v>1082</v>
      </c>
      <c r="K348" t="s">
        <v>1081</v>
      </c>
      <c r="L348" t="s">
        <v>1080</v>
      </c>
      <c r="M348" t="s">
        <v>277</v>
      </c>
      <c r="N348">
        <v>4</v>
      </c>
      <c r="O348" t="s">
        <v>1079</v>
      </c>
      <c r="P348" t="s">
        <v>1078</v>
      </c>
      <c r="Q348" t="s">
        <v>1077</v>
      </c>
      <c r="R348" s="6">
        <v>29587</v>
      </c>
      <c r="S348" s="7">
        <f t="shared" si="40"/>
        <v>1981</v>
      </c>
      <c r="T348" s="7">
        <v>1981</v>
      </c>
      <c r="U348" s="7">
        <f t="shared" si="41"/>
        <v>41</v>
      </c>
      <c r="V348" s="6">
        <v>29587</v>
      </c>
      <c r="W348" t="s">
        <v>235</v>
      </c>
      <c r="X348" s="2">
        <v>1.6519999999999999</v>
      </c>
      <c r="Y348" s="5">
        <f t="shared" si="46"/>
        <v>4.409919649769093E-2</v>
      </c>
      <c r="AA348" t="s">
        <v>234</v>
      </c>
      <c r="AB348">
        <v>17337</v>
      </c>
      <c r="AC348">
        <v>15582221</v>
      </c>
      <c r="AD348" t="s">
        <v>5</v>
      </c>
      <c r="AE348">
        <v>29</v>
      </c>
      <c r="AF348">
        <v>1</v>
      </c>
      <c r="AH348" t="s">
        <v>1076</v>
      </c>
      <c r="AI348" t="s">
        <v>1075</v>
      </c>
      <c r="AK348" t="s">
        <v>1074</v>
      </c>
      <c r="AL348">
        <v>249</v>
      </c>
      <c r="AM348" s="4">
        <f t="shared" si="42"/>
        <v>6.0731707317073171</v>
      </c>
      <c r="AN348" s="21">
        <f t="shared" si="47"/>
        <v>9.1982896353007462E-3</v>
      </c>
      <c r="AO348" s="3"/>
      <c r="AP348">
        <v>0</v>
      </c>
      <c r="AR348" t="s">
        <v>1</v>
      </c>
      <c r="AT348" s="2" t="s">
        <v>0</v>
      </c>
      <c r="AU348" s="1">
        <f t="shared" si="43"/>
        <v>3.3628924438973877</v>
      </c>
      <c r="AV348" s="1">
        <f t="shared" si="44"/>
        <v>2.6648743066495841</v>
      </c>
      <c r="AW348" s="1">
        <f t="shared" si="45"/>
        <v>1.9668561694017799</v>
      </c>
    </row>
    <row r="349" spans="1:49" x14ac:dyDescent="0.2">
      <c r="A349">
        <v>347</v>
      </c>
      <c r="B349" t="s">
        <v>1073</v>
      </c>
      <c r="C349" t="s">
        <v>1072</v>
      </c>
      <c r="F349" t="s">
        <v>1071</v>
      </c>
      <c r="G349" t="s">
        <v>16</v>
      </c>
      <c r="H349" t="s">
        <v>15</v>
      </c>
      <c r="I349" t="s">
        <v>1070</v>
      </c>
      <c r="J349">
        <v>60079059</v>
      </c>
      <c r="K349" t="s">
        <v>941</v>
      </c>
      <c r="L349" t="s">
        <v>940</v>
      </c>
      <c r="M349" t="s">
        <v>26</v>
      </c>
      <c r="N349">
        <v>2</v>
      </c>
      <c r="O349" t="s">
        <v>1069</v>
      </c>
      <c r="P349" t="s">
        <v>1068</v>
      </c>
      <c r="Q349" t="s">
        <v>937</v>
      </c>
      <c r="R349" s="6">
        <v>29587</v>
      </c>
      <c r="S349" s="7">
        <f t="shared" si="40"/>
        <v>1981</v>
      </c>
      <c r="T349" s="7">
        <v>1981</v>
      </c>
      <c r="U349" s="7">
        <f t="shared" si="41"/>
        <v>41</v>
      </c>
      <c r="V349" s="6">
        <v>29587</v>
      </c>
      <c r="W349" t="s">
        <v>538</v>
      </c>
      <c r="X349" s="2">
        <v>0.33800000000000002</v>
      </c>
      <c r="Y349" s="5">
        <f t="shared" si="46"/>
        <v>9.0227169589706634E-3</v>
      </c>
      <c r="AA349">
        <v>34347</v>
      </c>
      <c r="AB349">
        <v>17722</v>
      </c>
      <c r="AC349">
        <v>19589395</v>
      </c>
      <c r="AD349" t="s">
        <v>5</v>
      </c>
      <c r="AE349">
        <v>36</v>
      </c>
      <c r="AF349" s="8">
        <v>44228</v>
      </c>
      <c r="AH349" t="s">
        <v>1067</v>
      </c>
      <c r="AI349" t="s">
        <v>1066</v>
      </c>
      <c r="AJ349" t="s">
        <v>1065</v>
      </c>
      <c r="AK349" t="s">
        <v>1064</v>
      </c>
      <c r="AL349">
        <v>5</v>
      </c>
      <c r="AM349" s="4">
        <f t="shared" si="42"/>
        <v>0.12195121951219512</v>
      </c>
      <c r="AN349" s="21">
        <f t="shared" si="47"/>
        <v>1.8470461115061736E-4</v>
      </c>
      <c r="AO349" s="3"/>
      <c r="AP349">
        <v>0</v>
      </c>
      <c r="AR349" t="s">
        <v>1</v>
      </c>
      <c r="AT349" s="2" t="s">
        <v>0</v>
      </c>
      <c r="AU349" s="1">
        <f t="shared" si="43"/>
        <v>0.63713132546246498</v>
      </c>
      <c r="AV349" s="1">
        <f t="shared" si="44"/>
        <v>0.46037107850606401</v>
      </c>
      <c r="AW349" s="1">
        <f t="shared" si="45"/>
        <v>0.2836108315496631</v>
      </c>
    </row>
    <row r="350" spans="1:49" x14ac:dyDescent="0.2">
      <c r="A350">
        <v>348</v>
      </c>
      <c r="B350" t="s">
        <v>1063</v>
      </c>
      <c r="C350" t="s">
        <v>1062</v>
      </c>
      <c r="F350" t="s">
        <v>1061</v>
      </c>
      <c r="G350" t="s">
        <v>16</v>
      </c>
      <c r="H350" t="s">
        <v>15</v>
      </c>
      <c r="I350" t="s">
        <v>1060</v>
      </c>
      <c r="J350">
        <v>60020818</v>
      </c>
      <c r="K350" t="s">
        <v>1059</v>
      </c>
      <c r="L350" t="s">
        <v>1058</v>
      </c>
      <c r="M350" t="s">
        <v>11</v>
      </c>
      <c r="N350">
        <v>1</v>
      </c>
      <c r="O350" t="s">
        <v>1057</v>
      </c>
      <c r="P350">
        <v>7201697278</v>
      </c>
      <c r="Q350">
        <v>60020818</v>
      </c>
      <c r="R350" s="6">
        <v>29587</v>
      </c>
      <c r="S350" s="7">
        <f t="shared" si="40"/>
        <v>1981</v>
      </c>
      <c r="T350" s="7">
        <v>1981</v>
      </c>
      <c r="U350" s="7">
        <f t="shared" si="41"/>
        <v>41</v>
      </c>
      <c r="V350" s="6">
        <v>29587</v>
      </c>
      <c r="W350" t="s">
        <v>725</v>
      </c>
      <c r="X350" s="2">
        <v>1.137</v>
      </c>
      <c r="Y350" s="5">
        <f t="shared" si="46"/>
        <v>3.0351565628253384E-2</v>
      </c>
      <c r="AA350">
        <v>189251</v>
      </c>
      <c r="AB350">
        <v>17336</v>
      </c>
      <c r="AD350" t="s">
        <v>5</v>
      </c>
      <c r="AE350" t="s">
        <v>724</v>
      </c>
      <c r="AF350">
        <v>1</v>
      </c>
      <c r="AH350" t="s">
        <v>1056</v>
      </c>
      <c r="AI350" t="s">
        <v>1055</v>
      </c>
      <c r="AK350" t="s">
        <v>1054</v>
      </c>
      <c r="AL350">
        <v>3</v>
      </c>
      <c r="AM350" s="4">
        <f t="shared" si="42"/>
        <v>7.3170731707317069E-2</v>
      </c>
      <c r="AN350" s="21">
        <f t="shared" si="47"/>
        <v>1.1082276669037041E-4</v>
      </c>
      <c r="AO350" s="3"/>
      <c r="AP350">
        <v>0</v>
      </c>
      <c r="AR350" t="s">
        <v>1</v>
      </c>
      <c r="AT350" s="2" t="s">
        <v>0</v>
      </c>
      <c r="AU350" s="1">
        <f t="shared" si="43"/>
        <v>2.1279342769784479</v>
      </c>
      <c r="AV350" s="1">
        <f t="shared" si="44"/>
        <v>1.5231194197471878</v>
      </c>
      <c r="AW350" s="1">
        <f t="shared" si="45"/>
        <v>0.9183045625159274</v>
      </c>
    </row>
    <row r="351" spans="1:49" x14ac:dyDescent="0.2">
      <c r="A351">
        <v>349</v>
      </c>
      <c r="B351" t="s">
        <v>1053</v>
      </c>
      <c r="C351" t="s">
        <v>1052</v>
      </c>
      <c r="E351">
        <v>7322045</v>
      </c>
      <c r="F351" t="s">
        <v>1051</v>
      </c>
      <c r="G351" t="s">
        <v>16</v>
      </c>
      <c r="H351" t="s">
        <v>15</v>
      </c>
      <c r="I351" t="s">
        <v>1050</v>
      </c>
      <c r="J351">
        <v>60030443</v>
      </c>
      <c r="K351" t="s">
        <v>1049</v>
      </c>
      <c r="L351" t="s">
        <v>1048</v>
      </c>
      <c r="M351" t="s">
        <v>11</v>
      </c>
      <c r="N351">
        <v>4</v>
      </c>
      <c r="O351" t="s">
        <v>1047</v>
      </c>
      <c r="P351" t="s">
        <v>1046</v>
      </c>
      <c r="Q351" t="s">
        <v>1045</v>
      </c>
      <c r="R351" s="6">
        <v>29587</v>
      </c>
      <c r="S351" s="7">
        <f t="shared" si="40"/>
        <v>1981</v>
      </c>
      <c r="T351" s="7">
        <v>1981</v>
      </c>
      <c r="U351" s="7">
        <f t="shared" si="41"/>
        <v>41</v>
      </c>
      <c r="V351" s="6">
        <v>29646</v>
      </c>
      <c r="W351" t="s">
        <v>1044</v>
      </c>
      <c r="X351" s="2">
        <v>1.4730000000000001</v>
      </c>
      <c r="Y351" s="5">
        <f t="shared" si="46"/>
        <v>3.9320893729478661E-2</v>
      </c>
      <c r="AA351">
        <v>942405</v>
      </c>
      <c r="AB351">
        <v>17871</v>
      </c>
      <c r="AD351" t="s">
        <v>5</v>
      </c>
      <c r="AE351">
        <v>8</v>
      </c>
      <c r="AF351">
        <v>2</v>
      </c>
      <c r="AH351" t="s">
        <v>1043</v>
      </c>
      <c r="AI351" t="s">
        <v>1042</v>
      </c>
      <c r="AJ351" t="s">
        <v>1041</v>
      </c>
      <c r="AK351" t="s">
        <v>1040</v>
      </c>
      <c r="AL351">
        <v>29</v>
      </c>
      <c r="AM351" s="4">
        <f t="shared" si="42"/>
        <v>0.70731707317073167</v>
      </c>
      <c r="AN351" s="21">
        <f t="shared" si="47"/>
        <v>1.0712867446735807E-3</v>
      </c>
      <c r="AO351" s="3"/>
      <c r="AP351">
        <v>0</v>
      </c>
      <c r="AQ351" t="s">
        <v>1039</v>
      </c>
      <c r="AR351" t="s">
        <v>1038</v>
      </c>
      <c r="AS351" t="s">
        <v>1037</v>
      </c>
      <c r="AT351" s="2">
        <v>4.0709999999999997</v>
      </c>
      <c r="AU351" s="1">
        <f t="shared" si="43"/>
        <v>2.7846011634037136</v>
      </c>
      <c r="AV351" s="1">
        <f t="shared" si="44"/>
        <v>2.0196090237076119</v>
      </c>
      <c r="AW351" s="1">
        <f t="shared" si="45"/>
        <v>1.2546168840115106</v>
      </c>
    </row>
    <row r="352" spans="1:49" x14ac:dyDescent="0.2">
      <c r="A352">
        <v>350</v>
      </c>
      <c r="B352" t="s">
        <v>1036</v>
      </c>
      <c r="C352" t="s">
        <v>1035</v>
      </c>
      <c r="E352">
        <v>6782672</v>
      </c>
      <c r="F352" t="s">
        <v>1034</v>
      </c>
      <c r="G352" t="s">
        <v>16</v>
      </c>
      <c r="H352" t="s">
        <v>15</v>
      </c>
      <c r="I352" t="s">
        <v>1033</v>
      </c>
      <c r="J352">
        <v>60003029</v>
      </c>
      <c r="K352" t="s">
        <v>1032</v>
      </c>
      <c r="L352" t="s">
        <v>1031</v>
      </c>
      <c r="M352" t="s">
        <v>11</v>
      </c>
      <c r="N352">
        <v>1</v>
      </c>
      <c r="O352" t="s">
        <v>1030</v>
      </c>
      <c r="P352">
        <v>7005116255</v>
      </c>
      <c r="Q352">
        <v>60003029</v>
      </c>
      <c r="R352" s="6">
        <v>29587</v>
      </c>
      <c r="S352" s="7">
        <f t="shared" si="40"/>
        <v>1981</v>
      </c>
      <c r="T352" s="7">
        <v>1981</v>
      </c>
      <c r="U352" s="7">
        <f t="shared" si="41"/>
        <v>41</v>
      </c>
      <c r="V352" s="6">
        <v>1981</v>
      </c>
      <c r="W352" t="s">
        <v>1029</v>
      </c>
      <c r="X352" s="2">
        <v>12.555999999999999</v>
      </c>
      <c r="Y352" s="5">
        <f t="shared" si="46"/>
        <v>0.33517524892554923</v>
      </c>
      <c r="AA352">
        <v>368075</v>
      </c>
      <c r="AB352">
        <v>23571</v>
      </c>
      <c r="AD352" t="s">
        <v>5</v>
      </c>
      <c r="AE352">
        <v>212</v>
      </c>
      <c r="AF352">
        <v>4490</v>
      </c>
      <c r="AH352" t="s">
        <v>1028</v>
      </c>
      <c r="AI352" t="s">
        <v>1027</v>
      </c>
      <c r="AK352" t="s">
        <v>1026</v>
      </c>
      <c r="AL352">
        <v>15</v>
      </c>
      <c r="AM352" s="4">
        <f t="shared" si="42"/>
        <v>0.36585365853658536</v>
      </c>
      <c r="AN352" s="21">
        <f t="shared" si="47"/>
        <v>5.5411383345185209E-4</v>
      </c>
      <c r="AO352" s="3"/>
      <c r="AP352">
        <v>0</v>
      </c>
      <c r="AR352" t="s">
        <v>1</v>
      </c>
      <c r="AT352" s="2">
        <v>47.728000000000002</v>
      </c>
      <c r="AU352" s="1">
        <f t="shared" si="43"/>
        <v>23.478890839792001</v>
      </c>
      <c r="AV352" s="1">
        <f t="shared" si="44"/>
        <v>16.786468137950052</v>
      </c>
      <c r="AW352" s="1">
        <f t="shared" si="45"/>
        <v>10.094045436108106</v>
      </c>
    </row>
    <row r="353" spans="1:49" x14ac:dyDescent="0.2">
      <c r="A353">
        <v>351</v>
      </c>
      <c r="B353" t="s">
        <v>1025</v>
      </c>
      <c r="C353" t="s">
        <v>1024</v>
      </c>
      <c r="F353" t="s">
        <v>1023</v>
      </c>
      <c r="G353" t="s">
        <v>16</v>
      </c>
      <c r="H353" t="s">
        <v>15</v>
      </c>
      <c r="I353" t="s">
        <v>1022</v>
      </c>
      <c r="J353">
        <v>60000221</v>
      </c>
      <c r="K353" t="s">
        <v>1021</v>
      </c>
      <c r="L353" t="s">
        <v>600</v>
      </c>
      <c r="M353" t="s">
        <v>11</v>
      </c>
      <c r="N353">
        <v>2</v>
      </c>
      <c r="O353" t="s">
        <v>1020</v>
      </c>
      <c r="P353" t="s">
        <v>1019</v>
      </c>
      <c r="Q353" t="s">
        <v>1018</v>
      </c>
      <c r="R353" s="6">
        <v>29587</v>
      </c>
      <c r="S353" s="7">
        <f t="shared" si="40"/>
        <v>1981</v>
      </c>
      <c r="T353" s="7">
        <v>1981</v>
      </c>
      <c r="U353" s="7">
        <f t="shared" si="41"/>
        <v>41</v>
      </c>
      <c r="V353" s="6">
        <v>29587</v>
      </c>
      <c r="W353" t="s">
        <v>235</v>
      </c>
      <c r="X353" s="2">
        <v>1.6519999999999999</v>
      </c>
      <c r="Y353" s="5">
        <f t="shared" si="46"/>
        <v>4.409919649769093E-2</v>
      </c>
      <c r="AA353" t="s">
        <v>234</v>
      </c>
      <c r="AB353">
        <v>17337</v>
      </c>
      <c r="AC353">
        <v>15582221</v>
      </c>
      <c r="AD353" t="s">
        <v>5</v>
      </c>
      <c r="AE353">
        <v>29</v>
      </c>
      <c r="AF353">
        <v>1</v>
      </c>
      <c r="AH353" t="s">
        <v>1017</v>
      </c>
      <c r="AI353" t="s">
        <v>1016</v>
      </c>
      <c r="AK353" t="s">
        <v>1015</v>
      </c>
      <c r="AL353">
        <v>1</v>
      </c>
      <c r="AM353" s="4">
        <f t="shared" si="42"/>
        <v>2.4390243902439025E-2</v>
      </c>
      <c r="AN353" s="21">
        <f t="shared" si="47"/>
        <v>3.6940922230123474E-5</v>
      </c>
      <c r="AO353" s="3"/>
      <c r="AP353">
        <v>0</v>
      </c>
      <c r="AR353" t="s">
        <v>1</v>
      </c>
      <c r="AT353" s="2" t="s">
        <v>0</v>
      </c>
      <c r="AU353" s="1">
        <f t="shared" si="43"/>
        <v>3.0880519825052688</v>
      </c>
      <c r="AV353" s="1">
        <f t="shared" si="44"/>
        <v>2.2068068709960529</v>
      </c>
      <c r="AW353" s="1">
        <f t="shared" si="45"/>
        <v>1.3255617594868363</v>
      </c>
    </row>
    <row r="354" spans="1:49" x14ac:dyDescent="0.2">
      <c r="A354">
        <v>352</v>
      </c>
      <c r="B354" t="s">
        <v>1014</v>
      </c>
      <c r="C354" t="s">
        <v>1013</v>
      </c>
      <c r="F354" t="s">
        <v>1012</v>
      </c>
      <c r="G354" t="s">
        <v>16</v>
      </c>
      <c r="H354" t="s">
        <v>15</v>
      </c>
      <c r="I354" t="s">
        <v>1011</v>
      </c>
      <c r="J354">
        <v>60009386</v>
      </c>
      <c r="K354" t="s">
        <v>1010</v>
      </c>
      <c r="L354" t="s">
        <v>1009</v>
      </c>
      <c r="M354" t="s">
        <v>678</v>
      </c>
      <c r="N354">
        <v>2</v>
      </c>
      <c r="O354" t="s">
        <v>1008</v>
      </c>
      <c r="P354" t="s">
        <v>1007</v>
      </c>
      <c r="Q354" t="s">
        <v>1006</v>
      </c>
      <c r="R354" s="6">
        <v>29587</v>
      </c>
      <c r="S354" s="7">
        <f t="shared" si="40"/>
        <v>1981</v>
      </c>
      <c r="T354" s="7">
        <v>1981</v>
      </c>
      <c r="U354" s="7">
        <f t="shared" si="41"/>
        <v>41</v>
      </c>
      <c r="V354" s="6">
        <v>29587</v>
      </c>
      <c r="W354" t="s">
        <v>1005</v>
      </c>
      <c r="X354" s="2">
        <v>1.774</v>
      </c>
      <c r="Y354" s="5">
        <f t="shared" si="46"/>
        <v>4.7355916820159633E-2</v>
      </c>
      <c r="AA354">
        <v>295515</v>
      </c>
      <c r="AB354">
        <v>29066</v>
      </c>
      <c r="AC354">
        <v>17414326</v>
      </c>
      <c r="AD354" t="s">
        <v>5</v>
      </c>
      <c r="AE354">
        <v>21</v>
      </c>
      <c r="AF354">
        <v>1</v>
      </c>
      <c r="AH354" t="s">
        <v>1004</v>
      </c>
      <c r="AI354" t="s">
        <v>1003</v>
      </c>
      <c r="AK354" t="s">
        <v>1002</v>
      </c>
      <c r="AL354">
        <v>1</v>
      </c>
      <c r="AM354" s="4">
        <f t="shared" si="42"/>
        <v>2.4390243902439025E-2</v>
      </c>
      <c r="AN354" s="21">
        <f t="shared" si="47"/>
        <v>3.6940922230123474E-5</v>
      </c>
      <c r="AO354" s="3"/>
      <c r="AP354">
        <v>0</v>
      </c>
      <c r="AR354" t="s">
        <v>1</v>
      </c>
      <c r="AT354" s="2">
        <v>3.1789999999999998</v>
      </c>
      <c r="AU354" s="1">
        <f t="shared" si="43"/>
        <v>3.3160224050780776</v>
      </c>
      <c r="AV354" s="1">
        <f t="shared" si="44"/>
        <v>2.3696428871194879</v>
      </c>
      <c r="AW354" s="1">
        <f t="shared" si="45"/>
        <v>1.4232633691608976</v>
      </c>
    </row>
    <row r="355" spans="1:49" x14ac:dyDescent="0.2">
      <c r="A355">
        <v>353</v>
      </c>
      <c r="B355" t="s">
        <v>1001</v>
      </c>
      <c r="C355" t="s">
        <v>1000</v>
      </c>
      <c r="F355" t="s">
        <v>999</v>
      </c>
      <c r="G355" t="s">
        <v>16</v>
      </c>
      <c r="H355" t="s">
        <v>15</v>
      </c>
      <c r="I355" t="s">
        <v>998</v>
      </c>
      <c r="J355">
        <v>60030821</v>
      </c>
      <c r="K355" t="s">
        <v>997</v>
      </c>
      <c r="L355" t="s">
        <v>996</v>
      </c>
      <c r="M355" t="s">
        <v>11</v>
      </c>
      <c r="N355">
        <v>2</v>
      </c>
      <c r="O355" t="s">
        <v>995</v>
      </c>
      <c r="P355" t="s">
        <v>994</v>
      </c>
      <c r="Q355" t="s">
        <v>993</v>
      </c>
      <c r="R355" s="6">
        <v>29587</v>
      </c>
      <c r="S355" s="7">
        <f t="shared" si="40"/>
        <v>1981</v>
      </c>
      <c r="T355" s="7">
        <v>1981</v>
      </c>
      <c r="U355" s="7">
        <f t="shared" si="41"/>
        <v>41</v>
      </c>
      <c r="V355" s="6">
        <v>29587</v>
      </c>
      <c r="W355" t="s">
        <v>235</v>
      </c>
      <c r="X355" s="2">
        <v>1.6519999999999999</v>
      </c>
      <c r="Y355" s="5">
        <f t="shared" si="46"/>
        <v>4.409919649769093E-2</v>
      </c>
      <c r="AA355" t="s">
        <v>234</v>
      </c>
      <c r="AB355">
        <v>17337</v>
      </c>
      <c r="AC355">
        <v>15582221</v>
      </c>
      <c r="AD355" t="s">
        <v>5</v>
      </c>
      <c r="AE355">
        <v>29</v>
      </c>
      <c r="AF355">
        <v>1</v>
      </c>
      <c r="AH355" t="s">
        <v>992</v>
      </c>
      <c r="AI355" t="s">
        <v>991</v>
      </c>
      <c r="AK355" t="s">
        <v>990</v>
      </c>
      <c r="AL355">
        <v>4</v>
      </c>
      <c r="AM355" s="4">
        <f t="shared" si="42"/>
        <v>9.7560975609756101E-2</v>
      </c>
      <c r="AN355" s="21">
        <f t="shared" si="47"/>
        <v>1.477636889204939E-4</v>
      </c>
      <c r="AO355" s="3"/>
      <c r="AP355">
        <v>0</v>
      </c>
      <c r="AR355" t="s">
        <v>1</v>
      </c>
      <c r="AT355" s="2" t="s">
        <v>0</v>
      </c>
      <c r="AU355" s="1">
        <f t="shared" si="43"/>
        <v>3.09137666550598</v>
      </c>
      <c r="AV355" s="1">
        <f t="shared" si="44"/>
        <v>2.212348009330571</v>
      </c>
      <c r="AW355" s="1">
        <f t="shared" si="45"/>
        <v>1.3333193531551624</v>
      </c>
    </row>
    <row r="356" spans="1:49" x14ac:dyDescent="0.2">
      <c r="A356">
        <v>354</v>
      </c>
      <c r="B356" t="s">
        <v>989</v>
      </c>
      <c r="C356" t="s">
        <v>988</v>
      </c>
      <c r="F356" t="s">
        <v>987</v>
      </c>
      <c r="G356" t="s">
        <v>16</v>
      </c>
      <c r="H356" t="s">
        <v>15</v>
      </c>
      <c r="I356" t="s">
        <v>986</v>
      </c>
      <c r="J356">
        <v>60004661</v>
      </c>
      <c r="K356" t="s">
        <v>985</v>
      </c>
      <c r="L356" t="s">
        <v>984</v>
      </c>
      <c r="M356" t="s">
        <v>299</v>
      </c>
      <c r="N356">
        <v>2</v>
      </c>
      <c r="O356" t="s">
        <v>983</v>
      </c>
      <c r="P356" t="s">
        <v>982</v>
      </c>
      <c r="Q356" t="s">
        <v>981</v>
      </c>
      <c r="R356" s="6">
        <v>29587</v>
      </c>
      <c r="S356" s="7">
        <f t="shared" si="40"/>
        <v>1981</v>
      </c>
      <c r="T356" s="7">
        <v>1981</v>
      </c>
      <c r="U356" s="7">
        <f t="shared" si="41"/>
        <v>41</v>
      </c>
      <c r="V356" s="6">
        <v>29587</v>
      </c>
      <c r="W356" t="s">
        <v>235</v>
      </c>
      <c r="X356" s="2">
        <v>1.6519999999999999</v>
      </c>
      <c r="Y356" s="5">
        <f t="shared" si="46"/>
        <v>4.409919649769093E-2</v>
      </c>
      <c r="AA356" t="s">
        <v>234</v>
      </c>
      <c r="AB356">
        <v>17337</v>
      </c>
      <c r="AC356">
        <v>15582221</v>
      </c>
      <c r="AD356" t="s">
        <v>5</v>
      </c>
      <c r="AE356">
        <v>29</v>
      </c>
      <c r="AF356">
        <v>1</v>
      </c>
      <c r="AH356" t="s">
        <v>980</v>
      </c>
      <c r="AI356" t="s">
        <v>979</v>
      </c>
      <c r="AK356" t="s">
        <v>978</v>
      </c>
      <c r="AL356">
        <v>14</v>
      </c>
      <c r="AM356" s="4">
        <f t="shared" si="42"/>
        <v>0.34146341463414637</v>
      </c>
      <c r="AN356" s="21">
        <f t="shared" si="47"/>
        <v>5.171729112217287E-4</v>
      </c>
      <c r="AO356" s="3"/>
      <c r="AP356">
        <v>0</v>
      </c>
      <c r="AR356" t="s">
        <v>1</v>
      </c>
      <c r="AT356" s="2" t="s">
        <v>0</v>
      </c>
      <c r="AU356" s="1">
        <f t="shared" si="43"/>
        <v>3.1024589421750166</v>
      </c>
      <c r="AV356" s="1">
        <f t="shared" si="44"/>
        <v>2.2308184704456329</v>
      </c>
      <c r="AW356" s="1">
        <f t="shared" si="45"/>
        <v>1.3591779987162489</v>
      </c>
    </row>
    <row r="357" spans="1:49" x14ac:dyDescent="0.2">
      <c r="A357">
        <v>355</v>
      </c>
      <c r="B357" t="s">
        <v>977</v>
      </c>
      <c r="C357" t="s">
        <v>976</v>
      </c>
      <c r="F357" t="s">
        <v>975</v>
      </c>
      <c r="G357" t="s">
        <v>16</v>
      </c>
      <c r="H357" t="s">
        <v>15</v>
      </c>
      <c r="I357" t="s">
        <v>974</v>
      </c>
      <c r="J357" t="s">
        <v>969</v>
      </c>
      <c r="K357" t="s">
        <v>973</v>
      </c>
      <c r="L357" t="s">
        <v>972</v>
      </c>
      <c r="M357" t="s">
        <v>654</v>
      </c>
      <c r="N357">
        <v>3</v>
      </c>
      <c r="O357" t="s">
        <v>971</v>
      </c>
      <c r="P357" t="s">
        <v>970</v>
      </c>
      <c r="Q357" t="s">
        <v>969</v>
      </c>
      <c r="R357" s="6">
        <v>29587</v>
      </c>
      <c r="S357" s="7">
        <f t="shared" si="40"/>
        <v>1981</v>
      </c>
      <c r="T357" s="7">
        <v>1981</v>
      </c>
      <c r="U357" s="7">
        <f t="shared" si="41"/>
        <v>41</v>
      </c>
      <c r="V357" s="6">
        <v>29587</v>
      </c>
      <c r="W357" t="s">
        <v>235</v>
      </c>
      <c r="X357" s="2">
        <v>1.6519999999999999</v>
      </c>
      <c r="Y357" s="5">
        <f t="shared" si="46"/>
        <v>4.409919649769093E-2</v>
      </c>
      <c r="AA357" t="s">
        <v>234</v>
      </c>
      <c r="AB357">
        <v>17337</v>
      </c>
      <c r="AC357">
        <v>15582221</v>
      </c>
      <c r="AD357" t="s">
        <v>5</v>
      </c>
      <c r="AE357">
        <v>29</v>
      </c>
      <c r="AF357">
        <v>1</v>
      </c>
      <c r="AH357" t="s">
        <v>968</v>
      </c>
      <c r="AI357" t="s">
        <v>967</v>
      </c>
      <c r="AK357" t="s">
        <v>966</v>
      </c>
      <c r="AL357">
        <v>141</v>
      </c>
      <c r="AM357" s="4">
        <f t="shared" si="42"/>
        <v>3.4390243902439024</v>
      </c>
      <c r="AN357" s="21">
        <f t="shared" si="47"/>
        <v>5.2086700344474096E-3</v>
      </c>
      <c r="AO357" s="3"/>
      <c r="AP357">
        <v>0</v>
      </c>
      <c r="AR357" t="s">
        <v>1</v>
      </c>
      <c r="AT357" s="2" t="s">
        <v>0</v>
      </c>
      <c r="AU357" s="1">
        <f t="shared" si="43"/>
        <v>3.2432038558717875</v>
      </c>
      <c r="AV357" s="1">
        <f t="shared" si="44"/>
        <v>2.4653933266069168</v>
      </c>
      <c r="AW357" s="1">
        <f t="shared" si="45"/>
        <v>1.6875827973420465</v>
      </c>
    </row>
    <row r="358" spans="1:49" x14ac:dyDescent="0.2">
      <c r="A358">
        <v>356</v>
      </c>
      <c r="B358" t="s">
        <v>965</v>
      </c>
      <c r="C358" t="s">
        <v>964</v>
      </c>
      <c r="F358" t="s">
        <v>963</v>
      </c>
      <c r="G358" t="s">
        <v>16</v>
      </c>
      <c r="H358" t="s">
        <v>15</v>
      </c>
      <c r="I358" t="s">
        <v>962</v>
      </c>
      <c r="J358">
        <v>115568145</v>
      </c>
      <c r="K358" t="s">
        <v>961</v>
      </c>
      <c r="L358" t="s">
        <v>960</v>
      </c>
      <c r="M358" t="s">
        <v>11</v>
      </c>
      <c r="N358">
        <v>1</v>
      </c>
      <c r="O358" t="s">
        <v>959</v>
      </c>
      <c r="P358">
        <v>7007109070</v>
      </c>
      <c r="Q358">
        <v>115568145</v>
      </c>
      <c r="R358" s="6">
        <v>29587</v>
      </c>
      <c r="S358" s="7">
        <f t="shared" si="40"/>
        <v>1981</v>
      </c>
      <c r="T358" s="7">
        <v>1981</v>
      </c>
      <c r="U358" s="7">
        <f t="shared" si="41"/>
        <v>41</v>
      </c>
      <c r="V358" s="6">
        <v>29587</v>
      </c>
      <c r="W358" t="s">
        <v>725</v>
      </c>
      <c r="X358" s="2">
        <v>1.137</v>
      </c>
      <c r="Y358" s="5">
        <f t="shared" si="46"/>
        <v>3.0351565628253384E-2</v>
      </c>
      <c r="AA358">
        <v>189251</v>
      </c>
      <c r="AB358">
        <v>17336</v>
      </c>
      <c r="AD358" t="s">
        <v>5</v>
      </c>
      <c r="AE358" t="s">
        <v>724</v>
      </c>
      <c r="AF358">
        <v>1</v>
      </c>
      <c r="AH358" t="s">
        <v>958</v>
      </c>
      <c r="AI358" t="s">
        <v>957</v>
      </c>
      <c r="AK358" t="s">
        <v>956</v>
      </c>
      <c r="AL358">
        <v>2</v>
      </c>
      <c r="AM358" s="4">
        <f t="shared" si="42"/>
        <v>4.878048780487805E-2</v>
      </c>
      <c r="AN358" s="21">
        <f t="shared" si="47"/>
        <v>7.3881844460246948E-5</v>
      </c>
      <c r="AO358" s="3"/>
      <c r="AP358">
        <v>0</v>
      </c>
      <c r="AR358" t="s">
        <v>1</v>
      </c>
      <c r="AT358" s="2" t="s">
        <v>0</v>
      </c>
      <c r="AU358" s="1">
        <f t="shared" si="43"/>
        <v>2.1268260493115441</v>
      </c>
      <c r="AV358" s="1">
        <f t="shared" si="44"/>
        <v>1.5212723736356815</v>
      </c>
      <c r="AW358" s="1">
        <f t="shared" si="45"/>
        <v>0.91571869795981886</v>
      </c>
    </row>
    <row r="359" spans="1:49" x14ac:dyDescent="0.2">
      <c r="A359">
        <v>357</v>
      </c>
      <c r="B359" t="s">
        <v>955</v>
      </c>
      <c r="C359" t="s">
        <v>954</v>
      </c>
      <c r="F359" t="s">
        <v>953</v>
      </c>
      <c r="G359" t="s">
        <v>16</v>
      </c>
      <c r="H359" t="s">
        <v>15</v>
      </c>
      <c r="I359" t="s">
        <v>952</v>
      </c>
      <c r="J359">
        <v>60021378</v>
      </c>
      <c r="K359" t="s">
        <v>553</v>
      </c>
      <c r="L359" t="s">
        <v>552</v>
      </c>
      <c r="M359" t="s">
        <v>11</v>
      </c>
      <c r="N359">
        <v>2</v>
      </c>
      <c r="O359" t="s">
        <v>951</v>
      </c>
      <c r="P359" t="s">
        <v>950</v>
      </c>
      <c r="Q359" t="s">
        <v>949</v>
      </c>
      <c r="R359" s="6">
        <v>29587</v>
      </c>
      <c r="S359" s="7">
        <f t="shared" si="40"/>
        <v>1981</v>
      </c>
      <c r="T359" s="7">
        <v>1981</v>
      </c>
      <c r="U359" s="7">
        <f t="shared" si="41"/>
        <v>41</v>
      </c>
      <c r="V359" s="6">
        <v>29587</v>
      </c>
      <c r="W359" t="s">
        <v>273</v>
      </c>
      <c r="X359" s="2">
        <v>1.468</v>
      </c>
      <c r="Y359" s="5">
        <f t="shared" si="46"/>
        <v>3.9187421585115186E-2</v>
      </c>
      <c r="AA359">
        <v>906778</v>
      </c>
      <c r="AB359">
        <v>18931</v>
      </c>
      <c r="AD359" t="s">
        <v>5</v>
      </c>
      <c r="AE359">
        <v>29</v>
      </c>
      <c r="AF359">
        <v>1</v>
      </c>
      <c r="AH359" t="s">
        <v>948</v>
      </c>
      <c r="AI359" t="s">
        <v>947</v>
      </c>
      <c r="AK359" t="s">
        <v>946</v>
      </c>
      <c r="AL359">
        <v>4</v>
      </c>
      <c r="AM359" s="4">
        <f t="shared" si="42"/>
        <v>9.7560975609756101E-2</v>
      </c>
      <c r="AN359" s="21">
        <f t="shared" si="47"/>
        <v>1.477636889204939E-4</v>
      </c>
      <c r="AO359" s="3"/>
      <c r="AP359">
        <v>0</v>
      </c>
      <c r="AR359" t="s">
        <v>1</v>
      </c>
      <c r="AT359" s="2">
        <v>5.0830000000000002</v>
      </c>
      <c r="AU359" s="1">
        <f t="shared" si="43"/>
        <v>2.7475524216256777</v>
      </c>
      <c r="AV359" s="1">
        <f t="shared" si="44"/>
        <v>1.9667592637017839</v>
      </c>
      <c r="AW359" s="1">
        <f t="shared" si="45"/>
        <v>1.1859661057778903</v>
      </c>
    </row>
    <row r="360" spans="1:49" x14ac:dyDescent="0.2">
      <c r="A360">
        <v>358</v>
      </c>
      <c r="B360" t="s">
        <v>945</v>
      </c>
      <c r="C360" t="s">
        <v>944</v>
      </c>
      <c r="F360" t="s">
        <v>943</v>
      </c>
      <c r="G360" t="s">
        <v>16</v>
      </c>
      <c r="H360" t="s">
        <v>15</v>
      </c>
      <c r="I360" t="s">
        <v>942</v>
      </c>
      <c r="J360">
        <v>60079059</v>
      </c>
      <c r="K360" t="s">
        <v>941</v>
      </c>
      <c r="L360" t="s">
        <v>940</v>
      </c>
      <c r="M360" t="s">
        <v>26</v>
      </c>
      <c r="N360">
        <v>2</v>
      </c>
      <c r="O360" t="s">
        <v>939</v>
      </c>
      <c r="P360" t="s">
        <v>938</v>
      </c>
      <c r="Q360" t="s">
        <v>937</v>
      </c>
      <c r="R360" s="6">
        <v>29587</v>
      </c>
      <c r="S360" s="7">
        <f t="shared" si="40"/>
        <v>1981</v>
      </c>
      <c r="T360" s="7">
        <v>1981</v>
      </c>
      <c r="U360" s="7">
        <f t="shared" si="41"/>
        <v>41</v>
      </c>
      <c r="V360" s="6">
        <v>29587</v>
      </c>
      <c r="W360" t="s">
        <v>538</v>
      </c>
      <c r="X360" s="2">
        <v>0.33800000000000002</v>
      </c>
      <c r="Y360" s="5">
        <f t="shared" si="46"/>
        <v>9.0227169589706634E-3</v>
      </c>
      <c r="AA360">
        <v>34347</v>
      </c>
      <c r="AB360">
        <v>17722</v>
      </c>
      <c r="AC360">
        <v>19589395</v>
      </c>
      <c r="AD360" t="s">
        <v>5</v>
      </c>
      <c r="AE360">
        <v>36</v>
      </c>
      <c r="AF360" s="8">
        <v>44228</v>
      </c>
      <c r="AH360" t="s">
        <v>936</v>
      </c>
      <c r="AI360" t="s">
        <v>935</v>
      </c>
      <c r="AJ360" t="s">
        <v>934</v>
      </c>
      <c r="AK360" t="s">
        <v>933</v>
      </c>
      <c r="AL360">
        <v>4</v>
      </c>
      <c r="AM360" s="4">
        <f t="shared" si="42"/>
        <v>9.7560975609756101E-2</v>
      </c>
      <c r="AN360" s="21">
        <f t="shared" si="47"/>
        <v>1.477636889204939E-4</v>
      </c>
      <c r="AO360" s="3"/>
      <c r="AP360">
        <v>0</v>
      </c>
      <c r="AR360" t="s">
        <v>1</v>
      </c>
      <c r="AT360" s="2" t="s">
        <v>0</v>
      </c>
      <c r="AU360" s="1">
        <f t="shared" si="43"/>
        <v>0.63602309779556121</v>
      </c>
      <c r="AV360" s="1">
        <f t="shared" si="44"/>
        <v>0.45852403239455786</v>
      </c>
      <c r="AW360" s="1">
        <f t="shared" si="45"/>
        <v>0.28102496699355445</v>
      </c>
    </row>
    <row r="361" spans="1:49" x14ac:dyDescent="0.2">
      <c r="A361">
        <v>359</v>
      </c>
      <c r="B361" t="s">
        <v>932</v>
      </c>
      <c r="C361" t="s">
        <v>931</v>
      </c>
      <c r="F361" t="s">
        <v>930</v>
      </c>
      <c r="G361" t="s">
        <v>16</v>
      </c>
      <c r="H361" t="s">
        <v>15</v>
      </c>
      <c r="I361" t="s">
        <v>929</v>
      </c>
      <c r="J361" t="s">
        <v>928</v>
      </c>
      <c r="K361" t="s">
        <v>927</v>
      </c>
      <c r="L361" t="s">
        <v>926</v>
      </c>
      <c r="M361" t="s">
        <v>277</v>
      </c>
      <c r="N361">
        <v>2</v>
      </c>
      <c r="O361" t="s">
        <v>925</v>
      </c>
      <c r="P361" t="s">
        <v>924</v>
      </c>
      <c r="Q361" t="s">
        <v>923</v>
      </c>
      <c r="R361" s="6">
        <v>29587</v>
      </c>
      <c r="S361" s="7">
        <f t="shared" si="40"/>
        <v>1981</v>
      </c>
      <c r="T361" s="7">
        <v>1981</v>
      </c>
      <c r="U361" s="7">
        <f t="shared" si="41"/>
        <v>41</v>
      </c>
      <c r="V361" s="6">
        <v>29587</v>
      </c>
      <c r="W361" t="s">
        <v>235</v>
      </c>
      <c r="X361" s="2">
        <v>1.6519999999999999</v>
      </c>
      <c r="Y361" s="5">
        <f t="shared" si="46"/>
        <v>4.409919649769093E-2</v>
      </c>
      <c r="AA361" t="s">
        <v>234</v>
      </c>
      <c r="AB361">
        <v>17337</v>
      </c>
      <c r="AC361">
        <v>15582221</v>
      </c>
      <c r="AD361" t="s">
        <v>5</v>
      </c>
      <c r="AE361">
        <v>29</v>
      </c>
      <c r="AF361">
        <v>1</v>
      </c>
      <c r="AH361" t="s">
        <v>922</v>
      </c>
      <c r="AI361" t="s">
        <v>921</v>
      </c>
      <c r="AK361" t="s">
        <v>920</v>
      </c>
      <c r="AL361">
        <v>73</v>
      </c>
      <c r="AM361" s="4">
        <f t="shared" si="42"/>
        <v>1.7804878048780488</v>
      </c>
      <c r="AN361" s="21">
        <f t="shared" si="47"/>
        <v>2.6966873227990138E-3</v>
      </c>
      <c r="AO361" s="3"/>
      <c r="AP361">
        <v>0</v>
      </c>
      <c r="AR361" t="s">
        <v>1</v>
      </c>
      <c r="AT361" s="2" t="s">
        <v>0</v>
      </c>
      <c r="AU361" s="1">
        <f t="shared" si="43"/>
        <v>3.1678443745223355</v>
      </c>
      <c r="AV361" s="1">
        <f t="shared" si="44"/>
        <v>2.339794191024497</v>
      </c>
      <c r="AW361" s="1">
        <f t="shared" si="45"/>
        <v>1.5117440075266588</v>
      </c>
    </row>
    <row r="362" spans="1:49" x14ac:dyDescent="0.2">
      <c r="A362">
        <v>360</v>
      </c>
      <c r="B362" t="s">
        <v>919</v>
      </c>
      <c r="C362" t="s">
        <v>918</v>
      </c>
      <c r="F362" t="s">
        <v>917</v>
      </c>
      <c r="G362" t="s">
        <v>16</v>
      </c>
      <c r="H362" t="s">
        <v>15</v>
      </c>
      <c r="I362" t="s">
        <v>916</v>
      </c>
      <c r="J362" t="s">
        <v>915</v>
      </c>
      <c r="K362" t="s">
        <v>914</v>
      </c>
      <c r="L362" t="s">
        <v>913</v>
      </c>
      <c r="M362" t="s">
        <v>912</v>
      </c>
      <c r="N362">
        <v>2</v>
      </c>
      <c r="O362" t="s">
        <v>911</v>
      </c>
      <c r="P362" t="s">
        <v>910</v>
      </c>
      <c r="Q362" t="s">
        <v>909</v>
      </c>
      <c r="R362" s="6">
        <v>29587</v>
      </c>
      <c r="S362" s="7">
        <f t="shared" si="40"/>
        <v>1981</v>
      </c>
      <c r="T362" s="7">
        <v>1981</v>
      </c>
      <c r="U362" s="7">
        <f t="shared" si="41"/>
        <v>41</v>
      </c>
      <c r="V362" s="6">
        <v>29587</v>
      </c>
      <c r="W362" t="s">
        <v>688</v>
      </c>
      <c r="X362" s="2">
        <v>0.75800000000000001</v>
      </c>
      <c r="Y362" s="5">
        <f t="shared" si="46"/>
        <v>2.0234377085502256E-2</v>
      </c>
      <c r="AA362">
        <v>224650</v>
      </c>
      <c r="AB362">
        <v>29589</v>
      </c>
      <c r="AD362" t="s">
        <v>5</v>
      </c>
      <c r="AE362">
        <v>18</v>
      </c>
      <c r="AF362">
        <v>1</v>
      </c>
      <c r="AH362" s="8">
        <v>44474</v>
      </c>
      <c r="AI362" t="s">
        <v>908</v>
      </c>
      <c r="AK362" t="s">
        <v>907</v>
      </c>
      <c r="AL362">
        <v>67</v>
      </c>
      <c r="AM362" s="4">
        <f t="shared" si="42"/>
        <v>1.6341463414634145</v>
      </c>
      <c r="AN362" s="21">
        <f t="shared" si="47"/>
        <v>2.4750417894182728E-3</v>
      </c>
      <c r="AO362" s="3"/>
      <c r="AP362">
        <v>0</v>
      </c>
      <c r="AR362" t="s">
        <v>1</v>
      </c>
      <c r="AT362" s="2">
        <v>1.282</v>
      </c>
      <c r="AU362" s="1">
        <f t="shared" si="43"/>
        <v>1.490657649667706</v>
      </c>
      <c r="AV362" s="1">
        <f t="shared" si="44"/>
        <v>1.1354709437460264</v>
      </c>
      <c r="AW362" s="1">
        <f t="shared" si="45"/>
        <v>0.78028423782434664</v>
      </c>
    </row>
    <row r="363" spans="1:49" x14ac:dyDescent="0.2">
      <c r="A363">
        <v>361</v>
      </c>
      <c r="B363" t="s">
        <v>906</v>
      </c>
      <c r="C363" t="s">
        <v>905</v>
      </c>
      <c r="D363" t="s">
        <v>904</v>
      </c>
      <c r="E363">
        <v>7272472</v>
      </c>
      <c r="F363" t="s">
        <v>903</v>
      </c>
      <c r="G363" t="s">
        <v>16</v>
      </c>
      <c r="H363" t="s">
        <v>15</v>
      </c>
      <c r="I363" t="s">
        <v>902</v>
      </c>
      <c r="J363">
        <v>60096201</v>
      </c>
      <c r="K363" t="s">
        <v>901</v>
      </c>
      <c r="L363" t="s">
        <v>900</v>
      </c>
      <c r="M363" t="s">
        <v>899</v>
      </c>
      <c r="N363">
        <v>1</v>
      </c>
      <c r="O363" t="s">
        <v>898</v>
      </c>
      <c r="P363">
        <v>7006084024</v>
      </c>
      <c r="Q363">
        <v>60096201</v>
      </c>
      <c r="R363" s="6">
        <v>29587</v>
      </c>
      <c r="S363" s="7">
        <f t="shared" si="40"/>
        <v>1981</v>
      </c>
      <c r="T363" s="7">
        <v>1981</v>
      </c>
      <c r="U363" s="7">
        <f t="shared" si="41"/>
        <v>41</v>
      </c>
      <c r="V363" s="6">
        <v>1981</v>
      </c>
      <c r="W363" t="s">
        <v>897</v>
      </c>
      <c r="X363" s="2">
        <v>0.48199999999999998</v>
      </c>
      <c r="Y363" s="5">
        <f t="shared" si="46"/>
        <v>1.2866714716638637E-2</v>
      </c>
      <c r="AA363">
        <v>3032647</v>
      </c>
      <c r="AB363">
        <v>13794</v>
      </c>
      <c r="AD363" t="s">
        <v>5</v>
      </c>
      <c r="AE363">
        <v>14</v>
      </c>
      <c r="AF363">
        <v>1</v>
      </c>
      <c r="AH363" t="s">
        <v>896</v>
      </c>
      <c r="AI363" t="s">
        <v>895</v>
      </c>
      <c r="AK363" t="s">
        <v>894</v>
      </c>
      <c r="AL363">
        <v>7</v>
      </c>
      <c r="AM363" s="4">
        <f t="shared" si="42"/>
        <v>0.17073170731707318</v>
      </c>
      <c r="AN363" s="21">
        <f t="shared" si="47"/>
        <v>2.5858645561086435E-4</v>
      </c>
      <c r="AO363" s="3"/>
      <c r="AP363">
        <v>0</v>
      </c>
      <c r="AR363" t="s">
        <v>1</v>
      </c>
      <c r="AT363" s="2">
        <v>1.9730000000000001</v>
      </c>
      <c r="AU363" s="1">
        <f t="shared" si="43"/>
        <v>0.90842762383303044</v>
      </c>
      <c r="AV363" s="1">
        <f t="shared" si="44"/>
        <v>0.65626505861247508</v>
      </c>
      <c r="AW363" s="1">
        <f t="shared" si="45"/>
        <v>0.40410249339191961</v>
      </c>
    </row>
    <row r="364" spans="1:49" x14ac:dyDescent="0.2">
      <c r="A364">
        <v>362</v>
      </c>
      <c r="B364" t="s">
        <v>893</v>
      </c>
      <c r="C364" t="s">
        <v>892</v>
      </c>
      <c r="F364" t="s">
        <v>891</v>
      </c>
      <c r="G364" t="s">
        <v>16</v>
      </c>
      <c r="H364" t="s">
        <v>15</v>
      </c>
      <c r="I364" t="s">
        <v>657</v>
      </c>
      <c r="J364">
        <v>60000745</v>
      </c>
      <c r="K364" t="s">
        <v>890</v>
      </c>
      <c r="L364" t="s">
        <v>889</v>
      </c>
      <c r="M364" t="s">
        <v>11</v>
      </c>
      <c r="N364">
        <v>3</v>
      </c>
      <c r="O364" t="s">
        <v>888</v>
      </c>
      <c r="P364" t="s">
        <v>887</v>
      </c>
      <c r="Q364" t="s">
        <v>886</v>
      </c>
      <c r="R364" s="6">
        <v>29587</v>
      </c>
      <c r="S364" s="7">
        <f t="shared" si="40"/>
        <v>1981</v>
      </c>
      <c r="T364" s="7">
        <v>1981</v>
      </c>
      <c r="U364" s="7">
        <f t="shared" si="41"/>
        <v>41</v>
      </c>
      <c r="V364" s="6">
        <v>29587</v>
      </c>
      <c r="W364" t="s">
        <v>235</v>
      </c>
      <c r="X364" s="2">
        <v>1.6519999999999999</v>
      </c>
      <c r="Y364" s="5">
        <f t="shared" si="46"/>
        <v>4.409919649769093E-2</v>
      </c>
      <c r="AA364" t="s">
        <v>234</v>
      </c>
      <c r="AB364">
        <v>17337</v>
      </c>
      <c r="AC364">
        <v>15582221</v>
      </c>
      <c r="AD364" t="s">
        <v>5</v>
      </c>
      <c r="AE364">
        <v>29</v>
      </c>
      <c r="AF364">
        <v>1</v>
      </c>
      <c r="AH364" t="s">
        <v>885</v>
      </c>
      <c r="AI364" t="s">
        <v>884</v>
      </c>
      <c r="AK364" t="s">
        <v>883</v>
      </c>
      <c r="AL364">
        <v>16</v>
      </c>
      <c r="AM364" s="4">
        <f t="shared" si="42"/>
        <v>0.3902439024390244</v>
      </c>
      <c r="AN364" s="21">
        <f t="shared" si="47"/>
        <v>5.9105475568197558E-4</v>
      </c>
      <c r="AO364" s="3"/>
      <c r="AP364">
        <v>0</v>
      </c>
      <c r="AR364" t="s">
        <v>1</v>
      </c>
      <c r="AT364" s="2" t="s">
        <v>0</v>
      </c>
      <c r="AU364" s="1">
        <f t="shared" si="43"/>
        <v>3.1046753975088244</v>
      </c>
      <c r="AV364" s="1">
        <f t="shared" si="44"/>
        <v>2.2345125626686455</v>
      </c>
      <c r="AW364" s="1">
        <f t="shared" si="45"/>
        <v>1.364349727828466</v>
      </c>
    </row>
    <row r="365" spans="1:49" x14ac:dyDescent="0.2">
      <c r="A365">
        <v>363</v>
      </c>
      <c r="B365" t="s">
        <v>882</v>
      </c>
      <c r="C365" t="s">
        <v>881</v>
      </c>
      <c r="F365" t="s">
        <v>880</v>
      </c>
      <c r="G365" t="s">
        <v>16</v>
      </c>
      <c r="H365" t="s">
        <v>15</v>
      </c>
      <c r="I365" t="s">
        <v>879</v>
      </c>
      <c r="J365" t="s">
        <v>873</v>
      </c>
      <c r="K365" t="s">
        <v>878</v>
      </c>
      <c r="L365" t="s">
        <v>877</v>
      </c>
      <c r="M365" t="s">
        <v>876</v>
      </c>
      <c r="N365">
        <v>2</v>
      </c>
      <c r="O365" t="s">
        <v>875</v>
      </c>
      <c r="P365" t="s">
        <v>874</v>
      </c>
      <c r="Q365" t="s">
        <v>873</v>
      </c>
      <c r="R365" s="6">
        <v>29587</v>
      </c>
      <c r="S365" s="7">
        <f t="shared" si="40"/>
        <v>1981</v>
      </c>
      <c r="T365" s="7">
        <v>1981</v>
      </c>
      <c r="U365" s="7">
        <f t="shared" si="41"/>
        <v>41</v>
      </c>
      <c r="V365" s="6">
        <v>29587</v>
      </c>
      <c r="W365" t="s">
        <v>235</v>
      </c>
      <c r="X365" s="2">
        <v>1.6519999999999999</v>
      </c>
      <c r="Y365" s="5">
        <f t="shared" si="46"/>
        <v>4.409919649769093E-2</v>
      </c>
      <c r="AA365" t="s">
        <v>234</v>
      </c>
      <c r="AB365">
        <v>17337</v>
      </c>
      <c r="AC365">
        <v>15582221</v>
      </c>
      <c r="AD365" t="s">
        <v>5</v>
      </c>
      <c r="AE365">
        <v>29</v>
      </c>
      <c r="AF365">
        <v>1</v>
      </c>
      <c r="AH365" t="s">
        <v>872</v>
      </c>
      <c r="AI365" t="s">
        <v>871</v>
      </c>
      <c r="AK365" t="s">
        <v>870</v>
      </c>
      <c r="AL365">
        <v>147</v>
      </c>
      <c r="AM365" s="4">
        <f t="shared" si="42"/>
        <v>3.5853658536585367</v>
      </c>
      <c r="AN365" s="21">
        <f t="shared" si="47"/>
        <v>5.4303155678281506E-3</v>
      </c>
      <c r="AO365" s="3"/>
      <c r="AP365">
        <v>0</v>
      </c>
      <c r="AR365" t="s">
        <v>1</v>
      </c>
      <c r="AT365" s="2" t="s">
        <v>0</v>
      </c>
      <c r="AU365" s="1">
        <f t="shared" si="43"/>
        <v>3.2498532218732099</v>
      </c>
      <c r="AV365" s="1">
        <f t="shared" si="44"/>
        <v>2.4764756032759538</v>
      </c>
      <c r="AW365" s="1">
        <f t="shared" si="45"/>
        <v>1.7030979846786982</v>
      </c>
    </row>
    <row r="366" spans="1:49" x14ac:dyDescent="0.2">
      <c r="A366">
        <v>364</v>
      </c>
      <c r="B366" t="s">
        <v>869</v>
      </c>
      <c r="C366" t="s">
        <v>868</v>
      </c>
      <c r="F366" t="s">
        <v>867</v>
      </c>
      <c r="G366" t="s">
        <v>16</v>
      </c>
      <c r="H366" t="s">
        <v>15</v>
      </c>
      <c r="I366" t="s">
        <v>866</v>
      </c>
      <c r="N366">
        <v>1</v>
      </c>
      <c r="O366" t="s">
        <v>865</v>
      </c>
      <c r="P366">
        <v>7006034191</v>
      </c>
      <c r="R366" s="6">
        <v>29587</v>
      </c>
      <c r="S366" s="7">
        <f t="shared" si="40"/>
        <v>1981</v>
      </c>
      <c r="T366" s="7">
        <v>1981</v>
      </c>
      <c r="U366" s="7">
        <f t="shared" si="41"/>
        <v>41</v>
      </c>
      <c r="V366" s="6" t="s">
        <v>642</v>
      </c>
      <c r="W366" t="s">
        <v>323</v>
      </c>
      <c r="X366" s="2">
        <v>0.371</v>
      </c>
      <c r="Y366" s="5">
        <f t="shared" si="46"/>
        <v>9.9036331117695747E-3</v>
      </c>
      <c r="AA366">
        <v>486604</v>
      </c>
      <c r="AB366">
        <v>28580</v>
      </c>
      <c r="AC366" t="s">
        <v>322</v>
      </c>
      <c r="AD366" t="s">
        <v>5</v>
      </c>
      <c r="AE366">
        <v>16</v>
      </c>
      <c r="AF366">
        <v>1</v>
      </c>
      <c r="AH366" t="s">
        <v>864</v>
      </c>
      <c r="AI366" t="s">
        <v>863</v>
      </c>
      <c r="AK366" t="s">
        <v>862</v>
      </c>
      <c r="AL366">
        <v>10</v>
      </c>
      <c r="AM366" s="4">
        <f t="shared" si="42"/>
        <v>0.24390243902439024</v>
      </c>
      <c r="AN366" s="21">
        <f t="shared" si="47"/>
        <v>3.6940922230123473E-4</v>
      </c>
      <c r="AO366" s="3"/>
      <c r="AP366">
        <v>0</v>
      </c>
      <c r="AR366" t="s">
        <v>1</v>
      </c>
      <c r="AT366" s="2">
        <v>1.431</v>
      </c>
      <c r="AU366" s="1">
        <f t="shared" si="43"/>
        <v>0.7043365944929072</v>
      </c>
      <c r="AV366" s="1">
        <f t="shared" si="44"/>
        <v>0.51365211670354038</v>
      </c>
      <c r="AW366" s="1">
        <f t="shared" si="45"/>
        <v>0.32296763891417368</v>
      </c>
    </row>
    <row r="367" spans="1:49" x14ac:dyDescent="0.2">
      <c r="A367">
        <v>365</v>
      </c>
      <c r="B367" t="s">
        <v>861</v>
      </c>
      <c r="C367" t="s">
        <v>860</v>
      </c>
      <c r="F367" t="s">
        <v>859</v>
      </c>
      <c r="G367" t="s">
        <v>16</v>
      </c>
      <c r="H367" t="s">
        <v>15</v>
      </c>
      <c r="I367" t="s">
        <v>858</v>
      </c>
      <c r="J367">
        <v>60022476</v>
      </c>
      <c r="K367" t="s">
        <v>601</v>
      </c>
      <c r="L367" t="s">
        <v>600</v>
      </c>
      <c r="M367" t="s">
        <v>11</v>
      </c>
      <c r="N367">
        <v>1</v>
      </c>
      <c r="O367" t="s">
        <v>857</v>
      </c>
      <c r="P367">
        <v>6603673086</v>
      </c>
      <c r="Q367">
        <v>60022476</v>
      </c>
      <c r="R367" s="6">
        <v>29587</v>
      </c>
      <c r="S367" s="7">
        <f t="shared" si="40"/>
        <v>1981</v>
      </c>
      <c r="T367" s="7">
        <v>1981</v>
      </c>
      <c r="U367" s="7">
        <f t="shared" si="41"/>
        <v>41</v>
      </c>
      <c r="V367" s="6">
        <v>29587</v>
      </c>
      <c r="W367" t="s">
        <v>235</v>
      </c>
      <c r="X367" s="2">
        <v>1.6519999999999999</v>
      </c>
      <c r="Y367" s="5">
        <f t="shared" si="46"/>
        <v>4.409919649769093E-2</v>
      </c>
      <c r="AA367" t="s">
        <v>234</v>
      </c>
      <c r="AB367">
        <v>17337</v>
      </c>
      <c r="AC367">
        <v>15582221</v>
      </c>
      <c r="AD367" t="s">
        <v>5</v>
      </c>
      <c r="AE367">
        <v>29</v>
      </c>
      <c r="AF367">
        <v>1</v>
      </c>
      <c r="AH367" t="s">
        <v>856</v>
      </c>
      <c r="AI367" t="s">
        <v>855</v>
      </c>
      <c r="AK367" t="s">
        <v>854</v>
      </c>
      <c r="AL367">
        <v>104</v>
      </c>
      <c r="AM367" s="4">
        <f t="shared" si="42"/>
        <v>2.5365853658536586</v>
      </c>
      <c r="AN367" s="21">
        <f t="shared" si="47"/>
        <v>3.8418559119328417E-3</v>
      </c>
      <c r="AO367" s="3"/>
      <c r="AP367">
        <v>0</v>
      </c>
      <c r="AR367" t="s">
        <v>1</v>
      </c>
      <c r="AT367" s="2" t="s">
        <v>0</v>
      </c>
      <c r="AU367" s="1">
        <f t="shared" si="43"/>
        <v>3.2021994321963501</v>
      </c>
      <c r="AV367" s="1">
        <f t="shared" si="44"/>
        <v>2.3970526204811886</v>
      </c>
      <c r="AW367" s="1">
        <f t="shared" si="45"/>
        <v>1.5919058087660267</v>
      </c>
    </row>
    <row r="368" spans="1:49" x14ac:dyDescent="0.2">
      <c r="A368">
        <v>366</v>
      </c>
      <c r="B368" t="s">
        <v>853</v>
      </c>
      <c r="C368" t="s">
        <v>852</v>
      </c>
      <c r="F368" t="s">
        <v>851</v>
      </c>
      <c r="G368" t="s">
        <v>16</v>
      </c>
      <c r="H368" t="s">
        <v>15</v>
      </c>
      <c r="I368" t="s">
        <v>850</v>
      </c>
      <c r="J368" t="s">
        <v>844</v>
      </c>
      <c r="K368" t="s">
        <v>849</v>
      </c>
      <c r="L368" t="s">
        <v>848</v>
      </c>
      <c r="M368" t="s">
        <v>847</v>
      </c>
      <c r="N368">
        <v>2</v>
      </c>
      <c r="O368" t="s">
        <v>846</v>
      </c>
      <c r="P368" t="s">
        <v>845</v>
      </c>
      <c r="Q368" t="s">
        <v>844</v>
      </c>
      <c r="R368" s="6">
        <v>29587</v>
      </c>
      <c r="S368" s="7">
        <f t="shared" si="40"/>
        <v>1981</v>
      </c>
      <c r="T368" s="7">
        <v>1981</v>
      </c>
      <c r="U368" s="7">
        <f t="shared" si="41"/>
        <v>41</v>
      </c>
      <c r="V368" s="6">
        <v>29587</v>
      </c>
      <c r="W368" t="s">
        <v>235</v>
      </c>
      <c r="X368" s="2">
        <v>1.6519999999999999</v>
      </c>
      <c r="Y368" s="5">
        <f t="shared" si="46"/>
        <v>4.409919649769093E-2</v>
      </c>
      <c r="AA368" t="s">
        <v>234</v>
      </c>
      <c r="AB368">
        <v>17337</v>
      </c>
      <c r="AC368">
        <v>15582221</v>
      </c>
      <c r="AD368" t="s">
        <v>5</v>
      </c>
      <c r="AE368">
        <v>29</v>
      </c>
      <c r="AF368">
        <v>1</v>
      </c>
      <c r="AH368" t="s">
        <v>843</v>
      </c>
      <c r="AI368" t="s">
        <v>842</v>
      </c>
      <c r="AK368" t="s">
        <v>841</v>
      </c>
      <c r="AL368">
        <v>173</v>
      </c>
      <c r="AM368" s="4">
        <f t="shared" si="42"/>
        <v>4.2195121951219514</v>
      </c>
      <c r="AN368" s="21">
        <f t="shared" si="47"/>
        <v>6.3907795458113615E-3</v>
      </c>
      <c r="AO368" s="3"/>
      <c r="AP368">
        <v>0</v>
      </c>
      <c r="AR368" t="s">
        <v>1</v>
      </c>
      <c r="AT368" s="2" t="s">
        <v>0</v>
      </c>
      <c r="AU368" s="1">
        <f t="shared" si="43"/>
        <v>3.278667141212706</v>
      </c>
      <c r="AV368" s="1">
        <f t="shared" si="44"/>
        <v>2.5244988021751147</v>
      </c>
      <c r="AW368" s="1">
        <f t="shared" si="45"/>
        <v>1.7703304631375234</v>
      </c>
    </row>
    <row r="369" spans="1:49" x14ac:dyDescent="0.2">
      <c r="A369">
        <v>367</v>
      </c>
      <c r="B369" t="s">
        <v>840</v>
      </c>
      <c r="C369" t="s">
        <v>839</v>
      </c>
      <c r="F369" t="s">
        <v>838</v>
      </c>
      <c r="G369" t="s">
        <v>16</v>
      </c>
      <c r="H369" t="s">
        <v>15</v>
      </c>
      <c r="I369" t="s">
        <v>837</v>
      </c>
      <c r="J369" t="s">
        <v>836</v>
      </c>
      <c r="K369" t="s">
        <v>835</v>
      </c>
      <c r="L369" t="s">
        <v>834</v>
      </c>
      <c r="M369" t="s">
        <v>654</v>
      </c>
      <c r="N369">
        <v>3</v>
      </c>
      <c r="O369" t="s">
        <v>833</v>
      </c>
      <c r="P369" t="s">
        <v>832</v>
      </c>
      <c r="Q369" t="s">
        <v>831</v>
      </c>
      <c r="R369" s="6">
        <v>29587</v>
      </c>
      <c r="S369" s="7">
        <f t="shared" si="40"/>
        <v>1981</v>
      </c>
      <c r="T369" s="7">
        <v>1981</v>
      </c>
      <c r="U369" s="7">
        <f t="shared" si="41"/>
        <v>41</v>
      </c>
      <c r="V369" s="6">
        <v>29587</v>
      </c>
      <c r="W369" t="s">
        <v>235</v>
      </c>
      <c r="X369" s="2">
        <v>1.6519999999999999</v>
      </c>
      <c r="Y369" s="5">
        <f t="shared" si="46"/>
        <v>4.409919649769093E-2</v>
      </c>
      <c r="AA369" t="s">
        <v>234</v>
      </c>
      <c r="AB369">
        <v>17337</v>
      </c>
      <c r="AC369">
        <v>15582221</v>
      </c>
      <c r="AD369" t="s">
        <v>5</v>
      </c>
      <c r="AE369">
        <v>29</v>
      </c>
      <c r="AF369">
        <v>1</v>
      </c>
      <c r="AH369" t="s">
        <v>830</v>
      </c>
      <c r="AI369" t="s">
        <v>829</v>
      </c>
      <c r="AK369" t="s">
        <v>828</v>
      </c>
      <c r="AL369">
        <v>58</v>
      </c>
      <c r="AM369" s="4">
        <f t="shared" si="42"/>
        <v>1.4146341463414633</v>
      </c>
      <c r="AN369" s="21">
        <f t="shared" si="47"/>
        <v>2.1425734893471614E-3</v>
      </c>
      <c r="AO369" s="3"/>
      <c r="AP369">
        <v>0</v>
      </c>
      <c r="AR369" t="s">
        <v>1</v>
      </c>
      <c r="AT369" s="2" t="s">
        <v>0</v>
      </c>
      <c r="AU369" s="1">
        <f t="shared" si="43"/>
        <v>3.1512209595187803</v>
      </c>
      <c r="AV369" s="1">
        <f t="shared" si="44"/>
        <v>2.3120884993519044</v>
      </c>
      <c r="AW369" s="1">
        <f t="shared" si="45"/>
        <v>1.4729560391850292</v>
      </c>
    </row>
    <row r="370" spans="1:49" x14ac:dyDescent="0.2">
      <c r="A370">
        <v>368</v>
      </c>
      <c r="B370" t="s">
        <v>827</v>
      </c>
      <c r="C370" t="s">
        <v>826</v>
      </c>
      <c r="F370" t="s">
        <v>825</v>
      </c>
      <c r="G370" t="s">
        <v>16</v>
      </c>
      <c r="H370" t="s">
        <v>15</v>
      </c>
      <c r="I370" t="s">
        <v>824</v>
      </c>
      <c r="J370">
        <v>60001359</v>
      </c>
      <c r="K370" t="s">
        <v>823</v>
      </c>
      <c r="L370" t="s">
        <v>822</v>
      </c>
      <c r="M370" t="s">
        <v>39</v>
      </c>
      <c r="N370">
        <v>2</v>
      </c>
      <c r="O370" t="s">
        <v>821</v>
      </c>
      <c r="P370" t="s">
        <v>820</v>
      </c>
      <c r="Q370" t="s">
        <v>819</v>
      </c>
      <c r="R370" s="6">
        <v>29587</v>
      </c>
      <c r="S370" s="7">
        <f t="shared" si="40"/>
        <v>1981</v>
      </c>
      <c r="T370" s="7">
        <v>1981</v>
      </c>
      <c r="U370" s="7">
        <f t="shared" si="41"/>
        <v>41</v>
      </c>
      <c r="V370" s="6">
        <v>29587</v>
      </c>
      <c r="W370" t="s">
        <v>538</v>
      </c>
      <c r="X370" s="2">
        <v>0.33800000000000002</v>
      </c>
      <c r="Y370" s="5">
        <f t="shared" si="46"/>
        <v>9.0227169589706634E-3</v>
      </c>
      <c r="AA370">
        <v>34347</v>
      </c>
      <c r="AB370">
        <v>17722</v>
      </c>
      <c r="AC370">
        <v>19589395</v>
      </c>
      <c r="AD370" t="s">
        <v>5</v>
      </c>
      <c r="AE370">
        <v>36</v>
      </c>
      <c r="AF370" s="8">
        <v>44228</v>
      </c>
      <c r="AH370" t="s">
        <v>818</v>
      </c>
      <c r="AI370" t="s">
        <v>817</v>
      </c>
      <c r="AJ370" t="s">
        <v>816</v>
      </c>
      <c r="AK370" t="s">
        <v>815</v>
      </c>
      <c r="AL370">
        <v>1</v>
      </c>
      <c r="AM370" s="4">
        <f t="shared" si="42"/>
        <v>2.4390243902439025E-2</v>
      </c>
      <c r="AN370" s="21">
        <f t="shared" si="47"/>
        <v>3.6940922230123474E-5</v>
      </c>
      <c r="AO370" s="3"/>
      <c r="AP370">
        <v>0</v>
      </c>
      <c r="AR370" t="s">
        <v>1</v>
      </c>
      <c r="AT370" s="2" t="s">
        <v>0</v>
      </c>
      <c r="AU370" s="1">
        <f t="shared" si="43"/>
        <v>0.63269841479485012</v>
      </c>
      <c r="AV370" s="1">
        <f t="shared" si="44"/>
        <v>0.45298289406003933</v>
      </c>
      <c r="AW370" s="1">
        <f t="shared" si="45"/>
        <v>0.27326737332522855</v>
      </c>
    </row>
    <row r="371" spans="1:49" x14ac:dyDescent="0.2">
      <c r="A371">
        <v>369</v>
      </c>
      <c r="B371" t="s">
        <v>814</v>
      </c>
      <c r="C371" t="s">
        <v>813</v>
      </c>
      <c r="F371" t="s">
        <v>812</v>
      </c>
      <c r="G371" t="s">
        <v>16</v>
      </c>
      <c r="H371" t="s">
        <v>15</v>
      </c>
      <c r="I371" t="s">
        <v>811</v>
      </c>
      <c r="J371">
        <v>107049066</v>
      </c>
      <c r="K371" t="s">
        <v>810</v>
      </c>
      <c r="L371" t="s">
        <v>809</v>
      </c>
      <c r="M371" t="s">
        <v>92</v>
      </c>
      <c r="N371">
        <v>1</v>
      </c>
      <c r="O371" t="s">
        <v>808</v>
      </c>
      <c r="P371">
        <v>6603729361</v>
      </c>
      <c r="Q371">
        <v>107049066</v>
      </c>
      <c r="R371" s="6">
        <v>29587</v>
      </c>
      <c r="S371" s="7">
        <f t="shared" si="40"/>
        <v>1981</v>
      </c>
      <c r="T371" s="7">
        <v>1981</v>
      </c>
      <c r="U371" s="7">
        <f t="shared" si="41"/>
        <v>41</v>
      </c>
      <c r="V371" s="6">
        <v>29587</v>
      </c>
      <c r="W371" t="s">
        <v>538</v>
      </c>
      <c r="X371" s="2">
        <v>0.33800000000000002</v>
      </c>
      <c r="Y371" s="5">
        <f t="shared" si="46"/>
        <v>9.0227169589706634E-3</v>
      </c>
      <c r="AA371">
        <v>34347</v>
      </c>
      <c r="AB371">
        <v>17722</v>
      </c>
      <c r="AC371">
        <v>19589395</v>
      </c>
      <c r="AD371" t="s">
        <v>5</v>
      </c>
      <c r="AE371">
        <v>36</v>
      </c>
      <c r="AF371" s="8">
        <v>44228</v>
      </c>
      <c r="AH371" t="s">
        <v>807</v>
      </c>
      <c r="AI371" t="s">
        <v>806</v>
      </c>
      <c r="AJ371" t="s">
        <v>805</v>
      </c>
      <c r="AK371" t="s">
        <v>804</v>
      </c>
      <c r="AL371">
        <v>1</v>
      </c>
      <c r="AM371" s="4">
        <f t="shared" si="42"/>
        <v>2.4390243902439025E-2</v>
      </c>
      <c r="AN371" s="21">
        <f t="shared" si="47"/>
        <v>3.6940922230123474E-5</v>
      </c>
      <c r="AO371" s="3"/>
      <c r="AP371">
        <v>0</v>
      </c>
      <c r="AR371" t="s">
        <v>1</v>
      </c>
      <c r="AT371" s="2" t="s">
        <v>0</v>
      </c>
      <c r="AU371" s="1">
        <f t="shared" si="43"/>
        <v>0.63269841479485012</v>
      </c>
      <c r="AV371" s="1">
        <f t="shared" si="44"/>
        <v>0.45298289406003933</v>
      </c>
      <c r="AW371" s="1">
        <f t="shared" si="45"/>
        <v>0.27326737332522855</v>
      </c>
    </row>
    <row r="372" spans="1:49" x14ac:dyDescent="0.2">
      <c r="A372">
        <v>370</v>
      </c>
      <c r="B372" t="s">
        <v>803</v>
      </c>
      <c r="C372" t="s">
        <v>802</v>
      </c>
      <c r="F372" t="s">
        <v>801</v>
      </c>
      <c r="G372" t="s">
        <v>16</v>
      </c>
      <c r="H372" t="s">
        <v>15</v>
      </c>
      <c r="I372" t="s">
        <v>800</v>
      </c>
      <c r="J372">
        <v>60002059</v>
      </c>
      <c r="K372" t="s">
        <v>799</v>
      </c>
      <c r="L372" t="s">
        <v>798</v>
      </c>
      <c r="M372" t="s">
        <v>11</v>
      </c>
      <c r="N372">
        <v>1</v>
      </c>
      <c r="O372" t="s">
        <v>797</v>
      </c>
      <c r="P372">
        <v>7102090054</v>
      </c>
      <c r="Q372">
        <v>60002059</v>
      </c>
      <c r="R372" s="6">
        <v>29587</v>
      </c>
      <c r="S372" s="7">
        <f t="shared" si="40"/>
        <v>1981</v>
      </c>
      <c r="T372" s="7">
        <v>1981</v>
      </c>
      <c r="U372" s="7">
        <f t="shared" si="41"/>
        <v>41</v>
      </c>
      <c r="V372" s="6">
        <v>29587</v>
      </c>
      <c r="W372" t="s">
        <v>235</v>
      </c>
      <c r="X372" s="2">
        <v>1.6519999999999999</v>
      </c>
      <c r="Y372" s="5">
        <f t="shared" si="46"/>
        <v>4.409919649769093E-2</v>
      </c>
      <c r="AA372" t="s">
        <v>234</v>
      </c>
      <c r="AB372">
        <v>17337</v>
      </c>
      <c r="AC372">
        <v>15582221</v>
      </c>
      <c r="AD372" t="s">
        <v>5</v>
      </c>
      <c r="AE372">
        <v>29</v>
      </c>
      <c r="AF372">
        <v>1</v>
      </c>
      <c r="AH372" t="s">
        <v>796</v>
      </c>
      <c r="AI372" t="s">
        <v>795</v>
      </c>
      <c r="AK372" t="s">
        <v>794</v>
      </c>
      <c r="AL372">
        <v>3</v>
      </c>
      <c r="AM372" s="4">
        <f t="shared" si="42"/>
        <v>7.3170731707317069E-2</v>
      </c>
      <c r="AN372" s="21">
        <f t="shared" si="47"/>
        <v>1.1082276669037041E-4</v>
      </c>
      <c r="AO372" s="3"/>
      <c r="AP372">
        <v>0</v>
      </c>
      <c r="AR372" t="s">
        <v>1</v>
      </c>
      <c r="AT372" s="2" t="s">
        <v>0</v>
      </c>
      <c r="AU372" s="1">
        <f t="shared" si="43"/>
        <v>3.0902684378390761</v>
      </c>
      <c r="AV372" s="1">
        <f t="shared" si="44"/>
        <v>2.2105009632190651</v>
      </c>
      <c r="AW372" s="1">
        <f t="shared" si="45"/>
        <v>1.3307334885990536</v>
      </c>
    </row>
    <row r="373" spans="1:49" x14ac:dyDescent="0.2">
      <c r="A373">
        <v>371</v>
      </c>
      <c r="B373" t="s">
        <v>793</v>
      </c>
      <c r="C373" t="s">
        <v>792</v>
      </c>
      <c r="F373" t="s">
        <v>791</v>
      </c>
      <c r="G373" t="s">
        <v>16</v>
      </c>
      <c r="H373" t="s">
        <v>15</v>
      </c>
      <c r="I373" t="s">
        <v>790</v>
      </c>
      <c r="J373" t="s">
        <v>785</v>
      </c>
      <c r="K373" t="s">
        <v>789</v>
      </c>
      <c r="L373" t="s">
        <v>788</v>
      </c>
      <c r="M373" t="s">
        <v>277</v>
      </c>
      <c r="N373">
        <v>2</v>
      </c>
      <c r="O373" t="s">
        <v>787</v>
      </c>
      <c r="P373" t="s">
        <v>786</v>
      </c>
      <c r="Q373" t="s">
        <v>785</v>
      </c>
      <c r="R373" s="6">
        <v>29587</v>
      </c>
      <c r="S373" s="7">
        <f t="shared" si="40"/>
        <v>1981</v>
      </c>
      <c r="T373" s="7">
        <v>1981</v>
      </c>
      <c r="U373" s="7">
        <f t="shared" si="41"/>
        <v>41</v>
      </c>
      <c r="V373" s="6">
        <v>29587</v>
      </c>
      <c r="W373" t="s">
        <v>235</v>
      </c>
      <c r="X373" s="2">
        <v>1.6519999999999999</v>
      </c>
      <c r="Y373" s="5">
        <f t="shared" si="46"/>
        <v>4.409919649769093E-2</v>
      </c>
      <c r="AA373" t="s">
        <v>234</v>
      </c>
      <c r="AB373">
        <v>17337</v>
      </c>
      <c r="AC373">
        <v>15582221</v>
      </c>
      <c r="AD373" t="s">
        <v>5</v>
      </c>
      <c r="AE373">
        <v>29</v>
      </c>
      <c r="AF373">
        <v>1</v>
      </c>
      <c r="AH373" t="s">
        <v>784</v>
      </c>
      <c r="AI373" t="s">
        <v>783</v>
      </c>
      <c r="AK373" t="s">
        <v>782</v>
      </c>
      <c r="AL373">
        <v>22</v>
      </c>
      <c r="AM373" s="4">
        <f t="shared" si="42"/>
        <v>0.53658536585365857</v>
      </c>
      <c r="AN373" s="21">
        <f t="shared" si="47"/>
        <v>8.1270028906271655E-4</v>
      </c>
      <c r="AO373" s="3"/>
      <c r="AP373">
        <v>0</v>
      </c>
      <c r="AR373" t="s">
        <v>1</v>
      </c>
      <c r="AT373" s="2" t="s">
        <v>0</v>
      </c>
      <c r="AU373" s="1">
        <f t="shared" si="43"/>
        <v>3.1113247635102463</v>
      </c>
      <c r="AV373" s="1">
        <f t="shared" si="44"/>
        <v>2.2455948393376826</v>
      </c>
      <c r="AW373" s="1">
        <f t="shared" si="45"/>
        <v>1.3798649151651179</v>
      </c>
    </row>
    <row r="374" spans="1:49" x14ac:dyDescent="0.2">
      <c r="A374">
        <v>372</v>
      </c>
      <c r="B374" t="s">
        <v>781</v>
      </c>
      <c r="C374" t="s">
        <v>780</v>
      </c>
      <c r="F374" t="s">
        <v>779</v>
      </c>
      <c r="G374" t="s">
        <v>16</v>
      </c>
      <c r="H374" t="s">
        <v>15</v>
      </c>
      <c r="I374" t="s">
        <v>778</v>
      </c>
      <c r="J374">
        <v>60005837</v>
      </c>
      <c r="K374" t="s">
        <v>777</v>
      </c>
      <c r="L374" t="s">
        <v>776</v>
      </c>
      <c r="M374" t="s">
        <v>11</v>
      </c>
      <c r="N374">
        <v>1</v>
      </c>
      <c r="O374" t="s">
        <v>775</v>
      </c>
      <c r="P374">
        <v>57216596359</v>
      </c>
      <c r="Q374">
        <v>60005837</v>
      </c>
      <c r="R374" s="6">
        <v>29587</v>
      </c>
      <c r="S374" s="7">
        <f t="shared" si="40"/>
        <v>1981</v>
      </c>
      <c r="T374" s="7">
        <v>1981</v>
      </c>
      <c r="U374" s="7">
        <f t="shared" si="41"/>
        <v>41</v>
      </c>
      <c r="V374" s="6">
        <v>29587</v>
      </c>
      <c r="W374" t="s">
        <v>235</v>
      </c>
      <c r="X374" s="2">
        <v>1.6519999999999999</v>
      </c>
      <c r="Y374" s="5">
        <f t="shared" si="46"/>
        <v>4.409919649769093E-2</v>
      </c>
      <c r="AA374" t="s">
        <v>234</v>
      </c>
      <c r="AB374">
        <v>17337</v>
      </c>
      <c r="AC374">
        <v>15582221</v>
      </c>
      <c r="AD374" t="s">
        <v>5</v>
      </c>
      <c r="AE374">
        <v>29</v>
      </c>
      <c r="AF374">
        <v>1</v>
      </c>
      <c r="AH374" t="s">
        <v>774</v>
      </c>
      <c r="AI374" t="s">
        <v>773</v>
      </c>
      <c r="AK374" t="s">
        <v>772</v>
      </c>
      <c r="AL374">
        <v>92</v>
      </c>
      <c r="AM374" s="4">
        <f t="shared" si="42"/>
        <v>2.2439024390243905</v>
      </c>
      <c r="AN374" s="21">
        <f t="shared" si="47"/>
        <v>3.3985648451713602E-3</v>
      </c>
      <c r="AO374" s="3"/>
      <c r="AP374">
        <v>0</v>
      </c>
      <c r="AR374" t="s">
        <v>1</v>
      </c>
      <c r="AT374" s="2" t="s">
        <v>0</v>
      </c>
      <c r="AU374" s="1">
        <f t="shared" si="43"/>
        <v>3.1889007001935061</v>
      </c>
      <c r="AV374" s="1">
        <f t="shared" si="44"/>
        <v>2.3748880671431145</v>
      </c>
      <c r="AW374" s="1">
        <f t="shared" si="45"/>
        <v>1.5608754340927229</v>
      </c>
    </row>
    <row r="375" spans="1:49" x14ac:dyDescent="0.2">
      <c r="A375">
        <v>373</v>
      </c>
      <c r="B375" t="s">
        <v>771</v>
      </c>
      <c r="C375" t="s">
        <v>770</v>
      </c>
      <c r="F375" t="s">
        <v>769</v>
      </c>
      <c r="G375" t="s">
        <v>16</v>
      </c>
      <c r="H375" t="s">
        <v>15</v>
      </c>
      <c r="I375" t="s">
        <v>768</v>
      </c>
      <c r="J375" t="s">
        <v>767</v>
      </c>
      <c r="K375" t="s">
        <v>766</v>
      </c>
      <c r="L375" t="s">
        <v>765</v>
      </c>
      <c r="M375" t="s">
        <v>764</v>
      </c>
      <c r="N375">
        <v>2</v>
      </c>
      <c r="O375" t="s">
        <v>763</v>
      </c>
      <c r="P375" t="s">
        <v>762</v>
      </c>
      <c r="Q375" t="s">
        <v>761</v>
      </c>
      <c r="R375" s="6">
        <v>29587</v>
      </c>
      <c r="S375" s="7">
        <f t="shared" si="40"/>
        <v>1981</v>
      </c>
      <c r="T375" s="7">
        <v>1981</v>
      </c>
      <c r="U375" s="7">
        <f t="shared" si="41"/>
        <v>41</v>
      </c>
      <c r="V375" s="6">
        <v>29587</v>
      </c>
      <c r="W375" t="s">
        <v>235</v>
      </c>
      <c r="X375" s="2">
        <v>1.6519999999999999</v>
      </c>
      <c r="Y375" s="5">
        <f t="shared" si="46"/>
        <v>4.409919649769093E-2</v>
      </c>
      <c r="AA375" t="s">
        <v>234</v>
      </c>
      <c r="AB375">
        <v>17337</v>
      </c>
      <c r="AC375">
        <v>15582221</v>
      </c>
      <c r="AD375" t="s">
        <v>5</v>
      </c>
      <c r="AE375">
        <v>29</v>
      </c>
      <c r="AF375">
        <v>1</v>
      </c>
      <c r="AH375" t="s">
        <v>760</v>
      </c>
      <c r="AI375" t="s">
        <v>759</v>
      </c>
      <c r="AK375" t="s">
        <v>758</v>
      </c>
      <c r="AL375">
        <v>82</v>
      </c>
      <c r="AM375" s="4">
        <f t="shared" si="42"/>
        <v>2</v>
      </c>
      <c r="AN375" s="21">
        <f t="shared" si="47"/>
        <v>3.0291556228701248E-3</v>
      </c>
      <c r="AO375" s="3"/>
      <c r="AP375">
        <v>0</v>
      </c>
      <c r="AR375" t="s">
        <v>1</v>
      </c>
      <c r="AT375" s="2" t="s">
        <v>0</v>
      </c>
      <c r="AU375" s="1">
        <f t="shared" si="43"/>
        <v>3.1778184235244686</v>
      </c>
      <c r="AV375" s="1">
        <f t="shared" si="44"/>
        <v>2.3564176060280526</v>
      </c>
      <c r="AW375" s="1">
        <f t="shared" si="45"/>
        <v>1.5350167885316366</v>
      </c>
    </row>
    <row r="376" spans="1:49" x14ac:dyDescent="0.2">
      <c r="A376">
        <v>374</v>
      </c>
      <c r="B376" t="s">
        <v>757</v>
      </c>
      <c r="C376" t="s">
        <v>756</v>
      </c>
      <c r="F376" t="s">
        <v>755</v>
      </c>
      <c r="G376" t="s">
        <v>16</v>
      </c>
      <c r="H376" t="s">
        <v>15</v>
      </c>
      <c r="I376" t="s">
        <v>754</v>
      </c>
      <c r="J376">
        <v>60021939</v>
      </c>
      <c r="K376" t="s">
        <v>753</v>
      </c>
      <c r="L376" t="s">
        <v>752</v>
      </c>
      <c r="M376" t="s">
        <v>11</v>
      </c>
      <c r="N376">
        <v>1</v>
      </c>
      <c r="O376" t="s">
        <v>751</v>
      </c>
      <c r="P376">
        <v>7007100365</v>
      </c>
      <c r="Q376">
        <v>60021939</v>
      </c>
      <c r="R376" s="6">
        <v>29587</v>
      </c>
      <c r="S376" s="7">
        <f t="shared" si="40"/>
        <v>1981</v>
      </c>
      <c r="T376" s="7">
        <v>1981</v>
      </c>
      <c r="U376" s="7">
        <f t="shared" si="41"/>
        <v>41</v>
      </c>
      <c r="V376" s="6">
        <v>29587</v>
      </c>
      <c r="W376" t="s">
        <v>688</v>
      </c>
      <c r="X376" s="2">
        <v>0.75800000000000001</v>
      </c>
      <c r="Y376" s="5">
        <f t="shared" si="46"/>
        <v>2.0234377085502256E-2</v>
      </c>
      <c r="AA376">
        <v>224650</v>
      </c>
      <c r="AB376">
        <v>29589</v>
      </c>
      <c r="AD376" t="s">
        <v>5</v>
      </c>
      <c r="AE376">
        <v>18</v>
      </c>
      <c r="AF376">
        <v>1</v>
      </c>
      <c r="AH376" s="9">
        <v>43040</v>
      </c>
      <c r="AI376" t="s">
        <v>750</v>
      </c>
      <c r="AK376" t="s">
        <v>749</v>
      </c>
      <c r="AL376">
        <v>73</v>
      </c>
      <c r="AM376" s="4">
        <f t="shared" si="42"/>
        <v>1.7804878048780488</v>
      </c>
      <c r="AN376" s="21">
        <f t="shared" si="47"/>
        <v>2.6966873227990138E-3</v>
      </c>
      <c r="AO376" s="3"/>
      <c r="AP376">
        <v>0</v>
      </c>
      <c r="AR376" t="s">
        <v>1</v>
      </c>
      <c r="AT376" s="2">
        <v>1.282</v>
      </c>
      <c r="AU376" s="1">
        <f t="shared" si="43"/>
        <v>1.4973070156691282</v>
      </c>
      <c r="AV376" s="1">
        <f t="shared" si="44"/>
        <v>1.1465532204150635</v>
      </c>
      <c r="AW376" s="1">
        <f t="shared" si="45"/>
        <v>0.79579942516099855</v>
      </c>
    </row>
    <row r="377" spans="1:49" x14ac:dyDescent="0.2">
      <c r="A377">
        <v>375</v>
      </c>
      <c r="B377" t="s">
        <v>748</v>
      </c>
      <c r="C377" t="s">
        <v>747</v>
      </c>
      <c r="F377" t="s">
        <v>746</v>
      </c>
      <c r="G377" t="s">
        <v>16</v>
      </c>
      <c r="H377" t="s">
        <v>15</v>
      </c>
      <c r="I377" t="s">
        <v>745</v>
      </c>
      <c r="J377">
        <v>60021199</v>
      </c>
      <c r="K377" t="s">
        <v>744</v>
      </c>
      <c r="L377" t="s">
        <v>743</v>
      </c>
      <c r="M377" t="s">
        <v>742</v>
      </c>
      <c r="N377">
        <v>3</v>
      </c>
      <c r="O377" t="s">
        <v>741</v>
      </c>
      <c r="P377" t="s">
        <v>740</v>
      </c>
      <c r="Q377" t="s">
        <v>739</v>
      </c>
      <c r="R377" s="6">
        <v>29587</v>
      </c>
      <c r="S377" s="7">
        <f t="shared" si="40"/>
        <v>1981</v>
      </c>
      <c r="T377" s="7">
        <v>1981</v>
      </c>
      <c r="U377" s="7">
        <f t="shared" si="41"/>
        <v>41</v>
      </c>
      <c r="V377" s="6">
        <v>29587</v>
      </c>
      <c r="W377" t="s">
        <v>725</v>
      </c>
      <c r="X377" s="2">
        <v>1.137</v>
      </c>
      <c r="Y377" s="5">
        <f t="shared" si="46"/>
        <v>3.0351565628253384E-2</v>
      </c>
      <c r="AA377">
        <v>189251</v>
      </c>
      <c r="AB377">
        <v>17336</v>
      </c>
      <c r="AD377" t="s">
        <v>5</v>
      </c>
      <c r="AE377" t="s">
        <v>724</v>
      </c>
      <c r="AF377">
        <v>1</v>
      </c>
      <c r="AH377" t="s">
        <v>738</v>
      </c>
      <c r="AI377" t="s">
        <v>737</v>
      </c>
      <c r="AK377" t="s">
        <v>736</v>
      </c>
      <c r="AL377">
        <v>1</v>
      </c>
      <c r="AM377" s="4">
        <f t="shared" si="42"/>
        <v>2.4390243902439025E-2</v>
      </c>
      <c r="AN377" s="21">
        <f t="shared" si="47"/>
        <v>3.6940922230123474E-5</v>
      </c>
      <c r="AO377" s="3"/>
      <c r="AP377">
        <v>0</v>
      </c>
      <c r="AR377" t="s">
        <v>1</v>
      </c>
      <c r="AT377" s="2" t="s">
        <v>0</v>
      </c>
      <c r="AU377" s="1">
        <f t="shared" si="43"/>
        <v>2.1257178216446402</v>
      </c>
      <c r="AV377" s="1">
        <f t="shared" si="44"/>
        <v>1.5194253275241754</v>
      </c>
      <c r="AW377" s="1">
        <f t="shared" si="45"/>
        <v>0.9131328334037101</v>
      </c>
    </row>
    <row r="378" spans="1:49" x14ac:dyDescent="0.2">
      <c r="A378">
        <v>376</v>
      </c>
      <c r="B378" t="s">
        <v>735</v>
      </c>
      <c r="C378" t="s">
        <v>734</v>
      </c>
      <c r="F378" t="s">
        <v>733</v>
      </c>
      <c r="G378" t="s">
        <v>16</v>
      </c>
      <c r="H378" t="s">
        <v>15</v>
      </c>
      <c r="I378" t="s">
        <v>732</v>
      </c>
      <c r="J378" t="s">
        <v>731</v>
      </c>
      <c r="K378" t="s">
        <v>730</v>
      </c>
      <c r="L378" t="s">
        <v>729</v>
      </c>
      <c r="M378" t="s">
        <v>728</v>
      </c>
      <c r="N378">
        <v>1</v>
      </c>
      <c r="O378" t="s">
        <v>727</v>
      </c>
      <c r="P378">
        <v>6602983931</v>
      </c>
      <c r="Q378" t="s">
        <v>726</v>
      </c>
      <c r="R378" s="6">
        <v>29587</v>
      </c>
      <c r="S378" s="7">
        <f t="shared" si="40"/>
        <v>1981</v>
      </c>
      <c r="T378" s="7">
        <v>1981</v>
      </c>
      <c r="U378" s="7">
        <f t="shared" si="41"/>
        <v>41</v>
      </c>
      <c r="V378" s="6">
        <v>29587</v>
      </c>
      <c r="W378" t="s">
        <v>725</v>
      </c>
      <c r="X378" s="2">
        <v>1.137</v>
      </c>
      <c r="Y378" s="5">
        <f t="shared" si="46"/>
        <v>3.0351565628253384E-2</v>
      </c>
      <c r="AA378">
        <v>189251</v>
      </c>
      <c r="AB378">
        <v>17336</v>
      </c>
      <c r="AD378" t="s">
        <v>5</v>
      </c>
      <c r="AE378" t="s">
        <v>724</v>
      </c>
      <c r="AF378">
        <v>1</v>
      </c>
      <c r="AH378" t="s">
        <v>723</v>
      </c>
      <c r="AI378" t="s">
        <v>722</v>
      </c>
      <c r="AK378" t="s">
        <v>721</v>
      </c>
      <c r="AL378">
        <v>6</v>
      </c>
      <c r="AM378" s="4">
        <f t="shared" si="42"/>
        <v>0.14634146341463414</v>
      </c>
      <c r="AN378" s="21">
        <f t="shared" si="47"/>
        <v>2.2164553338074083E-4</v>
      </c>
      <c r="AO378" s="3"/>
      <c r="AP378">
        <v>0</v>
      </c>
      <c r="AR378" t="s">
        <v>1</v>
      </c>
      <c r="AT378" s="2" t="s">
        <v>0</v>
      </c>
      <c r="AU378" s="1">
        <f t="shared" si="43"/>
        <v>2.1312589599791587</v>
      </c>
      <c r="AV378" s="1">
        <f t="shared" si="44"/>
        <v>1.5286605580817063</v>
      </c>
      <c r="AW378" s="1">
        <f t="shared" si="45"/>
        <v>0.92606215618425347</v>
      </c>
    </row>
    <row r="379" spans="1:49" x14ac:dyDescent="0.2">
      <c r="A379">
        <v>377</v>
      </c>
      <c r="B379" t="s">
        <v>720</v>
      </c>
      <c r="C379" t="s">
        <v>719</v>
      </c>
      <c r="F379" t="s">
        <v>718</v>
      </c>
      <c r="G379" t="s">
        <v>16</v>
      </c>
      <c r="H379" t="s">
        <v>15</v>
      </c>
      <c r="I379" t="s">
        <v>717</v>
      </c>
      <c r="J379">
        <v>60009658</v>
      </c>
      <c r="K379" t="s">
        <v>716</v>
      </c>
      <c r="L379" t="s">
        <v>715</v>
      </c>
      <c r="M379" t="s">
        <v>39</v>
      </c>
      <c r="N379">
        <v>4</v>
      </c>
      <c r="O379" t="s">
        <v>714</v>
      </c>
      <c r="P379" t="s">
        <v>713</v>
      </c>
      <c r="Q379" t="s">
        <v>712</v>
      </c>
      <c r="R379" s="6">
        <v>29587</v>
      </c>
      <c r="S379" s="7">
        <f t="shared" si="40"/>
        <v>1981</v>
      </c>
      <c r="T379" s="7">
        <v>1981</v>
      </c>
      <c r="U379" s="7">
        <f t="shared" si="41"/>
        <v>41</v>
      </c>
      <c r="V379" s="6">
        <v>29587</v>
      </c>
      <c r="W379" t="s">
        <v>235</v>
      </c>
      <c r="X379" s="2">
        <v>1.6519999999999999</v>
      </c>
      <c r="Y379" s="5">
        <f t="shared" si="46"/>
        <v>4.409919649769093E-2</v>
      </c>
      <c r="AA379" t="s">
        <v>234</v>
      </c>
      <c r="AB379">
        <v>17337</v>
      </c>
      <c r="AC379">
        <v>15582221</v>
      </c>
      <c r="AD379" t="s">
        <v>5</v>
      </c>
      <c r="AE379">
        <v>29</v>
      </c>
      <c r="AF379">
        <v>1</v>
      </c>
      <c r="AH379" t="s">
        <v>711</v>
      </c>
      <c r="AI379" t="s">
        <v>710</v>
      </c>
      <c r="AK379" t="s">
        <v>709</v>
      </c>
      <c r="AL379">
        <v>21</v>
      </c>
      <c r="AM379" s="4">
        <f t="shared" si="42"/>
        <v>0.51219512195121952</v>
      </c>
      <c r="AN379" s="21">
        <f t="shared" si="47"/>
        <v>7.7575936683259294E-4</v>
      </c>
      <c r="AO379" s="3"/>
      <c r="AP379">
        <v>0</v>
      </c>
      <c r="AR379" t="s">
        <v>1</v>
      </c>
      <c r="AT379" s="2" t="s">
        <v>0</v>
      </c>
      <c r="AU379" s="1">
        <f t="shared" si="43"/>
        <v>3.1102165358433429</v>
      </c>
      <c r="AV379" s="1">
        <f t="shared" si="44"/>
        <v>2.2437477932261762</v>
      </c>
      <c r="AW379" s="1">
        <f t="shared" si="45"/>
        <v>1.3772790506090093</v>
      </c>
    </row>
    <row r="380" spans="1:49" x14ac:dyDescent="0.2">
      <c r="A380">
        <v>378</v>
      </c>
      <c r="B380" t="s">
        <v>708</v>
      </c>
      <c r="C380" t="s">
        <v>707</v>
      </c>
      <c r="F380" t="s">
        <v>706</v>
      </c>
      <c r="G380" t="s">
        <v>16</v>
      </c>
      <c r="H380" t="s">
        <v>15</v>
      </c>
      <c r="I380" t="s">
        <v>705</v>
      </c>
      <c r="J380">
        <v>60000264</v>
      </c>
      <c r="K380" t="s">
        <v>704</v>
      </c>
      <c r="L380" t="s">
        <v>703</v>
      </c>
      <c r="M380" t="s">
        <v>312</v>
      </c>
      <c r="N380">
        <v>3</v>
      </c>
      <c r="O380" t="s">
        <v>702</v>
      </c>
      <c r="P380" t="s">
        <v>701</v>
      </c>
      <c r="Q380" t="s">
        <v>700</v>
      </c>
      <c r="R380" s="6">
        <v>29587</v>
      </c>
      <c r="S380" s="7">
        <f t="shared" si="40"/>
        <v>1981</v>
      </c>
      <c r="T380" s="7">
        <v>1981</v>
      </c>
      <c r="U380" s="7">
        <f t="shared" si="41"/>
        <v>41</v>
      </c>
      <c r="V380" s="6">
        <v>29587</v>
      </c>
      <c r="W380" t="s">
        <v>699</v>
      </c>
      <c r="X380" s="2">
        <v>0.371</v>
      </c>
      <c r="Y380" s="5">
        <f t="shared" si="46"/>
        <v>9.9036331117695747E-3</v>
      </c>
      <c r="AA380">
        <v>214922</v>
      </c>
      <c r="AB380">
        <v>130262</v>
      </c>
      <c r="AC380">
        <v>13474065</v>
      </c>
      <c r="AD380" t="s">
        <v>5</v>
      </c>
      <c r="AE380">
        <v>20</v>
      </c>
      <c r="AF380">
        <v>1</v>
      </c>
      <c r="AH380" t="s">
        <v>698</v>
      </c>
      <c r="AI380" t="s">
        <v>697</v>
      </c>
      <c r="AK380" t="s">
        <v>696</v>
      </c>
      <c r="AL380">
        <v>1</v>
      </c>
      <c r="AM380" s="4">
        <f t="shared" si="42"/>
        <v>2.4390243902439025E-2</v>
      </c>
      <c r="AN380" s="21">
        <f t="shared" si="47"/>
        <v>3.6940922230123474E-5</v>
      </c>
      <c r="AO380" s="3"/>
      <c r="AP380">
        <v>0</v>
      </c>
      <c r="AR380" t="s">
        <v>1</v>
      </c>
      <c r="AT380" s="2">
        <v>1.48</v>
      </c>
      <c r="AU380" s="1">
        <f t="shared" si="43"/>
        <v>0.69436254549077392</v>
      </c>
      <c r="AV380" s="1">
        <f t="shared" si="44"/>
        <v>0.49702870169998487</v>
      </c>
      <c r="AW380" s="1">
        <f t="shared" si="45"/>
        <v>0.29969485790919592</v>
      </c>
    </row>
    <row r="381" spans="1:49" x14ac:dyDescent="0.2">
      <c r="A381">
        <v>379</v>
      </c>
      <c r="B381" t="s">
        <v>695</v>
      </c>
      <c r="C381" t="s">
        <v>694</v>
      </c>
      <c r="F381" t="s">
        <v>693</v>
      </c>
      <c r="G381" t="s">
        <v>16</v>
      </c>
      <c r="H381" t="s">
        <v>15</v>
      </c>
      <c r="I381" t="s">
        <v>692</v>
      </c>
      <c r="J381">
        <v>60015623</v>
      </c>
      <c r="K381" t="s">
        <v>691</v>
      </c>
      <c r="L381" t="s">
        <v>690</v>
      </c>
      <c r="M381" t="s">
        <v>11</v>
      </c>
      <c r="N381">
        <v>1</v>
      </c>
      <c r="O381" t="s">
        <v>689</v>
      </c>
      <c r="P381">
        <v>7004248525</v>
      </c>
      <c r="Q381">
        <v>60015623</v>
      </c>
      <c r="R381" s="6">
        <v>29587</v>
      </c>
      <c r="S381" s="7">
        <f t="shared" si="40"/>
        <v>1981</v>
      </c>
      <c r="T381" s="7">
        <v>1981</v>
      </c>
      <c r="U381" s="7">
        <f t="shared" si="41"/>
        <v>41</v>
      </c>
      <c r="V381" s="6">
        <v>29587</v>
      </c>
      <c r="W381" t="s">
        <v>688</v>
      </c>
      <c r="X381" s="2">
        <v>0.75800000000000001</v>
      </c>
      <c r="Y381" s="5">
        <f t="shared" si="46"/>
        <v>2.0234377085502256E-2</v>
      </c>
      <c r="AA381">
        <v>224650</v>
      </c>
      <c r="AB381">
        <v>29589</v>
      </c>
      <c r="AD381" t="s">
        <v>5</v>
      </c>
      <c r="AE381">
        <v>18</v>
      </c>
      <c r="AF381">
        <v>1</v>
      </c>
      <c r="AH381" t="s">
        <v>687</v>
      </c>
      <c r="AI381" t="s">
        <v>686</v>
      </c>
      <c r="AK381" t="s">
        <v>685</v>
      </c>
      <c r="AL381">
        <v>0</v>
      </c>
      <c r="AM381" s="4">
        <f t="shared" si="42"/>
        <v>0</v>
      </c>
      <c r="AN381" s="21">
        <f t="shared" si="47"/>
        <v>0</v>
      </c>
      <c r="AO381" s="3"/>
      <c r="AP381">
        <v>0</v>
      </c>
      <c r="AR381" t="s">
        <v>1</v>
      </c>
      <c r="AT381" s="2">
        <v>1.282</v>
      </c>
      <c r="AU381" s="1">
        <f t="shared" si="43"/>
        <v>1.4164063959851578</v>
      </c>
      <c r="AV381" s="1">
        <f t="shared" si="44"/>
        <v>1.0117188542751128</v>
      </c>
      <c r="AW381" s="1">
        <f t="shared" si="45"/>
        <v>0.60703131256506759</v>
      </c>
    </row>
    <row r="382" spans="1:49" x14ac:dyDescent="0.2">
      <c r="A382">
        <v>380</v>
      </c>
      <c r="B382" t="s">
        <v>684</v>
      </c>
      <c r="C382" t="s">
        <v>683</v>
      </c>
      <c r="E382">
        <v>7349534</v>
      </c>
      <c r="F382" t="s">
        <v>682</v>
      </c>
      <c r="G382" t="s">
        <v>16</v>
      </c>
      <c r="H382" t="s">
        <v>15</v>
      </c>
      <c r="I382" t="s">
        <v>681</v>
      </c>
      <c r="J382">
        <v>60104665</v>
      </c>
      <c r="K382" t="s">
        <v>680</v>
      </c>
      <c r="L382" t="s">
        <v>679</v>
      </c>
      <c r="M382" t="s">
        <v>678</v>
      </c>
      <c r="N382">
        <v>2</v>
      </c>
      <c r="O382" t="s">
        <v>677</v>
      </c>
      <c r="P382" t="s">
        <v>676</v>
      </c>
      <c r="Q382" t="s">
        <v>675</v>
      </c>
      <c r="R382" s="6">
        <v>29587</v>
      </c>
      <c r="S382" s="7">
        <f t="shared" si="40"/>
        <v>1981</v>
      </c>
      <c r="T382" s="7">
        <v>1981</v>
      </c>
      <c r="U382" s="7">
        <f t="shared" si="41"/>
        <v>41</v>
      </c>
      <c r="V382" s="6">
        <v>1981</v>
      </c>
      <c r="W382" t="s">
        <v>674</v>
      </c>
      <c r="X382" s="2" t="s">
        <v>0</v>
      </c>
      <c r="Y382" s="5" t="e">
        <f t="shared" si="46"/>
        <v>#VALUE!</v>
      </c>
      <c r="AA382">
        <v>1811916</v>
      </c>
      <c r="AB382">
        <v>39988</v>
      </c>
      <c r="AD382" t="s">
        <v>5</v>
      </c>
      <c r="AE382">
        <v>21</v>
      </c>
      <c r="AF382">
        <v>3</v>
      </c>
      <c r="AH382" t="s">
        <v>673</v>
      </c>
      <c r="AL382">
        <v>0</v>
      </c>
      <c r="AM382" s="4">
        <f t="shared" si="42"/>
        <v>0</v>
      </c>
      <c r="AN382" s="21">
        <f t="shared" si="47"/>
        <v>0</v>
      </c>
      <c r="AO382" s="3"/>
      <c r="AP382">
        <v>1</v>
      </c>
      <c r="AR382" t="s">
        <v>1</v>
      </c>
      <c r="AT382" s="2" t="s">
        <v>0</v>
      </c>
      <c r="AU382" s="1" t="e">
        <f t="shared" si="43"/>
        <v>#VALUE!</v>
      </c>
      <c r="AV382" s="1" t="e">
        <f t="shared" si="44"/>
        <v>#VALUE!</v>
      </c>
      <c r="AW382" s="1" t="e">
        <f t="shared" si="45"/>
        <v>#VALUE!</v>
      </c>
    </row>
    <row r="383" spans="1:49" x14ac:dyDescent="0.2">
      <c r="A383">
        <v>381</v>
      </c>
      <c r="B383" t="s">
        <v>672</v>
      </c>
      <c r="C383" t="s">
        <v>671</v>
      </c>
      <c r="F383" t="s">
        <v>670</v>
      </c>
      <c r="G383" t="s">
        <v>16</v>
      </c>
      <c r="H383" t="s">
        <v>15</v>
      </c>
      <c r="I383" t="s">
        <v>669</v>
      </c>
      <c r="J383">
        <v>60004354</v>
      </c>
      <c r="K383" t="s">
        <v>668</v>
      </c>
      <c r="L383" t="s">
        <v>667</v>
      </c>
      <c r="M383" t="s">
        <v>11</v>
      </c>
      <c r="N383">
        <v>2</v>
      </c>
      <c r="O383" t="s">
        <v>666</v>
      </c>
      <c r="P383" t="s">
        <v>665</v>
      </c>
      <c r="Q383" t="s">
        <v>664</v>
      </c>
      <c r="R383" s="6">
        <v>29587</v>
      </c>
      <c r="S383" s="7">
        <f t="shared" si="40"/>
        <v>1981</v>
      </c>
      <c r="T383" s="7">
        <v>1981</v>
      </c>
      <c r="U383" s="7">
        <f t="shared" si="41"/>
        <v>41</v>
      </c>
      <c r="V383" s="6">
        <v>29587</v>
      </c>
      <c r="W383" t="s">
        <v>235</v>
      </c>
      <c r="X383" s="2">
        <v>1.6519999999999999</v>
      </c>
      <c r="Y383" s="5">
        <f t="shared" si="46"/>
        <v>4.409919649769093E-2</v>
      </c>
      <c r="AA383" t="s">
        <v>234</v>
      </c>
      <c r="AB383">
        <v>17337</v>
      </c>
      <c r="AC383">
        <v>15582221</v>
      </c>
      <c r="AD383" t="s">
        <v>5</v>
      </c>
      <c r="AE383">
        <v>29</v>
      </c>
      <c r="AF383">
        <v>1</v>
      </c>
      <c r="AH383" t="s">
        <v>663</v>
      </c>
      <c r="AI383" t="s">
        <v>662</v>
      </c>
      <c r="AK383" t="s">
        <v>661</v>
      </c>
      <c r="AL383">
        <v>5</v>
      </c>
      <c r="AM383" s="4">
        <f t="shared" si="42"/>
        <v>0.12195121951219512</v>
      </c>
      <c r="AN383" s="21">
        <f t="shared" si="47"/>
        <v>1.8470461115061736E-4</v>
      </c>
      <c r="AO383" s="3"/>
      <c r="AP383">
        <v>0</v>
      </c>
      <c r="AR383" t="s">
        <v>1</v>
      </c>
      <c r="AT383" s="2" t="s">
        <v>0</v>
      </c>
      <c r="AU383" s="1">
        <f t="shared" si="43"/>
        <v>3.0924848931728834</v>
      </c>
      <c r="AV383" s="1">
        <f t="shared" si="44"/>
        <v>2.2141950554420773</v>
      </c>
      <c r="AW383" s="1">
        <f t="shared" si="45"/>
        <v>1.3359052177112709</v>
      </c>
    </row>
    <row r="384" spans="1:49" x14ac:dyDescent="0.2">
      <c r="A384">
        <v>382</v>
      </c>
      <c r="B384" t="s">
        <v>660</v>
      </c>
      <c r="C384" t="s">
        <v>659</v>
      </c>
      <c r="F384" t="s">
        <v>658</v>
      </c>
      <c r="G384" t="s">
        <v>16</v>
      </c>
      <c r="H384" t="s">
        <v>15</v>
      </c>
      <c r="I384" t="s">
        <v>657</v>
      </c>
      <c r="J384" t="s">
        <v>651</v>
      </c>
      <c r="K384" t="s">
        <v>656</v>
      </c>
      <c r="L384" t="s">
        <v>655</v>
      </c>
      <c r="M384" t="s">
        <v>654</v>
      </c>
      <c r="N384">
        <v>3</v>
      </c>
      <c r="O384" t="s">
        <v>653</v>
      </c>
      <c r="P384" t="s">
        <v>652</v>
      </c>
      <c r="Q384" t="s">
        <v>651</v>
      </c>
      <c r="R384" s="6">
        <v>29587</v>
      </c>
      <c r="S384" s="7">
        <f t="shared" si="40"/>
        <v>1981</v>
      </c>
      <c r="T384" s="7">
        <v>1981</v>
      </c>
      <c r="U384" s="7">
        <f t="shared" si="41"/>
        <v>41</v>
      </c>
      <c r="V384" s="6">
        <v>29587</v>
      </c>
      <c r="W384" t="s">
        <v>235</v>
      </c>
      <c r="X384" s="2">
        <v>1.6519999999999999</v>
      </c>
      <c r="Y384" s="5">
        <f t="shared" si="46"/>
        <v>4.409919649769093E-2</v>
      </c>
      <c r="AA384" t="s">
        <v>234</v>
      </c>
      <c r="AB384">
        <v>17337</v>
      </c>
      <c r="AC384">
        <v>15582221</v>
      </c>
      <c r="AD384" t="s">
        <v>5</v>
      </c>
      <c r="AE384">
        <v>29</v>
      </c>
      <c r="AF384">
        <v>1</v>
      </c>
      <c r="AH384" t="s">
        <v>650</v>
      </c>
      <c r="AI384" t="s">
        <v>649</v>
      </c>
      <c r="AK384" t="s">
        <v>648</v>
      </c>
      <c r="AL384">
        <v>435</v>
      </c>
      <c r="AM384" s="4">
        <f t="shared" si="42"/>
        <v>10.609756097560975</v>
      </c>
      <c r="AN384" s="21">
        <f t="shared" si="47"/>
        <v>1.606930117010371E-2</v>
      </c>
      <c r="AO384" s="3"/>
      <c r="AP384">
        <v>0</v>
      </c>
      <c r="AR384" t="s">
        <v>1</v>
      </c>
      <c r="AT384" s="2" t="s">
        <v>0</v>
      </c>
      <c r="AU384" s="1">
        <f t="shared" si="43"/>
        <v>3.5690227899414761</v>
      </c>
      <c r="AV384" s="1">
        <f t="shared" si="44"/>
        <v>3.0084248833897318</v>
      </c>
      <c r="AW384" s="1">
        <f t="shared" si="45"/>
        <v>2.4478269768379874</v>
      </c>
    </row>
    <row r="385" spans="1:49" x14ac:dyDescent="0.2">
      <c r="A385">
        <v>383</v>
      </c>
      <c r="B385" t="s">
        <v>647</v>
      </c>
      <c r="C385" t="s">
        <v>646</v>
      </c>
      <c r="F385" t="s">
        <v>645</v>
      </c>
      <c r="G385" t="s">
        <v>16</v>
      </c>
      <c r="H385" t="s">
        <v>15</v>
      </c>
      <c r="I385" t="s">
        <v>644</v>
      </c>
      <c r="N385">
        <v>1</v>
      </c>
      <c r="O385" t="s">
        <v>643</v>
      </c>
      <c r="P385">
        <v>6603627480</v>
      </c>
      <c r="R385" s="6">
        <v>29587</v>
      </c>
      <c r="S385" s="7">
        <f t="shared" si="40"/>
        <v>1981</v>
      </c>
      <c r="T385" s="7">
        <v>1981</v>
      </c>
      <c r="U385" s="7">
        <f t="shared" si="41"/>
        <v>41</v>
      </c>
      <c r="V385" s="6" t="s">
        <v>642</v>
      </c>
      <c r="W385" t="s">
        <v>323</v>
      </c>
      <c r="X385" s="2">
        <v>0.371</v>
      </c>
      <c r="Y385" s="5">
        <f t="shared" si="46"/>
        <v>9.9036331117695747E-3</v>
      </c>
      <c r="AA385">
        <v>486604</v>
      </c>
      <c r="AB385">
        <v>28580</v>
      </c>
      <c r="AC385" t="s">
        <v>322</v>
      </c>
      <c r="AD385" t="s">
        <v>5</v>
      </c>
      <c r="AE385">
        <v>16</v>
      </c>
      <c r="AF385">
        <v>1</v>
      </c>
      <c r="AH385" t="s">
        <v>641</v>
      </c>
      <c r="AI385" t="s">
        <v>640</v>
      </c>
      <c r="AK385" t="s">
        <v>639</v>
      </c>
      <c r="AL385">
        <v>3</v>
      </c>
      <c r="AM385" s="4">
        <f t="shared" si="42"/>
        <v>7.3170731707317069E-2</v>
      </c>
      <c r="AN385" s="21">
        <f t="shared" si="47"/>
        <v>1.1082276669037041E-4</v>
      </c>
      <c r="AO385" s="3"/>
      <c r="AP385">
        <v>0</v>
      </c>
      <c r="AR385" t="s">
        <v>1</v>
      </c>
      <c r="AT385" s="2">
        <v>1.431</v>
      </c>
      <c r="AU385" s="1">
        <f t="shared" si="43"/>
        <v>0.69657900082458135</v>
      </c>
      <c r="AV385" s="1">
        <f t="shared" si="44"/>
        <v>0.50072279392299723</v>
      </c>
      <c r="AW385" s="1">
        <f t="shared" si="45"/>
        <v>0.30486658702141317</v>
      </c>
    </row>
    <row r="386" spans="1:49" x14ac:dyDescent="0.2">
      <c r="A386">
        <v>384</v>
      </c>
      <c r="B386" t="s">
        <v>638</v>
      </c>
      <c r="C386" t="s">
        <v>637</v>
      </c>
      <c r="F386" t="s">
        <v>636</v>
      </c>
      <c r="G386" t="s">
        <v>16</v>
      </c>
      <c r="H386" t="s">
        <v>15</v>
      </c>
      <c r="I386" t="s">
        <v>635</v>
      </c>
      <c r="J386">
        <v>60022195</v>
      </c>
      <c r="K386" t="s">
        <v>634</v>
      </c>
      <c r="L386" t="s">
        <v>81</v>
      </c>
      <c r="M386" t="s">
        <v>11</v>
      </c>
      <c r="N386">
        <v>2</v>
      </c>
      <c r="O386" t="s">
        <v>633</v>
      </c>
      <c r="P386" t="s">
        <v>632</v>
      </c>
      <c r="Q386" t="s">
        <v>631</v>
      </c>
      <c r="R386" s="6">
        <v>29587</v>
      </c>
      <c r="S386" s="7">
        <f t="shared" ref="S386:S440" si="48">YEAR(R386)</f>
        <v>1981</v>
      </c>
      <c r="T386" s="7">
        <v>1981</v>
      </c>
      <c r="U386" s="7">
        <f t="shared" ref="U386:U440" si="49">2022-T386</f>
        <v>41</v>
      </c>
      <c r="V386" s="6">
        <v>29587</v>
      </c>
      <c r="W386" t="s">
        <v>235</v>
      </c>
      <c r="X386" s="2">
        <v>1.6519999999999999</v>
      </c>
      <c r="Y386" s="5">
        <f t="shared" si="46"/>
        <v>4.409919649769093E-2</v>
      </c>
      <c r="AA386" t="s">
        <v>234</v>
      </c>
      <c r="AB386">
        <v>17337</v>
      </c>
      <c r="AC386">
        <v>15582221</v>
      </c>
      <c r="AD386" t="s">
        <v>5</v>
      </c>
      <c r="AE386">
        <v>29</v>
      </c>
      <c r="AF386">
        <v>1</v>
      </c>
      <c r="AH386" t="s">
        <v>630</v>
      </c>
      <c r="AI386" t="s">
        <v>629</v>
      </c>
      <c r="AK386" t="s">
        <v>628</v>
      </c>
      <c r="AL386">
        <v>84</v>
      </c>
      <c r="AM386" s="4">
        <f t="shared" ref="AM386:AM440" si="50">AL386/U386</f>
        <v>2.0487804878048781</v>
      </c>
      <c r="AN386" s="21">
        <f t="shared" si="47"/>
        <v>3.1030374673303718E-3</v>
      </c>
      <c r="AO386" s="3"/>
      <c r="AP386">
        <v>0</v>
      </c>
      <c r="AR386" t="s">
        <v>1</v>
      </c>
      <c r="AT386" s="2" t="s">
        <v>0</v>
      </c>
      <c r="AU386" s="1">
        <f t="shared" ref="AU386:AU440" si="51">(Y386*0.7+AN386*0.3)*100</f>
        <v>3.180034878858276</v>
      </c>
      <c r="AV386" s="1">
        <f t="shared" ref="AV386:AV440" si="52">(Y386*0.5+AN386*0.5)*100</f>
        <v>2.3601116982510653</v>
      </c>
      <c r="AW386" s="1">
        <f t="shared" ref="AW386:AW440" si="53">(Y386*0.3+AN386*0.7)*100</f>
        <v>1.5401885176438539</v>
      </c>
    </row>
    <row r="387" spans="1:49" x14ac:dyDescent="0.2">
      <c r="A387">
        <v>385</v>
      </c>
      <c r="B387" t="s">
        <v>627</v>
      </c>
      <c r="C387" t="s">
        <v>626</v>
      </c>
      <c r="F387" t="s">
        <v>625</v>
      </c>
      <c r="G387" t="s">
        <v>16</v>
      </c>
      <c r="H387" t="s">
        <v>15</v>
      </c>
      <c r="I387" t="s">
        <v>624</v>
      </c>
      <c r="J387">
        <v>60001247</v>
      </c>
      <c r="K387" t="s">
        <v>623</v>
      </c>
      <c r="M387" t="s">
        <v>11</v>
      </c>
      <c r="N387">
        <v>3</v>
      </c>
      <c r="O387" t="s">
        <v>622</v>
      </c>
      <c r="P387" t="s">
        <v>621</v>
      </c>
      <c r="Q387" t="s">
        <v>620</v>
      </c>
      <c r="R387" s="6">
        <v>29587</v>
      </c>
      <c r="S387" s="7">
        <f t="shared" si="48"/>
        <v>1981</v>
      </c>
      <c r="T387" s="7">
        <v>1981</v>
      </c>
      <c r="U387" s="7">
        <f t="shared" si="49"/>
        <v>41</v>
      </c>
      <c r="V387" s="6">
        <v>29587</v>
      </c>
      <c r="W387" t="s">
        <v>235</v>
      </c>
      <c r="X387" s="2">
        <v>1.6519999999999999</v>
      </c>
      <c r="Y387" s="5">
        <f t="shared" ref="Y387:Y440" si="54">(X387-$Z$3)/($Z$2-$Z$4)</f>
        <v>4.409919649769093E-2</v>
      </c>
      <c r="AA387" t="s">
        <v>234</v>
      </c>
      <c r="AB387">
        <v>17337</v>
      </c>
      <c r="AC387">
        <v>15582221</v>
      </c>
      <c r="AD387" t="s">
        <v>5</v>
      </c>
      <c r="AE387">
        <v>29</v>
      </c>
      <c r="AF387">
        <v>1</v>
      </c>
      <c r="AH387" t="s">
        <v>619</v>
      </c>
      <c r="AI387" t="s">
        <v>618</v>
      </c>
      <c r="AK387" t="s">
        <v>617</v>
      </c>
      <c r="AL387">
        <v>196</v>
      </c>
      <c r="AM387" s="4">
        <f t="shared" si="50"/>
        <v>4.7804878048780486</v>
      </c>
      <c r="AN387" s="21">
        <f t="shared" ref="AN387:AN440" si="55">(AM387-$AO$3)/($AO$2-$AO$3)</f>
        <v>7.2404207571042005E-3</v>
      </c>
      <c r="AO387" s="3"/>
      <c r="AP387">
        <v>0</v>
      </c>
      <c r="AR387" t="s">
        <v>1</v>
      </c>
      <c r="AT387" s="2" t="s">
        <v>0</v>
      </c>
      <c r="AU387" s="1">
        <f t="shared" si="51"/>
        <v>3.3041563775514913</v>
      </c>
      <c r="AV387" s="1">
        <f t="shared" si="52"/>
        <v>2.5669808627397566</v>
      </c>
      <c r="AW387" s="1">
        <f t="shared" si="53"/>
        <v>1.8298053479280219</v>
      </c>
    </row>
    <row r="388" spans="1:49" x14ac:dyDescent="0.2">
      <c r="A388">
        <v>386</v>
      </c>
      <c r="B388" t="s">
        <v>616</v>
      </c>
      <c r="C388" t="s">
        <v>615</v>
      </c>
      <c r="F388" t="s">
        <v>614</v>
      </c>
      <c r="G388" t="s">
        <v>16</v>
      </c>
      <c r="H388" t="s">
        <v>15</v>
      </c>
      <c r="I388" t="s">
        <v>613</v>
      </c>
      <c r="J388" t="s">
        <v>608</v>
      </c>
      <c r="K388" t="s">
        <v>612</v>
      </c>
      <c r="L388" t="s">
        <v>611</v>
      </c>
      <c r="M388" t="s">
        <v>277</v>
      </c>
      <c r="N388">
        <v>2</v>
      </c>
      <c r="O388" t="s">
        <v>610</v>
      </c>
      <c r="P388" t="s">
        <v>609</v>
      </c>
      <c r="Q388" t="s">
        <v>608</v>
      </c>
      <c r="R388" s="6">
        <v>29587</v>
      </c>
      <c r="S388" s="7">
        <f t="shared" si="48"/>
        <v>1981</v>
      </c>
      <c r="T388" s="7">
        <v>1981</v>
      </c>
      <c r="U388" s="7">
        <f t="shared" si="49"/>
        <v>41</v>
      </c>
      <c r="V388" s="6">
        <v>29587</v>
      </c>
      <c r="W388" t="s">
        <v>235</v>
      </c>
      <c r="X388" s="2">
        <v>1.6519999999999999</v>
      </c>
      <c r="Y388" s="5">
        <f t="shared" si="54"/>
        <v>4.409919649769093E-2</v>
      </c>
      <c r="AA388" t="s">
        <v>234</v>
      </c>
      <c r="AB388">
        <v>17337</v>
      </c>
      <c r="AC388">
        <v>15582221</v>
      </c>
      <c r="AD388" t="s">
        <v>5</v>
      </c>
      <c r="AE388">
        <v>29</v>
      </c>
      <c r="AF388">
        <v>1</v>
      </c>
      <c r="AH388" s="9">
        <v>45323</v>
      </c>
      <c r="AI388" t="s">
        <v>607</v>
      </c>
      <c r="AK388" t="s">
        <v>606</v>
      </c>
      <c r="AL388">
        <v>1084</v>
      </c>
      <c r="AM388" s="4">
        <f t="shared" si="50"/>
        <v>26.439024390243901</v>
      </c>
      <c r="AN388" s="21">
        <f t="shared" si="55"/>
        <v>4.0043959697453842E-2</v>
      </c>
      <c r="AO388" s="3"/>
      <c r="AP388">
        <v>0</v>
      </c>
      <c r="AR388" t="s">
        <v>1</v>
      </c>
      <c r="AT388" s="2" t="s">
        <v>0</v>
      </c>
      <c r="AU388" s="1">
        <f t="shared" si="51"/>
        <v>4.2882625457619801</v>
      </c>
      <c r="AV388" s="1">
        <f t="shared" si="52"/>
        <v>4.2071578097572386</v>
      </c>
      <c r="AW388" s="1">
        <f t="shared" si="53"/>
        <v>4.1260530737524972</v>
      </c>
    </row>
    <row r="389" spans="1:49" x14ac:dyDescent="0.2">
      <c r="A389">
        <v>387</v>
      </c>
      <c r="B389" t="s">
        <v>605</v>
      </c>
      <c r="C389" t="s">
        <v>604</v>
      </c>
      <c r="F389" t="s">
        <v>603</v>
      </c>
      <c r="G389" t="s">
        <v>16</v>
      </c>
      <c r="H389" t="s">
        <v>15</v>
      </c>
      <c r="I389" t="s">
        <v>602</v>
      </c>
      <c r="J389">
        <v>60022476</v>
      </c>
      <c r="K389" t="s">
        <v>601</v>
      </c>
      <c r="L389" t="s">
        <v>600</v>
      </c>
      <c r="M389" t="s">
        <v>11</v>
      </c>
      <c r="N389">
        <v>1</v>
      </c>
      <c r="O389" t="s">
        <v>599</v>
      </c>
      <c r="P389">
        <v>6601994202</v>
      </c>
      <c r="Q389">
        <v>60022476</v>
      </c>
      <c r="R389" s="6">
        <v>29587</v>
      </c>
      <c r="S389" s="7">
        <f t="shared" si="48"/>
        <v>1981</v>
      </c>
      <c r="T389" s="7">
        <v>1981</v>
      </c>
      <c r="U389" s="7">
        <f t="shared" si="49"/>
        <v>41</v>
      </c>
      <c r="V389" s="6">
        <v>29587</v>
      </c>
      <c r="W389" t="s">
        <v>235</v>
      </c>
      <c r="X389" s="2">
        <v>1.6519999999999999</v>
      </c>
      <c r="Y389" s="5">
        <f t="shared" si="54"/>
        <v>4.409919649769093E-2</v>
      </c>
      <c r="AA389" t="s">
        <v>234</v>
      </c>
      <c r="AB389">
        <v>17337</v>
      </c>
      <c r="AC389">
        <v>15582221</v>
      </c>
      <c r="AD389" t="s">
        <v>5</v>
      </c>
      <c r="AE389">
        <v>29</v>
      </c>
      <c r="AF389">
        <v>1</v>
      </c>
      <c r="AH389" t="s">
        <v>598</v>
      </c>
      <c r="AI389" t="s">
        <v>597</v>
      </c>
      <c r="AK389" t="s">
        <v>596</v>
      </c>
      <c r="AL389">
        <v>6</v>
      </c>
      <c r="AM389" s="4">
        <f t="shared" si="50"/>
        <v>0.14634146341463414</v>
      </c>
      <c r="AN389" s="21">
        <f t="shared" si="55"/>
        <v>2.2164553338074083E-4</v>
      </c>
      <c r="AO389" s="3"/>
      <c r="AP389">
        <v>0</v>
      </c>
      <c r="AR389" t="s">
        <v>1</v>
      </c>
      <c r="AT389" s="2" t="s">
        <v>0</v>
      </c>
      <c r="AU389" s="1">
        <f t="shared" si="51"/>
        <v>3.0935931208397873</v>
      </c>
      <c r="AV389" s="1">
        <f t="shared" si="52"/>
        <v>2.2160421015535836</v>
      </c>
      <c r="AW389" s="1">
        <f t="shared" si="53"/>
        <v>1.3384910822673797</v>
      </c>
    </row>
    <row r="390" spans="1:49" x14ac:dyDescent="0.2">
      <c r="A390">
        <v>388</v>
      </c>
      <c r="B390" t="s">
        <v>595</v>
      </c>
      <c r="C390" t="s">
        <v>594</v>
      </c>
      <c r="F390" t="s">
        <v>593</v>
      </c>
      <c r="G390" t="s">
        <v>16</v>
      </c>
      <c r="H390" t="s">
        <v>15</v>
      </c>
      <c r="I390" t="s">
        <v>592</v>
      </c>
      <c r="J390">
        <v>60005304</v>
      </c>
      <c r="K390" t="s">
        <v>591</v>
      </c>
      <c r="L390" t="s">
        <v>590</v>
      </c>
      <c r="M390" t="s">
        <v>11</v>
      </c>
      <c r="N390">
        <v>3</v>
      </c>
      <c r="O390" t="s">
        <v>589</v>
      </c>
      <c r="P390" t="s">
        <v>588</v>
      </c>
      <c r="Q390" t="s">
        <v>587</v>
      </c>
      <c r="R390" s="6">
        <v>29587</v>
      </c>
      <c r="S390" s="7">
        <f t="shared" si="48"/>
        <v>1981</v>
      </c>
      <c r="T390" s="7">
        <v>1981</v>
      </c>
      <c r="U390" s="7">
        <f t="shared" si="49"/>
        <v>41</v>
      </c>
      <c r="V390" s="6">
        <v>29587</v>
      </c>
      <c r="W390" t="s">
        <v>235</v>
      </c>
      <c r="X390" s="2">
        <v>1.6519999999999999</v>
      </c>
      <c r="Y390" s="5">
        <f t="shared" si="54"/>
        <v>4.409919649769093E-2</v>
      </c>
      <c r="AA390" t="s">
        <v>234</v>
      </c>
      <c r="AB390">
        <v>17337</v>
      </c>
      <c r="AC390">
        <v>15582221</v>
      </c>
      <c r="AD390" t="s">
        <v>5</v>
      </c>
      <c r="AE390">
        <v>29</v>
      </c>
      <c r="AF390">
        <v>1</v>
      </c>
      <c r="AH390" t="s">
        <v>586</v>
      </c>
      <c r="AI390" t="s">
        <v>585</v>
      </c>
      <c r="AK390" t="s">
        <v>584</v>
      </c>
      <c r="AL390">
        <v>88</v>
      </c>
      <c r="AM390" s="4">
        <f t="shared" si="50"/>
        <v>2.1463414634146343</v>
      </c>
      <c r="AN390" s="21">
        <f t="shared" si="55"/>
        <v>3.2508011562508662E-3</v>
      </c>
      <c r="AO390" s="3"/>
      <c r="AP390">
        <v>0</v>
      </c>
      <c r="AR390" t="s">
        <v>1</v>
      </c>
      <c r="AT390" s="2" t="s">
        <v>0</v>
      </c>
      <c r="AU390" s="1">
        <f t="shared" si="51"/>
        <v>3.184467789525891</v>
      </c>
      <c r="AV390" s="1">
        <f t="shared" si="52"/>
        <v>2.3674998826970897</v>
      </c>
      <c r="AW390" s="1">
        <f t="shared" si="53"/>
        <v>1.5505319758682883</v>
      </c>
    </row>
    <row r="391" spans="1:49" x14ac:dyDescent="0.2">
      <c r="A391">
        <v>389</v>
      </c>
      <c r="B391" t="s">
        <v>583</v>
      </c>
      <c r="C391" t="s">
        <v>582</v>
      </c>
      <c r="F391" t="s">
        <v>581</v>
      </c>
      <c r="G391" t="s">
        <v>16</v>
      </c>
      <c r="H391" t="s">
        <v>15</v>
      </c>
      <c r="I391" t="s">
        <v>580</v>
      </c>
      <c r="J391">
        <v>60021988</v>
      </c>
      <c r="K391" t="s">
        <v>579</v>
      </c>
      <c r="L391" t="s">
        <v>578</v>
      </c>
      <c r="M391" t="s">
        <v>577</v>
      </c>
      <c r="N391">
        <v>2</v>
      </c>
      <c r="O391" t="s">
        <v>576</v>
      </c>
      <c r="P391" t="s">
        <v>575</v>
      </c>
      <c r="Q391" t="s">
        <v>574</v>
      </c>
      <c r="R391" s="6">
        <v>29587</v>
      </c>
      <c r="S391" s="7">
        <f t="shared" si="48"/>
        <v>1981</v>
      </c>
      <c r="T391" s="7">
        <v>1981</v>
      </c>
      <c r="U391" s="7">
        <f t="shared" si="49"/>
        <v>41</v>
      </c>
      <c r="V391" s="6">
        <v>29587</v>
      </c>
      <c r="W391" t="s">
        <v>573</v>
      </c>
      <c r="X391" s="2">
        <v>1.3720000000000001</v>
      </c>
      <c r="Y391" s="5">
        <f t="shared" si="54"/>
        <v>3.662475641333654E-2</v>
      </c>
      <c r="AA391">
        <v>189480</v>
      </c>
      <c r="AB391">
        <v>17366</v>
      </c>
      <c r="AC391">
        <v>15579670</v>
      </c>
      <c r="AD391" t="s">
        <v>5</v>
      </c>
      <c r="AE391">
        <v>29</v>
      </c>
      <c r="AF391">
        <v>1</v>
      </c>
      <c r="AH391" t="s">
        <v>572</v>
      </c>
      <c r="AI391" t="s">
        <v>571</v>
      </c>
      <c r="AK391" t="s">
        <v>570</v>
      </c>
      <c r="AL391">
        <v>26</v>
      </c>
      <c r="AM391" s="4">
        <f t="shared" si="50"/>
        <v>0.63414634146341464</v>
      </c>
      <c r="AN391" s="21">
        <f t="shared" si="55"/>
        <v>9.6046397798321042E-4</v>
      </c>
      <c r="AO391" s="3"/>
      <c r="AP391">
        <v>0</v>
      </c>
      <c r="AR391" t="s">
        <v>1</v>
      </c>
      <c r="AT391" s="2" t="s">
        <v>0</v>
      </c>
      <c r="AU391" s="1">
        <f t="shared" si="51"/>
        <v>2.5925468682730539</v>
      </c>
      <c r="AV391" s="1">
        <f t="shared" si="52"/>
        <v>1.8792610195659876</v>
      </c>
      <c r="AW391" s="1">
        <f t="shared" si="53"/>
        <v>1.165975170858921</v>
      </c>
    </row>
    <row r="392" spans="1:49" x14ac:dyDescent="0.2">
      <c r="A392">
        <v>390</v>
      </c>
      <c r="B392" t="s">
        <v>569</v>
      </c>
      <c r="C392" t="s">
        <v>568</v>
      </c>
      <c r="F392" t="s">
        <v>567</v>
      </c>
      <c r="G392" t="s">
        <v>16</v>
      </c>
      <c r="H392" t="s">
        <v>15</v>
      </c>
      <c r="I392" t="s">
        <v>566</v>
      </c>
      <c r="J392">
        <v>60003500</v>
      </c>
      <c r="K392" t="s">
        <v>565</v>
      </c>
      <c r="L392" t="s">
        <v>564</v>
      </c>
      <c r="M392" t="s">
        <v>11</v>
      </c>
      <c r="N392">
        <v>2</v>
      </c>
      <c r="O392" t="s">
        <v>563</v>
      </c>
      <c r="P392" t="s">
        <v>562</v>
      </c>
      <c r="Q392" t="s">
        <v>561</v>
      </c>
      <c r="R392" s="6">
        <v>29587</v>
      </c>
      <c r="S392" s="7">
        <f t="shared" si="48"/>
        <v>1981</v>
      </c>
      <c r="T392" s="7">
        <v>1981</v>
      </c>
      <c r="U392" s="7">
        <f t="shared" si="49"/>
        <v>41</v>
      </c>
      <c r="V392" s="6">
        <v>29587</v>
      </c>
      <c r="W392" t="s">
        <v>235</v>
      </c>
      <c r="X392" s="2">
        <v>1.6519999999999999</v>
      </c>
      <c r="Y392" s="5">
        <f t="shared" si="54"/>
        <v>4.409919649769093E-2</v>
      </c>
      <c r="AA392" t="s">
        <v>234</v>
      </c>
      <c r="AB392">
        <v>17337</v>
      </c>
      <c r="AC392">
        <v>15582221</v>
      </c>
      <c r="AD392" t="s">
        <v>5</v>
      </c>
      <c r="AE392">
        <v>29</v>
      </c>
      <c r="AF392">
        <v>1</v>
      </c>
      <c r="AH392" t="s">
        <v>560</v>
      </c>
      <c r="AI392" t="s">
        <v>559</v>
      </c>
      <c r="AK392" t="s">
        <v>558</v>
      </c>
      <c r="AL392">
        <v>94</v>
      </c>
      <c r="AM392" s="4">
        <f t="shared" si="50"/>
        <v>2.2926829268292681</v>
      </c>
      <c r="AN392" s="21">
        <f t="shared" si="55"/>
        <v>3.4724466896316063E-3</v>
      </c>
      <c r="AO392" s="3"/>
      <c r="AP392">
        <v>0</v>
      </c>
      <c r="AR392" t="s">
        <v>1</v>
      </c>
      <c r="AT392" s="2" t="s">
        <v>0</v>
      </c>
      <c r="AU392" s="1">
        <f t="shared" si="51"/>
        <v>3.1911171555273135</v>
      </c>
      <c r="AV392" s="1">
        <f t="shared" si="52"/>
        <v>2.3785821593661267</v>
      </c>
      <c r="AW392" s="1">
        <f t="shared" si="53"/>
        <v>1.5660471632049402</v>
      </c>
    </row>
    <row r="393" spans="1:49" x14ac:dyDescent="0.2">
      <c r="A393">
        <v>391</v>
      </c>
      <c r="B393" t="s">
        <v>557</v>
      </c>
      <c r="C393" t="s">
        <v>556</v>
      </c>
      <c r="F393" t="s">
        <v>555</v>
      </c>
      <c r="G393" t="s">
        <v>16</v>
      </c>
      <c r="H393" t="s">
        <v>15</v>
      </c>
      <c r="I393" t="s">
        <v>554</v>
      </c>
      <c r="J393">
        <v>60021378</v>
      </c>
      <c r="K393" t="s">
        <v>553</v>
      </c>
      <c r="L393" t="s">
        <v>552</v>
      </c>
      <c r="M393" t="s">
        <v>11</v>
      </c>
      <c r="N393">
        <v>1</v>
      </c>
      <c r="O393" t="s">
        <v>551</v>
      </c>
      <c r="P393">
        <v>6506753271</v>
      </c>
      <c r="Q393">
        <v>60021378</v>
      </c>
      <c r="R393" s="6">
        <v>29587</v>
      </c>
      <c r="S393" s="7">
        <f t="shared" si="48"/>
        <v>1981</v>
      </c>
      <c r="T393" s="7">
        <v>1981</v>
      </c>
      <c r="U393" s="7">
        <f t="shared" si="49"/>
        <v>41</v>
      </c>
      <c r="V393" s="6">
        <v>29587</v>
      </c>
      <c r="W393" t="s">
        <v>273</v>
      </c>
      <c r="X393" s="2">
        <v>1.468</v>
      </c>
      <c r="Y393" s="5">
        <f t="shared" si="54"/>
        <v>3.9187421585115186E-2</v>
      </c>
      <c r="AA393">
        <v>906778</v>
      </c>
      <c r="AB393">
        <v>18931</v>
      </c>
      <c r="AD393" t="s">
        <v>5</v>
      </c>
      <c r="AE393">
        <v>29</v>
      </c>
      <c r="AF393">
        <v>1</v>
      </c>
      <c r="AH393" t="s">
        <v>550</v>
      </c>
      <c r="AI393" t="s">
        <v>549</v>
      </c>
      <c r="AK393" t="s">
        <v>548</v>
      </c>
      <c r="AL393">
        <v>3</v>
      </c>
      <c r="AM393" s="4">
        <f t="shared" si="50"/>
        <v>7.3170731707317069E-2</v>
      </c>
      <c r="AN393" s="21">
        <f t="shared" si="55"/>
        <v>1.1082276669037041E-4</v>
      </c>
      <c r="AO393" s="3"/>
      <c r="AP393">
        <v>0</v>
      </c>
      <c r="AR393" t="s">
        <v>1</v>
      </c>
      <c r="AT393" s="2">
        <v>5.0830000000000002</v>
      </c>
      <c r="AU393" s="1">
        <f t="shared" si="51"/>
        <v>2.7464441939587738</v>
      </c>
      <c r="AV393" s="1">
        <f t="shared" si="52"/>
        <v>1.9649122175902776</v>
      </c>
      <c r="AW393" s="1">
        <f t="shared" si="53"/>
        <v>1.1833802412217815</v>
      </c>
    </row>
    <row r="394" spans="1:49" x14ac:dyDescent="0.2">
      <c r="A394">
        <v>392</v>
      </c>
      <c r="B394" t="s">
        <v>547</v>
      </c>
      <c r="C394" t="s">
        <v>546</v>
      </c>
      <c r="F394" t="s">
        <v>545</v>
      </c>
      <c r="G394" t="s">
        <v>16</v>
      </c>
      <c r="H394" t="s">
        <v>15</v>
      </c>
      <c r="I394" t="s">
        <v>544</v>
      </c>
      <c r="J394">
        <v>60002494</v>
      </c>
      <c r="K394" t="s">
        <v>543</v>
      </c>
      <c r="L394" t="s">
        <v>542</v>
      </c>
      <c r="M394" t="s">
        <v>26</v>
      </c>
      <c r="N394">
        <v>3</v>
      </c>
      <c r="O394" t="s">
        <v>541</v>
      </c>
      <c r="P394" t="s">
        <v>540</v>
      </c>
      <c r="Q394" t="s">
        <v>539</v>
      </c>
      <c r="R394" s="6">
        <v>29587</v>
      </c>
      <c r="S394" s="7">
        <f t="shared" si="48"/>
        <v>1981</v>
      </c>
      <c r="T394" s="7">
        <v>1981</v>
      </c>
      <c r="U394" s="7">
        <f t="shared" si="49"/>
        <v>41</v>
      </c>
      <c r="V394" s="6">
        <v>29587</v>
      </c>
      <c r="W394" t="s">
        <v>538</v>
      </c>
      <c r="X394" s="2">
        <v>0.33800000000000002</v>
      </c>
      <c r="Y394" s="5">
        <f t="shared" si="54"/>
        <v>9.0227169589706634E-3</v>
      </c>
      <c r="AA394">
        <v>34347</v>
      </c>
      <c r="AB394">
        <v>17722</v>
      </c>
      <c r="AC394">
        <v>19589395</v>
      </c>
      <c r="AD394" t="s">
        <v>5</v>
      </c>
      <c r="AE394">
        <v>36</v>
      </c>
      <c r="AF394" s="8">
        <v>44228</v>
      </c>
      <c r="AH394" t="s">
        <v>537</v>
      </c>
      <c r="AI394" t="s">
        <v>536</v>
      </c>
      <c r="AJ394" t="s">
        <v>535</v>
      </c>
      <c r="AK394" t="s">
        <v>534</v>
      </c>
      <c r="AL394">
        <v>4</v>
      </c>
      <c r="AM394" s="4">
        <f t="shared" si="50"/>
        <v>9.7560975609756101E-2</v>
      </c>
      <c r="AN394" s="21">
        <f t="shared" si="55"/>
        <v>1.477636889204939E-4</v>
      </c>
      <c r="AO394" s="3"/>
      <c r="AP394">
        <v>0</v>
      </c>
      <c r="AR394" t="s">
        <v>1</v>
      </c>
      <c r="AT394" s="2" t="s">
        <v>0</v>
      </c>
      <c r="AU394" s="1">
        <f t="shared" si="51"/>
        <v>0.63602309779556121</v>
      </c>
      <c r="AV394" s="1">
        <f t="shared" si="52"/>
        <v>0.45852403239455786</v>
      </c>
      <c r="AW394" s="1">
        <f t="shared" si="53"/>
        <v>0.28102496699355445</v>
      </c>
    </row>
    <row r="395" spans="1:49" x14ac:dyDescent="0.2">
      <c r="A395">
        <v>393</v>
      </c>
      <c r="B395" t="s">
        <v>533</v>
      </c>
      <c r="C395" t="s">
        <v>532</v>
      </c>
      <c r="F395" t="s">
        <v>531</v>
      </c>
      <c r="G395" t="s">
        <v>16</v>
      </c>
      <c r="H395" t="s">
        <v>15</v>
      </c>
      <c r="I395" t="s">
        <v>530</v>
      </c>
      <c r="J395" t="s">
        <v>529</v>
      </c>
      <c r="K395" t="s">
        <v>528</v>
      </c>
      <c r="L395" t="s">
        <v>527</v>
      </c>
      <c r="M395" t="s">
        <v>277</v>
      </c>
      <c r="N395">
        <v>3</v>
      </c>
      <c r="O395" t="s">
        <v>526</v>
      </c>
      <c r="P395" t="s">
        <v>525</v>
      </c>
      <c r="Q395" t="s">
        <v>524</v>
      </c>
      <c r="R395" s="6">
        <v>29587</v>
      </c>
      <c r="S395" s="7">
        <f t="shared" si="48"/>
        <v>1981</v>
      </c>
      <c r="T395" s="7">
        <v>1981</v>
      </c>
      <c r="U395" s="7">
        <f t="shared" si="49"/>
        <v>41</v>
      </c>
      <c r="V395" s="6">
        <v>29677</v>
      </c>
      <c r="W395" t="s">
        <v>523</v>
      </c>
      <c r="X395" s="2">
        <v>1.6379999999999999</v>
      </c>
      <c r="Y395" s="5">
        <f t="shared" si="54"/>
        <v>4.3725474493473214E-2</v>
      </c>
      <c r="AA395">
        <v>963518</v>
      </c>
      <c r="AB395">
        <v>31560</v>
      </c>
      <c r="AD395" t="s">
        <v>5</v>
      </c>
      <c r="AE395">
        <v>29</v>
      </c>
      <c r="AF395">
        <v>2</v>
      </c>
      <c r="AH395" t="s">
        <v>522</v>
      </c>
      <c r="AI395" t="s">
        <v>521</v>
      </c>
      <c r="AK395" t="s">
        <v>520</v>
      </c>
      <c r="AL395">
        <v>25</v>
      </c>
      <c r="AM395" s="4">
        <f t="shared" si="50"/>
        <v>0.6097560975609756</v>
      </c>
      <c r="AN395" s="21">
        <f t="shared" si="55"/>
        <v>9.2352305575308681E-4</v>
      </c>
      <c r="AO395" s="3"/>
      <c r="AP395">
        <v>0</v>
      </c>
      <c r="AR395" t="s">
        <v>1</v>
      </c>
      <c r="AT395" s="2" t="s">
        <v>0</v>
      </c>
      <c r="AU395" s="1">
        <f t="shared" si="51"/>
        <v>3.0884889062157175</v>
      </c>
      <c r="AV395" s="1">
        <f t="shared" si="52"/>
        <v>2.2324498774613151</v>
      </c>
      <c r="AW395" s="1">
        <f t="shared" si="53"/>
        <v>1.3764108487069124</v>
      </c>
    </row>
    <row r="396" spans="1:49" x14ac:dyDescent="0.2">
      <c r="A396">
        <v>394</v>
      </c>
      <c r="B396" t="s">
        <v>519</v>
      </c>
      <c r="F396" t="s">
        <v>518</v>
      </c>
      <c r="G396" t="s">
        <v>16</v>
      </c>
      <c r="H396" t="s">
        <v>15</v>
      </c>
      <c r="I396" t="s">
        <v>517</v>
      </c>
      <c r="J396">
        <v>60025209</v>
      </c>
      <c r="K396" t="s">
        <v>516</v>
      </c>
      <c r="L396" t="s">
        <v>515</v>
      </c>
      <c r="M396" t="s">
        <v>11</v>
      </c>
      <c r="N396">
        <v>1</v>
      </c>
      <c r="O396" t="s">
        <v>514</v>
      </c>
      <c r="P396">
        <v>57213393154</v>
      </c>
      <c r="Q396">
        <v>60025209</v>
      </c>
      <c r="R396" s="6">
        <v>29587</v>
      </c>
      <c r="S396" s="7">
        <f t="shared" si="48"/>
        <v>1981</v>
      </c>
      <c r="T396" s="7">
        <v>1981</v>
      </c>
      <c r="U396" s="7">
        <f t="shared" si="49"/>
        <v>41</v>
      </c>
      <c r="V396" s="6">
        <v>1981</v>
      </c>
      <c r="W396" t="s">
        <v>513</v>
      </c>
      <c r="X396" s="2" t="s">
        <v>0</v>
      </c>
      <c r="Y396" s="5" t="e">
        <f t="shared" si="54"/>
        <v>#VALUE!</v>
      </c>
      <c r="AA396" t="s">
        <v>512</v>
      </c>
      <c r="AB396">
        <v>56743</v>
      </c>
      <c r="AD396" t="s">
        <v>5</v>
      </c>
      <c r="AE396">
        <v>1</v>
      </c>
      <c r="AF396">
        <v>1</v>
      </c>
      <c r="AH396" t="s">
        <v>511</v>
      </c>
      <c r="AI396" t="s">
        <v>510</v>
      </c>
      <c r="AK396" t="s">
        <v>509</v>
      </c>
      <c r="AL396">
        <v>0</v>
      </c>
      <c r="AM396" s="4">
        <f t="shared" si="50"/>
        <v>0</v>
      </c>
      <c r="AN396" s="21">
        <f t="shared" si="55"/>
        <v>0</v>
      </c>
      <c r="AO396" s="3"/>
      <c r="AP396">
        <v>0</v>
      </c>
      <c r="AR396" t="s">
        <v>1</v>
      </c>
      <c r="AT396" s="2" t="s">
        <v>0</v>
      </c>
      <c r="AU396" s="1" t="e">
        <f t="shared" si="51"/>
        <v>#VALUE!</v>
      </c>
      <c r="AV396" s="1" t="e">
        <f t="shared" si="52"/>
        <v>#VALUE!</v>
      </c>
      <c r="AW396" s="1" t="e">
        <f t="shared" si="53"/>
        <v>#VALUE!</v>
      </c>
    </row>
    <row r="397" spans="1:49" x14ac:dyDescent="0.2">
      <c r="A397">
        <v>395</v>
      </c>
      <c r="B397" t="s">
        <v>508</v>
      </c>
      <c r="C397" t="s">
        <v>507</v>
      </c>
      <c r="D397">
        <v>5272881901389</v>
      </c>
      <c r="E397">
        <v>6970595</v>
      </c>
      <c r="F397" t="s">
        <v>506</v>
      </c>
      <c r="G397" t="s">
        <v>16</v>
      </c>
      <c r="H397" t="s">
        <v>15</v>
      </c>
      <c r="I397" t="s">
        <v>505</v>
      </c>
      <c r="J397" t="s">
        <v>504</v>
      </c>
      <c r="K397" t="s">
        <v>503</v>
      </c>
      <c r="L397" t="s">
        <v>502</v>
      </c>
      <c r="M397" t="s">
        <v>194</v>
      </c>
      <c r="N397">
        <v>4</v>
      </c>
      <c r="O397" t="s">
        <v>501</v>
      </c>
      <c r="P397" t="s">
        <v>500</v>
      </c>
      <c r="Q397" t="s">
        <v>499</v>
      </c>
      <c r="R397" s="6">
        <v>29587</v>
      </c>
      <c r="S397" s="7">
        <f t="shared" si="48"/>
        <v>1981</v>
      </c>
      <c r="T397" s="7">
        <v>1981</v>
      </c>
      <c r="U397" s="7">
        <f t="shared" si="49"/>
        <v>41</v>
      </c>
      <c r="V397" s="6">
        <v>1981</v>
      </c>
      <c r="W397" t="s">
        <v>498</v>
      </c>
      <c r="X397" s="2">
        <v>1.59</v>
      </c>
      <c r="Y397" s="5">
        <f t="shared" si="54"/>
        <v>4.2444141907583888E-2</v>
      </c>
      <c r="AA397">
        <v>52728</v>
      </c>
      <c r="AB397">
        <v>16791</v>
      </c>
      <c r="AD397" t="s">
        <v>5</v>
      </c>
      <c r="AE397">
        <v>634</v>
      </c>
      <c r="AF397" t="s">
        <v>497</v>
      </c>
      <c r="AH397" t="s">
        <v>496</v>
      </c>
      <c r="AI397" t="s">
        <v>495</v>
      </c>
      <c r="AJ397" t="s">
        <v>494</v>
      </c>
      <c r="AK397" t="s">
        <v>493</v>
      </c>
      <c r="AL397">
        <v>97</v>
      </c>
      <c r="AM397" s="4">
        <f t="shared" si="50"/>
        <v>2.3658536585365852</v>
      </c>
      <c r="AN397" s="21">
        <f t="shared" si="55"/>
        <v>3.5832694563219768E-3</v>
      </c>
      <c r="AO397" s="3"/>
      <c r="AP397">
        <v>0</v>
      </c>
      <c r="AR397" t="s">
        <v>1</v>
      </c>
      <c r="AT397" s="2" t="s">
        <v>0</v>
      </c>
      <c r="AU397" s="1">
        <f t="shared" si="51"/>
        <v>3.0785880172205315</v>
      </c>
      <c r="AV397" s="1">
        <f t="shared" si="52"/>
        <v>2.3013705681952934</v>
      </c>
      <c r="AW397" s="1">
        <f t="shared" si="53"/>
        <v>1.5241531191700548</v>
      </c>
    </row>
    <row r="398" spans="1:49" x14ac:dyDescent="0.2">
      <c r="A398">
        <v>396</v>
      </c>
      <c r="B398" t="s">
        <v>492</v>
      </c>
      <c r="C398" t="s">
        <v>491</v>
      </c>
      <c r="F398" t="s">
        <v>490</v>
      </c>
      <c r="G398" t="s">
        <v>16</v>
      </c>
      <c r="H398" t="s">
        <v>15</v>
      </c>
      <c r="I398" t="s">
        <v>489</v>
      </c>
      <c r="N398">
        <v>3</v>
      </c>
      <c r="O398" t="s">
        <v>488</v>
      </c>
      <c r="P398" t="s">
        <v>487</v>
      </c>
      <c r="Q398" t="s">
        <v>116</v>
      </c>
      <c r="R398" s="6">
        <v>29587</v>
      </c>
      <c r="S398" s="7">
        <f t="shared" si="48"/>
        <v>1981</v>
      </c>
      <c r="T398" s="7">
        <v>1981</v>
      </c>
      <c r="U398" s="7">
        <f t="shared" si="49"/>
        <v>41</v>
      </c>
      <c r="V398" s="6">
        <v>29738</v>
      </c>
      <c r="W398" t="s">
        <v>115</v>
      </c>
      <c r="X398" s="2">
        <v>2.0070000000000001</v>
      </c>
      <c r="Y398" s="5">
        <f t="shared" si="54"/>
        <v>5.3575718747497406E-2</v>
      </c>
      <c r="AA398">
        <v>948276</v>
      </c>
      <c r="AB398">
        <v>27962</v>
      </c>
      <c r="AC398">
        <v>19448007</v>
      </c>
      <c r="AD398" t="s">
        <v>5</v>
      </c>
      <c r="AE398">
        <v>8</v>
      </c>
      <c r="AF398">
        <v>6</v>
      </c>
      <c r="AH398" t="s">
        <v>486</v>
      </c>
      <c r="AI398" t="s">
        <v>485</v>
      </c>
      <c r="AK398" t="s">
        <v>484</v>
      </c>
      <c r="AL398">
        <v>30</v>
      </c>
      <c r="AM398" s="4">
        <f t="shared" si="50"/>
        <v>0.73170731707317072</v>
      </c>
      <c r="AN398" s="21">
        <f t="shared" si="55"/>
        <v>1.1082276669037042E-3</v>
      </c>
      <c r="AO398" s="3"/>
      <c r="AP398">
        <v>0</v>
      </c>
      <c r="AR398" t="s">
        <v>1</v>
      </c>
      <c r="AT398" s="2">
        <v>4.72</v>
      </c>
      <c r="AU398" s="1">
        <f t="shared" si="51"/>
        <v>3.7835471423319293</v>
      </c>
      <c r="AV398" s="1">
        <f t="shared" si="52"/>
        <v>2.7341973207200554</v>
      </c>
      <c r="AW398" s="1">
        <f t="shared" si="53"/>
        <v>1.6848474991081812</v>
      </c>
    </row>
    <row r="399" spans="1:49" x14ac:dyDescent="0.2">
      <c r="A399">
        <v>397</v>
      </c>
      <c r="B399" t="s">
        <v>483</v>
      </c>
      <c r="C399" t="s">
        <v>482</v>
      </c>
      <c r="F399" t="s">
        <v>481</v>
      </c>
      <c r="G399" t="s">
        <v>16</v>
      </c>
      <c r="H399" t="s">
        <v>15</v>
      </c>
      <c r="I399" t="s">
        <v>480</v>
      </c>
      <c r="N399">
        <v>3</v>
      </c>
      <c r="O399" t="s">
        <v>479</v>
      </c>
      <c r="P399" t="s">
        <v>478</v>
      </c>
      <c r="Q399" t="s">
        <v>116</v>
      </c>
      <c r="R399" s="6">
        <v>29587</v>
      </c>
      <c r="S399" s="7">
        <f t="shared" si="48"/>
        <v>1981</v>
      </c>
      <c r="T399" s="7">
        <v>1981</v>
      </c>
      <c r="U399" s="7">
        <f t="shared" si="49"/>
        <v>41</v>
      </c>
      <c r="V399" s="6">
        <v>29587</v>
      </c>
      <c r="W399" t="s">
        <v>477</v>
      </c>
      <c r="X399" s="2">
        <v>0.318</v>
      </c>
      <c r="Y399" s="5">
        <f t="shared" si="54"/>
        <v>8.4888283815167786E-3</v>
      </c>
      <c r="AA399">
        <v>338443</v>
      </c>
      <c r="AB399">
        <v>27160</v>
      </c>
      <c r="AC399">
        <v>15739120</v>
      </c>
      <c r="AD399" t="s">
        <v>5</v>
      </c>
      <c r="AE399">
        <v>24</v>
      </c>
      <c r="AF399">
        <v>1</v>
      </c>
      <c r="AH399" t="s">
        <v>476</v>
      </c>
      <c r="AI399" t="s">
        <v>475</v>
      </c>
      <c r="AK399" t="s">
        <v>474</v>
      </c>
      <c r="AL399">
        <v>1</v>
      </c>
      <c r="AM399" s="4">
        <f t="shared" si="50"/>
        <v>2.4390243902439025E-2</v>
      </c>
      <c r="AN399" s="21">
        <f t="shared" si="55"/>
        <v>3.6940922230123474E-5</v>
      </c>
      <c r="AO399" s="3"/>
      <c r="AP399">
        <v>0</v>
      </c>
      <c r="AR399" t="s">
        <v>1</v>
      </c>
      <c r="AT399" s="2">
        <v>0.77</v>
      </c>
      <c r="AU399" s="1">
        <f t="shared" si="51"/>
        <v>0.5953262143730782</v>
      </c>
      <c r="AV399" s="1">
        <f t="shared" si="52"/>
        <v>0.42628846518734509</v>
      </c>
      <c r="AW399" s="1">
        <f t="shared" si="53"/>
        <v>0.25725071600161198</v>
      </c>
    </row>
    <row r="400" spans="1:49" x14ac:dyDescent="0.2">
      <c r="A400">
        <v>398</v>
      </c>
      <c r="B400" t="s">
        <v>473</v>
      </c>
      <c r="C400" t="s">
        <v>472</v>
      </c>
      <c r="F400" t="s">
        <v>471</v>
      </c>
      <c r="G400" t="s">
        <v>16</v>
      </c>
      <c r="H400" t="s">
        <v>15</v>
      </c>
      <c r="I400" t="s">
        <v>470</v>
      </c>
      <c r="J400">
        <v>60005038</v>
      </c>
      <c r="K400" t="s">
        <v>469</v>
      </c>
      <c r="L400" t="s">
        <v>468</v>
      </c>
      <c r="M400" t="s">
        <v>312</v>
      </c>
      <c r="N400">
        <v>1</v>
      </c>
      <c r="O400" t="s">
        <v>467</v>
      </c>
      <c r="P400">
        <v>7003674073</v>
      </c>
      <c r="Q400">
        <v>60005038</v>
      </c>
      <c r="R400" s="6">
        <v>29587</v>
      </c>
      <c r="S400" s="7">
        <f t="shared" si="48"/>
        <v>1981</v>
      </c>
      <c r="T400" s="7">
        <v>1981</v>
      </c>
      <c r="U400" s="7">
        <f t="shared" si="49"/>
        <v>41</v>
      </c>
      <c r="V400" s="6">
        <v>29587</v>
      </c>
      <c r="W400" t="s">
        <v>466</v>
      </c>
      <c r="X400" s="2">
        <v>0.111</v>
      </c>
      <c r="Y400" s="5">
        <f t="shared" si="54"/>
        <v>2.9630816048690639E-3</v>
      </c>
      <c r="AA400">
        <v>87566621</v>
      </c>
      <c r="AB400">
        <v>24890</v>
      </c>
      <c r="AC400">
        <v>15206424</v>
      </c>
      <c r="AD400" t="s">
        <v>5</v>
      </c>
      <c r="AE400">
        <v>64</v>
      </c>
      <c r="AF400">
        <v>1</v>
      </c>
      <c r="AH400" t="s">
        <v>465</v>
      </c>
      <c r="AI400" t="s">
        <v>464</v>
      </c>
      <c r="AK400" t="s">
        <v>463</v>
      </c>
      <c r="AL400">
        <v>0</v>
      </c>
      <c r="AM400" s="4">
        <f t="shared" si="50"/>
        <v>0</v>
      </c>
      <c r="AN400" s="21">
        <f t="shared" si="55"/>
        <v>0</v>
      </c>
      <c r="AO400" s="3"/>
      <c r="AP400">
        <v>0</v>
      </c>
      <c r="AR400" t="s">
        <v>1</v>
      </c>
      <c r="AT400" s="2" t="s">
        <v>0</v>
      </c>
      <c r="AU400" s="1">
        <f t="shared" si="51"/>
        <v>0.20741571234083445</v>
      </c>
      <c r="AV400" s="1">
        <f t="shared" si="52"/>
        <v>0.1481540802434532</v>
      </c>
      <c r="AW400" s="1">
        <f t="shared" si="53"/>
        <v>8.8892448146071903E-2</v>
      </c>
    </row>
    <row r="401" spans="1:49" x14ac:dyDescent="0.2">
      <c r="A401">
        <v>399</v>
      </c>
      <c r="B401" t="s">
        <v>462</v>
      </c>
      <c r="C401" t="s">
        <v>461</v>
      </c>
      <c r="F401" t="s">
        <v>460</v>
      </c>
      <c r="G401" t="s">
        <v>16</v>
      </c>
      <c r="H401" t="s">
        <v>15</v>
      </c>
      <c r="I401" t="s">
        <v>459</v>
      </c>
      <c r="N401">
        <v>1</v>
      </c>
      <c r="O401" t="s">
        <v>458</v>
      </c>
      <c r="P401">
        <v>7101932815</v>
      </c>
      <c r="R401" s="6">
        <v>29587</v>
      </c>
      <c r="S401" s="7">
        <f t="shared" si="48"/>
        <v>1981</v>
      </c>
      <c r="T401" s="7">
        <v>1981</v>
      </c>
      <c r="U401" s="7">
        <f t="shared" si="49"/>
        <v>41</v>
      </c>
      <c r="V401" s="6" t="s">
        <v>350</v>
      </c>
      <c r="W401" t="s">
        <v>323</v>
      </c>
      <c r="X401" s="2">
        <v>0.371</v>
      </c>
      <c r="Y401" s="5">
        <f t="shared" si="54"/>
        <v>9.9036331117695747E-3</v>
      </c>
      <c r="AA401">
        <v>486604</v>
      </c>
      <c r="AB401">
        <v>28580</v>
      </c>
      <c r="AC401" t="s">
        <v>322</v>
      </c>
      <c r="AD401" t="s">
        <v>5</v>
      </c>
      <c r="AE401">
        <v>16</v>
      </c>
      <c r="AF401">
        <v>6</v>
      </c>
      <c r="AH401" t="s">
        <v>457</v>
      </c>
      <c r="AI401" t="s">
        <v>456</v>
      </c>
      <c r="AK401" t="s">
        <v>455</v>
      </c>
      <c r="AL401">
        <v>0</v>
      </c>
      <c r="AM401" s="4">
        <f t="shared" si="50"/>
        <v>0</v>
      </c>
      <c r="AN401" s="21">
        <f t="shared" si="55"/>
        <v>0</v>
      </c>
      <c r="AO401" s="3"/>
      <c r="AP401">
        <v>0</v>
      </c>
      <c r="AR401" t="s">
        <v>1</v>
      </c>
      <c r="AT401" s="2">
        <v>1.431</v>
      </c>
      <c r="AU401" s="1">
        <f t="shared" si="51"/>
        <v>0.69325431782387015</v>
      </c>
      <c r="AV401" s="1">
        <f t="shared" si="52"/>
        <v>0.49518165558847871</v>
      </c>
      <c r="AW401" s="1">
        <f t="shared" si="53"/>
        <v>0.29710899335308727</v>
      </c>
    </row>
    <row r="402" spans="1:49" x14ac:dyDescent="0.2">
      <c r="A402">
        <v>400</v>
      </c>
      <c r="B402" t="s">
        <v>454</v>
      </c>
      <c r="C402" t="s">
        <v>453</v>
      </c>
      <c r="F402" t="s">
        <v>452</v>
      </c>
      <c r="G402" t="s">
        <v>16</v>
      </c>
      <c r="H402" t="s">
        <v>15</v>
      </c>
      <c r="I402" t="s">
        <v>451</v>
      </c>
      <c r="N402">
        <v>3</v>
      </c>
      <c r="O402" t="s">
        <v>450</v>
      </c>
      <c r="P402" t="s">
        <v>449</v>
      </c>
      <c r="Q402" t="s">
        <v>116</v>
      </c>
      <c r="R402" s="6">
        <v>29587</v>
      </c>
      <c r="S402" s="7">
        <f t="shared" si="48"/>
        <v>1981</v>
      </c>
      <c r="T402" s="7">
        <v>1981</v>
      </c>
      <c r="U402" s="7">
        <f t="shared" si="49"/>
        <v>41</v>
      </c>
      <c r="V402" s="6" t="s">
        <v>350</v>
      </c>
      <c r="W402" t="s">
        <v>323</v>
      </c>
      <c r="X402" s="2">
        <v>0.371</v>
      </c>
      <c r="Y402" s="5">
        <f t="shared" si="54"/>
        <v>9.9036331117695747E-3</v>
      </c>
      <c r="AA402">
        <v>486604</v>
      </c>
      <c r="AB402">
        <v>28580</v>
      </c>
      <c r="AC402" t="s">
        <v>322</v>
      </c>
      <c r="AD402" t="s">
        <v>5</v>
      </c>
      <c r="AE402">
        <v>16</v>
      </c>
      <c r="AF402">
        <v>6</v>
      </c>
      <c r="AH402" t="s">
        <v>448</v>
      </c>
      <c r="AI402" t="s">
        <v>447</v>
      </c>
      <c r="AK402" t="s">
        <v>446</v>
      </c>
      <c r="AL402">
        <v>4</v>
      </c>
      <c r="AM402" s="4">
        <f t="shared" si="50"/>
        <v>9.7560975609756101E-2</v>
      </c>
      <c r="AN402" s="21">
        <f t="shared" si="55"/>
        <v>1.477636889204939E-4</v>
      </c>
      <c r="AO402" s="3"/>
      <c r="AP402">
        <v>0</v>
      </c>
      <c r="AR402" t="s">
        <v>1</v>
      </c>
      <c r="AT402" s="2">
        <v>1.431</v>
      </c>
      <c r="AU402" s="1">
        <f t="shared" si="51"/>
        <v>0.69768722849148501</v>
      </c>
      <c r="AV402" s="1">
        <f t="shared" si="52"/>
        <v>0.50256984003450345</v>
      </c>
      <c r="AW402" s="1">
        <f t="shared" si="53"/>
        <v>0.30745245157752182</v>
      </c>
    </row>
    <row r="403" spans="1:49" x14ac:dyDescent="0.2">
      <c r="A403">
        <v>401</v>
      </c>
      <c r="B403" t="s">
        <v>445</v>
      </c>
      <c r="C403" t="s">
        <v>444</v>
      </c>
      <c r="F403" t="s">
        <v>443</v>
      </c>
      <c r="G403" t="s">
        <v>16</v>
      </c>
      <c r="H403" t="s">
        <v>15</v>
      </c>
      <c r="I403" t="s">
        <v>442</v>
      </c>
      <c r="N403">
        <v>1</v>
      </c>
      <c r="O403" t="s">
        <v>441</v>
      </c>
      <c r="P403">
        <v>6701770697</v>
      </c>
      <c r="R403" s="6">
        <v>29587</v>
      </c>
      <c r="S403" s="7">
        <f t="shared" si="48"/>
        <v>1981</v>
      </c>
      <c r="T403" s="7">
        <v>1981</v>
      </c>
      <c r="U403" s="7">
        <f t="shared" si="49"/>
        <v>41</v>
      </c>
      <c r="V403" s="6" t="s">
        <v>350</v>
      </c>
      <c r="W403" t="s">
        <v>323</v>
      </c>
      <c r="X403" s="2">
        <v>0.371</v>
      </c>
      <c r="Y403" s="5">
        <f t="shared" si="54"/>
        <v>9.9036331117695747E-3</v>
      </c>
      <c r="AA403">
        <v>486604</v>
      </c>
      <c r="AB403">
        <v>28580</v>
      </c>
      <c r="AC403" t="s">
        <v>322</v>
      </c>
      <c r="AD403" t="s">
        <v>5</v>
      </c>
      <c r="AE403">
        <v>16</v>
      </c>
      <c r="AF403">
        <v>6</v>
      </c>
      <c r="AH403" t="s">
        <v>440</v>
      </c>
      <c r="AI403" t="s">
        <v>439</v>
      </c>
      <c r="AK403" t="s">
        <v>438</v>
      </c>
      <c r="AL403">
        <v>0</v>
      </c>
      <c r="AM403" s="4">
        <f t="shared" si="50"/>
        <v>0</v>
      </c>
      <c r="AN403" s="21">
        <f t="shared" si="55"/>
        <v>0</v>
      </c>
      <c r="AO403" s="3"/>
      <c r="AP403">
        <v>0</v>
      </c>
      <c r="AR403" t="s">
        <v>1</v>
      </c>
      <c r="AT403" s="2">
        <v>1.431</v>
      </c>
      <c r="AU403" s="1">
        <f t="shared" si="51"/>
        <v>0.69325431782387015</v>
      </c>
      <c r="AV403" s="1">
        <f t="shared" si="52"/>
        <v>0.49518165558847871</v>
      </c>
      <c r="AW403" s="1">
        <f t="shared" si="53"/>
        <v>0.29710899335308727</v>
      </c>
    </row>
    <row r="404" spans="1:49" x14ac:dyDescent="0.2">
      <c r="A404">
        <v>402</v>
      </c>
      <c r="B404" t="s">
        <v>437</v>
      </c>
      <c r="C404" t="s">
        <v>436</v>
      </c>
      <c r="F404" t="s">
        <v>435</v>
      </c>
      <c r="G404" t="s">
        <v>16</v>
      </c>
      <c r="H404" t="s">
        <v>15</v>
      </c>
      <c r="I404" t="s">
        <v>434</v>
      </c>
      <c r="N404">
        <v>3</v>
      </c>
      <c r="O404" t="s">
        <v>433</v>
      </c>
      <c r="P404" t="s">
        <v>432</v>
      </c>
      <c r="Q404" t="s">
        <v>116</v>
      </c>
      <c r="R404" s="6">
        <v>29587</v>
      </c>
      <c r="S404" s="7">
        <f t="shared" si="48"/>
        <v>1981</v>
      </c>
      <c r="T404" s="7">
        <v>1981</v>
      </c>
      <c r="U404" s="7">
        <f t="shared" si="49"/>
        <v>41</v>
      </c>
      <c r="V404" s="6" t="s">
        <v>350</v>
      </c>
      <c r="W404" t="s">
        <v>323</v>
      </c>
      <c r="X404" s="2">
        <v>0.371</v>
      </c>
      <c r="Y404" s="5">
        <f t="shared" si="54"/>
        <v>9.9036331117695747E-3</v>
      </c>
      <c r="AA404">
        <v>486604</v>
      </c>
      <c r="AB404">
        <v>28580</v>
      </c>
      <c r="AC404" t="s">
        <v>322</v>
      </c>
      <c r="AD404" t="s">
        <v>5</v>
      </c>
      <c r="AE404">
        <v>16</v>
      </c>
      <c r="AF404">
        <v>6</v>
      </c>
      <c r="AH404" t="s">
        <v>431</v>
      </c>
      <c r="AI404" t="s">
        <v>430</v>
      </c>
      <c r="AK404" t="s">
        <v>429</v>
      </c>
      <c r="AL404">
        <v>0</v>
      </c>
      <c r="AM404" s="4">
        <f t="shared" si="50"/>
        <v>0</v>
      </c>
      <c r="AN404" s="21">
        <f t="shared" si="55"/>
        <v>0</v>
      </c>
      <c r="AO404" s="3"/>
      <c r="AP404">
        <v>0</v>
      </c>
      <c r="AR404" t="s">
        <v>1</v>
      </c>
      <c r="AT404" s="2">
        <v>1.431</v>
      </c>
      <c r="AU404" s="1">
        <f t="shared" si="51"/>
        <v>0.69325431782387015</v>
      </c>
      <c r="AV404" s="1">
        <f t="shared" si="52"/>
        <v>0.49518165558847871</v>
      </c>
      <c r="AW404" s="1">
        <f t="shared" si="53"/>
        <v>0.29710899335308727</v>
      </c>
    </row>
    <row r="405" spans="1:49" x14ac:dyDescent="0.2">
      <c r="A405">
        <v>403</v>
      </c>
      <c r="B405" t="s">
        <v>428</v>
      </c>
      <c r="C405" t="s">
        <v>427</v>
      </c>
      <c r="F405" t="s">
        <v>426</v>
      </c>
      <c r="G405" t="s">
        <v>16</v>
      </c>
      <c r="H405" t="s">
        <v>15</v>
      </c>
      <c r="I405" t="s">
        <v>425</v>
      </c>
      <c r="N405">
        <v>3</v>
      </c>
      <c r="O405" t="s">
        <v>424</v>
      </c>
      <c r="P405" t="s">
        <v>423</v>
      </c>
      <c r="Q405" t="s">
        <v>116</v>
      </c>
      <c r="R405" s="6">
        <v>29587</v>
      </c>
      <c r="S405" s="7">
        <f t="shared" si="48"/>
        <v>1981</v>
      </c>
      <c r="T405" s="7">
        <v>1981</v>
      </c>
      <c r="U405" s="7">
        <f t="shared" si="49"/>
        <v>41</v>
      </c>
      <c r="V405" s="6" t="s">
        <v>350</v>
      </c>
      <c r="W405" t="s">
        <v>323</v>
      </c>
      <c r="X405" s="2">
        <v>0.371</v>
      </c>
      <c r="Y405" s="5">
        <f t="shared" si="54"/>
        <v>9.9036331117695747E-3</v>
      </c>
      <c r="AA405">
        <v>486604</v>
      </c>
      <c r="AB405">
        <v>28580</v>
      </c>
      <c r="AC405" t="s">
        <v>322</v>
      </c>
      <c r="AD405" t="s">
        <v>5</v>
      </c>
      <c r="AE405">
        <v>16</v>
      </c>
      <c r="AF405">
        <v>6</v>
      </c>
      <c r="AH405" t="s">
        <v>422</v>
      </c>
      <c r="AI405" t="s">
        <v>421</v>
      </c>
      <c r="AK405" t="s">
        <v>420</v>
      </c>
      <c r="AL405">
        <v>1</v>
      </c>
      <c r="AM405" s="4">
        <f t="shared" si="50"/>
        <v>2.4390243902439025E-2</v>
      </c>
      <c r="AN405" s="21">
        <f t="shared" si="55"/>
        <v>3.6940922230123474E-5</v>
      </c>
      <c r="AO405" s="3"/>
      <c r="AP405">
        <v>0</v>
      </c>
      <c r="AR405" t="s">
        <v>1</v>
      </c>
      <c r="AT405" s="2">
        <v>1.431</v>
      </c>
      <c r="AU405" s="1">
        <f t="shared" si="51"/>
        <v>0.69436254549077392</v>
      </c>
      <c r="AV405" s="1">
        <f t="shared" si="52"/>
        <v>0.49702870169998487</v>
      </c>
      <c r="AW405" s="1">
        <f t="shared" si="53"/>
        <v>0.29969485790919592</v>
      </c>
    </row>
    <row r="406" spans="1:49" x14ac:dyDescent="0.2">
      <c r="A406">
        <v>404</v>
      </c>
      <c r="B406" t="s">
        <v>419</v>
      </c>
      <c r="C406" t="s">
        <v>418</v>
      </c>
      <c r="F406" t="s">
        <v>417</v>
      </c>
      <c r="G406" t="s">
        <v>16</v>
      </c>
      <c r="H406" t="s">
        <v>15</v>
      </c>
      <c r="I406" t="s">
        <v>416</v>
      </c>
      <c r="N406">
        <v>2</v>
      </c>
      <c r="O406" t="s">
        <v>415</v>
      </c>
      <c r="P406" t="s">
        <v>414</v>
      </c>
      <c r="Q406" t="s">
        <v>351</v>
      </c>
      <c r="R406" s="6">
        <v>29587</v>
      </c>
      <c r="S406" s="7">
        <f t="shared" si="48"/>
        <v>1981</v>
      </c>
      <c r="T406" s="7">
        <v>1981</v>
      </c>
      <c r="U406" s="7">
        <f t="shared" si="49"/>
        <v>41</v>
      </c>
      <c r="V406" s="6" t="s">
        <v>350</v>
      </c>
      <c r="W406" t="s">
        <v>323</v>
      </c>
      <c r="X406" s="2">
        <v>0.371</v>
      </c>
      <c r="Y406" s="5">
        <f t="shared" si="54"/>
        <v>9.9036331117695747E-3</v>
      </c>
      <c r="AA406">
        <v>486604</v>
      </c>
      <c r="AB406">
        <v>28580</v>
      </c>
      <c r="AC406" t="s">
        <v>322</v>
      </c>
      <c r="AD406" t="s">
        <v>5</v>
      </c>
      <c r="AE406">
        <v>16</v>
      </c>
      <c r="AF406">
        <v>6</v>
      </c>
      <c r="AH406" t="s">
        <v>413</v>
      </c>
      <c r="AI406" t="s">
        <v>412</v>
      </c>
      <c r="AK406" t="s">
        <v>411</v>
      </c>
      <c r="AL406">
        <v>0</v>
      </c>
      <c r="AM406" s="4">
        <f t="shared" si="50"/>
        <v>0</v>
      </c>
      <c r="AN406" s="21">
        <f t="shared" si="55"/>
        <v>0</v>
      </c>
      <c r="AO406" s="3"/>
      <c r="AP406">
        <v>0</v>
      </c>
      <c r="AR406" t="s">
        <v>1</v>
      </c>
      <c r="AT406" s="2">
        <v>1.431</v>
      </c>
      <c r="AU406" s="1">
        <f t="shared" si="51"/>
        <v>0.69325431782387015</v>
      </c>
      <c r="AV406" s="1">
        <f t="shared" si="52"/>
        <v>0.49518165558847871</v>
      </c>
      <c r="AW406" s="1">
        <f t="shared" si="53"/>
        <v>0.29710899335308727</v>
      </c>
    </row>
    <row r="407" spans="1:49" x14ac:dyDescent="0.2">
      <c r="A407">
        <v>405</v>
      </c>
      <c r="B407" t="s">
        <v>410</v>
      </c>
      <c r="C407" t="s">
        <v>409</v>
      </c>
      <c r="F407" t="s">
        <v>408</v>
      </c>
      <c r="G407" t="s">
        <v>16</v>
      </c>
      <c r="H407" t="s">
        <v>15</v>
      </c>
      <c r="I407" t="s">
        <v>407</v>
      </c>
      <c r="N407">
        <v>2</v>
      </c>
      <c r="O407" t="s">
        <v>406</v>
      </c>
      <c r="P407" t="s">
        <v>405</v>
      </c>
      <c r="Q407" t="s">
        <v>351</v>
      </c>
      <c r="R407" s="6">
        <v>29587</v>
      </c>
      <c r="S407" s="7">
        <f t="shared" si="48"/>
        <v>1981</v>
      </c>
      <c r="T407" s="7">
        <v>1981</v>
      </c>
      <c r="U407" s="7">
        <f t="shared" si="49"/>
        <v>41</v>
      </c>
      <c r="V407" s="6" t="s">
        <v>350</v>
      </c>
      <c r="W407" t="s">
        <v>323</v>
      </c>
      <c r="X407" s="2">
        <v>0.371</v>
      </c>
      <c r="Y407" s="5">
        <f t="shared" si="54"/>
        <v>9.9036331117695747E-3</v>
      </c>
      <c r="AA407">
        <v>486604</v>
      </c>
      <c r="AB407">
        <v>28580</v>
      </c>
      <c r="AC407" t="s">
        <v>322</v>
      </c>
      <c r="AD407" t="s">
        <v>5</v>
      </c>
      <c r="AE407">
        <v>16</v>
      </c>
      <c r="AF407">
        <v>6</v>
      </c>
      <c r="AH407" t="s">
        <v>404</v>
      </c>
      <c r="AI407" t="s">
        <v>403</v>
      </c>
      <c r="AK407" t="s">
        <v>402</v>
      </c>
      <c r="AL407">
        <v>0</v>
      </c>
      <c r="AM407" s="4">
        <f t="shared" si="50"/>
        <v>0</v>
      </c>
      <c r="AN407" s="21">
        <f t="shared" si="55"/>
        <v>0</v>
      </c>
      <c r="AO407" s="3"/>
      <c r="AP407">
        <v>0</v>
      </c>
      <c r="AR407" t="s">
        <v>1</v>
      </c>
      <c r="AT407" s="2">
        <v>1.431</v>
      </c>
      <c r="AU407" s="1">
        <f t="shared" si="51"/>
        <v>0.69325431782387015</v>
      </c>
      <c r="AV407" s="1">
        <f t="shared" si="52"/>
        <v>0.49518165558847871</v>
      </c>
      <c r="AW407" s="1">
        <f t="shared" si="53"/>
        <v>0.29710899335308727</v>
      </c>
    </row>
    <row r="408" spans="1:49" x14ac:dyDescent="0.2">
      <c r="A408">
        <v>406</v>
      </c>
      <c r="B408" t="s">
        <v>401</v>
      </c>
      <c r="C408" t="s">
        <v>400</v>
      </c>
      <c r="F408" t="s">
        <v>399</v>
      </c>
      <c r="G408" t="s">
        <v>16</v>
      </c>
      <c r="H408" t="s">
        <v>15</v>
      </c>
      <c r="I408" t="s">
        <v>398</v>
      </c>
      <c r="N408">
        <v>1</v>
      </c>
      <c r="O408" t="s">
        <v>397</v>
      </c>
      <c r="P408">
        <v>6602465282</v>
      </c>
      <c r="R408" s="6">
        <v>29587</v>
      </c>
      <c r="S408" s="7">
        <f t="shared" si="48"/>
        <v>1981</v>
      </c>
      <c r="T408" s="7">
        <v>1981</v>
      </c>
      <c r="U408" s="7">
        <f t="shared" si="49"/>
        <v>41</v>
      </c>
      <c r="V408" s="6" t="s">
        <v>350</v>
      </c>
      <c r="W408" t="s">
        <v>323</v>
      </c>
      <c r="X408" s="2">
        <v>0.371</v>
      </c>
      <c r="Y408" s="5">
        <f t="shared" si="54"/>
        <v>9.9036331117695747E-3</v>
      </c>
      <c r="AA408">
        <v>486604</v>
      </c>
      <c r="AB408">
        <v>28580</v>
      </c>
      <c r="AC408" t="s">
        <v>322</v>
      </c>
      <c r="AD408" t="s">
        <v>5</v>
      </c>
      <c r="AE408">
        <v>16</v>
      </c>
      <c r="AF408">
        <v>6</v>
      </c>
      <c r="AH408" t="s">
        <v>396</v>
      </c>
      <c r="AI408" t="s">
        <v>395</v>
      </c>
      <c r="AK408" t="s">
        <v>394</v>
      </c>
      <c r="AL408">
        <v>0</v>
      </c>
      <c r="AM408" s="4">
        <f t="shared" si="50"/>
        <v>0</v>
      </c>
      <c r="AN408" s="21">
        <f t="shared" si="55"/>
        <v>0</v>
      </c>
      <c r="AO408" s="3"/>
      <c r="AP408">
        <v>0</v>
      </c>
      <c r="AR408" t="s">
        <v>1</v>
      </c>
      <c r="AT408" s="2">
        <v>1.431</v>
      </c>
      <c r="AU408" s="1">
        <f t="shared" si="51"/>
        <v>0.69325431782387015</v>
      </c>
      <c r="AV408" s="1">
        <f t="shared" si="52"/>
        <v>0.49518165558847871</v>
      </c>
      <c r="AW408" s="1">
        <f t="shared" si="53"/>
        <v>0.29710899335308727</v>
      </c>
    </row>
    <row r="409" spans="1:49" x14ac:dyDescent="0.2">
      <c r="A409">
        <v>407</v>
      </c>
      <c r="B409" t="s">
        <v>393</v>
      </c>
      <c r="C409" t="s">
        <v>392</v>
      </c>
      <c r="F409" t="s">
        <v>391</v>
      </c>
      <c r="G409" t="s">
        <v>16</v>
      </c>
      <c r="H409" t="s">
        <v>15</v>
      </c>
      <c r="I409" t="s">
        <v>390</v>
      </c>
      <c r="N409">
        <v>2</v>
      </c>
      <c r="O409" t="s">
        <v>389</v>
      </c>
      <c r="P409" t="s">
        <v>388</v>
      </c>
      <c r="Q409" t="s">
        <v>351</v>
      </c>
      <c r="R409" s="6">
        <v>29587</v>
      </c>
      <c r="S409" s="7">
        <f t="shared" si="48"/>
        <v>1981</v>
      </c>
      <c r="T409" s="7">
        <v>1981</v>
      </c>
      <c r="U409" s="7">
        <f t="shared" si="49"/>
        <v>41</v>
      </c>
      <c r="V409" s="6" t="s">
        <v>350</v>
      </c>
      <c r="W409" t="s">
        <v>323</v>
      </c>
      <c r="X409" s="2">
        <v>0.371</v>
      </c>
      <c r="Y409" s="5">
        <f t="shared" si="54"/>
        <v>9.9036331117695747E-3</v>
      </c>
      <c r="AA409">
        <v>486604</v>
      </c>
      <c r="AB409">
        <v>28580</v>
      </c>
      <c r="AC409" t="s">
        <v>322</v>
      </c>
      <c r="AD409" t="s">
        <v>5</v>
      </c>
      <c r="AE409">
        <v>16</v>
      </c>
      <c r="AF409">
        <v>6</v>
      </c>
      <c r="AH409" t="s">
        <v>387</v>
      </c>
      <c r="AI409" t="s">
        <v>386</v>
      </c>
      <c r="AK409" t="s">
        <v>385</v>
      </c>
      <c r="AL409">
        <v>6</v>
      </c>
      <c r="AM409" s="4">
        <f t="shared" si="50"/>
        <v>0.14634146341463414</v>
      </c>
      <c r="AN409" s="21">
        <f t="shared" si="55"/>
        <v>2.2164553338074083E-4</v>
      </c>
      <c r="AO409" s="3"/>
      <c r="AP409">
        <v>0</v>
      </c>
      <c r="AR409" t="s">
        <v>1</v>
      </c>
      <c r="AT409" s="2">
        <v>1.431</v>
      </c>
      <c r="AU409" s="1">
        <f t="shared" si="51"/>
        <v>0.69990368382529233</v>
      </c>
      <c r="AV409" s="1">
        <f t="shared" si="52"/>
        <v>0.50626393225751576</v>
      </c>
      <c r="AW409" s="1">
        <f t="shared" si="53"/>
        <v>0.31262418068973907</v>
      </c>
    </row>
    <row r="410" spans="1:49" x14ac:dyDescent="0.2">
      <c r="A410">
        <v>408</v>
      </c>
      <c r="B410" t="s">
        <v>384</v>
      </c>
      <c r="C410" t="s">
        <v>383</v>
      </c>
      <c r="F410" t="s">
        <v>382</v>
      </c>
      <c r="G410" t="s">
        <v>16</v>
      </c>
      <c r="H410" t="s">
        <v>15</v>
      </c>
      <c r="I410" t="s">
        <v>381</v>
      </c>
      <c r="N410">
        <v>2</v>
      </c>
      <c r="O410" t="s">
        <v>380</v>
      </c>
      <c r="P410" t="s">
        <v>379</v>
      </c>
      <c r="Q410" t="s">
        <v>351</v>
      </c>
      <c r="R410" s="6">
        <v>29587</v>
      </c>
      <c r="S410" s="7">
        <f t="shared" si="48"/>
        <v>1981</v>
      </c>
      <c r="T410" s="7">
        <v>1981</v>
      </c>
      <c r="U410" s="7">
        <f t="shared" si="49"/>
        <v>41</v>
      </c>
      <c r="V410" s="6" t="s">
        <v>350</v>
      </c>
      <c r="W410" t="s">
        <v>323</v>
      </c>
      <c r="X410" s="2">
        <v>0.371</v>
      </c>
      <c r="Y410" s="5">
        <f t="shared" si="54"/>
        <v>9.9036331117695747E-3</v>
      </c>
      <c r="AA410">
        <v>486604</v>
      </c>
      <c r="AB410">
        <v>28580</v>
      </c>
      <c r="AC410" t="s">
        <v>322</v>
      </c>
      <c r="AD410" t="s">
        <v>5</v>
      </c>
      <c r="AE410">
        <v>16</v>
      </c>
      <c r="AF410">
        <v>6</v>
      </c>
      <c r="AH410" t="s">
        <v>378</v>
      </c>
      <c r="AI410" t="s">
        <v>377</v>
      </c>
      <c r="AK410" t="s">
        <v>376</v>
      </c>
      <c r="AL410">
        <v>2</v>
      </c>
      <c r="AM410" s="4">
        <f t="shared" si="50"/>
        <v>4.878048780487805E-2</v>
      </c>
      <c r="AN410" s="21">
        <f t="shared" si="55"/>
        <v>7.3881844460246948E-5</v>
      </c>
      <c r="AO410" s="3"/>
      <c r="AP410">
        <v>0</v>
      </c>
      <c r="AR410" t="s">
        <v>1</v>
      </c>
      <c r="AT410" s="2">
        <v>1.431</v>
      </c>
      <c r="AU410" s="1">
        <f t="shared" si="51"/>
        <v>0.69547077315767758</v>
      </c>
      <c r="AV410" s="1">
        <f t="shared" si="52"/>
        <v>0.49887574781149102</v>
      </c>
      <c r="AW410" s="1">
        <f t="shared" si="53"/>
        <v>0.30228072246530457</v>
      </c>
    </row>
    <row r="411" spans="1:49" x14ac:dyDescent="0.2">
      <c r="A411">
        <v>409</v>
      </c>
      <c r="B411" t="s">
        <v>375</v>
      </c>
      <c r="C411" t="s">
        <v>374</v>
      </c>
      <c r="F411" t="s">
        <v>373</v>
      </c>
      <c r="G411" t="s">
        <v>16</v>
      </c>
      <c r="H411" t="s">
        <v>15</v>
      </c>
      <c r="I411" t="s">
        <v>372</v>
      </c>
      <c r="N411">
        <v>2</v>
      </c>
      <c r="O411" t="s">
        <v>371</v>
      </c>
      <c r="P411" t="s">
        <v>370</v>
      </c>
      <c r="Q411" t="s">
        <v>351</v>
      </c>
      <c r="R411" s="6">
        <v>29587</v>
      </c>
      <c r="S411" s="7">
        <f t="shared" si="48"/>
        <v>1981</v>
      </c>
      <c r="T411" s="7">
        <v>1981</v>
      </c>
      <c r="U411" s="7">
        <f t="shared" si="49"/>
        <v>41</v>
      </c>
      <c r="V411" s="6" t="s">
        <v>350</v>
      </c>
      <c r="W411" t="s">
        <v>323</v>
      </c>
      <c r="X411" s="2">
        <v>0.371</v>
      </c>
      <c r="Y411" s="5">
        <f t="shared" si="54"/>
        <v>9.9036331117695747E-3</v>
      </c>
      <c r="AA411">
        <v>486604</v>
      </c>
      <c r="AB411">
        <v>28580</v>
      </c>
      <c r="AC411" t="s">
        <v>322</v>
      </c>
      <c r="AD411" t="s">
        <v>5</v>
      </c>
      <c r="AE411">
        <v>16</v>
      </c>
      <c r="AF411">
        <v>6</v>
      </c>
      <c r="AH411" t="s">
        <v>369</v>
      </c>
      <c r="AI411" t="s">
        <v>368</v>
      </c>
      <c r="AK411" t="s">
        <v>367</v>
      </c>
      <c r="AL411">
        <v>15</v>
      </c>
      <c r="AM411" s="4">
        <f t="shared" si="50"/>
        <v>0.36585365853658536</v>
      </c>
      <c r="AN411" s="21">
        <f t="shared" si="55"/>
        <v>5.5411383345185209E-4</v>
      </c>
      <c r="AO411" s="3"/>
      <c r="AP411">
        <v>0</v>
      </c>
      <c r="AR411" t="s">
        <v>1</v>
      </c>
      <c r="AT411" s="2">
        <v>1.431</v>
      </c>
      <c r="AU411" s="1">
        <f t="shared" si="51"/>
        <v>0.70987773282742572</v>
      </c>
      <c r="AV411" s="1">
        <f t="shared" si="52"/>
        <v>0.52288734726107133</v>
      </c>
      <c r="AW411" s="1">
        <f t="shared" si="53"/>
        <v>0.33589696169471689</v>
      </c>
    </row>
    <row r="412" spans="1:49" x14ac:dyDescent="0.2">
      <c r="A412">
        <v>410</v>
      </c>
      <c r="B412" t="s">
        <v>366</v>
      </c>
      <c r="C412" t="s">
        <v>365</v>
      </c>
      <c r="F412" t="s">
        <v>364</v>
      </c>
      <c r="G412" t="s">
        <v>16</v>
      </c>
      <c r="H412" t="s">
        <v>15</v>
      </c>
      <c r="I412" t="s">
        <v>363</v>
      </c>
      <c r="N412">
        <v>2</v>
      </c>
      <c r="O412" t="s">
        <v>362</v>
      </c>
      <c r="P412" t="s">
        <v>361</v>
      </c>
      <c r="Q412" t="s">
        <v>351</v>
      </c>
      <c r="R412" s="6">
        <v>29587</v>
      </c>
      <c r="S412" s="7">
        <f t="shared" si="48"/>
        <v>1981</v>
      </c>
      <c r="T412" s="7">
        <v>1981</v>
      </c>
      <c r="U412" s="7">
        <f t="shared" si="49"/>
        <v>41</v>
      </c>
      <c r="V412" s="6" t="s">
        <v>350</v>
      </c>
      <c r="W412" t="s">
        <v>323</v>
      </c>
      <c r="X412" s="2">
        <v>0.371</v>
      </c>
      <c r="Y412" s="5">
        <f t="shared" si="54"/>
        <v>9.9036331117695747E-3</v>
      </c>
      <c r="AA412">
        <v>486604</v>
      </c>
      <c r="AB412">
        <v>28580</v>
      </c>
      <c r="AC412" t="s">
        <v>322</v>
      </c>
      <c r="AD412" t="s">
        <v>5</v>
      </c>
      <c r="AE412">
        <v>16</v>
      </c>
      <c r="AF412">
        <v>6</v>
      </c>
      <c r="AH412" t="s">
        <v>360</v>
      </c>
      <c r="AI412" t="s">
        <v>359</v>
      </c>
      <c r="AK412" t="s">
        <v>358</v>
      </c>
      <c r="AL412">
        <v>0</v>
      </c>
      <c r="AM412" s="4">
        <f t="shared" si="50"/>
        <v>0</v>
      </c>
      <c r="AN412" s="21">
        <f t="shared" si="55"/>
        <v>0</v>
      </c>
      <c r="AO412" s="3"/>
      <c r="AP412">
        <v>0</v>
      </c>
      <c r="AR412" t="s">
        <v>1</v>
      </c>
      <c r="AT412" s="2">
        <v>1.431</v>
      </c>
      <c r="AU412" s="1">
        <f t="shared" si="51"/>
        <v>0.69325431782387015</v>
      </c>
      <c r="AV412" s="1">
        <f t="shared" si="52"/>
        <v>0.49518165558847871</v>
      </c>
      <c r="AW412" s="1">
        <f t="shared" si="53"/>
        <v>0.29710899335308727</v>
      </c>
    </row>
    <row r="413" spans="1:49" x14ac:dyDescent="0.2">
      <c r="A413">
        <v>411</v>
      </c>
      <c r="B413" t="s">
        <v>357</v>
      </c>
      <c r="C413" t="s">
        <v>356</v>
      </c>
      <c r="F413" t="s">
        <v>355</v>
      </c>
      <c r="G413" t="s">
        <v>16</v>
      </c>
      <c r="H413" t="s">
        <v>15</v>
      </c>
      <c r="I413" t="s">
        <v>354</v>
      </c>
      <c r="N413">
        <v>2</v>
      </c>
      <c r="O413" t="s">
        <v>353</v>
      </c>
      <c r="P413" t="s">
        <v>352</v>
      </c>
      <c r="Q413" t="s">
        <v>351</v>
      </c>
      <c r="R413" s="6">
        <v>29587</v>
      </c>
      <c r="S413" s="7">
        <f t="shared" si="48"/>
        <v>1981</v>
      </c>
      <c r="T413" s="7">
        <v>1981</v>
      </c>
      <c r="U413" s="7">
        <f t="shared" si="49"/>
        <v>41</v>
      </c>
      <c r="V413" s="6" t="s">
        <v>350</v>
      </c>
      <c r="W413" t="s">
        <v>323</v>
      </c>
      <c r="X413" s="2">
        <v>0.371</v>
      </c>
      <c r="Y413" s="5">
        <f t="shared" si="54"/>
        <v>9.9036331117695747E-3</v>
      </c>
      <c r="AA413">
        <v>486604</v>
      </c>
      <c r="AB413">
        <v>28580</v>
      </c>
      <c r="AC413" t="s">
        <v>322</v>
      </c>
      <c r="AD413" t="s">
        <v>5</v>
      </c>
      <c r="AE413">
        <v>16</v>
      </c>
      <c r="AF413">
        <v>6</v>
      </c>
      <c r="AH413" t="s">
        <v>349</v>
      </c>
      <c r="AI413" t="s">
        <v>348</v>
      </c>
      <c r="AK413" t="s">
        <v>347</v>
      </c>
      <c r="AL413">
        <v>16</v>
      </c>
      <c r="AM413" s="4">
        <f t="shared" si="50"/>
        <v>0.3902439024390244</v>
      </c>
      <c r="AN413" s="21">
        <f t="shared" si="55"/>
        <v>5.9105475568197558E-4</v>
      </c>
      <c r="AO413" s="3"/>
      <c r="AP413">
        <v>0</v>
      </c>
      <c r="AR413" t="s">
        <v>1</v>
      </c>
      <c r="AT413" s="2">
        <v>1.431</v>
      </c>
      <c r="AU413" s="1">
        <f t="shared" si="51"/>
        <v>0.71098596049432949</v>
      </c>
      <c r="AV413" s="1">
        <f t="shared" si="52"/>
        <v>0.52473439337257755</v>
      </c>
      <c r="AW413" s="1">
        <f t="shared" si="53"/>
        <v>0.33848282625082554</v>
      </c>
    </row>
    <row r="414" spans="1:49" x14ac:dyDescent="0.2">
      <c r="A414">
        <v>412</v>
      </c>
      <c r="B414" t="s">
        <v>346</v>
      </c>
      <c r="C414" t="s">
        <v>345</v>
      </c>
      <c r="F414" t="s">
        <v>344</v>
      </c>
      <c r="G414" t="s">
        <v>16</v>
      </c>
      <c r="H414" t="s">
        <v>15</v>
      </c>
      <c r="I414" t="s">
        <v>343</v>
      </c>
      <c r="N414">
        <v>3</v>
      </c>
      <c r="O414" t="s">
        <v>342</v>
      </c>
      <c r="P414" t="s">
        <v>341</v>
      </c>
      <c r="Q414" t="s">
        <v>116</v>
      </c>
      <c r="R414" s="6">
        <v>29587</v>
      </c>
      <c r="S414" s="7">
        <f t="shared" si="48"/>
        <v>1981</v>
      </c>
      <c r="T414" s="7">
        <v>1981</v>
      </c>
      <c r="U414" s="7">
        <f t="shared" si="49"/>
        <v>41</v>
      </c>
      <c r="V414" s="6" t="s">
        <v>324</v>
      </c>
      <c r="W414" t="s">
        <v>323</v>
      </c>
      <c r="X414" s="2">
        <v>0.371</v>
      </c>
      <c r="Y414" s="5">
        <f t="shared" si="54"/>
        <v>9.9036331117695747E-3</v>
      </c>
      <c r="AA414">
        <v>486604</v>
      </c>
      <c r="AB414">
        <v>28580</v>
      </c>
      <c r="AC414" t="s">
        <v>322</v>
      </c>
      <c r="AD414" t="s">
        <v>5</v>
      </c>
      <c r="AE414">
        <v>16</v>
      </c>
      <c r="AF414">
        <v>5</v>
      </c>
      <c r="AH414" t="s">
        <v>340</v>
      </c>
      <c r="AI414" t="s">
        <v>339</v>
      </c>
      <c r="AK414" t="s">
        <v>338</v>
      </c>
      <c r="AL414">
        <v>33</v>
      </c>
      <c r="AM414" s="4">
        <f t="shared" si="50"/>
        <v>0.80487804878048785</v>
      </c>
      <c r="AN414" s="21">
        <f t="shared" si="55"/>
        <v>1.2190504335940747E-3</v>
      </c>
      <c r="AO414" s="3"/>
      <c r="AP414">
        <v>0</v>
      </c>
      <c r="AR414" t="s">
        <v>1</v>
      </c>
      <c r="AT414" s="2">
        <v>1.431</v>
      </c>
      <c r="AU414" s="1">
        <f t="shared" si="51"/>
        <v>0.72982583083169239</v>
      </c>
      <c r="AV414" s="1">
        <f t="shared" si="52"/>
        <v>0.55613417726818248</v>
      </c>
      <c r="AW414" s="1">
        <f t="shared" si="53"/>
        <v>0.38244252370467247</v>
      </c>
    </row>
    <row r="415" spans="1:49" x14ac:dyDescent="0.2">
      <c r="A415">
        <v>413</v>
      </c>
      <c r="B415" t="s">
        <v>337</v>
      </c>
      <c r="C415" t="s">
        <v>336</v>
      </c>
      <c r="F415" t="s">
        <v>335</v>
      </c>
      <c r="G415" t="s">
        <v>16</v>
      </c>
      <c r="H415" t="s">
        <v>15</v>
      </c>
      <c r="I415" t="s">
        <v>334</v>
      </c>
      <c r="N415">
        <v>1</v>
      </c>
      <c r="O415" t="s">
        <v>333</v>
      </c>
      <c r="P415">
        <v>7402077690</v>
      </c>
      <c r="R415" s="6">
        <v>29587</v>
      </c>
      <c r="S415" s="7">
        <f t="shared" si="48"/>
        <v>1981</v>
      </c>
      <c r="T415" s="7">
        <v>1981</v>
      </c>
      <c r="U415" s="7">
        <f t="shared" si="49"/>
        <v>41</v>
      </c>
      <c r="V415" s="6" t="s">
        <v>324</v>
      </c>
      <c r="W415" t="s">
        <v>323</v>
      </c>
      <c r="X415" s="2">
        <v>0.371</v>
      </c>
      <c r="Y415" s="5">
        <f t="shared" si="54"/>
        <v>9.9036331117695747E-3</v>
      </c>
      <c r="AA415">
        <v>486604</v>
      </c>
      <c r="AB415">
        <v>28580</v>
      </c>
      <c r="AC415" t="s">
        <v>322</v>
      </c>
      <c r="AD415" t="s">
        <v>5</v>
      </c>
      <c r="AE415">
        <v>16</v>
      </c>
      <c r="AF415">
        <v>5</v>
      </c>
      <c r="AH415" t="s">
        <v>332</v>
      </c>
      <c r="AI415" t="s">
        <v>331</v>
      </c>
      <c r="AK415" t="s">
        <v>330</v>
      </c>
      <c r="AL415">
        <v>11</v>
      </c>
      <c r="AM415" s="4">
        <f t="shared" si="50"/>
        <v>0.26829268292682928</v>
      </c>
      <c r="AN415" s="21">
        <f t="shared" si="55"/>
        <v>4.0635014453135827E-4</v>
      </c>
      <c r="AO415" s="3"/>
      <c r="AP415">
        <v>0</v>
      </c>
      <c r="AR415" t="s">
        <v>1</v>
      </c>
      <c r="AT415" s="2">
        <v>1.431</v>
      </c>
      <c r="AU415" s="1">
        <f t="shared" si="51"/>
        <v>0.70544482215981097</v>
      </c>
      <c r="AV415" s="1">
        <f t="shared" si="52"/>
        <v>0.51549916281504671</v>
      </c>
      <c r="AW415" s="1">
        <f t="shared" si="53"/>
        <v>0.32555350347028233</v>
      </c>
    </row>
    <row r="416" spans="1:49" x14ac:dyDescent="0.2">
      <c r="A416">
        <v>414</v>
      </c>
      <c r="B416" t="s">
        <v>329</v>
      </c>
      <c r="C416" t="s">
        <v>328</v>
      </c>
      <c r="F416" t="s">
        <v>327</v>
      </c>
      <c r="G416" t="s">
        <v>16</v>
      </c>
      <c r="H416" t="s">
        <v>15</v>
      </c>
      <c r="I416" t="s">
        <v>326</v>
      </c>
      <c r="N416">
        <v>1</v>
      </c>
      <c r="O416" t="s">
        <v>325</v>
      </c>
      <c r="P416">
        <v>6701785094</v>
      </c>
      <c r="R416" s="6">
        <v>29587</v>
      </c>
      <c r="S416" s="7">
        <f t="shared" si="48"/>
        <v>1981</v>
      </c>
      <c r="T416" s="7">
        <v>1981</v>
      </c>
      <c r="U416" s="7">
        <f t="shared" si="49"/>
        <v>41</v>
      </c>
      <c r="V416" s="6" t="s">
        <v>324</v>
      </c>
      <c r="W416" t="s">
        <v>323</v>
      </c>
      <c r="X416" s="2">
        <v>0.371</v>
      </c>
      <c r="Y416" s="5">
        <f t="shared" si="54"/>
        <v>9.9036331117695747E-3</v>
      </c>
      <c r="AA416">
        <v>486604</v>
      </c>
      <c r="AB416">
        <v>28580</v>
      </c>
      <c r="AC416" t="s">
        <v>322</v>
      </c>
      <c r="AD416" t="s">
        <v>5</v>
      </c>
      <c r="AE416">
        <v>16</v>
      </c>
      <c r="AF416">
        <v>5</v>
      </c>
      <c r="AH416" t="s">
        <v>321</v>
      </c>
      <c r="AI416" t="s">
        <v>320</v>
      </c>
      <c r="AK416" t="s">
        <v>319</v>
      </c>
      <c r="AL416">
        <v>2</v>
      </c>
      <c r="AM416" s="4">
        <f t="shared" si="50"/>
        <v>4.878048780487805E-2</v>
      </c>
      <c r="AN416" s="21">
        <f t="shared" si="55"/>
        <v>7.3881844460246948E-5</v>
      </c>
      <c r="AO416" s="3"/>
      <c r="AP416">
        <v>0</v>
      </c>
      <c r="AR416" t="s">
        <v>1</v>
      </c>
      <c r="AT416" s="2">
        <v>1.431</v>
      </c>
      <c r="AU416" s="1">
        <f t="shared" si="51"/>
        <v>0.69547077315767758</v>
      </c>
      <c r="AV416" s="1">
        <f t="shared" si="52"/>
        <v>0.49887574781149102</v>
      </c>
      <c r="AW416" s="1">
        <f t="shared" si="53"/>
        <v>0.30228072246530457</v>
      </c>
    </row>
    <row r="417" spans="1:49" x14ac:dyDescent="0.2">
      <c r="A417">
        <v>415</v>
      </c>
      <c r="B417" t="s">
        <v>318</v>
      </c>
      <c r="C417" t="s">
        <v>317</v>
      </c>
      <c r="D417">
        <v>94576581901132</v>
      </c>
      <c r="F417" t="s">
        <v>316</v>
      </c>
      <c r="G417" t="s">
        <v>16</v>
      </c>
      <c r="H417" t="s">
        <v>15</v>
      </c>
      <c r="I417" t="s">
        <v>315</v>
      </c>
      <c r="J417">
        <v>60025555</v>
      </c>
      <c r="K417" t="s">
        <v>314</v>
      </c>
      <c r="L417" t="s">
        <v>313</v>
      </c>
      <c r="M417" t="s">
        <v>312</v>
      </c>
      <c r="N417">
        <v>1</v>
      </c>
      <c r="O417" t="s">
        <v>311</v>
      </c>
      <c r="P417">
        <v>7005801010</v>
      </c>
      <c r="Q417">
        <v>60025555</v>
      </c>
      <c r="R417" s="6">
        <v>29587</v>
      </c>
      <c r="S417" s="7">
        <f t="shared" si="48"/>
        <v>1981</v>
      </c>
      <c r="T417" s="7">
        <v>1981</v>
      </c>
      <c r="U417" s="7">
        <f t="shared" si="49"/>
        <v>41</v>
      </c>
      <c r="V417" s="6" t="s">
        <v>310</v>
      </c>
      <c r="W417" t="s">
        <v>309</v>
      </c>
      <c r="X417" s="2">
        <v>1.1339999999999999</v>
      </c>
      <c r="Y417" s="5">
        <f t="shared" si="54"/>
        <v>3.0271482341635299E-2</v>
      </c>
      <c r="AA417">
        <v>945765</v>
      </c>
      <c r="AB417">
        <v>12372</v>
      </c>
      <c r="AD417" t="s">
        <v>5</v>
      </c>
      <c r="AE417">
        <v>8</v>
      </c>
      <c r="AF417" s="8">
        <v>44352</v>
      </c>
      <c r="AH417" t="s">
        <v>308</v>
      </c>
      <c r="AI417" t="s">
        <v>307</v>
      </c>
      <c r="AK417" t="s">
        <v>306</v>
      </c>
      <c r="AL417">
        <v>4</v>
      </c>
      <c r="AM417" s="4">
        <f t="shared" si="50"/>
        <v>9.7560975609756101E-2</v>
      </c>
      <c r="AN417" s="21">
        <f t="shared" si="55"/>
        <v>1.477636889204939E-4</v>
      </c>
      <c r="AO417" s="3"/>
      <c r="AP417">
        <v>0</v>
      </c>
      <c r="AR417" t="s">
        <v>1</v>
      </c>
      <c r="AT417" s="2">
        <v>2.4129999999999998</v>
      </c>
      <c r="AU417" s="1">
        <f t="shared" si="51"/>
        <v>2.1234366745820856</v>
      </c>
      <c r="AV417" s="1">
        <f t="shared" si="52"/>
        <v>1.5209623015277896</v>
      </c>
      <c r="AW417" s="1">
        <f t="shared" si="53"/>
        <v>0.91848792847349348</v>
      </c>
    </row>
    <row r="418" spans="1:49" x14ac:dyDescent="0.2">
      <c r="A418">
        <v>416</v>
      </c>
      <c r="B418" t="s">
        <v>305</v>
      </c>
      <c r="C418" t="s">
        <v>304</v>
      </c>
      <c r="F418" t="s">
        <v>303</v>
      </c>
      <c r="G418" t="s">
        <v>16</v>
      </c>
      <c r="H418" t="s">
        <v>15</v>
      </c>
      <c r="I418" t="s">
        <v>302</v>
      </c>
      <c r="J418">
        <v>60000990</v>
      </c>
      <c r="K418" t="s">
        <v>301</v>
      </c>
      <c r="L418" t="s">
        <v>300</v>
      </c>
      <c r="M418" t="s">
        <v>299</v>
      </c>
      <c r="N418">
        <v>4</v>
      </c>
      <c r="O418" t="s">
        <v>298</v>
      </c>
      <c r="P418" t="s">
        <v>297</v>
      </c>
      <c r="Q418" t="s">
        <v>296</v>
      </c>
      <c r="R418" s="6">
        <v>29587</v>
      </c>
      <c r="S418" s="7">
        <f t="shared" si="48"/>
        <v>1981</v>
      </c>
      <c r="T418" s="7">
        <v>1981</v>
      </c>
      <c r="U418" s="7">
        <f t="shared" si="49"/>
        <v>41</v>
      </c>
      <c r="V418" s="6">
        <v>29587</v>
      </c>
      <c r="W418" t="s">
        <v>287</v>
      </c>
      <c r="X418" s="2">
        <v>0.62</v>
      </c>
      <c r="Y418" s="5">
        <f t="shared" si="54"/>
        <v>1.6550545901070447E-2</v>
      </c>
      <c r="AA418">
        <v>189464</v>
      </c>
      <c r="AB418">
        <v>17364</v>
      </c>
      <c r="AC418">
        <v>19410069</v>
      </c>
      <c r="AD418" t="s">
        <v>5</v>
      </c>
      <c r="AE418">
        <v>17</v>
      </c>
      <c r="AF418">
        <v>1</v>
      </c>
      <c r="AH418" t="s">
        <v>295</v>
      </c>
      <c r="AL418">
        <v>23</v>
      </c>
      <c r="AM418" s="4">
        <f t="shared" si="50"/>
        <v>0.56097560975609762</v>
      </c>
      <c r="AN418" s="21">
        <f t="shared" si="55"/>
        <v>8.4964121129284004E-4</v>
      </c>
      <c r="AO418" s="3"/>
      <c r="AP418">
        <v>0</v>
      </c>
      <c r="AR418" t="s">
        <v>1</v>
      </c>
      <c r="AT418" s="2">
        <v>1.7</v>
      </c>
      <c r="AU418" s="1">
        <f t="shared" si="51"/>
        <v>1.1840274494137164</v>
      </c>
      <c r="AV418" s="1">
        <f t="shared" si="52"/>
        <v>0.87000935561816428</v>
      </c>
      <c r="AW418" s="1">
        <f t="shared" si="53"/>
        <v>0.55599126182261216</v>
      </c>
    </row>
    <row r="419" spans="1:49" x14ac:dyDescent="0.2">
      <c r="A419">
        <v>417</v>
      </c>
      <c r="B419" t="s">
        <v>294</v>
      </c>
      <c r="C419" t="s">
        <v>293</v>
      </c>
      <c r="F419" t="s">
        <v>292</v>
      </c>
      <c r="G419" t="s">
        <v>16</v>
      </c>
      <c r="H419" t="s">
        <v>15</v>
      </c>
      <c r="I419" t="s">
        <v>291</v>
      </c>
      <c r="J419">
        <v>100835474</v>
      </c>
      <c r="K419" t="s">
        <v>290</v>
      </c>
      <c r="L419" t="s">
        <v>289</v>
      </c>
      <c r="M419" t="s">
        <v>11</v>
      </c>
      <c r="N419">
        <v>1</v>
      </c>
      <c r="O419" t="s">
        <v>288</v>
      </c>
      <c r="P419">
        <v>7404980697</v>
      </c>
      <c r="Q419">
        <v>100835474</v>
      </c>
      <c r="R419" s="6">
        <v>29587</v>
      </c>
      <c r="S419" s="7">
        <f t="shared" si="48"/>
        <v>1981</v>
      </c>
      <c r="T419" s="7">
        <v>1981</v>
      </c>
      <c r="U419" s="7">
        <f t="shared" si="49"/>
        <v>41</v>
      </c>
      <c r="V419" s="6">
        <v>29587</v>
      </c>
      <c r="W419" t="s">
        <v>287</v>
      </c>
      <c r="X419" s="2">
        <v>0.62</v>
      </c>
      <c r="Y419" s="5">
        <f t="shared" si="54"/>
        <v>1.6550545901070447E-2</v>
      </c>
      <c r="AA419">
        <v>189464</v>
      </c>
      <c r="AB419">
        <v>17364</v>
      </c>
      <c r="AC419">
        <v>19410069</v>
      </c>
      <c r="AD419" t="s">
        <v>5</v>
      </c>
      <c r="AE419">
        <v>17</v>
      </c>
      <c r="AF419">
        <v>1</v>
      </c>
      <c r="AH419" t="s">
        <v>286</v>
      </c>
      <c r="AI419" t="s">
        <v>285</v>
      </c>
      <c r="AK419" t="s">
        <v>284</v>
      </c>
      <c r="AL419">
        <v>3</v>
      </c>
      <c r="AM419" s="4">
        <f t="shared" si="50"/>
        <v>7.3170731707317069E-2</v>
      </c>
      <c r="AN419" s="21">
        <f t="shared" si="55"/>
        <v>1.1082276669037041E-4</v>
      </c>
      <c r="AO419" s="3"/>
      <c r="AP419">
        <v>0</v>
      </c>
      <c r="AR419" t="s">
        <v>1</v>
      </c>
      <c r="AT419" s="2">
        <v>1.7</v>
      </c>
      <c r="AU419" s="1">
        <f t="shared" si="51"/>
        <v>1.1618628960756423</v>
      </c>
      <c r="AV419" s="1">
        <f t="shared" si="52"/>
        <v>0.83306843338804093</v>
      </c>
      <c r="AW419" s="1">
        <f t="shared" si="53"/>
        <v>0.50427397070043933</v>
      </c>
    </row>
    <row r="420" spans="1:49" x14ac:dyDescent="0.2">
      <c r="A420">
        <v>418</v>
      </c>
      <c r="B420" t="s">
        <v>283</v>
      </c>
      <c r="C420" t="s">
        <v>282</v>
      </c>
      <c r="F420" t="s">
        <v>281</v>
      </c>
      <c r="G420" t="s">
        <v>16</v>
      </c>
      <c r="H420" t="s">
        <v>15</v>
      </c>
      <c r="I420" t="s">
        <v>280</v>
      </c>
      <c r="J420" t="s">
        <v>274</v>
      </c>
      <c r="K420" t="s">
        <v>279</v>
      </c>
      <c r="L420" t="s">
        <v>278</v>
      </c>
      <c r="M420" t="s">
        <v>277</v>
      </c>
      <c r="N420">
        <v>2</v>
      </c>
      <c r="O420" t="s">
        <v>276</v>
      </c>
      <c r="P420" t="s">
        <v>275</v>
      </c>
      <c r="Q420" t="s">
        <v>274</v>
      </c>
      <c r="R420" s="6">
        <v>29587</v>
      </c>
      <c r="S420" s="7">
        <f t="shared" si="48"/>
        <v>1981</v>
      </c>
      <c r="T420" s="7">
        <v>1981</v>
      </c>
      <c r="U420" s="7">
        <f t="shared" si="49"/>
        <v>41</v>
      </c>
      <c r="V420" s="6">
        <v>29799</v>
      </c>
      <c r="W420" t="s">
        <v>273</v>
      </c>
      <c r="X420" s="2">
        <v>1.468</v>
      </c>
      <c r="Y420" s="5">
        <f t="shared" si="54"/>
        <v>3.9187421585115186E-2</v>
      </c>
      <c r="AA420">
        <v>906778</v>
      </c>
      <c r="AB420">
        <v>18931</v>
      </c>
      <c r="AD420" t="s">
        <v>5</v>
      </c>
      <c r="AE420">
        <v>29</v>
      </c>
      <c r="AF420">
        <v>8</v>
      </c>
      <c r="AH420" t="s">
        <v>272</v>
      </c>
      <c r="AI420" t="s">
        <v>271</v>
      </c>
      <c r="AK420" t="s">
        <v>270</v>
      </c>
      <c r="AL420">
        <v>0</v>
      </c>
      <c r="AM420" s="4">
        <f t="shared" si="50"/>
        <v>0</v>
      </c>
      <c r="AN420" s="21">
        <f t="shared" si="55"/>
        <v>0</v>
      </c>
      <c r="AO420" s="3"/>
      <c r="AP420">
        <v>0</v>
      </c>
      <c r="AR420" t="s">
        <v>1</v>
      </c>
      <c r="AT420" s="2">
        <v>5.0830000000000002</v>
      </c>
      <c r="AU420" s="1">
        <f t="shared" si="51"/>
        <v>2.7431195109580626</v>
      </c>
      <c r="AV420" s="1">
        <f t="shared" si="52"/>
        <v>1.9593710792557593</v>
      </c>
      <c r="AW420" s="1">
        <f t="shared" si="53"/>
        <v>1.1756226475534557</v>
      </c>
    </row>
    <row r="421" spans="1:49" x14ac:dyDescent="0.2">
      <c r="A421">
        <v>419</v>
      </c>
      <c r="B421" t="s">
        <v>269</v>
      </c>
      <c r="C421" t="s">
        <v>268</v>
      </c>
      <c r="D421" t="s">
        <v>267</v>
      </c>
      <c r="F421" t="s">
        <v>266</v>
      </c>
      <c r="G421" t="s">
        <v>16</v>
      </c>
      <c r="H421" t="s">
        <v>15</v>
      </c>
      <c r="I421" t="s">
        <v>265</v>
      </c>
      <c r="J421">
        <v>60023254</v>
      </c>
      <c r="K421" t="s">
        <v>264</v>
      </c>
      <c r="L421" t="s">
        <v>263</v>
      </c>
      <c r="M421" t="s">
        <v>39</v>
      </c>
      <c r="N421">
        <v>3</v>
      </c>
      <c r="O421" t="s">
        <v>262</v>
      </c>
      <c r="P421" t="s">
        <v>261</v>
      </c>
      <c r="Q421" t="s">
        <v>260</v>
      </c>
      <c r="R421" s="6">
        <v>29587</v>
      </c>
      <c r="S421" s="7">
        <f t="shared" si="48"/>
        <v>1981</v>
      </c>
      <c r="T421" s="7">
        <v>1981</v>
      </c>
      <c r="U421" s="7">
        <f t="shared" si="49"/>
        <v>41</v>
      </c>
      <c r="V421" s="6">
        <v>29768</v>
      </c>
      <c r="W421" t="s">
        <v>90</v>
      </c>
      <c r="X421" s="2">
        <v>0.51500000000000001</v>
      </c>
      <c r="Y421" s="5">
        <f t="shared" si="54"/>
        <v>1.374763086943755E-2</v>
      </c>
      <c r="AA421">
        <v>219169</v>
      </c>
      <c r="AB421">
        <v>30966</v>
      </c>
      <c r="AD421" t="s">
        <v>5</v>
      </c>
      <c r="AE421">
        <v>43</v>
      </c>
      <c r="AF421">
        <v>7</v>
      </c>
      <c r="AH421" t="s">
        <v>259</v>
      </c>
      <c r="AI421" t="s">
        <v>258</v>
      </c>
      <c r="AK421" t="s">
        <v>257</v>
      </c>
      <c r="AL421">
        <v>15</v>
      </c>
      <c r="AM421" s="4">
        <f t="shared" si="50"/>
        <v>0.36585365853658536</v>
      </c>
      <c r="AN421" s="21">
        <f t="shared" si="55"/>
        <v>5.5411383345185209E-4</v>
      </c>
      <c r="AO421" s="3"/>
      <c r="AP421">
        <v>0</v>
      </c>
      <c r="AR421" t="s">
        <v>1</v>
      </c>
      <c r="AT421" s="2" t="s">
        <v>0</v>
      </c>
      <c r="AU421" s="1">
        <f t="shared" si="51"/>
        <v>0.97895757586418408</v>
      </c>
      <c r="AV421" s="1">
        <f t="shared" si="52"/>
        <v>0.71508723514447015</v>
      </c>
      <c r="AW421" s="1">
        <f t="shared" si="53"/>
        <v>0.45121689442475615</v>
      </c>
    </row>
    <row r="422" spans="1:49" x14ac:dyDescent="0.2">
      <c r="A422">
        <v>420</v>
      </c>
      <c r="B422" t="s">
        <v>256</v>
      </c>
      <c r="C422" t="s">
        <v>255</v>
      </c>
      <c r="D422" t="s">
        <v>254</v>
      </c>
      <c r="F422" t="s">
        <v>253</v>
      </c>
      <c r="G422" t="s">
        <v>16</v>
      </c>
      <c r="H422" t="s">
        <v>15</v>
      </c>
      <c r="I422" t="s">
        <v>252</v>
      </c>
      <c r="J422">
        <v>60015669</v>
      </c>
      <c r="K422" t="s">
        <v>251</v>
      </c>
      <c r="L422" t="s">
        <v>250</v>
      </c>
      <c r="M422" t="s">
        <v>11</v>
      </c>
      <c r="N422">
        <v>2</v>
      </c>
      <c r="O422" t="s">
        <v>249</v>
      </c>
      <c r="P422" t="s">
        <v>248</v>
      </c>
      <c r="Q422" t="s">
        <v>247</v>
      </c>
      <c r="R422" s="6">
        <v>29587</v>
      </c>
      <c r="S422" s="7">
        <f t="shared" si="48"/>
        <v>1981</v>
      </c>
      <c r="T422" s="7">
        <v>1981</v>
      </c>
      <c r="U422" s="7">
        <f t="shared" si="49"/>
        <v>41</v>
      </c>
      <c r="V422" s="6">
        <v>1981</v>
      </c>
      <c r="W422" t="s">
        <v>24</v>
      </c>
      <c r="X422" s="2">
        <v>0.89900000000000002</v>
      </c>
      <c r="Y422" s="5">
        <f t="shared" si="54"/>
        <v>2.399829155655215E-2</v>
      </c>
      <c r="AA422">
        <v>221910</v>
      </c>
      <c r="AB422">
        <v>20487</v>
      </c>
      <c r="AD422" t="s">
        <v>5</v>
      </c>
      <c r="AE422">
        <v>27</v>
      </c>
      <c r="AF422">
        <v>9</v>
      </c>
      <c r="AH422" t="s">
        <v>246</v>
      </c>
      <c r="AI422" t="s">
        <v>245</v>
      </c>
      <c r="AJ422" t="s">
        <v>244</v>
      </c>
      <c r="AK422" t="s">
        <v>243</v>
      </c>
      <c r="AL422">
        <v>14</v>
      </c>
      <c r="AM422" s="4">
        <f t="shared" si="50"/>
        <v>0.34146341463414637</v>
      </c>
      <c r="AN422" s="21">
        <f t="shared" si="55"/>
        <v>5.171729112217287E-4</v>
      </c>
      <c r="AO422" s="3"/>
      <c r="AP422">
        <v>0</v>
      </c>
      <c r="AR422" t="s">
        <v>1</v>
      </c>
      <c r="AT422" s="2">
        <v>2.3540000000000001</v>
      </c>
      <c r="AU422" s="1">
        <f t="shared" si="51"/>
        <v>1.695395596295302</v>
      </c>
      <c r="AV422" s="1">
        <f t="shared" si="52"/>
        <v>1.225773223388694</v>
      </c>
      <c r="AW422" s="1">
        <f t="shared" si="53"/>
        <v>0.75615085048208541</v>
      </c>
    </row>
    <row r="423" spans="1:49" x14ac:dyDescent="0.2">
      <c r="A423">
        <v>421</v>
      </c>
      <c r="B423" t="s">
        <v>242</v>
      </c>
      <c r="C423" t="s">
        <v>241</v>
      </c>
      <c r="F423" t="s">
        <v>240</v>
      </c>
      <c r="G423" t="s">
        <v>16</v>
      </c>
      <c r="H423" t="s">
        <v>15</v>
      </c>
      <c r="I423" t="s">
        <v>239</v>
      </c>
      <c r="J423">
        <v>60006337</v>
      </c>
      <c r="K423" t="s">
        <v>238</v>
      </c>
      <c r="L423" t="s">
        <v>237</v>
      </c>
      <c r="M423" t="s">
        <v>11</v>
      </c>
      <c r="N423">
        <v>1</v>
      </c>
      <c r="O423" t="s">
        <v>236</v>
      </c>
      <c r="P423">
        <v>7103373841</v>
      </c>
      <c r="Q423">
        <v>60006337</v>
      </c>
      <c r="R423" s="6">
        <v>29587</v>
      </c>
      <c r="S423" s="7">
        <f t="shared" si="48"/>
        <v>1981</v>
      </c>
      <c r="T423" s="7">
        <v>1981</v>
      </c>
      <c r="U423" s="7">
        <f t="shared" si="49"/>
        <v>41</v>
      </c>
      <c r="V423" s="6">
        <v>29891</v>
      </c>
      <c r="W423" t="s">
        <v>235</v>
      </c>
      <c r="X423" s="2">
        <v>1.6519999999999999</v>
      </c>
      <c r="Y423" s="5">
        <f t="shared" si="54"/>
        <v>4.409919649769093E-2</v>
      </c>
      <c r="AA423" t="s">
        <v>234</v>
      </c>
      <c r="AB423">
        <v>17337</v>
      </c>
      <c r="AC423">
        <v>15582221</v>
      </c>
      <c r="AD423" t="s">
        <v>5</v>
      </c>
      <c r="AE423">
        <v>29</v>
      </c>
      <c r="AF423">
        <v>6</v>
      </c>
      <c r="AH423" t="s">
        <v>233</v>
      </c>
      <c r="AI423" t="s">
        <v>232</v>
      </c>
      <c r="AK423" t="s">
        <v>231</v>
      </c>
      <c r="AL423">
        <v>16</v>
      </c>
      <c r="AM423" s="4">
        <f t="shared" si="50"/>
        <v>0.3902439024390244</v>
      </c>
      <c r="AN423" s="21">
        <f t="shared" si="55"/>
        <v>5.9105475568197558E-4</v>
      </c>
      <c r="AO423" s="3"/>
      <c r="AP423">
        <v>0</v>
      </c>
      <c r="AR423" t="s">
        <v>1</v>
      </c>
      <c r="AT423" s="2" t="s">
        <v>0</v>
      </c>
      <c r="AU423" s="1">
        <f t="shared" si="51"/>
        <v>3.1046753975088244</v>
      </c>
      <c r="AV423" s="1">
        <f t="shared" si="52"/>
        <v>2.2345125626686455</v>
      </c>
      <c r="AW423" s="1">
        <f t="shared" si="53"/>
        <v>1.364349727828466</v>
      </c>
    </row>
    <row r="424" spans="1:49" x14ac:dyDescent="0.2">
      <c r="A424">
        <v>422</v>
      </c>
      <c r="B424" t="s">
        <v>230</v>
      </c>
      <c r="C424" t="s">
        <v>229</v>
      </c>
      <c r="D424">
        <v>21916981901409</v>
      </c>
      <c r="F424" t="s">
        <v>228</v>
      </c>
      <c r="G424" t="s">
        <v>16</v>
      </c>
      <c r="H424" t="s">
        <v>15</v>
      </c>
      <c r="I424" t="s">
        <v>227</v>
      </c>
      <c r="J424" t="s">
        <v>226</v>
      </c>
      <c r="K424" t="s">
        <v>225</v>
      </c>
      <c r="L424" t="s">
        <v>224</v>
      </c>
      <c r="M424" t="s">
        <v>223</v>
      </c>
      <c r="N424">
        <v>3</v>
      </c>
      <c r="O424" t="s">
        <v>222</v>
      </c>
      <c r="P424" t="s">
        <v>221</v>
      </c>
      <c r="Q424" t="s">
        <v>220</v>
      </c>
      <c r="R424" s="6">
        <v>29587</v>
      </c>
      <c r="S424" s="7">
        <f t="shared" si="48"/>
        <v>1981</v>
      </c>
      <c r="T424" s="7">
        <v>1981</v>
      </c>
      <c r="U424" s="7">
        <f t="shared" si="49"/>
        <v>41</v>
      </c>
      <c r="V424" s="6">
        <v>29768</v>
      </c>
      <c r="W424" t="s">
        <v>90</v>
      </c>
      <c r="X424" s="2">
        <v>0.51500000000000001</v>
      </c>
      <c r="Y424" s="5">
        <f t="shared" si="54"/>
        <v>1.374763086943755E-2</v>
      </c>
      <c r="AA424">
        <v>219169</v>
      </c>
      <c r="AB424">
        <v>30966</v>
      </c>
      <c r="AD424" t="s">
        <v>5</v>
      </c>
      <c r="AE424">
        <v>43</v>
      </c>
      <c r="AF424">
        <v>7</v>
      </c>
      <c r="AH424" t="s">
        <v>219</v>
      </c>
      <c r="AI424" t="s">
        <v>218</v>
      </c>
      <c r="AK424" t="s">
        <v>217</v>
      </c>
      <c r="AL424">
        <v>24</v>
      </c>
      <c r="AM424" s="4">
        <f t="shared" si="50"/>
        <v>0.58536585365853655</v>
      </c>
      <c r="AN424" s="21">
        <f t="shared" si="55"/>
        <v>8.8658213352296332E-4</v>
      </c>
      <c r="AO424" s="3"/>
      <c r="AP424">
        <v>0</v>
      </c>
      <c r="AR424" t="s">
        <v>1</v>
      </c>
      <c r="AT424" s="2" t="s">
        <v>0</v>
      </c>
      <c r="AU424" s="1">
        <f t="shared" si="51"/>
        <v>0.98893162486631725</v>
      </c>
      <c r="AV424" s="1">
        <f t="shared" si="52"/>
        <v>0.73171065014802572</v>
      </c>
      <c r="AW424" s="1">
        <f t="shared" si="53"/>
        <v>0.47448967542973391</v>
      </c>
    </row>
    <row r="425" spans="1:49" x14ac:dyDescent="0.2">
      <c r="A425">
        <v>423</v>
      </c>
      <c r="B425" t="s">
        <v>216</v>
      </c>
      <c r="C425" t="s">
        <v>215</v>
      </c>
      <c r="F425" t="s">
        <v>214</v>
      </c>
      <c r="G425" t="s">
        <v>16</v>
      </c>
      <c r="H425" t="s">
        <v>15</v>
      </c>
      <c r="I425" t="s">
        <v>213</v>
      </c>
      <c r="J425" t="s">
        <v>212</v>
      </c>
      <c r="K425" t="s">
        <v>211</v>
      </c>
      <c r="L425" t="s">
        <v>210</v>
      </c>
      <c r="M425" t="s">
        <v>209</v>
      </c>
      <c r="N425">
        <v>4</v>
      </c>
      <c r="O425" t="s">
        <v>208</v>
      </c>
      <c r="P425" t="s">
        <v>207</v>
      </c>
      <c r="Q425" t="s">
        <v>206</v>
      </c>
      <c r="R425" s="6">
        <v>29587</v>
      </c>
      <c r="S425" s="7">
        <f t="shared" si="48"/>
        <v>1981</v>
      </c>
      <c r="T425" s="7">
        <v>1981</v>
      </c>
      <c r="U425" s="7">
        <f t="shared" si="49"/>
        <v>41</v>
      </c>
      <c r="V425" s="6">
        <v>1981</v>
      </c>
      <c r="W425" t="s">
        <v>205</v>
      </c>
      <c r="X425" s="2">
        <v>1.1879999999999999</v>
      </c>
      <c r="Y425" s="5">
        <f t="shared" si="54"/>
        <v>3.1712981500760788E-2</v>
      </c>
      <c r="AA425">
        <v>10706631</v>
      </c>
      <c r="AB425">
        <v>29210</v>
      </c>
      <c r="AD425" t="s">
        <v>5</v>
      </c>
      <c r="AE425">
        <v>24</v>
      </c>
      <c r="AF425">
        <v>8</v>
      </c>
      <c r="AH425" t="s">
        <v>204</v>
      </c>
      <c r="AI425" t="s">
        <v>203</v>
      </c>
      <c r="AK425" t="s">
        <v>202</v>
      </c>
      <c r="AL425">
        <v>10</v>
      </c>
      <c r="AM425" s="4">
        <f t="shared" si="50"/>
        <v>0.24390243902439024</v>
      </c>
      <c r="AN425" s="21">
        <f t="shared" si="55"/>
        <v>3.6940922230123473E-4</v>
      </c>
      <c r="AO425" s="3"/>
      <c r="AP425">
        <v>0</v>
      </c>
      <c r="AR425" t="s">
        <v>1</v>
      </c>
      <c r="AT425" s="2">
        <v>3.5209999999999999</v>
      </c>
      <c r="AU425" s="1">
        <f t="shared" si="51"/>
        <v>2.2309909817222922</v>
      </c>
      <c r="AV425" s="1">
        <f t="shared" si="52"/>
        <v>1.6041195361531011</v>
      </c>
      <c r="AW425" s="1">
        <f t="shared" si="53"/>
        <v>0.97724809058391016</v>
      </c>
    </row>
    <row r="426" spans="1:49" x14ac:dyDescent="0.2">
      <c r="A426">
        <v>424</v>
      </c>
      <c r="B426" t="s">
        <v>201</v>
      </c>
      <c r="C426" t="s">
        <v>200</v>
      </c>
      <c r="D426">
        <v>273117781901320</v>
      </c>
      <c r="F426" t="s">
        <v>199</v>
      </c>
      <c r="G426" t="s">
        <v>16</v>
      </c>
      <c r="H426" t="s">
        <v>15</v>
      </c>
      <c r="I426" t="s">
        <v>198</v>
      </c>
      <c r="J426" t="s">
        <v>197</v>
      </c>
      <c r="K426" t="s">
        <v>196</v>
      </c>
      <c r="L426" t="s">
        <v>195</v>
      </c>
      <c r="M426" t="s">
        <v>194</v>
      </c>
      <c r="N426">
        <v>3</v>
      </c>
      <c r="O426" t="s">
        <v>193</v>
      </c>
      <c r="P426" t="s">
        <v>192</v>
      </c>
      <c r="Q426" t="s">
        <v>191</v>
      </c>
      <c r="R426" s="6">
        <v>29587</v>
      </c>
      <c r="S426" s="7">
        <f t="shared" si="48"/>
        <v>1981</v>
      </c>
      <c r="T426" s="7">
        <v>1981</v>
      </c>
      <c r="U426" s="7">
        <f t="shared" si="49"/>
        <v>41</v>
      </c>
      <c r="V426" s="6">
        <v>1981</v>
      </c>
      <c r="W426" t="s">
        <v>190</v>
      </c>
      <c r="X426" s="2">
        <v>0.68200000000000005</v>
      </c>
      <c r="Y426" s="5">
        <f t="shared" si="54"/>
        <v>1.8205600491177493E-2</v>
      </c>
      <c r="AA426">
        <v>2731177</v>
      </c>
      <c r="AB426">
        <v>12375</v>
      </c>
      <c r="AD426" t="s">
        <v>5</v>
      </c>
      <c r="AE426">
        <v>1</v>
      </c>
      <c r="AF426">
        <v>1</v>
      </c>
      <c r="AH426" t="s">
        <v>189</v>
      </c>
      <c r="AI426" t="s">
        <v>188</v>
      </c>
      <c r="AK426" t="s">
        <v>187</v>
      </c>
      <c r="AL426">
        <v>15</v>
      </c>
      <c r="AM426" s="4">
        <f t="shared" si="50"/>
        <v>0.36585365853658536</v>
      </c>
      <c r="AN426" s="21">
        <f t="shared" si="55"/>
        <v>5.5411383345185209E-4</v>
      </c>
      <c r="AO426" s="3"/>
      <c r="AP426">
        <v>0</v>
      </c>
      <c r="AR426" t="s">
        <v>1</v>
      </c>
      <c r="AT426" s="2">
        <v>2.1520000000000001</v>
      </c>
      <c r="AU426" s="1">
        <f t="shared" si="51"/>
        <v>1.29101544938598</v>
      </c>
      <c r="AV426" s="1">
        <f t="shared" si="52"/>
        <v>0.9379857162314672</v>
      </c>
      <c r="AW426" s="1">
        <f t="shared" si="53"/>
        <v>0.5849559830769544</v>
      </c>
    </row>
    <row r="427" spans="1:49" x14ac:dyDescent="0.2">
      <c r="A427">
        <v>425</v>
      </c>
      <c r="B427" t="s">
        <v>186</v>
      </c>
      <c r="C427" t="s">
        <v>185</v>
      </c>
      <c r="F427" t="s">
        <v>184</v>
      </c>
      <c r="G427" t="s">
        <v>16</v>
      </c>
      <c r="H427" t="s">
        <v>15</v>
      </c>
      <c r="I427" t="s">
        <v>183</v>
      </c>
      <c r="J427">
        <v>60010023</v>
      </c>
      <c r="K427" t="s">
        <v>182</v>
      </c>
      <c r="L427" t="s">
        <v>181</v>
      </c>
      <c r="M427" t="s">
        <v>131</v>
      </c>
      <c r="N427">
        <v>1</v>
      </c>
      <c r="O427" t="s">
        <v>180</v>
      </c>
      <c r="P427">
        <v>6603416331</v>
      </c>
      <c r="Q427">
        <v>60010023</v>
      </c>
      <c r="R427" s="6">
        <v>29587</v>
      </c>
      <c r="S427" s="7">
        <f t="shared" si="48"/>
        <v>1981</v>
      </c>
      <c r="T427" s="7">
        <v>1981</v>
      </c>
      <c r="U427" s="7">
        <f t="shared" si="49"/>
        <v>41</v>
      </c>
      <c r="V427" s="6">
        <v>29830</v>
      </c>
      <c r="W427" t="s">
        <v>127</v>
      </c>
      <c r="X427" s="2">
        <v>0.76500000000000001</v>
      </c>
      <c r="Y427" s="5">
        <f t="shared" si="54"/>
        <v>2.0421238087611118E-2</v>
      </c>
      <c r="AA427">
        <v>138703</v>
      </c>
      <c r="AB427">
        <v>19793</v>
      </c>
      <c r="AC427">
        <v>15707458</v>
      </c>
      <c r="AD427" t="s">
        <v>5</v>
      </c>
      <c r="AE427">
        <v>30</v>
      </c>
      <c r="AF427">
        <v>2</v>
      </c>
      <c r="AH427" t="s">
        <v>179</v>
      </c>
      <c r="AI427" t="s">
        <v>178</v>
      </c>
      <c r="AK427" t="s">
        <v>177</v>
      </c>
      <c r="AL427">
        <v>87</v>
      </c>
      <c r="AM427" s="4">
        <f t="shared" si="50"/>
        <v>2.1219512195121952</v>
      </c>
      <c r="AN427" s="21">
        <f t="shared" si="55"/>
        <v>3.2138602340207427E-3</v>
      </c>
      <c r="AO427" s="3"/>
      <c r="AP427">
        <v>0</v>
      </c>
      <c r="AR427" t="s">
        <v>1</v>
      </c>
      <c r="AT427" s="2" t="s">
        <v>0</v>
      </c>
      <c r="AU427" s="1">
        <f t="shared" si="51"/>
        <v>1.5259024731534003</v>
      </c>
      <c r="AV427" s="1">
        <f t="shared" si="52"/>
        <v>1.181754916081593</v>
      </c>
      <c r="AW427" s="1">
        <f t="shared" si="53"/>
        <v>0.83760735900978556</v>
      </c>
    </row>
    <row r="428" spans="1:49" x14ac:dyDescent="0.2">
      <c r="A428">
        <v>426</v>
      </c>
      <c r="B428" t="s">
        <v>176</v>
      </c>
      <c r="C428" t="s">
        <v>175</v>
      </c>
      <c r="F428" t="s">
        <v>174</v>
      </c>
      <c r="G428" t="s">
        <v>16</v>
      </c>
      <c r="H428" t="s">
        <v>15</v>
      </c>
      <c r="I428" t="s">
        <v>173</v>
      </c>
      <c r="J428">
        <v>60026175</v>
      </c>
      <c r="K428" t="s">
        <v>172</v>
      </c>
      <c r="L428" t="s">
        <v>171</v>
      </c>
      <c r="M428" t="s">
        <v>11</v>
      </c>
      <c r="N428">
        <v>6</v>
      </c>
      <c r="O428" t="s">
        <v>170</v>
      </c>
      <c r="P428" t="s">
        <v>169</v>
      </c>
      <c r="Q428" t="s">
        <v>168</v>
      </c>
      <c r="R428" s="6">
        <v>29587</v>
      </c>
      <c r="S428" s="7">
        <f t="shared" si="48"/>
        <v>1981</v>
      </c>
      <c r="T428" s="7">
        <v>1981</v>
      </c>
      <c r="U428" s="7">
        <f t="shared" si="49"/>
        <v>41</v>
      </c>
      <c r="V428" s="6">
        <v>29587</v>
      </c>
      <c r="W428" t="s">
        <v>167</v>
      </c>
      <c r="X428" s="2">
        <v>0.22500000000000001</v>
      </c>
      <c r="Y428" s="5">
        <f t="shared" si="54"/>
        <v>6.0062464963562111E-3</v>
      </c>
      <c r="AA428">
        <v>2726343</v>
      </c>
      <c r="AB428">
        <v>16128</v>
      </c>
      <c r="AC428" t="s">
        <v>166</v>
      </c>
      <c r="AD428" t="s">
        <v>5</v>
      </c>
      <c r="AE428">
        <v>1</v>
      </c>
      <c r="AF428">
        <v>1</v>
      </c>
      <c r="AH428" t="s">
        <v>165</v>
      </c>
      <c r="AI428" t="s">
        <v>164</v>
      </c>
      <c r="AK428" t="s">
        <v>163</v>
      </c>
      <c r="AL428">
        <v>42</v>
      </c>
      <c r="AM428" s="4">
        <f t="shared" si="50"/>
        <v>1.024390243902439</v>
      </c>
      <c r="AN428" s="21">
        <f t="shared" si="55"/>
        <v>1.5515187336651859E-3</v>
      </c>
      <c r="AO428" s="3"/>
      <c r="AP428">
        <v>0</v>
      </c>
      <c r="AR428" t="s">
        <v>1</v>
      </c>
      <c r="AT428" s="2">
        <v>1.099</v>
      </c>
      <c r="AU428" s="1">
        <f t="shared" si="51"/>
        <v>0.46698281675489034</v>
      </c>
      <c r="AV428" s="1">
        <f t="shared" si="52"/>
        <v>0.37788826150106986</v>
      </c>
      <c r="AW428" s="1">
        <f t="shared" si="53"/>
        <v>0.28879370624724937</v>
      </c>
    </row>
    <row r="429" spans="1:49" x14ac:dyDescent="0.2">
      <c r="A429">
        <v>427</v>
      </c>
      <c r="B429" t="s">
        <v>162</v>
      </c>
      <c r="C429" t="s">
        <v>161</v>
      </c>
      <c r="D429" t="s">
        <v>160</v>
      </c>
      <c r="F429" t="s">
        <v>159</v>
      </c>
      <c r="G429" t="s">
        <v>16</v>
      </c>
      <c r="H429" t="s">
        <v>15</v>
      </c>
      <c r="I429" t="s">
        <v>158</v>
      </c>
      <c r="J429">
        <v>60020547</v>
      </c>
      <c r="K429" t="s">
        <v>13</v>
      </c>
      <c r="L429" t="s">
        <v>12</v>
      </c>
      <c r="M429" t="s">
        <v>11</v>
      </c>
      <c r="N429">
        <v>2</v>
      </c>
      <c r="O429" t="s">
        <v>157</v>
      </c>
      <c r="P429" t="s">
        <v>156</v>
      </c>
      <c r="Q429" t="s">
        <v>155</v>
      </c>
      <c r="R429" s="6">
        <v>29587</v>
      </c>
      <c r="S429" s="7">
        <f t="shared" si="48"/>
        <v>1981</v>
      </c>
      <c r="T429" s="7">
        <v>1981</v>
      </c>
      <c r="U429" s="7">
        <f t="shared" si="49"/>
        <v>41</v>
      </c>
      <c r="V429" s="6">
        <v>1981</v>
      </c>
      <c r="W429" t="s">
        <v>51</v>
      </c>
      <c r="X429" s="2">
        <v>0.998</v>
      </c>
      <c r="Y429" s="5">
        <f t="shared" si="54"/>
        <v>2.664104001494888E-2</v>
      </c>
      <c r="AA429">
        <v>207322</v>
      </c>
      <c r="AB429">
        <v>90127</v>
      </c>
      <c r="AD429" t="s">
        <v>5</v>
      </c>
      <c r="AE429">
        <v>10</v>
      </c>
      <c r="AF429">
        <v>1</v>
      </c>
      <c r="AH429" t="s">
        <v>154</v>
      </c>
      <c r="AI429" t="s">
        <v>153</v>
      </c>
      <c r="AJ429" t="s">
        <v>152</v>
      </c>
      <c r="AK429" t="s">
        <v>151</v>
      </c>
      <c r="AL429">
        <v>71</v>
      </c>
      <c r="AM429" s="4">
        <f t="shared" si="50"/>
        <v>1.7317073170731707</v>
      </c>
      <c r="AN429" s="21">
        <f t="shared" si="55"/>
        <v>2.6228054783387668E-3</v>
      </c>
      <c r="AO429" s="3"/>
      <c r="AP429">
        <v>0</v>
      </c>
      <c r="AQ429" t="s">
        <v>150</v>
      </c>
      <c r="AR429" t="s">
        <v>1</v>
      </c>
      <c r="AS429" t="s">
        <v>149</v>
      </c>
      <c r="AT429" s="2" t="s">
        <v>0</v>
      </c>
      <c r="AU429" s="1">
        <f t="shared" si="51"/>
        <v>1.9435569653965847</v>
      </c>
      <c r="AV429" s="1">
        <f t="shared" si="52"/>
        <v>1.4631922746643824</v>
      </c>
      <c r="AW429" s="1">
        <f t="shared" si="53"/>
        <v>0.98282758393218006</v>
      </c>
    </row>
    <row r="430" spans="1:49" x14ac:dyDescent="0.2">
      <c r="A430">
        <v>428</v>
      </c>
      <c r="B430" t="s">
        <v>148</v>
      </c>
      <c r="C430" t="s">
        <v>147</v>
      </c>
      <c r="F430" t="s">
        <v>146</v>
      </c>
      <c r="G430" t="s">
        <v>16</v>
      </c>
      <c r="H430" t="s">
        <v>15</v>
      </c>
      <c r="I430" t="s">
        <v>145</v>
      </c>
      <c r="J430">
        <v>60025352</v>
      </c>
      <c r="K430" t="s">
        <v>144</v>
      </c>
      <c r="L430" t="s">
        <v>40</v>
      </c>
      <c r="M430" t="s">
        <v>39</v>
      </c>
      <c r="N430">
        <v>1</v>
      </c>
      <c r="O430" t="s">
        <v>143</v>
      </c>
      <c r="P430">
        <v>7004569190</v>
      </c>
      <c r="Q430">
        <v>60025352</v>
      </c>
      <c r="R430" s="6">
        <v>29587</v>
      </c>
      <c r="S430" s="7">
        <f t="shared" si="48"/>
        <v>1981</v>
      </c>
      <c r="T430" s="7">
        <v>1981</v>
      </c>
      <c r="U430" s="7">
        <f t="shared" si="49"/>
        <v>41</v>
      </c>
      <c r="V430" s="6" t="s">
        <v>142</v>
      </c>
      <c r="W430" t="s">
        <v>141</v>
      </c>
      <c r="X430" s="2">
        <v>0.51100000000000001</v>
      </c>
      <c r="Y430" s="5">
        <f t="shared" si="54"/>
        <v>1.3640853153946772E-2</v>
      </c>
      <c r="AA430">
        <v>222933</v>
      </c>
      <c r="AB430">
        <v>29630</v>
      </c>
      <c r="AC430">
        <v>14645262</v>
      </c>
      <c r="AD430" t="s">
        <v>5</v>
      </c>
      <c r="AE430">
        <v>15</v>
      </c>
      <c r="AF430">
        <v>4</v>
      </c>
      <c r="AH430" t="s">
        <v>140</v>
      </c>
      <c r="AI430" t="s">
        <v>139</v>
      </c>
      <c r="AK430" t="s">
        <v>138</v>
      </c>
      <c r="AL430">
        <v>16</v>
      </c>
      <c r="AM430" s="4">
        <f t="shared" si="50"/>
        <v>0.3902439024390244</v>
      </c>
      <c r="AN430" s="21">
        <f t="shared" si="55"/>
        <v>5.9105475568197558E-4</v>
      </c>
      <c r="AO430" s="3"/>
      <c r="AP430">
        <v>0</v>
      </c>
      <c r="AR430" t="s">
        <v>1</v>
      </c>
      <c r="AT430" s="2">
        <v>1.016</v>
      </c>
      <c r="AU430" s="1">
        <f t="shared" si="51"/>
        <v>0.97259136344673325</v>
      </c>
      <c r="AV430" s="1">
        <f t="shared" si="52"/>
        <v>0.71159539548143735</v>
      </c>
      <c r="AW430" s="1">
        <f t="shared" si="53"/>
        <v>0.45059942751614146</v>
      </c>
    </row>
    <row r="431" spans="1:49" x14ac:dyDescent="0.2">
      <c r="A431">
        <v>429</v>
      </c>
      <c r="B431" t="s">
        <v>137</v>
      </c>
      <c r="C431" t="s">
        <v>136</v>
      </c>
      <c r="F431" t="s">
        <v>135</v>
      </c>
      <c r="G431" t="s">
        <v>16</v>
      </c>
      <c r="H431" t="s">
        <v>15</v>
      </c>
      <c r="I431" t="s">
        <v>134</v>
      </c>
      <c r="J431">
        <v>60004156</v>
      </c>
      <c r="K431" t="s">
        <v>133</v>
      </c>
      <c r="L431" t="s">
        <v>132</v>
      </c>
      <c r="M431" t="s">
        <v>131</v>
      </c>
      <c r="N431">
        <v>2</v>
      </c>
      <c r="O431" t="s">
        <v>130</v>
      </c>
      <c r="P431" t="s">
        <v>129</v>
      </c>
      <c r="Q431" t="s">
        <v>128</v>
      </c>
      <c r="R431" s="6">
        <v>29587</v>
      </c>
      <c r="S431" s="7">
        <f t="shared" si="48"/>
        <v>1981</v>
      </c>
      <c r="T431" s="7">
        <v>1981</v>
      </c>
      <c r="U431" s="7">
        <f t="shared" si="49"/>
        <v>41</v>
      </c>
      <c r="V431" s="6">
        <v>29830</v>
      </c>
      <c r="W431" t="s">
        <v>127</v>
      </c>
      <c r="X431" s="2">
        <v>0.76500000000000001</v>
      </c>
      <c r="Y431" s="5">
        <f t="shared" si="54"/>
        <v>2.0421238087611118E-2</v>
      </c>
      <c r="AA431">
        <v>138703</v>
      </c>
      <c r="AB431">
        <v>19793</v>
      </c>
      <c r="AC431">
        <v>15707458</v>
      </c>
      <c r="AD431" t="s">
        <v>5</v>
      </c>
      <c r="AE431">
        <v>30</v>
      </c>
      <c r="AF431">
        <v>2</v>
      </c>
      <c r="AH431" t="s">
        <v>126</v>
      </c>
      <c r="AI431" t="s">
        <v>125</v>
      </c>
      <c r="AJ431" t="s">
        <v>124</v>
      </c>
      <c r="AK431" t="s">
        <v>123</v>
      </c>
      <c r="AL431">
        <v>32</v>
      </c>
      <c r="AM431" s="4">
        <f t="shared" si="50"/>
        <v>0.78048780487804881</v>
      </c>
      <c r="AN431" s="21">
        <f t="shared" si="55"/>
        <v>1.1821095113639512E-3</v>
      </c>
      <c r="AO431" s="3"/>
      <c r="AP431">
        <v>0</v>
      </c>
      <c r="AR431" t="s">
        <v>1</v>
      </c>
      <c r="AT431" s="2" t="s">
        <v>0</v>
      </c>
      <c r="AU431" s="1">
        <f t="shared" si="51"/>
        <v>1.4649499514736966</v>
      </c>
      <c r="AV431" s="1">
        <f t="shared" si="52"/>
        <v>1.0801673799487534</v>
      </c>
      <c r="AW431" s="1">
        <f t="shared" si="53"/>
        <v>0.69538480842381012</v>
      </c>
    </row>
    <row r="432" spans="1:49" x14ac:dyDescent="0.2">
      <c r="A432">
        <v>430</v>
      </c>
      <c r="B432" t="s">
        <v>122</v>
      </c>
      <c r="C432" t="s">
        <v>121</v>
      </c>
      <c r="F432" t="s">
        <v>120</v>
      </c>
      <c r="G432" t="s">
        <v>16</v>
      </c>
      <c r="H432" t="s">
        <v>15</v>
      </c>
      <c r="I432" t="s">
        <v>119</v>
      </c>
      <c r="N432">
        <v>3</v>
      </c>
      <c r="O432" t="s">
        <v>118</v>
      </c>
      <c r="P432" t="s">
        <v>117</v>
      </c>
      <c r="Q432" t="s">
        <v>116</v>
      </c>
      <c r="R432" s="6">
        <v>29587</v>
      </c>
      <c r="S432" s="7">
        <f t="shared" si="48"/>
        <v>1981</v>
      </c>
      <c r="T432" s="7">
        <v>1981</v>
      </c>
      <c r="U432" s="7">
        <f t="shared" si="49"/>
        <v>41</v>
      </c>
      <c r="V432" s="6">
        <v>29799</v>
      </c>
      <c r="W432" t="s">
        <v>115</v>
      </c>
      <c r="X432" s="2">
        <v>2.0070000000000001</v>
      </c>
      <c r="Y432" s="5">
        <f t="shared" si="54"/>
        <v>5.3575718747497406E-2</v>
      </c>
      <c r="AA432">
        <v>948276</v>
      </c>
      <c r="AB432">
        <v>27962</v>
      </c>
      <c r="AC432">
        <v>19448007</v>
      </c>
      <c r="AD432" t="s">
        <v>5</v>
      </c>
      <c r="AE432">
        <v>8</v>
      </c>
      <c r="AF432">
        <v>8</v>
      </c>
      <c r="AH432" t="s">
        <v>114</v>
      </c>
      <c r="AI432" t="s">
        <v>113</v>
      </c>
      <c r="AK432" t="s">
        <v>112</v>
      </c>
      <c r="AL432">
        <v>44</v>
      </c>
      <c r="AM432" s="4">
        <f t="shared" si="50"/>
        <v>1.0731707317073171</v>
      </c>
      <c r="AN432" s="21">
        <f t="shared" si="55"/>
        <v>1.6254005781254331E-3</v>
      </c>
      <c r="AO432" s="3"/>
      <c r="AP432">
        <v>0</v>
      </c>
      <c r="AR432" t="s">
        <v>1</v>
      </c>
      <c r="AT432" s="2">
        <v>4.72</v>
      </c>
      <c r="AU432" s="1">
        <f t="shared" si="51"/>
        <v>3.799062329668581</v>
      </c>
      <c r="AV432" s="1">
        <f t="shared" si="52"/>
        <v>2.7600559662811421</v>
      </c>
      <c r="AW432" s="1">
        <f t="shared" si="53"/>
        <v>1.7210496028937021</v>
      </c>
    </row>
    <row r="433" spans="1:49" x14ac:dyDescent="0.2">
      <c r="A433">
        <v>431</v>
      </c>
      <c r="B433" t="s">
        <v>111</v>
      </c>
      <c r="C433" t="s">
        <v>110</v>
      </c>
      <c r="D433" t="s">
        <v>109</v>
      </c>
      <c r="F433" t="s">
        <v>108</v>
      </c>
      <c r="G433" t="s">
        <v>16</v>
      </c>
      <c r="H433" t="s">
        <v>15</v>
      </c>
      <c r="I433" t="s">
        <v>107</v>
      </c>
      <c r="J433">
        <v>60015457</v>
      </c>
      <c r="K433" t="s">
        <v>106</v>
      </c>
      <c r="L433" t="s">
        <v>105</v>
      </c>
      <c r="M433" t="s">
        <v>11</v>
      </c>
      <c r="N433">
        <v>2</v>
      </c>
      <c r="O433" t="s">
        <v>104</v>
      </c>
      <c r="P433" t="s">
        <v>103</v>
      </c>
      <c r="Q433" t="s">
        <v>102</v>
      </c>
      <c r="R433" s="6">
        <v>29587</v>
      </c>
      <c r="S433" s="7">
        <f t="shared" si="48"/>
        <v>1981</v>
      </c>
      <c r="T433" s="7">
        <v>1981</v>
      </c>
      <c r="U433" s="7">
        <f t="shared" si="49"/>
        <v>41</v>
      </c>
      <c r="V433" s="6">
        <v>1981</v>
      </c>
      <c r="W433" t="s">
        <v>24</v>
      </c>
      <c r="X433" s="2">
        <v>0.89900000000000002</v>
      </c>
      <c r="Y433" s="5">
        <f t="shared" si="54"/>
        <v>2.399829155655215E-2</v>
      </c>
      <c r="AA433">
        <v>221910</v>
      </c>
      <c r="AB433">
        <v>20487</v>
      </c>
      <c r="AD433" t="s">
        <v>5</v>
      </c>
      <c r="AE433">
        <v>27</v>
      </c>
      <c r="AF433">
        <v>8</v>
      </c>
      <c r="AH433" t="s">
        <v>101</v>
      </c>
      <c r="AI433" t="s">
        <v>100</v>
      </c>
      <c r="AK433" t="s">
        <v>99</v>
      </c>
      <c r="AL433">
        <v>49</v>
      </c>
      <c r="AM433" s="4">
        <f t="shared" si="50"/>
        <v>1.1951219512195121</v>
      </c>
      <c r="AN433" s="21">
        <f t="shared" si="55"/>
        <v>1.8101051892760501E-3</v>
      </c>
      <c r="AO433" s="3"/>
      <c r="AP433">
        <v>0</v>
      </c>
      <c r="AR433" t="s">
        <v>1</v>
      </c>
      <c r="AT433" s="2">
        <v>2.3540000000000001</v>
      </c>
      <c r="AU433" s="1">
        <f t="shared" si="51"/>
        <v>1.7341835646369315</v>
      </c>
      <c r="AV433" s="1">
        <f t="shared" si="52"/>
        <v>1.29041983729141</v>
      </c>
      <c r="AW433" s="1">
        <f t="shared" si="53"/>
        <v>0.84665610994588791</v>
      </c>
    </row>
    <row r="434" spans="1:49" x14ac:dyDescent="0.2">
      <c r="A434">
        <v>432</v>
      </c>
      <c r="B434" t="s">
        <v>98</v>
      </c>
      <c r="C434" t="s">
        <v>97</v>
      </c>
      <c r="D434">
        <v>21916981900908</v>
      </c>
      <c r="F434" t="s">
        <v>96</v>
      </c>
      <c r="G434" t="s">
        <v>16</v>
      </c>
      <c r="H434" t="s">
        <v>15</v>
      </c>
      <c r="I434" t="s">
        <v>95</v>
      </c>
      <c r="J434">
        <v>60017695</v>
      </c>
      <c r="K434" t="s">
        <v>94</v>
      </c>
      <c r="L434" t="s">
        <v>93</v>
      </c>
      <c r="M434" t="s">
        <v>92</v>
      </c>
      <c r="N434">
        <v>1</v>
      </c>
      <c r="O434" t="s">
        <v>91</v>
      </c>
      <c r="P434">
        <v>7003907481</v>
      </c>
      <c r="Q434">
        <v>60017695</v>
      </c>
      <c r="R434" s="6">
        <v>29587</v>
      </c>
      <c r="S434" s="7">
        <f t="shared" si="48"/>
        <v>1981</v>
      </c>
      <c r="T434" s="7">
        <v>1981</v>
      </c>
      <c r="U434" s="7">
        <f t="shared" si="49"/>
        <v>41</v>
      </c>
      <c r="V434" s="6">
        <v>29677</v>
      </c>
      <c r="W434" t="s">
        <v>90</v>
      </c>
      <c r="X434" s="2">
        <v>0.51500000000000001</v>
      </c>
      <c r="Y434" s="5">
        <f t="shared" si="54"/>
        <v>1.374763086943755E-2</v>
      </c>
      <c r="AA434">
        <v>219169</v>
      </c>
      <c r="AB434">
        <v>30966</v>
      </c>
      <c r="AD434" t="s">
        <v>5</v>
      </c>
      <c r="AE434">
        <v>43</v>
      </c>
      <c r="AF434">
        <v>4</v>
      </c>
      <c r="AH434" t="s">
        <v>89</v>
      </c>
      <c r="AI434" t="s">
        <v>88</v>
      </c>
      <c r="AK434" t="s">
        <v>87</v>
      </c>
      <c r="AL434">
        <v>50</v>
      </c>
      <c r="AM434" s="4">
        <f t="shared" si="50"/>
        <v>1.2195121951219512</v>
      </c>
      <c r="AN434" s="21">
        <f t="shared" si="55"/>
        <v>1.8470461115061736E-3</v>
      </c>
      <c r="AO434" s="3"/>
      <c r="AP434">
        <v>0</v>
      </c>
      <c r="AR434" t="s">
        <v>1</v>
      </c>
      <c r="AT434" s="2" t="s">
        <v>0</v>
      </c>
      <c r="AU434" s="1">
        <f t="shared" si="51"/>
        <v>1.0177455442058136</v>
      </c>
      <c r="AV434" s="1">
        <f t="shared" si="52"/>
        <v>0.77973384904718623</v>
      </c>
      <c r="AW434" s="1">
        <f t="shared" si="53"/>
        <v>0.54172215388855871</v>
      </c>
    </row>
    <row r="435" spans="1:49" x14ac:dyDescent="0.2">
      <c r="A435">
        <v>433</v>
      </c>
      <c r="B435" t="s">
        <v>86</v>
      </c>
      <c r="C435" t="s">
        <v>85</v>
      </c>
      <c r="D435">
        <v>12160681904061</v>
      </c>
      <c r="E435">
        <v>20737876</v>
      </c>
      <c r="F435" t="s">
        <v>84</v>
      </c>
      <c r="G435" t="s">
        <v>16</v>
      </c>
      <c r="H435" t="s">
        <v>15</v>
      </c>
      <c r="I435" t="s">
        <v>83</v>
      </c>
      <c r="J435">
        <v>60010269</v>
      </c>
      <c r="K435" t="s">
        <v>82</v>
      </c>
      <c r="L435" t="s">
        <v>81</v>
      </c>
      <c r="M435" t="s">
        <v>39</v>
      </c>
      <c r="N435">
        <v>1</v>
      </c>
      <c r="O435" t="s">
        <v>80</v>
      </c>
      <c r="P435">
        <v>7005408553</v>
      </c>
      <c r="Q435">
        <v>60010269</v>
      </c>
      <c r="R435" s="6">
        <v>29587</v>
      </c>
      <c r="S435" s="7">
        <f t="shared" si="48"/>
        <v>1981</v>
      </c>
      <c r="T435" s="7">
        <v>1981</v>
      </c>
      <c r="U435" s="7">
        <f t="shared" si="49"/>
        <v>41</v>
      </c>
      <c r="V435" s="6">
        <v>29738</v>
      </c>
      <c r="W435" t="s">
        <v>79</v>
      </c>
      <c r="X435" s="2">
        <v>1.77</v>
      </c>
      <c r="Y435" s="5">
        <f t="shared" si="54"/>
        <v>4.7249139104668859E-2</v>
      </c>
      <c r="AA435">
        <v>121606</v>
      </c>
      <c r="AB435">
        <v>14536</v>
      </c>
      <c r="AD435" t="s">
        <v>5</v>
      </c>
      <c r="AE435">
        <v>84</v>
      </c>
      <c r="AF435">
        <v>2</v>
      </c>
      <c r="AH435" t="s">
        <v>78</v>
      </c>
      <c r="AI435" t="s">
        <v>77</v>
      </c>
      <c r="AK435" t="s">
        <v>76</v>
      </c>
      <c r="AL435">
        <v>33</v>
      </c>
      <c r="AM435" s="4">
        <f t="shared" si="50"/>
        <v>0.80487804878048785</v>
      </c>
      <c r="AN435" s="21">
        <f t="shared" si="55"/>
        <v>1.2190504335940747E-3</v>
      </c>
      <c r="AO435" s="3"/>
      <c r="AP435">
        <v>0</v>
      </c>
      <c r="AQ435" t="s">
        <v>75</v>
      </c>
      <c r="AR435" t="s">
        <v>1</v>
      </c>
      <c r="AS435" t="s">
        <v>74</v>
      </c>
      <c r="AT435" s="2">
        <v>3.5819999999999999</v>
      </c>
      <c r="AU435" s="1">
        <f t="shared" si="51"/>
        <v>3.344011250334642</v>
      </c>
      <c r="AV435" s="1">
        <f t="shared" si="52"/>
        <v>2.4234094769131467</v>
      </c>
      <c r="AW435" s="1">
        <f t="shared" si="53"/>
        <v>1.5028077034916507</v>
      </c>
    </row>
    <row r="436" spans="1:49" x14ac:dyDescent="0.2">
      <c r="A436">
        <v>434</v>
      </c>
      <c r="B436" t="s">
        <v>73</v>
      </c>
      <c r="C436" t="s">
        <v>72</v>
      </c>
      <c r="D436" t="s">
        <v>71</v>
      </c>
      <c r="F436" t="s">
        <v>70</v>
      </c>
      <c r="G436" t="s">
        <v>16</v>
      </c>
      <c r="H436" t="s">
        <v>15</v>
      </c>
      <c r="I436" t="s">
        <v>69</v>
      </c>
      <c r="J436">
        <v>60032280</v>
      </c>
      <c r="K436" t="s">
        <v>68</v>
      </c>
      <c r="L436" t="s">
        <v>67</v>
      </c>
      <c r="M436" t="s">
        <v>11</v>
      </c>
      <c r="N436">
        <v>3</v>
      </c>
      <c r="O436" t="s">
        <v>66</v>
      </c>
      <c r="P436" t="s">
        <v>65</v>
      </c>
      <c r="Q436" t="s">
        <v>64</v>
      </c>
      <c r="R436" s="6">
        <v>29587</v>
      </c>
      <c r="S436" s="7">
        <f t="shared" si="48"/>
        <v>1981</v>
      </c>
      <c r="T436" s="7">
        <v>1981</v>
      </c>
      <c r="U436" s="7">
        <f t="shared" si="49"/>
        <v>41</v>
      </c>
      <c r="V436" s="6">
        <v>1981</v>
      </c>
      <c r="W436" t="s">
        <v>51</v>
      </c>
      <c r="X436" s="2">
        <v>0.998</v>
      </c>
      <c r="Y436" s="5">
        <f t="shared" si="54"/>
        <v>2.664104001494888E-2</v>
      </c>
      <c r="AA436">
        <v>207322</v>
      </c>
      <c r="AB436">
        <v>90127</v>
      </c>
      <c r="AD436" t="s">
        <v>5</v>
      </c>
      <c r="AE436">
        <v>10</v>
      </c>
      <c r="AF436">
        <v>3</v>
      </c>
      <c r="AH436" t="s">
        <v>63</v>
      </c>
      <c r="AI436" t="s">
        <v>62</v>
      </c>
      <c r="AJ436" t="s">
        <v>61</v>
      </c>
      <c r="AK436" t="s">
        <v>60</v>
      </c>
      <c r="AL436">
        <v>18</v>
      </c>
      <c r="AM436" s="4">
        <f t="shared" si="50"/>
        <v>0.43902439024390244</v>
      </c>
      <c r="AN436" s="21">
        <f t="shared" si="55"/>
        <v>6.6493660014222257E-4</v>
      </c>
      <c r="AO436" s="3"/>
      <c r="AP436">
        <v>0</v>
      </c>
      <c r="AR436" t="s">
        <v>1</v>
      </c>
      <c r="AT436" s="2" t="s">
        <v>0</v>
      </c>
      <c r="AU436" s="1">
        <f t="shared" si="51"/>
        <v>1.8848208990506883</v>
      </c>
      <c r="AV436" s="1">
        <f t="shared" si="52"/>
        <v>1.365298830754555</v>
      </c>
      <c r="AW436" s="1">
        <f t="shared" si="53"/>
        <v>0.84577676245842193</v>
      </c>
    </row>
    <row r="437" spans="1:49" x14ac:dyDescent="0.2">
      <c r="A437">
        <v>435</v>
      </c>
      <c r="B437" t="s">
        <v>59</v>
      </c>
      <c r="C437" t="s">
        <v>58</v>
      </c>
      <c r="D437" t="s">
        <v>57</v>
      </c>
      <c r="F437" t="s">
        <v>56</v>
      </c>
      <c r="G437" t="s">
        <v>16</v>
      </c>
      <c r="H437" t="s">
        <v>15</v>
      </c>
      <c r="I437" t="s">
        <v>55</v>
      </c>
      <c r="J437">
        <v>60009841</v>
      </c>
      <c r="K437" t="s">
        <v>54</v>
      </c>
      <c r="L437" t="s">
        <v>53</v>
      </c>
      <c r="M437" t="s">
        <v>11</v>
      </c>
      <c r="N437">
        <v>1</v>
      </c>
      <c r="O437" t="s">
        <v>52</v>
      </c>
      <c r="P437">
        <v>7102047526</v>
      </c>
      <c r="Q437">
        <v>60009841</v>
      </c>
      <c r="R437" s="6">
        <v>29587</v>
      </c>
      <c r="S437" s="7">
        <f t="shared" si="48"/>
        <v>1981</v>
      </c>
      <c r="T437" s="7">
        <v>1981</v>
      </c>
      <c r="U437" s="7">
        <f t="shared" si="49"/>
        <v>41</v>
      </c>
      <c r="V437" s="6">
        <v>1981</v>
      </c>
      <c r="W437" t="s">
        <v>51</v>
      </c>
      <c r="X437" s="2">
        <v>0.998</v>
      </c>
      <c r="Y437" s="5">
        <f t="shared" si="54"/>
        <v>2.664104001494888E-2</v>
      </c>
      <c r="AA437">
        <v>207322</v>
      </c>
      <c r="AB437">
        <v>90127</v>
      </c>
      <c r="AD437" t="s">
        <v>5</v>
      </c>
      <c r="AE437">
        <v>10</v>
      </c>
      <c r="AF437">
        <v>3</v>
      </c>
      <c r="AH437" t="s">
        <v>50</v>
      </c>
      <c r="AI437" t="s">
        <v>49</v>
      </c>
      <c r="AJ437" t="s">
        <v>48</v>
      </c>
      <c r="AK437" t="s">
        <v>47</v>
      </c>
      <c r="AL437">
        <v>37</v>
      </c>
      <c r="AM437" s="4">
        <f t="shared" si="50"/>
        <v>0.90243902439024393</v>
      </c>
      <c r="AN437" s="21">
        <f t="shared" si="55"/>
        <v>1.3668141225145686E-3</v>
      </c>
      <c r="AO437" s="3"/>
      <c r="AP437">
        <v>0</v>
      </c>
      <c r="AR437" t="s">
        <v>1</v>
      </c>
      <c r="AT437" s="2" t="s">
        <v>0</v>
      </c>
      <c r="AU437" s="1">
        <f t="shared" si="51"/>
        <v>1.9058772247218587</v>
      </c>
      <c r="AV437" s="1">
        <f t="shared" si="52"/>
        <v>1.4003927068731725</v>
      </c>
      <c r="AW437" s="1">
        <f t="shared" si="53"/>
        <v>0.8949081890244861</v>
      </c>
    </row>
    <row r="438" spans="1:49" x14ac:dyDescent="0.2">
      <c r="A438">
        <v>436</v>
      </c>
      <c r="B438" t="s">
        <v>46</v>
      </c>
      <c r="C438" t="s">
        <v>45</v>
      </c>
      <c r="D438" t="s">
        <v>44</v>
      </c>
      <c r="F438" t="s">
        <v>43</v>
      </c>
      <c r="G438" t="s">
        <v>16</v>
      </c>
      <c r="H438" t="s">
        <v>15</v>
      </c>
      <c r="I438" t="s">
        <v>42</v>
      </c>
      <c r="J438">
        <v>60015150</v>
      </c>
      <c r="K438" t="s">
        <v>41</v>
      </c>
      <c r="L438" t="s">
        <v>40</v>
      </c>
      <c r="M438" t="s">
        <v>39</v>
      </c>
      <c r="N438">
        <v>1</v>
      </c>
      <c r="O438" t="s">
        <v>38</v>
      </c>
      <c r="P438">
        <v>7101763729</v>
      </c>
      <c r="Q438">
        <v>60015150</v>
      </c>
      <c r="R438" s="6">
        <v>29587</v>
      </c>
      <c r="S438" s="7">
        <f t="shared" si="48"/>
        <v>1981</v>
      </c>
      <c r="T438" s="7">
        <v>1981</v>
      </c>
      <c r="U438" s="7">
        <f t="shared" si="49"/>
        <v>41</v>
      </c>
      <c r="V438" s="6">
        <v>1981</v>
      </c>
      <c r="W438" t="s">
        <v>24</v>
      </c>
      <c r="X438" s="2">
        <v>0.89900000000000002</v>
      </c>
      <c r="Y438" s="5">
        <f t="shared" si="54"/>
        <v>2.399829155655215E-2</v>
      </c>
      <c r="AA438">
        <v>221910</v>
      </c>
      <c r="AB438">
        <v>20487</v>
      </c>
      <c r="AD438" t="s">
        <v>5</v>
      </c>
      <c r="AE438">
        <v>27</v>
      </c>
      <c r="AF438">
        <v>4</v>
      </c>
      <c r="AH438" t="s">
        <v>37</v>
      </c>
      <c r="AI438" t="s">
        <v>36</v>
      </c>
      <c r="AJ438" t="s">
        <v>35</v>
      </c>
      <c r="AK438" t="s">
        <v>34</v>
      </c>
      <c r="AL438">
        <v>37</v>
      </c>
      <c r="AM438" s="4">
        <f t="shared" si="50"/>
        <v>0.90243902439024393</v>
      </c>
      <c r="AN438" s="21">
        <f t="shared" si="55"/>
        <v>1.3668141225145686E-3</v>
      </c>
      <c r="AO438" s="3"/>
      <c r="AP438">
        <v>0</v>
      </c>
      <c r="AR438" t="s">
        <v>1</v>
      </c>
      <c r="AT438" s="2">
        <v>2.3540000000000001</v>
      </c>
      <c r="AU438" s="1">
        <f t="shared" si="51"/>
        <v>1.7208848326340873</v>
      </c>
      <c r="AV438" s="1">
        <f t="shared" si="52"/>
        <v>1.2682552839533359</v>
      </c>
      <c r="AW438" s="1">
        <f t="shared" si="53"/>
        <v>0.8156257352725842</v>
      </c>
    </row>
    <row r="439" spans="1:49" x14ac:dyDescent="0.2">
      <c r="A439">
        <v>437</v>
      </c>
      <c r="B439" t="s">
        <v>33</v>
      </c>
      <c r="C439" t="s">
        <v>32</v>
      </c>
      <c r="D439" t="s">
        <v>31</v>
      </c>
      <c r="F439" t="s">
        <v>30</v>
      </c>
      <c r="G439" t="s">
        <v>16</v>
      </c>
      <c r="H439" t="s">
        <v>15</v>
      </c>
      <c r="I439" t="s">
        <v>29</v>
      </c>
      <c r="J439">
        <v>60019967</v>
      </c>
      <c r="K439" t="s">
        <v>28</v>
      </c>
      <c r="L439" t="s">
        <v>27</v>
      </c>
      <c r="M439" t="s">
        <v>26</v>
      </c>
      <c r="N439">
        <v>1</v>
      </c>
      <c r="O439" t="s">
        <v>25</v>
      </c>
      <c r="P439">
        <v>55605778273</v>
      </c>
      <c r="Q439">
        <v>60019967</v>
      </c>
      <c r="R439" s="6">
        <v>29587</v>
      </c>
      <c r="S439" s="7">
        <f t="shared" si="48"/>
        <v>1981</v>
      </c>
      <c r="T439" s="7">
        <v>1981</v>
      </c>
      <c r="U439" s="7">
        <f t="shared" si="49"/>
        <v>41</v>
      </c>
      <c r="V439" s="6">
        <v>1981</v>
      </c>
      <c r="W439" t="s">
        <v>24</v>
      </c>
      <c r="X439" s="2">
        <v>0.89900000000000002</v>
      </c>
      <c r="Y439" s="5">
        <f t="shared" si="54"/>
        <v>2.399829155655215E-2</v>
      </c>
      <c r="AA439">
        <v>221910</v>
      </c>
      <c r="AB439">
        <v>20487</v>
      </c>
      <c r="AD439" t="s">
        <v>5</v>
      </c>
      <c r="AE439">
        <v>27</v>
      </c>
      <c r="AF439">
        <v>12</v>
      </c>
      <c r="AH439" t="s">
        <v>23</v>
      </c>
      <c r="AI439" t="s">
        <v>22</v>
      </c>
      <c r="AJ439" t="s">
        <v>21</v>
      </c>
      <c r="AK439" t="s">
        <v>20</v>
      </c>
      <c r="AL439">
        <v>22</v>
      </c>
      <c r="AM439" s="4">
        <f t="shared" si="50"/>
        <v>0.53658536585365857</v>
      </c>
      <c r="AN439" s="21">
        <f t="shared" si="55"/>
        <v>8.1270028906271655E-4</v>
      </c>
      <c r="AO439" s="3"/>
      <c r="AP439">
        <v>0</v>
      </c>
      <c r="AR439" t="s">
        <v>1</v>
      </c>
      <c r="AT439" s="2">
        <v>2.3540000000000001</v>
      </c>
      <c r="AU439" s="1">
        <f t="shared" si="51"/>
        <v>1.7042614176305315</v>
      </c>
      <c r="AV439" s="1">
        <f t="shared" si="52"/>
        <v>1.2405495922807435</v>
      </c>
      <c r="AW439" s="1">
        <f t="shared" si="53"/>
        <v>0.77683776693095463</v>
      </c>
    </row>
    <row r="440" spans="1:49" x14ac:dyDescent="0.2">
      <c r="A440">
        <v>438</v>
      </c>
      <c r="B440" t="s">
        <v>19</v>
      </c>
      <c r="C440" t="s">
        <v>18</v>
      </c>
      <c r="F440" t="s">
        <v>17</v>
      </c>
      <c r="G440" t="s">
        <v>16</v>
      </c>
      <c r="H440" t="s">
        <v>15</v>
      </c>
      <c r="I440" t="s">
        <v>14</v>
      </c>
      <c r="J440">
        <v>60020547</v>
      </c>
      <c r="K440" t="s">
        <v>13</v>
      </c>
      <c r="L440" t="s">
        <v>12</v>
      </c>
      <c r="M440" t="s">
        <v>11</v>
      </c>
      <c r="N440">
        <v>3</v>
      </c>
      <c r="O440" t="s">
        <v>10</v>
      </c>
      <c r="P440" t="s">
        <v>9</v>
      </c>
      <c r="Q440" t="s">
        <v>8</v>
      </c>
      <c r="R440" s="6">
        <v>29587</v>
      </c>
      <c r="S440" s="7">
        <f t="shared" si="48"/>
        <v>1981</v>
      </c>
      <c r="T440" s="7">
        <v>1981</v>
      </c>
      <c r="U440" s="7">
        <f t="shared" si="49"/>
        <v>41</v>
      </c>
      <c r="V440" s="6">
        <v>29860</v>
      </c>
      <c r="W440" t="s">
        <v>7</v>
      </c>
      <c r="X440" s="2" t="s">
        <v>0</v>
      </c>
      <c r="Y440" s="5" t="e">
        <f t="shared" si="54"/>
        <v>#VALUE!</v>
      </c>
      <c r="AA440" t="s">
        <v>6</v>
      </c>
      <c r="AB440">
        <v>19716</v>
      </c>
      <c r="AC440">
        <v>19183240</v>
      </c>
      <c r="AD440" t="s">
        <v>5</v>
      </c>
      <c r="AE440">
        <v>113</v>
      </c>
      <c r="AF440">
        <v>10</v>
      </c>
      <c r="AH440" t="s">
        <v>4</v>
      </c>
      <c r="AI440" t="s">
        <v>3</v>
      </c>
      <c r="AK440" t="s">
        <v>2</v>
      </c>
      <c r="AL440">
        <v>22</v>
      </c>
      <c r="AM440" s="4">
        <f t="shared" si="50"/>
        <v>0.53658536585365857</v>
      </c>
      <c r="AN440" s="21">
        <f t="shared" si="55"/>
        <v>8.1270028906271655E-4</v>
      </c>
      <c r="AO440" s="3"/>
      <c r="AP440">
        <v>0</v>
      </c>
      <c r="AR440" t="s">
        <v>1</v>
      </c>
      <c r="AT440" s="2" t="s">
        <v>0</v>
      </c>
      <c r="AU440" s="1" t="e">
        <f t="shared" si="51"/>
        <v>#VALUE!</v>
      </c>
      <c r="AV440" s="1" t="e">
        <f t="shared" si="52"/>
        <v>#VALUE!</v>
      </c>
      <c r="AW440" s="1" t="e">
        <f t="shared" si="53"/>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2021-11-11T11:59:21Z</dcterms:created>
  <dcterms:modified xsi:type="dcterms:W3CDTF">2022-07-26T18:33:22Z</dcterms:modified>
</cp:coreProperties>
</file>