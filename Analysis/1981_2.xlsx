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2709C6E4-D8F9-794E-BB6E-CAFC8F8418F7}" xr6:coauthVersionLast="47" xr6:coauthVersionMax="47" xr10:uidLastSave="{C27EB1DF-4A2E-4C47-8200-4BC07BA6EAA4}"/>
  <bookViews>
    <workbookView xWindow="2880" yWindow="2600" windowWidth="25700" windowHeight="24760" xr2:uid="{54182A67-A48F-C14C-8BCC-0F0FE3CE8E32}"/>
  </bookViews>
  <sheets>
    <sheet name="1981"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AM2" i="1" s="1"/>
  <c r="AN2" i="1" s="1"/>
  <c r="Y2" i="1"/>
  <c r="S3" i="1"/>
  <c r="U3" i="1"/>
  <c r="AM3" i="1" s="1"/>
  <c r="AN3" i="1" s="1"/>
  <c r="Y3" i="1"/>
  <c r="S4" i="1"/>
  <c r="U4" i="1"/>
  <c r="Y4" i="1"/>
  <c r="AM4" i="1"/>
  <c r="AN4" i="1" s="1"/>
  <c r="S5" i="1"/>
  <c r="U5" i="1"/>
  <c r="AM5" i="1" s="1"/>
  <c r="AN5" i="1" s="1"/>
  <c r="Y5" i="1"/>
  <c r="S6" i="1"/>
  <c r="U6" i="1"/>
  <c r="Y6" i="1"/>
  <c r="AM6" i="1"/>
  <c r="AN6" i="1" s="1"/>
  <c r="S7" i="1"/>
  <c r="U7" i="1"/>
  <c r="AM7" i="1" s="1"/>
  <c r="AN7" i="1" s="1"/>
  <c r="Y7" i="1"/>
  <c r="S8" i="1"/>
  <c r="U8" i="1"/>
  <c r="Y8" i="1"/>
  <c r="AM8" i="1"/>
  <c r="AN8" i="1" s="1"/>
  <c r="S9" i="1"/>
  <c r="U9" i="1"/>
  <c r="AM9" i="1" s="1"/>
  <c r="AN9" i="1" s="1"/>
  <c r="Y9" i="1"/>
  <c r="S10" i="1"/>
  <c r="U10" i="1"/>
  <c r="AM10" i="1" s="1"/>
  <c r="AN10" i="1" s="1"/>
  <c r="Y10" i="1"/>
  <c r="S11" i="1"/>
  <c r="U11" i="1"/>
  <c r="Y11" i="1"/>
  <c r="AM11" i="1"/>
  <c r="AN11" i="1" s="1"/>
  <c r="S12" i="1"/>
  <c r="U12" i="1"/>
  <c r="AM12" i="1" s="1"/>
  <c r="AN12" i="1" s="1"/>
  <c r="Y12" i="1"/>
  <c r="S13" i="1"/>
  <c r="U13" i="1"/>
  <c r="AM13" i="1" s="1"/>
  <c r="AN13" i="1" s="1"/>
  <c r="Y13" i="1"/>
  <c r="S14" i="1"/>
  <c r="U14" i="1"/>
  <c r="Y14" i="1"/>
  <c r="AM14" i="1"/>
  <c r="AN14" i="1" s="1"/>
  <c r="S15" i="1"/>
  <c r="U15" i="1"/>
  <c r="AM15" i="1" s="1"/>
  <c r="AN15" i="1" s="1"/>
  <c r="Y15" i="1"/>
  <c r="S16" i="1"/>
  <c r="U16" i="1"/>
  <c r="AM16" i="1" s="1"/>
  <c r="AN16" i="1" s="1"/>
  <c r="Y16" i="1"/>
  <c r="S17" i="1"/>
  <c r="U17" i="1"/>
  <c r="AM17" i="1" s="1"/>
  <c r="AN17" i="1" s="1"/>
  <c r="Y17" i="1"/>
  <c r="S18" i="1"/>
  <c r="U18" i="1"/>
  <c r="AM18" i="1" s="1"/>
  <c r="AN18" i="1" s="1"/>
  <c r="Y18" i="1"/>
  <c r="S19" i="1"/>
  <c r="U19" i="1"/>
  <c r="AM19" i="1" s="1"/>
  <c r="AN19" i="1" s="1"/>
  <c r="Y19" i="1"/>
  <c r="S20" i="1"/>
  <c r="U20" i="1"/>
  <c r="AM20" i="1" s="1"/>
  <c r="AN20" i="1" s="1"/>
  <c r="Y20" i="1"/>
  <c r="S21" i="1"/>
  <c r="U21" i="1"/>
  <c r="AM21" i="1" s="1"/>
  <c r="AN21" i="1" s="1"/>
  <c r="Y21" i="1"/>
  <c r="S22" i="1"/>
  <c r="U22" i="1"/>
  <c r="AM22" i="1" s="1"/>
  <c r="AN22" i="1" s="1"/>
  <c r="Y22" i="1"/>
  <c r="S23" i="1"/>
  <c r="U23" i="1"/>
  <c r="AM23" i="1" s="1"/>
  <c r="AN23" i="1" s="1"/>
  <c r="Y23" i="1"/>
  <c r="S24" i="1"/>
  <c r="U24" i="1"/>
  <c r="AM24" i="1" s="1"/>
  <c r="AN24" i="1" s="1"/>
  <c r="Y24" i="1"/>
  <c r="S25" i="1"/>
  <c r="U25" i="1"/>
  <c r="AM25" i="1" s="1"/>
  <c r="AN25" i="1" s="1"/>
  <c r="Y25" i="1"/>
  <c r="S26" i="1"/>
  <c r="U26" i="1"/>
  <c r="AM26" i="1" s="1"/>
  <c r="AN26" i="1" s="1"/>
  <c r="Y26" i="1"/>
  <c r="S27" i="1"/>
  <c r="U27" i="1"/>
  <c r="AM27" i="1" s="1"/>
  <c r="AN27" i="1" s="1"/>
  <c r="Y27" i="1"/>
  <c r="S28" i="1"/>
  <c r="U28" i="1"/>
  <c r="AM28" i="1" s="1"/>
  <c r="AN28" i="1" s="1"/>
  <c r="Y28" i="1"/>
  <c r="S29" i="1"/>
  <c r="U29" i="1"/>
  <c r="Y29" i="1"/>
  <c r="AM29" i="1"/>
  <c r="AN29" i="1" s="1"/>
  <c r="S30" i="1"/>
  <c r="U30" i="1"/>
  <c r="AM30" i="1" s="1"/>
  <c r="AN30" i="1" s="1"/>
  <c r="Y30" i="1"/>
  <c r="S31" i="1"/>
  <c r="U31" i="1"/>
  <c r="AM31" i="1" s="1"/>
  <c r="AN31" i="1" s="1"/>
  <c r="Y31" i="1"/>
  <c r="S32" i="1"/>
  <c r="U32" i="1"/>
  <c r="AM32" i="1" s="1"/>
  <c r="AN32" i="1" s="1"/>
  <c r="Y32" i="1"/>
  <c r="S33" i="1"/>
  <c r="U33" i="1"/>
  <c r="AM33" i="1" s="1"/>
  <c r="AN33" i="1" s="1"/>
  <c r="Y33" i="1"/>
  <c r="AV33" i="1" s="1"/>
  <c r="S34" i="1"/>
  <c r="U34" i="1"/>
  <c r="Y34" i="1"/>
  <c r="AM34" i="1"/>
  <c r="AN34" i="1" s="1"/>
  <c r="S35" i="1"/>
  <c r="U35" i="1"/>
  <c r="AM35" i="1" s="1"/>
  <c r="AN35" i="1" s="1"/>
  <c r="Y35" i="1"/>
  <c r="S36" i="1"/>
  <c r="U36" i="1"/>
  <c r="AM36" i="1" s="1"/>
  <c r="AN36" i="1" s="1"/>
  <c r="Y36" i="1"/>
  <c r="S37" i="1"/>
  <c r="U37" i="1"/>
  <c r="AM37" i="1" s="1"/>
  <c r="AN37" i="1" s="1"/>
  <c r="Y37" i="1"/>
  <c r="AU37" i="1" s="1"/>
  <c r="S38" i="1"/>
  <c r="U38" i="1"/>
  <c r="Y38" i="1"/>
  <c r="AM38" i="1"/>
  <c r="AN38" i="1" s="1"/>
  <c r="AV38" i="1" s="1"/>
  <c r="S39" i="1"/>
  <c r="U39" i="1"/>
  <c r="Y39" i="1"/>
  <c r="AM39" i="1"/>
  <c r="AN39" i="1" s="1"/>
  <c r="S40" i="1"/>
  <c r="U40" i="1"/>
  <c r="Y40" i="1"/>
  <c r="AM40" i="1"/>
  <c r="AN40" i="1" s="1"/>
  <c r="AV40" i="1" s="1"/>
  <c r="S41" i="1"/>
  <c r="U41" i="1"/>
  <c r="AM41" i="1" s="1"/>
  <c r="AN41" i="1" s="1"/>
  <c r="Y41" i="1"/>
  <c r="S42" i="1"/>
  <c r="U42" i="1"/>
  <c r="Y42" i="1"/>
  <c r="AM42" i="1"/>
  <c r="AN42" i="1" s="1"/>
  <c r="S43" i="1"/>
  <c r="U43" i="1"/>
  <c r="Y43" i="1"/>
  <c r="AM43" i="1"/>
  <c r="AN43" i="1" s="1"/>
  <c r="AV43" i="1" s="1"/>
  <c r="S44" i="1"/>
  <c r="U44" i="1"/>
  <c r="Y44" i="1"/>
  <c r="AM44" i="1"/>
  <c r="AN44" i="1" s="1"/>
  <c r="S45" i="1"/>
  <c r="U45" i="1"/>
  <c r="AM45" i="1" s="1"/>
  <c r="AN45" i="1" s="1"/>
  <c r="Y45" i="1"/>
  <c r="S46" i="1"/>
  <c r="U46" i="1"/>
  <c r="AM46" i="1" s="1"/>
  <c r="AN46" i="1" s="1"/>
  <c r="Y46" i="1"/>
  <c r="S47" i="1"/>
  <c r="U47" i="1"/>
  <c r="Y47" i="1"/>
  <c r="AM47" i="1"/>
  <c r="AN47" i="1" s="1"/>
  <c r="S48" i="1"/>
  <c r="U48" i="1"/>
  <c r="AM48" i="1" s="1"/>
  <c r="AN48" i="1" s="1"/>
  <c r="Y48" i="1"/>
  <c r="S49" i="1"/>
  <c r="U49" i="1"/>
  <c r="AM49" i="1" s="1"/>
  <c r="AN49" i="1" s="1"/>
  <c r="Y49" i="1"/>
  <c r="S50" i="1"/>
  <c r="U50" i="1"/>
  <c r="AM50" i="1" s="1"/>
  <c r="AN50" i="1" s="1"/>
  <c r="Y50" i="1"/>
  <c r="S51" i="1"/>
  <c r="U51" i="1"/>
  <c r="AM51" i="1" s="1"/>
  <c r="AN51" i="1" s="1"/>
  <c r="Y51" i="1"/>
  <c r="AU51" i="1" s="1"/>
  <c r="S52" i="1"/>
  <c r="U52" i="1"/>
  <c r="AM52" i="1" s="1"/>
  <c r="AN52" i="1" s="1"/>
  <c r="Y52" i="1"/>
  <c r="S53" i="1"/>
  <c r="U53" i="1"/>
  <c r="AM53" i="1" s="1"/>
  <c r="AN53" i="1" s="1"/>
  <c r="Y53" i="1"/>
  <c r="S54" i="1"/>
  <c r="U54" i="1"/>
  <c r="AM54" i="1" s="1"/>
  <c r="AN54" i="1" s="1"/>
  <c r="Y54" i="1"/>
  <c r="S55" i="1"/>
  <c r="U55" i="1"/>
  <c r="AM55" i="1" s="1"/>
  <c r="AN55" i="1" s="1"/>
  <c r="Y55" i="1"/>
  <c r="S56" i="1"/>
  <c r="U56" i="1"/>
  <c r="AM56" i="1" s="1"/>
  <c r="AN56" i="1" s="1"/>
  <c r="Y56" i="1"/>
  <c r="S57" i="1"/>
  <c r="U57" i="1"/>
  <c r="AM57" i="1" s="1"/>
  <c r="AN57" i="1" s="1"/>
  <c r="Y57" i="1"/>
  <c r="S58" i="1"/>
  <c r="U58" i="1"/>
  <c r="Y58" i="1"/>
  <c r="AM58" i="1"/>
  <c r="AN58" i="1"/>
  <c r="AV58" i="1" s="1"/>
  <c r="S59" i="1"/>
  <c r="U59" i="1"/>
  <c r="AM59" i="1" s="1"/>
  <c r="AN59" i="1" s="1"/>
  <c r="Y59" i="1"/>
  <c r="S60" i="1"/>
  <c r="U60" i="1"/>
  <c r="AM60" i="1" s="1"/>
  <c r="AN60" i="1" s="1"/>
  <c r="Y60" i="1"/>
  <c r="S61" i="1"/>
  <c r="U61" i="1"/>
  <c r="AM61" i="1" s="1"/>
  <c r="AN61" i="1" s="1"/>
  <c r="Y61" i="1"/>
  <c r="S62" i="1"/>
  <c r="U62" i="1"/>
  <c r="AM62" i="1" s="1"/>
  <c r="AN62" i="1" s="1"/>
  <c r="Y62" i="1"/>
  <c r="S63" i="1"/>
  <c r="U63" i="1"/>
  <c r="AM63" i="1" s="1"/>
  <c r="AN63" i="1" s="1"/>
  <c r="Y63" i="1"/>
  <c r="S64" i="1"/>
  <c r="U64" i="1"/>
  <c r="Y64" i="1"/>
  <c r="AM64" i="1"/>
  <c r="AN64" i="1" s="1"/>
  <c r="AV64" i="1" s="1"/>
  <c r="S65" i="1"/>
  <c r="U65" i="1"/>
  <c r="AM65" i="1" s="1"/>
  <c r="AN65" i="1" s="1"/>
  <c r="Y65" i="1"/>
  <c r="S66" i="1"/>
  <c r="U66" i="1"/>
  <c r="Y66" i="1"/>
  <c r="AM66" i="1"/>
  <c r="AN66" i="1" s="1"/>
  <c r="AU3" i="1" l="1"/>
  <c r="AV18" i="1"/>
  <c r="AV15" i="1"/>
  <c r="AV30" i="1"/>
  <c r="AV23" i="1"/>
  <c r="AU60" i="1"/>
  <c r="AV13" i="1"/>
  <c r="AV45" i="1"/>
  <c r="AV35" i="1"/>
  <c r="AU17" i="1"/>
  <c r="AV55" i="1"/>
  <c r="AV28" i="1"/>
  <c r="AV65" i="1"/>
  <c r="AV50" i="1"/>
  <c r="AV8" i="1"/>
  <c r="AV63" i="1"/>
  <c r="AU53" i="1"/>
  <c r="AU16" i="1"/>
  <c r="AU11" i="1"/>
  <c r="AU66" i="1"/>
  <c r="AU48" i="1"/>
  <c r="AV25" i="1"/>
  <c r="AU6" i="1"/>
  <c r="AU61" i="1"/>
  <c r="AU52" i="1"/>
  <c r="AU43" i="1"/>
  <c r="AV20" i="1"/>
  <c r="AU56" i="1"/>
  <c r="AU24" i="1"/>
  <c r="AV10" i="1"/>
  <c r="AV60" i="1"/>
  <c r="AU47" i="1"/>
  <c r="AU38" i="1"/>
  <c r="AU64" i="1"/>
  <c r="AU33" i="1"/>
  <c r="AU55" i="1"/>
  <c r="AU28" i="1"/>
  <c r="AU23" i="1"/>
  <c r="AU50" i="1"/>
  <c r="AU41" i="1"/>
  <c r="AU18" i="1"/>
  <c r="AU13" i="1"/>
  <c r="AU54" i="1"/>
  <c r="AU8" i="1"/>
  <c r="AU63" i="1"/>
  <c r="AU58" i="1"/>
  <c r="AU36" i="1"/>
  <c r="AU12" i="1"/>
  <c r="AV53" i="1"/>
  <c r="AU31" i="1"/>
  <c r="AU40" i="1"/>
  <c r="AU26" i="1"/>
  <c r="AV48" i="1"/>
  <c r="AU21" i="1"/>
  <c r="AU30" i="1"/>
  <c r="AU25" i="1"/>
  <c r="AU39" i="1"/>
  <c r="AU20" i="1"/>
  <c r="AU34" i="1"/>
  <c r="AU15" i="1"/>
  <c r="AU29" i="1"/>
  <c r="AU10" i="1"/>
  <c r="AU65" i="1"/>
  <c r="AU19" i="1"/>
  <c r="AU5" i="1"/>
  <c r="AV5" i="1"/>
  <c r="AW5" i="1"/>
  <c r="AU42" i="1"/>
  <c r="AU14" i="1"/>
  <c r="AU9" i="1"/>
  <c r="AU4" i="1"/>
  <c r="AU59" i="1"/>
  <c r="AU46" i="1"/>
  <c r="AU32" i="1"/>
  <c r="AU45" i="1"/>
  <c r="AU27" i="1"/>
  <c r="AU22" i="1"/>
  <c r="AU49" i="1"/>
  <c r="AU44" i="1"/>
  <c r="AU7" i="1"/>
  <c r="AU2" i="1"/>
  <c r="AU62" i="1"/>
  <c r="AU57" i="1"/>
  <c r="AU35" i="1"/>
  <c r="AW66" i="1"/>
  <c r="AW61" i="1"/>
  <c r="AW56" i="1"/>
  <c r="AW51" i="1"/>
  <c r="AW46" i="1"/>
  <c r="AW41" i="1"/>
  <c r="AW36" i="1"/>
  <c r="AW31" i="1"/>
  <c r="AW26" i="1"/>
  <c r="AW21" i="1"/>
  <c r="AW16" i="1"/>
  <c r="AW11" i="1"/>
  <c r="AW6" i="1"/>
  <c r="AV66" i="1"/>
  <c r="AV61" i="1"/>
  <c r="AV56" i="1"/>
  <c r="AV51" i="1"/>
  <c r="AV46" i="1"/>
  <c r="AV41" i="1"/>
  <c r="AV36" i="1"/>
  <c r="AV31" i="1"/>
  <c r="AV26" i="1"/>
  <c r="AV21" i="1"/>
  <c r="AV16" i="1"/>
  <c r="AV11" i="1"/>
  <c r="AV6" i="1"/>
  <c r="AW63" i="1"/>
  <c r="AW58" i="1"/>
  <c r="AW53" i="1"/>
  <c r="AW48" i="1"/>
  <c r="AW43" i="1"/>
  <c r="AW38" i="1"/>
  <c r="AW33" i="1"/>
  <c r="AW28" i="1"/>
  <c r="AW23" i="1"/>
  <c r="AW18" i="1"/>
  <c r="AW13" i="1"/>
  <c r="AW8" i="1"/>
  <c r="AW3" i="1"/>
  <c r="AV3" i="1"/>
  <c r="AW65" i="1"/>
  <c r="AW60" i="1"/>
  <c r="AW55" i="1"/>
  <c r="AW50" i="1"/>
  <c r="AW45" i="1"/>
  <c r="AW40" i="1"/>
  <c r="AW35" i="1"/>
  <c r="AW30" i="1"/>
  <c r="AW25" i="1"/>
  <c r="AW20" i="1"/>
  <c r="AW15" i="1"/>
  <c r="AW10" i="1"/>
  <c r="AW62" i="1"/>
  <c r="AW57" i="1"/>
  <c r="AW52" i="1"/>
  <c r="AW47" i="1"/>
  <c r="AW42" i="1"/>
  <c r="AW37" i="1"/>
  <c r="AW32" i="1"/>
  <c r="AW27" i="1"/>
  <c r="AW22" i="1"/>
  <c r="AW17" i="1"/>
  <c r="AW12" i="1"/>
  <c r="AW7" i="1"/>
  <c r="AW2" i="1"/>
  <c r="AV62" i="1"/>
  <c r="AV57" i="1"/>
  <c r="AV52" i="1"/>
  <c r="AV47" i="1"/>
  <c r="AV42" i="1"/>
  <c r="AV37" i="1"/>
  <c r="AV32" i="1"/>
  <c r="AV27" i="1"/>
  <c r="AV22" i="1"/>
  <c r="AV17" i="1"/>
  <c r="AV12" i="1"/>
  <c r="AV7" i="1"/>
  <c r="AV2" i="1"/>
  <c r="AW64" i="1"/>
  <c r="AW59" i="1"/>
  <c r="AW54" i="1"/>
  <c r="AW49" i="1"/>
  <c r="AW44" i="1"/>
  <c r="AW39" i="1"/>
  <c r="AW34" i="1"/>
  <c r="AW29" i="1"/>
  <c r="AW24" i="1"/>
  <c r="AW19" i="1"/>
  <c r="AW14" i="1"/>
  <c r="AW9" i="1"/>
  <c r="AW4" i="1"/>
  <c r="AV59" i="1"/>
  <c r="AV54" i="1"/>
  <c r="AV49" i="1"/>
  <c r="AV44" i="1"/>
  <c r="AV39" i="1"/>
  <c r="AV34" i="1"/>
  <c r="AV29" i="1"/>
  <c r="AV24" i="1"/>
  <c r="AV19" i="1"/>
  <c r="AV14" i="1"/>
  <c r="AV9" i="1"/>
  <c r="AV4" i="1"/>
</calcChain>
</file>

<file path=xl/sharedStrings.xml><?xml version="1.0" encoding="utf-8"?>
<sst xmlns="http://schemas.openxmlformats.org/spreadsheetml/2006/main" count="1263" uniqueCount="857">
  <si>
    <t>n</t>
  </si>
  <si>
    <t>undefined</t>
  </si>
  <si>
    <t>Journal</t>
  </si>
  <si>
    <t>United States</t>
  </si>
  <si>
    <t>Article</t>
  </si>
  <si>
    <t>ar</t>
  </si>
  <si>
    <t>Canada</t>
  </si>
  <si>
    <t>United Kingdom</t>
  </si>
  <si>
    <t>London</t>
  </si>
  <si>
    <t>60032280;60032280;60032280</t>
  </si>
  <si>
    <t>Washington, D.C.</t>
  </si>
  <si>
    <t>United States Department of Agriculture</t>
  </si>
  <si>
    <t>Struhl, Gary</t>
  </si>
  <si>
    <t>Cambridge</t>
  </si>
  <si>
    <t>The Medical Research Council Laboratory of Molecular Biology</t>
  </si>
  <si>
    <t>Struhl G.</t>
  </si>
  <si>
    <t>Germany</t>
  </si>
  <si>
    <t>Netherlands</t>
  </si>
  <si>
    <t>United Kingdom;United Kingdom</t>
  </si>
  <si>
    <t>France;France</t>
  </si>
  <si>
    <t>60000990;60000990;60000990;60000990</t>
  </si>
  <si>
    <t>Sweden</t>
  </si>
  <si>
    <t>Gothenburg</t>
  </si>
  <si>
    <t>Chalmers University of Technology</t>
  </si>
  <si>
    <t>Rudner S.</t>
  </si>
  <si>
    <t>;</t>
  </si>
  <si>
    <t>Cheng D.</t>
  </si>
  <si>
    <t>Radiophysics and Quantum Electronics</t>
  </si>
  <si>
    <t>BBA - Bioenergetics</t>
  </si>
  <si>
    <t>Los Angeles</t>
  </si>
  <si>
    <t>Montreal</t>
  </si>
  <si>
    <t>60022195;60022195</t>
  </si>
  <si>
    <t>26643168800;7202290923</t>
  </si>
  <si>
    <t>Massachusetts Institute of Technology</t>
  </si>
  <si>
    <t>Chew W.</t>
  </si>
  <si>
    <t>France</t>
  </si>
  <si>
    <t>Swindon</t>
  </si>
  <si>
    <t>Defence College of Management and Technology</t>
  </si>
  <si>
    <t>Italy</t>
  </si>
  <si>
    <t>Rome</t>
  </si>
  <si>
    <t>Consiglio Nazionale delle Ricerche</t>
  </si>
  <si>
    <t>60009386;60009386</t>
  </si>
  <si>
    <t>Fontenay-aux-Roses</t>
  </si>
  <si>
    <t>CEA Fontenay aux Roses</t>
  </si>
  <si>
    <t>Duisburg</t>
  </si>
  <si>
    <t>Universit√§t Duisburg-Essen</t>
  </si>
  <si>
    <t>Gif-sur-Yvette</t>
  </si>
  <si>
    <t>Leiden</t>
  </si>
  <si>
    <t>Dubost G.</t>
  </si>
  <si>
    <t>Rennes</t>
  </si>
  <si>
    <t>University of Rennes</t>
  </si>
  <si>
    <t>Australia</t>
  </si>
  <si>
    <t>Cleveland</t>
  </si>
  <si>
    <t>Case Western Reserve University</t>
  </si>
  <si>
    <t>Melbourne</t>
  </si>
  <si>
    <t>60024324;60024324;60024324;60024324</t>
  </si>
  <si>
    <t>6506324215;7402428186;7404813738;7006243174</t>
  </si>
  <si>
    <t>Iowa City</t>
  </si>
  <si>
    <t>University of Iowa</t>
  </si>
  <si>
    <t>Khazei M.</t>
  </si>
  <si>
    <t>Israel</t>
  </si>
  <si>
    <t>60022195;60022195;60022195</t>
  </si>
  <si>
    <t>Palo Alto</t>
  </si>
  <si>
    <t>Stanford University</t>
  </si>
  <si>
    <t>Il Nuovo Cimento C</t>
  </si>
  <si>
    <t>Italy;Italy;Italy</t>
  </si>
  <si>
    <t>Rome;Rome;Rome</t>
  </si>
  <si>
    <t>Sapienza Universit√† di Roma;Istituto Nazionale di Fisica Nucleare - INFN;Consiglio Nazionale delle Ricerche</t>
  </si>
  <si>
    <t>60032350;60021660;60021199</t>
  </si>
  <si>
    <t>Sterrewacht Leiden</t>
  </si>
  <si>
    <t>60003878;60003878</t>
  </si>
  <si>
    <t>653-656</t>
  </si>
  <si>
    <t>Journal of Experimental Marine Biology and Ecology</t>
  </si>
  <si>
    <t>Physics Letters A</t>
  </si>
  <si>
    <t>Electronics Letters</t>
  </si>
  <si>
    <t>60022148;60022148</t>
  </si>
  <si>
    <t>University College London</t>
  </si>
  <si>
    <t>Journal of Comparative Physiology ‚ñ° A</t>
  </si>
  <si>
    <t>Seattle</t>
  </si>
  <si>
    <t>University of Washington</t>
  </si>
  <si>
    <t>Antennas | Microstrip</t>
  </si>
  <si>
    <t>Neotropical Ornithological Society</t>
  </si>
  <si>
    <t>NOS</t>
  </si>
  <si>
    <t>6602726949;7003439547</t>
  </si>
  <si>
    <t>Amaldi E.</t>
  </si>
  <si>
    <t>Antennas</t>
  </si>
  <si>
    <t>Measurement Techniques</t>
  </si>
  <si>
    <t>['trichoplusia ni', 'previous reports', 'pheromone hydrolysis', 'olfaction process', 'maximally responsive', 'marked increase', 'electrophoretic patterns', 'also accompanied', '72 h']</t>
  </si>
  <si>
    <t>A marked increase in pheromone hydrolysis by antennal esterases occurred 24-72 h after eclosion and was coincident with the age of Trichoplusia ni (H√ºbner) males that were maximally responsive to the pheromone as indicated from previous reports. This observed hydrolytic activity was also accompanied by the appearance of 3 esterase bands in the electrophoretic patterns of the antenna. The finding thus lends support to the hypothesis that the observed pheromone catabolism is an event closely associated with the olfaction process. ¬© 1981 Birkh√§user Verlag.</t>
  </si>
  <si>
    <t>729-731</t>
  </si>
  <si>
    <t>Experientia</t>
  </si>
  <si>
    <t>7402298999;6701770663;6507444394</t>
  </si>
  <si>
    <t>Taylor, T. R.;Ferkovich, S. M.;Van Essen, F.</t>
  </si>
  <si>
    <t>Taylor T.</t>
  </si>
  <si>
    <t>Increased pheromone catabolism by antennal esterases after adult eclosion of the cabbage looper moth</t>
  </si>
  <si>
    <t>10.1007/BF01967948</t>
  </si>
  <si>
    <t>2-s2.0-0019414323</t>
  </si>
  <si>
    <t>['whisker detectors', 'several exact', 'radiation properties', 'radiation patterns', 'laser beams', 'infrared devices', 'given situation', 'geometrical parameters', 'experimental results', 'efficient approach', 'easy calculations', 'coupling optimisation', 'compared together', 'approximate methods']</t>
  </si>
  <si>
    <t>This paper has been devoted to conical antennas considered as possible coupling structures for microwave or infrared devices. According to geometrical parameters and to the operating frequency band, the radiation properties of such structures have been illustrated by means of numerical or experimental results. Several exact or approximate methods have been used and compared together in such a way it is possible, in a given situation, to choose the most efficient approach for calculating the radiation patterns. Such easy calculations have proved to be usefull in coupling optimisation of laser beams to whisker detectors or mixers. ¬© 1981 Plenum Publishing Corporation.</t>
  </si>
  <si>
    <t>859-876</t>
  </si>
  <si>
    <t>International Journal of Infrared and Millimeter Waves</t>
  </si>
  <si>
    <t>60006662;60006662;60006662;60006662</t>
  </si>
  <si>
    <t>56796502600;7101786976;16487057600;7003287869</t>
  </si>
  <si>
    <t>Bolomey, J. Ch;Cashman, J.;Habiby, S. El;Lesselier, D.</t>
  </si>
  <si>
    <t>SUPELEC Campus de Gif</t>
  </si>
  <si>
    <t>Bolomey J.</t>
  </si>
  <si>
    <t>Conical antennas as coupling structures for microwave and infrared devices</t>
  </si>
  <si>
    <t>10.1007/BF01007282</t>
  </si>
  <si>
    <t>2-s2.0-0019584617</t>
  </si>
  <si>
    <t>169-180</t>
  </si>
  <si>
    <t>Computer Physics Communications</t>
  </si>
  <si>
    <t>60008134;60017694;60017694</t>
  </si>
  <si>
    <t>57190101935;6507404590;6504626104</t>
  </si>
  <si>
    <t>Thiel, J.;Dorio, P.;Soubry, C.</t>
  </si>
  <si>
    <t>Paris;Paris</t>
  </si>
  <si>
    <t>CNES Centre National d'Etudes Spatiales;CNRS Centre National de la Recherche Scientifique</t>
  </si>
  <si>
    <t>60017694;60008134</t>
  </si>
  <si>
    <t>Thiel J.</t>
  </si>
  <si>
    <t>The potential created by an alternating point charge in a Maxwellian magneto-plasma</t>
  </si>
  <si>
    <t>001046558190031X</t>
  </si>
  <si>
    <t>10.1016/0010-4655(81)90031-X</t>
  </si>
  <si>
    <t>2-s2.0-0019589535</t>
  </si>
  <si>
    <t>['¬∑ h2o', '¬∑ 2h2o', 'type similar', 'type like', 'triplet states', 'trap formed', 'three types', 'strong interactions', 'reaction centre', 'proteins studied', 'proteins isolated', 'proteins compared', 'proteins also', 'parameters similar', 'parallel dimer', 'parallel chlorophyll', 'p1 leading', 'namely chl', 'monomeric chl', 'mg atom', 'interacting pairs', 'interacting chlorophyll', 'five chlorophyll', 'fdmr spectrum', 'chlorophyll molecules', 'chlorophyll emitting', 'barley thylakoids', 'antenna may', '721 nm', '679 nm', '2 k']</t>
  </si>
  <si>
    <t>chlorophyll triplet state | excitation energy transfer | optically detected magnetic resonance | Thylakoid proteins</t>
  </si>
  <si>
    <t>Fluorescence detected magnetic resonance (FDMR) spectra and fluorescence emission spectra at 4.2 K of chlorophyll-proteins isolated and purified from barley thylakoids are presented. The FDMR spectra show the occurrence of chlorophyll a triplet states in all five chlorophyll-proteins studied, namely Chl a -P1, Chl a -P2, Chl a -P3, Chl a/b -P1 and Chl a/b -P2. The presence of more than one chlorophyll triplet each associated with a chlorophyll emitting at a specific wavelength gives rise to a characteristic wavelength dependence of the FDMR spectrum of chlorophyll-proteins. The zero field splitting parameters measured, combined with the observed fluorescence emission wavelengths suggest that three types of interactions of the Mg atom of chlorophyll a occur in these proteins: a type similar to that in the parallel dimer (Chl a¬∑H2O)2, seen at 721 nm for Chl a -P1 leading to a positive FDMR signal; a type like that in Chl a¬∑ 2 pyridine also giving a positive FDMR signal, seen in Chl a -P2 and Chl a -P3; and a third type similar to that in Chl a¬∑ 2H2O leading to a negative FDMR signal, seen for Chl a -P1 at 679 nm, and for Chl a/b -P1 and Chl a/b -P2. The FDMR spectrum in the antenna of photosystem I (Chl a -P1) can probably be ascribed to that of a trap formed by a pair of interacting chlorophyll a molecules, indicating that the organisation of chlorophyll in the antenna may not in principle be very different from that in the photosystem I reaction centre, and that it contains approximately plane-parallel chlorophyll a pairs. Chl a -P2 and Chl a -P3 do not show a long wavelength (&gt;700 nm) emission, suggesting a much weaker interaction between chlorophyll molecules in these proteins compared to that in Chl a -P1. For Chl a/b -P1 and Chl a/b -P2 the absence of a long wavelength emission and the observation of zero field splitting (ZFS) parameters similar to that of monomeric Chl a¬∑2H2O both indicate the absence of strong interactions between chlorophyll a molecules in these proteins also, and it is suggested that chlorophyll a and chlorophyll b molecules occur in interacting pairs. ¬© 1981 Carlsberg Laboratory.</t>
  </si>
  <si>
    <t>183-194</t>
  </si>
  <si>
    <t>Carlsberg Research Communications</t>
  </si>
  <si>
    <t>60004156;60004156;60004156;60019782;60019782</t>
  </si>
  <si>
    <t>7006993297;6603637571;7003523760;7202709790;7006597196</t>
  </si>
  <si>
    <t>Searle, Geoff F.W.;Koehorst, Rob B.M.;Schaafsma, Tjeerd J.;M√∏ller, Birger Lindberg;von Wettstein, Diter</t>
  </si>
  <si>
    <t>Denmark;Netherlands</t>
  </si>
  <si>
    <t>Copenhagen;Wageningen</t>
  </si>
  <si>
    <t>Carlsberg Research Center;Wageningen University &amp; Research</t>
  </si>
  <si>
    <t>60019782;60004156</t>
  </si>
  <si>
    <t>Searle G.</t>
  </si>
  <si>
    <t>Fluorescence detected magnetic resonance (FDMR) spectroscopy of chlorophyll-proteins from barley</t>
  </si>
  <si>
    <t>10.1007/BF02906496</t>
  </si>
  <si>
    <t>2-s2.0-2142830579</t>
  </si>
  <si>
    <t>['wave antenna', 'two runs', 'tidal frequencies', 'similar study', 'presented evidence', 'good agreement', 'free oscillations', 'fourier analysis', 'forced oscillations', 'data collected', '390 kg', '1667 min']</t>
  </si>
  <si>
    <t>In two previous papers we have presented evidence for a correlation between a part of the background of a gravitational-wave antenna (M=390 kg) and the free oscillations of the Earth. These results are suggestive of a similar study of the forced oscillations of the Earth. In this paper we present the results of the Fourier analysis for periods between ‚Ñ±=100 and 1667 min of the data collected on the occasion of two runs: one in 1978, the other in 1980. They show a few frequencies, some of which are in very good agreement with tidal frequencies. The probability for these ¬´overlappings¬ª to be accidental is of the order of 10-2 or less. ¬© 1981 Societ√° Italiana di Fisica.</t>
  </si>
  <si>
    <t>441-457</t>
  </si>
  <si>
    <t>60032350-60021660;60032350-60021660;60032350-60021660;60032350-60021660;60021199-60021660;60021199-60021660;60021199-60021660;60032350-60021660-60021199;60032350-60021660-60021199</t>
  </si>
  <si>
    <t>24785703100;7005568912;25649375000;7103269533;7004641893;6602162239;7005380567;7004243218;7003386560</t>
  </si>
  <si>
    <t>Amaldi, E.;Coccia, E.;Frasca, S.;Ricci, F.;Bonifazi, P.;Iafolla, V.;Natali, G.;Pallottino, G. V.;Pizzella, G.</t>
  </si>
  <si>
    <t>Background of gravitational-wave antennas of possible terrestrial origin-III</t>
  </si>
  <si>
    <t>10.1007/BF02558297</t>
  </si>
  <si>
    <t>2-s2.0-51649163740</t>
  </si>
  <si>
    <t>['wave antenna', 'transfer function', 'suspensions operate', 'rome group', 'new type', 'good agreement', 'f .)', 'experimental results', 'expected values', 'brownian noise', '2 k']</t>
  </si>
  <si>
    <t>Measurements at T=4.2 K of the mechanical-transfer function (m.t.f.) and of the Brownian noise of a small test antenna using a new type of suspensions are reported. These suspensions operate as a double mechanical filter and their m.t.f. has been measured in order to investigate their use for the big (5 t) gravitational-wave antenna now being assembled at CERN by the Rome group. The experimental results are in good agreement with the expected values. ¬© 1981 Societ√° Italiana di Fisica.</t>
  </si>
  <si>
    <t>408-416</t>
  </si>
  <si>
    <t>60021199-60021660;60032350-60021660;60032350-60021660</t>
  </si>
  <si>
    <t>7004641893;7005568912;7003636273</t>
  </si>
  <si>
    <t>Bonifazi, P.;Coccia, E.;Rapagnani, P.</t>
  </si>
  <si>
    <t>Bonifazi P.</t>
  </si>
  <si>
    <t>Mechanical-transfer function and Brownian-noise measurements at T=4.2 K of a small (M=20.3 kg) gravitational-wave antenna using double "four-point" mechanical suspensions</t>
  </si>
  <si>
    <t>10.1007/BF02558294</t>
  </si>
  <si>
    <t>2-s2.0-51649166510</t>
  </si>
  <si>
    <t>['¬© 1981', 'short dipole', 'rights reserved', 'power gain', 'noise ratio', 'graphs illustrating', 'expressed either', 'electrical engineers', 'corresponding variation']</t>
  </si>
  <si>
    <t>Antennas | Dipole antennas</t>
  </si>
  <si>
    <t>The performance of inductively loaded dipoles as a function of coil loading position can be expressed either in terms of their efficiency or power gain, or alternatively in terms of their signal/noise ratio for different sky temperatures. The variation of power gain and efficiency with loading position differs from the corresponding variation of signal/noise ratio, and graphs illustrating the relation between signal/noise ratio and efficiency for any short dipole are provided for different sky temperatures. ¬© 1981, The Institution of Electrical Engineers. All rights reserved.</t>
  </si>
  <si>
    <t>492-494</t>
  </si>
  <si>
    <t>60019702;60019702</t>
  </si>
  <si>
    <t>7005970306;35789204100</t>
  </si>
  <si>
    <t>Maclean, T. S.M.;Saini, S. P.S.</t>
  </si>
  <si>
    <t>Birmingham</t>
  </si>
  <si>
    <t>University of Birmingham</t>
  </si>
  <si>
    <t>Maclean T.</t>
  </si>
  <si>
    <t>Efficiency and signal/noise ratio of short linear dipoles</t>
  </si>
  <si>
    <t>10.1049/el:19810342</t>
  </si>
  <si>
    <t>2-s2.0-0019876203</t>
  </si>
  <si>
    <t>['¬© 1981', 'wheat chloroplasts', 'third chlorophyll', 'sucrose gradient', 'spectral analysis', 'protein complexes', 'protein complex', 'photosystem ii', 'native absorption', 'missing chlorophyll', 'large improvement', 'isolation procedure', 'harvesting chlorophyll', 'gain information', 'fractions showed', 'excition interaction', 'direct comparison', 'different shape', 'curve resolution', 'curve analysis', 'component bands', 'chloroplast spectrum', 'chlorophyll observed', 'b protein', 'antenna chlorophyll', 'absorption spectra', '89 k']</t>
  </si>
  <si>
    <t>(Pea, Wheat chloroplast) | Absorption spectroscopy | Chlorophyll-protein complex | Curve resolution | Photosynthesis | Pigment-protein complex</t>
  </si>
  <si>
    <t>A spectral analysis of chlorophyll-protein complexes was carried out to gain information about the state of chlorophyll in vivo. A light-harvesting chlorophyll a b protein complex and a Photosystem I complex were isolated from pea and from wheat chloroplasts by treatment with 0.5% Triton and centrifugation in a sucrose gradient. Resolution of absorption spectra (89 K) of these fractions showed that their forms of chlorophyll were not altered by the isolation procedure. However, because the sum of the spectra of the fractions had a different shape from the chloroplast spectrum, it may be assumed that a third chlorophyll-protein complex was lost or changed in terms of the state of its chlorophyll. The spectrum of this missing chlorophyll was calculated and found to have a maximum near 683 nm. Circumstantial evidence indicates that this calculated spectrum may represent the native absorption of antenna chlorophyll a-protein of Photosystem II. The proportionality between the major absorbing forms of chlorophyll observed by curve analysis of different fractions suggests that the 660 and 678 nm forms may be the result of excition interaction. The addition of a very small, narrow 675 nm band caused a very large improvement in fitting the spectrum of the antenna chlorophyll a b protein with component bands, but not in Photosystem I spectra. A direct comparison of curve resolution with fourth derivative analysis shows the advantages of the former for studying the states of chlorophyll in vivo. ¬© 1981.</t>
  </si>
  <si>
    <t>201-209</t>
  </si>
  <si>
    <t>60024613;60024613</t>
  </si>
  <si>
    <t>7409449087;7003886025</t>
  </si>
  <si>
    <t>Brown, Jeanette S.;Schoch, Siegrid</t>
  </si>
  <si>
    <t>Carnegie Institution of Washington</t>
  </si>
  <si>
    <t>Brown J.S.</t>
  </si>
  <si>
    <t>Spectral analysis of chlorophyll-protein complexes from higher plant chloroplasts</t>
  </si>
  <si>
    <t>10.1016/0005-2728(81)90094-3</t>
  </si>
  <si>
    <t>2-s2.0-0019590627</t>
  </si>
  <si>
    <t>['¬© 1981', 'structural entities', 'stroma thylakoids', 'stroma phases', 'simultaneously lower', 'reaction centers', 'ps ii', 'poisoned chloroplasts', 'plants grown', 'plant growth', 'hill oxidant', 'grana facilitated', 'functional organization', 'electron transport', 'chloroplast volume', 'certain group', 'also showed', '710 nm']</t>
  </si>
  <si>
    <t>Chlorophyll content | Chloroplast ultrastructure | Photosystem stoichiometry</t>
  </si>
  <si>
    <t>The structural-functional organization of higher plant chloroplasts has been investigated in relation to the particular light conditions during plant growth. (1) Light intensity variations during growth caused changes in the Chl a Chl b ratio, in the light-saturated uncoupled rates of electron transport to a Hill oxidant and in the distribution of the chloroplast volume between the membrane and stroma phases. (2) Light quality differences during growth had an effect on the PS II/PS I reaction center ratio and on the chloroplast membrane phase differentiation into grana and stroma thylakoids. Plants grown under far-red-enriched (680-710 nm) illumination contained higher (20-25%) amounts of PS II and simultaneously lower (20-25%) amounts of PS I reaction centers. They also showed a higher grana density along with thicker grana stacks in their chloroplasts. (3) The size of the light-harvesting antenna pool of PS II centers was estimated from the fluorescence time course of 3-(3‚Ä≤,4‚Ä≤-dichlorophenyl)-1,1-dimethylurea-poisoned chloroplasts and was found to be fairly constant (¬±10%) in spite of the variable PS II/PS I reaction center ratio. The results are compatible with the hypothesis that the structural entities of grana facilitated the centralization and relative concentration increase of a certain group of PS II reaction centers. ¬© 1981.</t>
  </si>
  <si>
    <t>138-145</t>
  </si>
  <si>
    <t>57203081985;7102704628</t>
  </si>
  <si>
    <t>Melis, A.;Harvey, G. W.</t>
  </si>
  <si>
    <t>Melis A.</t>
  </si>
  <si>
    <t>Regulation of photosystem stoichiometry, chlorophyll a and chlorophyll b content and relation to chloroplast ultrastructure</t>
  </si>
  <si>
    <t>000527288190219X</t>
  </si>
  <si>
    <t>10.1016/0005-2728(81)90219-X</t>
  </si>
  <si>
    <t>2-s2.0-0001188850</t>
  </si>
  <si>
    <t>['¬© 1981', 'zero crosspolarisation', 'subreflector diameter', 'rights reserved', 'offset cassegrain', 'electrical engineers', 'crosspolar performance']</t>
  </si>
  <si>
    <t>Antennas | Crosspolarisation</t>
  </si>
  <si>
    <t>The geometric optics condition for zero crosspolarisation in offset Cassegrain antennas is discussed. It is shown that with a feed having perfect pattern symmetry the crosspolar performance of the offset Cassegrain is limited by diffraction. As a result minimum crosspolarisation is only achieved at the geometric optics condition when the subreflector diameter is at least 40 wavelengths. ¬© 1981, The Institution of Electrical Engineers. All rights reserved.</t>
  </si>
  <si>
    <t>585-586</t>
  </si>
  <si>
    <t>Bird, T. S.</t>
  </si>
  <si>
    <t>Townsville</t>
  </si>
  <si>
    <t>James Cook University</t>
  </si>
  <si>
    <t>Bird T.</t>
  </si>
  <si>
    <t>Investigation of crosspolarisation in offset Cassegrain antennas</t>
  </si>
  <si>
    <t>10.1049/el:19810412</t>
  </si>
  <si>
    <t>2-s2.0-0019597322</t>
  </si>
  <si>
    <t>['¬© 1981', 'triangular lattices', 'simple rings', 'rights reserved', 'reflector antennas', 'reflection bandwidths', 'readily attainable', 'modal computations', 'electrical engineers', '45 ¬∞']</t>
  </si>
  <si>
    <t>Electromagnetic waves | Frequency selective surfaces | Reflector antennas</t>
  </si>
  <si>
    <t>Arrays of simple rings on close packed square or triangular lattices are useful frequency selective surfaces for reflector antennas. Reflection bandwidths of about 26 per cent and transmission/reflection band ratios of 3:1 are readily attainable for angles of incidence of up to 45¬∞ at least. Experimental transmission coefficients are compared with the results of modal computations. ¬© 1981, The Institution of Electrical Engineers. All rights reserved.</t>
  </si>
  <si>
    <t>612-614</t>
  </si>
  <si>
    <t>60010818;60010818</t>
  </si>
  <si>
    <t>7201840709;7004104010</t>
  </si>
  <si>
    <t>Parker, E. A.;Hamdy, S. M.A.</t>
  </si>
  <si>
    <t>Canterbury</t>
  </si>
  <si>
    <t>University of Kent</t>
  </si>
  <si>
    <t>Parker E.A.</t>
  </si>
  <si>
    <t>Rings as elements for frequency selective surfaces</t>
  </si>
  <si>
    <t>10.1049/el:19810430</t>
  </si>
  <si>
    <t>2-s2.0-0019601963</t>
  </si>
  <si>
    <t>['visual field', 'verlag gmbh', 'like fashion', 'gryllus campestris', 'co kg']</t>
  </si>
  <si>
    <t>Black disks moving horizontally in the visual field of a cricket (Gryllus campestris) induce an antennal tracking response. It consists of movements of the ipsilateral antenna following the target in a saccade-like fashion. ¬© 1981 Springer-Verlag GmbH &amp; Co KG.</t>
  </si>
  <si>
    <t>419-421</t>
  </si>
  <si>
    <t>Honegger, H. W.</t>
  </si>
  <si>
    <t>Konstanz</t>
  </si>
  <si>
    <t>Universit√§t Konstanz</t>
  </si>
  <si>
    <t>Honegger H.</t>
  </si>
  <si>
    <t>A preliminary note on a new optomotor response in crickets: Antennal tracking of moving targets</t>
  </si>
  <si>
    <t>10.1007/BF00605454</t>
  </si>
  <si>
    <t>2-s2.0-0000346348</t>
  </si>
  <si>
    <t>['wind puffs', 'verlag gmbh', 'ventral gi', 'threshold lowest', 'though known', 'subsequent phases', 'still activated', 'small winds', 'slow walking', 'responsive behaviorally', 'recorded either', 'pronounced inhibition', 'permitted us', 'periplaneta americana', 'peak velocity', 'movement responses', 'motor system', 'meaningful role', 'legs normally', 'large puffs', 'insufficiently activated', 'inhibited slightly', 'information suggesting', 'fast walking', 'escape system', 'escape behavior', 'early part', 'dorsal gi', 'different speeds', 'different experiments', 'different amplitudes', 'delcomyn 1980', 'could move', 'coherent model', 'co kg', 'behavioral latency', 'action potentials', '5 ).', '4 steps', '4 ).', '3 mm', '2 ).', '18 ms', '12 mm']</t>
  </si>
  <si>
    <t>1. Adult male cockroaches (Periplaneta americana) which were fixed in place but could move their legs normally were presented with wind puffs of different amplitudes. The puffs were given while the cockroaches were walking at different speeds, standing or grooming their antennae. In different experiments we recorded either the movement responses of one metathoracic leg or the action potentials from impaled, individually identified giant interneurons. 2. Cockroaches were most responsive behaviorally to wind puffs presented during slow walking (1-4 steps/s). At such times the latency was shortest (11-18 ms for large puffs) and the threshold lowest (Fig. 2). The threshold wind puff, having a peak velocity of 3 mm/s, evoked a pause in walking. Puffs of 12 mm/s or larger evoked running. 3. The ventral giant interneurons (GI's) though known to be inhibited slightly during slow walking (Daley and Delcomyn 1980 a) are still activated by wind puffs of 3 or 12 mm/s (Fig. 3) and thus can contribute to the behaviors that these small wind stimuli evoke. Pronounced inhibition of the ventral GI's occurred only during fast walking (Fig. 4). The dorsal GI's appear to be insufficiently activated by these small winds to contribute to the havior. 4. In response to large wind puffs presented during slow walking, the behavioral latency is so short that only a few action potentials of the largest ventral GI's appear to be capable of mediating the onset of the behavior. The dorsal GI's appear to be activated too late to contribute to initiating the behavior. 5. The information suggesting that the ventral, and not the dorsal GI's initiate the escape behavior has permitted us to develop a coherent model of the escape system in which all the known synaptic interactions involving both the ventral and the dorsal GI's have a meaningful role (Fig. 5). The model includes negative feedback onto the ventral GI's and positive feedback onto the dorsal GI's from the motor system. According to this model, the ventral GI's initiate and steer the early part of the escape behavior, and the dorsal GI's maintain and steer the subsequent phases of the behavior. ¬© 1981 Springer-Verlag GmbH &amp; Co KG.</t>
  </si>
  <si>
    <t>339-346</t>
  </si>
  <si>
    <t>60007776;60007776</t>
  </si>
  <si>
    <t>7003480340;7003813376</t>
  </si>
  <si>
    <t>Camhi, Jeffrey M.;Nolen, Thomas G.</t>
  </si>
  <si>
    <t>Ithaca</t>
  </si>
  <si>
    <t>Cornell University</t>
  </si>
  <si>
    <t>Camhi J.</t>
  </si>
  <si>
    <t>Properties of the escape system of cockroaches during walking</t>
  </si>
  <si>
    <t>10.1007/BF00605446</t>
  </si>
  <si>
    <t>2-s2.0-0001354765</t>
  </si>
  <si>
    <t>['screening extracts', 'positional isomer', 'pheromone alone', 'eag discrimination', 'eag activity', 'biological amplification']</t>
  </si>
  <si>
    <t>biological amplification | Boarmia selenaria | Coccoidea | electroantennogram | Geometridae | Homoptera | Lepidoptera | Matsucoccus josephi | Noctuidae | pheromones | Spodoptera littoralis</t>
  </si>
  <si>
    <t>Male Spodoptera littoralis stimulated by a mixture of S. littoralis female sex pheromone with a positional isomer and by the pheromone alone, gave greatly amplified electroantennograms (EAGs) when the antennae were connected in series. The technique is described and examples are given of its use in screening extracts for EAG activity. Dose-response curves obtained with this technique are presented and discussed. Through biological amplification, EAG discrimination between the pheromones was increased. ¬© 1981 Plenum Publishing Corporation.</t>
  </si>
  <si>
    <t>791-798</t>
  </si>
  <si>
    <t>Journal of Chemical Ecology</t>
  </si>
  <si>
    <t>Moore, I.</t>
  </si>
  <si>
    <t>Bet Dagan</t>
  </si>
  <si>
    <t>Agricultural Research Organization of Israel</t>
  </si>
  <si>
    <t>Moore I.</t>
  </si>
  <si>
    <t>Biological amplification for increasing electroantennogram discrimination between two female sex pheromones of Spodoptera littoralis (Lepidoptera: Noctuidae)</t>
  </si>
  <si>
    <t>10.1007/BF00992378</t>
  </si>
  <si>
    <t>2-s2.0-0011870161</t>
  </si>
  <si>
    <t>779-781</t>
  </si>
  <si>
    <t>Fogel', A. L.</t>
  </si>
  <si>
    <t>Fogel' A.</t>
  </si>
  <si>
    <t>Practical realization of the possibliities of measurements of the directional diagram of an antenna in its near zone in a wide sector of angles</t>
  </si>
  <si>
    <t>10.1007/BF01035937</t>
  </si>
  <si>
    <t>2-s2.0-0019614332</t>
  </si>
  <si>
    <t>['tumorous head', 'screen designed', 'null mutations', 'normal development', 'morphological defects', 'increased penetrance', 'homoeotic mutations', 'head locus', 'head gene', 'consequence begin', 'complex locus', 'complementation studies']</t>
  </si>
  <si>
    <t>A new homoeotic mutant, I127, showing abnormal growths in the head region including homoeotic transformation of eye to genitalia and antenna to leg, was isolated in a screen designed to find new alleles of the tumorous head (tuh-3), mutation. Similarities in the phenotype and genetics of the mutant, and complementation studies with tuh-1; tuh-3, suggest that I127 is indeed an allele of tuh-3. In combination with the first chromosome modifier tuh-1, the mutant is temperature-sensitive during the third larval instar, giving an increased penetrance of the tumorous head phenotype when reared at 25¬∞ C as opposed to 18¬∞ C. The isolation of further alleles at the tumorous-head locus are essential. The types of morphological defects which can result from mutations at this locus would enable us to establish if this is a complex locus, and if null mutations are lethal during development. The interactions of the tumorous-head gene with first chromosome modifiers and other homoeotic mutations will only be understood if we able to induce a number of mutations at this locus, and as a consequence begin to elucidate the role of the wild-type gene product in normal development. ¬© 1981 Springer-Verlag.</t>
  </si>
  <si>
    <t>158-162</t>
  </si>
  <si>
    <t>MGG Molecular &amp; General Genetics</t>
  </si>
  <si>
    <t>60027272;60027272;60027272;60007474</t>
  </si>
  <si>
    <t>7005893300;7403451442;7006125030;6602695998</t>
  </si>
  <si>
    <t>Bownes, Mary;Roberts, Sarah;Dempster, Maureen;Bournias-Vardiabasis, Nicole</t>
  </si>
  <si>
    <t>United Kingdom;United States</t>
  </si>
  <si>
    <t>Edinburgh;Duarte</t>
  </si>
  <si>
    <t>The University of Edinburgh;City of Hope National Med Center</t>
  </si>
  <si>
    <t>60027272;60007474</t>
  </si>
  <si>
    <t>Bownes M.</t>
  </si>
  <si>
    <t>Characterisation of a new tumorous-head mutant of Drosophila melanogaster</t>
  </si>
  <si>
    <t>10.1007/BF00270155</t>
  </si>
  <si>
    <t>2-s2.0-0019763632</t>
  </si>
  <si>
    <t>['violaxanthin ),', 'restoring photoreactions', 'reconstitution technique', 'reaction centre', 'phenylene diamine', 'phenazine methosulphate', 'partially restored', 'maximum rate', 'lyophilized chloroplasts', 'low level', 'junk publishers', 'heptane extraction', 'extracted chloroplasts', 'dr w', 'chloroplast photosystem', 'chloroplast membranes', 'carotenoid requirement', 'belonging mainly', 'affect photosystem']</t>
  </si>
  <si>
    <t>Œ≤-carotene | chloroplasts | P700 | photosystem I | reconstitution | xanthophylls</t>
  </si>
  <si>
    <t>A carotenoid requirement for photosystem I activity in spinach chloroplasts using extraction-reconstitution technique has been investigated. The transfer of electron from N,N,N‚Ä≤,N‚Ä≤-tetramethyl-p-phenylene diamine through the chloroplast photosystem to methyl viologen dye or to NADP+ was used as an assay of photosystem I activity. Extraction of lyophilized spinach chloroplasts with heptane at near 0¬∞C removed almost all Œ≤-carotene and reduced photochemical activities associated with photosystem I to a low level (about 15% of the original activity). Reconstitution of the extracted chloroplasts with Œ≤-carotene completely restored photosystem I activity. The maximum rate of methyl viologen photoreduction in reconstituted chloroplasts occurred at an Œ≤-carotene/chlorophyll molar ratio of 0.5. Cyclic phosphorylation mediated by phenazine methosulphate was partially restored. Xanthophylls (lutein, neoxanthin, violaxanthin), as components of chloroplast membranes, were not able to replace Œ≤-carotene in reconstitution of chloroplasts and had essentially no effect on restoring photoreactions. On the basis of the P700/total chlorophyll ratio it can be assumed that extraction of lyophilized chloroplasts with heptane do not affect photosystem I reaction centre. Therefore it is possible that Œ≤-carotene, removed during heptane extraction and belonging mainly to the antenna pigment pool of photosystem I, is effective in the restoration of photosystem I activity. ¬© 1981 Martinus Nijhoff/Dr W. Junk Publishers.</t>
  </si>
  <si>
    <t>153-166</t>
  </si>
  <si>
    <t>Photosynthesis Research</t>
  </si>
  <si>
    <t>60011685;60011685;60011685</t>
  </si>
  <si>
    <t>6603950381;57213953311;6602731696</t>
  </si>
  <si>
    <t>Tukendorf, A.;Subczynski, W. K.;Baszynski, T.</t>
  </si>
  <si>
    <t>Poland</t>
  </si>
  <si>
    <t>Lublin</t>
  </si>
  <si>
    <t>Maria Curie-Sklodowska University in Lublin</t>
  </si>
  <si>
    <t>Tukendorf A.</t>
  </si>
  <si>
    <t>Participation of Œ≤-carotene in reactivation of PSI of heptane-extracted spinach chloroplasts</t>
  </si>
  <si>
    <t>10.1007/BF00032354</t>
  </si>
  <si>
    <t>2-s2.0-34250245934</t>
  </si>
  <si>
    <t>['¬© 1981', 'wideband spectra', 'velocity dispersion', 'values known', 'smaller elongations', 'scintillation spectra', 'scintillation due', 'reliably separated', 'radio sources', 'power spectrum', 'law form', 'ipp ),', 'ionospheric scintillations', 'ionosphere upon', 'interplanetary plasma', 'index 3', 'fluctuation anisotropy', 'due regard', 'decametre waves', 'decametre wavelengths', 'decametre band', 'close agreement', 'breaking point', 'approximately 0', '90 ¬∞', '150 ¬∞,', '110 ¬∞', '01 hz']</t>
  </si>
  <si>
    <t>The effect of fluctuations of the interplanetary plasma and the ionosphere upon the scintillation spectra of radio sources at decametre waves is considered with due regard for the finite antenna aperture, fluctuation anisotropy, and the direction of their drift in space. It has been shown that scintillation due to interplanetary plasma (IPP), can be reliably separated from the ionospheric scintillation background at decametre wavelengths. For elongations between 90¬∞ to 150¬∞, the IPP scintillation power spectrum observed in the 12.6-25 MHz waveband is of a power law form with the index 3.1¬±0.6, which is in close agreement with the values known for smaller elongations. The solar wind velocity projection orthogonal to the line of sight is estimated for elongations about 110¬∞ and has been found to be 300¬±80 km s-1. As in the case of smaller elongations, the velocity dispersion is significant. At night, wideband spectra of ionospheric scintillations are observed in the decametre band, with the breaking point at approximately 0.01 Hz in the 12 m band, and narrow-band spectra whose cut-off frequency is below 0.01 Hz. The power spectrum of ionospheric scintillations is of a power-law form with the index 3.4¬±0.5. In some cases steeper spectra are observed. ¬© 1981 D. Reidel Publishing Co.</t>
  </si>
  <si>
    <t>165-180</t>
  </si>
  <si>
    <t>1572946X</t>
  </si>
  <si>
    <t>0004640X</t>
  </si>
  <si>
    <t>Astrophysics and Space Science</t>
  </si>
  <si>
    <t>60068535;60068535</t>
  </si>
  <si>
    <t>6506417478;16489538100</t>
  </si>
  <si>
    <t>Bovkoon, V. P.;Zhouck, I. N.</t>
  </si>
  <si>
    <t>Ukraine</t>
  </si>
  <si>
    <t>Kharkiv</t>
  </si>
  <si>
    <t>O. Ya. Usikov Institute for Radiophysics and Electronics of the National Academy of Sciences of Ukraine</t>
  </si>
  <si>
    <t>Bovkoon V.</t>
  </si>
  <si>
    <t>Scintillations of cosmic radio sources in the decametre waveband - I. Spectra of scintillations due to ionospheric and interplanetary plasma fluctuations and the possibility of their separation</t>
  </si>
  <si>
    <t>10.1007/BF00655914</t>
  </si>
  <si>
    <t>2-s2.0-34250246986</t>
  </si>
  <si>
    <t>['young larvae', 'unpaired part', 'tomato foliage', 'paired parts', 'mortality increased', 'like claw', 'leptinotarsa decemlineata', 'labial palps', 'ingested sub', 'highest dosages', 'field tests', 'either tomato', 'dosage decreased', 'dilutions ranging', 'cranial sclerities', 'cease feeding', 'bacillus thuringiensis', 'atrophied mouthparts', 'applied weekly', 'adult beetles', '9 days']</t>
  </si>
  <si>
    <t>Bacillus thuringiensis | Colorado potato beetle | Leptinotarsa decemlineata | microbial control</t>
  </si>
  <si>
    <t>In laboratory tests conducted to determine the effectiveness of the exotoxin of Bacillus thuringiensis against the Colorado potato beetle, Leptinotarsa decemlineata (Say), applications sprayed on tomato foliage at dilutions ranging from 10-1 through 10-4 killed 90% of the 1st and 2nd stage beetle larvae. As the dosage decreased, the time to achieve this level of mortality increased from 4 to 9 days. Adult beetles were not killed by these treatments; however they did cease feeding. In field tests, the highest dosages of B. t. sprayed on either tomato or potato plants provided adequate or nearly complete protection when applied weekly. Young larvae that ingested sub-lethal doses developed into adults with atrophied mouthparts and antennae, transformations of the paired parts of the labial palps into an unpaired part, the appearance of a tarsal-like claw on a palp, and malformation of the cranial sclerities. ¬© 1981 Springer.</t>
  </si>
  <si>
    <t>457-468</t>
  </si>
  <si>
    <t>American Potato Journal</t>
  </si>
  <si>
    <t>60000635;60000635</t>
  </si>
  <si>
    <t>7003618053;6507116247</t>
  </si>
  <si>
    <t>Cantwell, George E.;Cantelo, William W.</t>
  </si>
  <si>
    <t>Beltsville</t>
  </si>
  <si>
    <t>USDA ARS Beltsville Agricultural Research Center</t>
  </si>
  <si>
    <t>Cantwell G.</t>
  </si>
  <si>
    <t>Bacillus thuringiensis a potential control agent for the Colorado potato beetle</t>
  </si>
  <si>
    <t>10.1007/BF02874543</t>
  </si>
  <si>
    <t>2-s2.0-51849184129</t>
  </si>
  <si>
    <t>['¬© 1981', 'scanning applications', 'rights reserved', 'millimetric array', 'measurements performed', 'electrical engineers', 'dielectric waveguide', 'developed using']</t>
  </si>
  <si>
    <t>Antennas | Waveguides</t>
  </si>
  <si>
    <t>A millimetric array is described which employs dielectric radiating elements excited by means of a dielectric waveguide. The design of the array is developed using the method of effective dielectric constants and a simple array theory. Measurements performed on a nonresonant prototype demonstrate its feasibility and its potential for frequency-scanning applications. ¬© 1981, The Institution of Electrical Engineers. All rights reserved.</t>
  </si>
  <si>
    <t>633-635</t>
  </si>
  <si>
    <t>60011897-60004305;60011897</t>
  </si>
  <si>
    <t>6603139434;6602213169</t>
  </si>
  <si>
    <t>Birand, M. T.;Gelsthorpe, R. V.</t>
  </si>
  <si>
    <t>United Kingdom;Turkey</t>
  </si>
  <si>
    <t>Leatherhead;Ankara</t>
  </si>
  <si>
    <t>ERA Technology Ltd;Middle East Technical University (METU)</t>
  </si>
  <si>
    <t>60011897;60004305</t>
  </si>
  <si>
    <t>Birand M.</t>
  </si>
  <si>
    <t>Experimental millimetric array using dielectric radiators fed by means of dielectric waveguide</t>
  </si>
  <si>
    <t>10.1049/el:19810444</t>
  </si>
  <si>
    <t>2-s2.0-0019872122</t>
  </si>
  <si>
    <t>['¬© 1981', 'side 0', 'rights reserved', 'relative strength', 'electrical engineers', 'crosspolarised radiation', 'crosspolar radiation']</t>
  </si>
  <si>
    <t>Antenna radiation patterns | Antennas | Polarisation</t>
  </si>
  <si>
    <t>The crosspolarised radiation from monopoles on square ground planes of side 0.5 to 2.2Œª has been investigated. The radiation pattern structure and the relative strength of the crosspolar radiation are described. ¬© 1981, The Institution of Electrical Engineers. All rights reserved.</t>
  </si>
  <si>
    <t>55698377500;6508106737</t>
  </si>
  <si>
    <t>Smith, M. S.;De Prunel√©, G.</t>
  </si>
  <si>
    <t>Smith M.</t>
  </si>
  <si>
    <t>Crosspolarisation for monopole antennas on limited ground planes</t>
  </si>
  <si>
    <t>10.1049/el:19810458</t>
  </si>
  <si>
    <t>2-s2.0-0019872147</t>
  </si>
  <si>
    <t>['¬© 1981', 'recent paper', 'power spectrum', 'gravitational radiation', 'energy absorbed', 'correlated state']</t>
  </si>
  <si>
    <t>We calculate the change in energy absorbed and the power spectrum in a coherently driven antenna induced by interaction with gravitational radiation. The coherent driving field prepares the antenna in a correlated state which enhances the sensitivity of the detector as proposed in a recent paper by Weber. ¬© 1981.</t>
  </si>
  <si>
    <t>118-120</t>
  </si>
  <si>
    <t>60004424;60009999</t>
  </si>
  <si>
    <t>56247620200;7103338931</t>
  </si>
  <si>
    <t>Walls, D. F.;Zoller, P.</t>
  </si>
  <si>
    <t>Austria;New Zealand</t>
  </si>
  <si>
    <t>Innsbruck;Hamilton</t>
  </si>
  <si>
    <t>Universit√§t Innsbruck;The University of Waikato</t>
  </si>
  <si>
    <t>60009999;60004424</t>
  </si>
  <si>
    <t>Walls D.</t>
  </si>
  <si>
    <t>Enhanced sensitivity of a gravitational wave detector</t>
  </si>
  <si>
    <t>0375-9601(81)90238-3</t>
  </si>
  <si>
    <t>10.1016/0375-9601(81)90238-3</t>
  </si>
  <si>
    <t>2-s2.0-49049152680</t>
  </si>
  <si>
    <t>['¬© 1981', 'stage iii', 'small compared', 'reduced development', 'planktonic life', 'nauplius stages', 'larval development', 'larval appendages', 'feed externally']</t>
  </si>
  <si>
    <t>The nauplius stages of the cirripede Tetraclita squamosa rufotincta Pilsbry from Elat have been cultured and described. There are the usual six larval stages followed by the cypris but the increase in size during development is small compared with many other species. This small increase compares favourably with other species having very large embryos containing an excess of yolk and which do not take external food during larval development. The setation of the larval appendages is less than in other species and on the antenna and mandible does not increase after stage III. It is suggested that the lack of setation, coupled with a reduced development of the labrum, may be a consequence of the lack of a necessity for this species to feed externally during its planktonic life. ¬© 1981.</t>
  </si>
  <si>
    <t>149-165</t>
  </si>
  <si>
    <t>100315594;60002765</t>
  </si>
  <si>
    <t>24542772600;7004620770</t>
  </si>
  <si>
    <t>Barnes, Margaret;Achituv, Y.</t>
  </si>
  <si>
    <t>Israel;United Kingdom</t>
  </si>
  <si>
    <t>Ramat Gan;Argyll</t>
  </si>
  <si>
    <t>Bar-Ilan University;Dunstaffnage Marine Research Laboratory</t>
  </si>
  <si>
    <t>60002765;100315594</t>
  </si>
  <si>
    <t>Barnes M.</t>
  </si>
  <si>
    <t>The nauplius stages of the cirripede Tetraclita squamosa rufotincta Pilsbry</t>
  </si>
  <si>
    <t>10.1016/0022-0981(81)90141-6</t>
  </si>
  <si>
    <t>2-s2.0-0001001287</t>
  </si>
  <si>
    <t>['thylakoid membrane', 'smaller proportion', 'samples treated', 'results indicate', 'reaction centre', 'ps ii', 'protein composition', 'primary leaves', 'polyacrylamide gels', 'phaseolus vulgaris', 'percentage decrease', 'older leaves', 'leaf chlorophyll', 'large decrease', 'decrease observed', 'chloroplasts isolated', 'chlorophylls associated', 'chlorophyll content', 'chlorophyll applied', 'b ratio', 'average number', 'antenna chlorophylls', '734 nm']</t>
  </si>
  <si>
    <t>A large decrease was observed in the chlorophyll content of the primary leaves of Phaseolus vulgaris during senescence. Chloroplasts isolated from mature and senescent leaves gave very similar light saturation curves for electron transport reactions involving either PS I or PS II, indicating that the average number of chlorophyll molecules associated with each reaction centre did not change during senescence. It is concluded that the reaction centres ceased to function at the same time as, or perhaps before, their antenna chlorophylls were lost from the thylakoid membrane, and that the percentage decrease in the number of functional reaction centres per leaf was at least as great as the percentage decrease in the leaf chlorophyll content.The chlorophyll-protein composition of thylakoid membrane preparations was examined by electrophoresis of samples treated with sodium dodecyl sulphate. In older leaves a smaller proportion of the chlorophyll applied to polyacrylamide gels was associated with the P700- chlorophyll a-protein complex.. There was also a decline in emission at 734 nm in the 77 ¬∞K fluorescence spectrum of intact leaf tissue during senescence. These results indicate that older leaves contained a smaller proportion of chlorophylls associated with PS I, and this is consistent with the decrease observed in the leaf chlorophyll a/b ratio during senescence. The effect of these changes in chlorophyll content on the capacity of the chloroplast to carry out photosynthetic electron transport is discussed. ¬© 1981 Oxford University Press.</t>
  </si>
  <si>
    <t>1009-1020</t>
  </si>
  <si>
    <t>Journal of Experimental Botany</t>
  </si>
  <si>
    <t>60012070;60001359;60012070</t>
  </si>
  <si>
    <t>7201484907;26643542200;6602301023</t>
  </si>
  <si>
    <t>Jenkins, G. I.;Baker, N. R.;Woolhouse, H. W.</t>
  </si>
  <si>
    <t>Leeds;Colchester</t>
  </si>
  <si>
    <t>University of Leeds;University of Essex</t>
  </si>
  <si>
    <t>60012070;60001359</t>
  </si>
  <si>
    <t>Jenkins G.</t>
  </si>
  <si>
    <t>Changes in chlorophyll content and organization during senescence of the primary leaves of Phaseolus vulgaris L. In relation to photosynthetic electron transport</t>
  </si>
  <si>
    <t>10.1093/jxb/32.5.1009</t>
  </si>
  <si>
    <t>2-s2.0-0001582506</t>
  </si>
  <si>
    <t>['¬© 1981', 'verified experimentally', 'rights reserved', 'radiation diagrams', 'main predictions', 'impedances favourable', 'electrical engineers', 'dielectric surface']</t>
  </si>
  <si>
    <t>Antennas | Dielectrics | Planar antennas</t>
  </si>
  <si>
    <t>A theory has been developed for planar metal antennas on a dielectric surface and the main predictions have been verified experimentally. Current dipole antennas have radiation diagrams and impedances favourable for microwave to far-infrared integrated circuits. ¬© 1981, The Institution of Electrical Engineers. All rights reserved.</t>
  </si>
  <si>
    <t>60026242;60026242;60026242</t>
  </si>
  <si>
    <t>6602164144;6701734711;7102294945</t>
  </si>
  <si>
    <t>Brewitt-taylor, C. R.;Gunton, D. J.;Rees, H. D.</t>
  </si>
  <si>
    <t>Salisbury</t>
  </si>
  <si>
    <t>Defence Science and Technology Laboratory</t>
  </si>
  <si>
    <t>Brewitt-taylor C.</t>
  </si>
  <si>
    <t>Planar antennas on a dielectric surface</t>
  </si>
  <si>
    <t>10.1049/el:19810512</t>
  </si>
  <si>
    <t>2-s2.0-0019622911</t>
  </si>
  <si>
    <t>['¬© 1981', 'spectral densities', 'rights reserved', 'resultant mean', 'rectangular loop', 'orthogonal segments', 'noise field', 'electrical engineers', 'earlier work', 'dipole placed', 'different segments', 'collinear segments']</t>
  </si>
  <si>
    <t>When a loop or folded dipole antenna is placed in a noise field the resultant mean-square noise current is a function of the cross-spectral densities between the different segments of the antenna. Earlier work on the evaluation of cross-spectral densities between the collinear segments of a dipole placed in an isotropic noise field is here extended to include the parallel and orthogonal segments of rectangular loop and folded dipole antennas. ¬© 1981, The Institution of Electrical Engineers. All rights reserved.</t>
  </si>
  <si>
    <t>749-751</t>
  </si>
  <si>
    <t>60019702;60019702;60019702</t>
  </si>
  <si>
    <t>7005970306;35789204100;6504164930</t>
  </si>
  <si>
    <t>Maclean, T. S.M.;Saini, S. P.S.;Barboza, Z.</t>
  </si>
  <si>
    <t>Cross-spectral densities of array elements for folded dipole and loop antennas</t>
  </si>
  <si>
    <t>10.1049/el:19810527</t>
  </si>
  <si>
    <t>2-s2.0-0019623108</t>
  </si>
  <si>
    <t>['¬© 1981', 'spiral antenna', 'rights reserved', 'resulting reduction', 'power radiated', 'electrical engineers', 'conical log']</t>
  </si>
  <si>
    <t>The components of power radiated from a conical log-spiral antenna have been calculated. As the antenna is shortened it is no longer frequency independent and unwanted radiation components increase. Loading can be used to reduce these components but the load absorbs power. The resulting reduction in efficiency has been found. ¬© 1981, The Institution of Electrical Engineers. All rights reserved.</t>
  </si>
  <si>
    <t>735-736</t>
  </si>
  <si>
    <t>Ramsdale, P. A.</t>
  </si>
  <si>
    <t>Ramsdale P.</t>
  </si>
  <si>
    <t>Efficiency of loaded conical log-spiral antenna</t>
  </si>
  <si>
    <t>10.1049/el:19810517</t>
  </si>
  <si>
    <t>2-s2.0-0019624857</t>
  </si>
  <si>
    <t>['¬© 1981', 'rights reserved', 'maximum directivity', 'given radius', 'given perimeter', 'electrical engineers', 'conducting wire', 'circular loop', 'axis ratio']</t>
  </si>
  <si>
    <t>The directivity of an elliptic loop antenna having a given perimeter and made of a conducting wire of a given radius is maximised with respect to the minor-axis/major-axis ratio, Œæ. It is found that a circular loop does not yield a maximum directivity and that the value of Œæ, at which maximum directivity occurs depends on the perimeter. ¬© 1981, The Institution of Electrical Engineers. All rights reserved.</t>
  </si>
  <si>
    <t>736-738</t>
  </si>
  <si>
    <t>60030551;60030551</t>
  </si>
  <si>
    <t>55712837400;57212993806</t>
  </si>
  <si>
    <t>Cheng, D. K.;Liang, C. H.</t>
  </si>
  <si>
    <t>Syracuse</t>
  </si>
  <si>
    <t>Syracuse University</t>
  </si>
  <si>
    <t>Optimum directivity of elliptic loop antennas</t>
  </si>
  <si>
    <t>10.1049/el:19810518</t>
  </si>
  <si>
    <t>2-s2.0-0019626317</t>
  </si>
  <si>
    <t>['¬© 1981', 'magnetic field']</t>
  </si>
  <si>
    <t>Plane electron Bernstein waves propagating obliquely to the magnetic field are investigated. The waves are excited by a plane grid antenna in a large volume magnetoplasma. The observations compare favorably with the predictions of the linear dispersion relation. ¬© 1981.</t>
  </si>
  <si>
    <t>281-284</t>
  </si>
  <si>
    <t>60021255;60021255;60021255;60021255</t>
  </si>
  <si>
    <t>7401712249;6603939853;7004643397;6603928175</t>
  </si>
  <si>
    <t>Armstrong, R. J.;Juul Rasmussen, J.;Stenzel, R. L.;Trulsen, J.</t>
  </si>
  <si>
    <t>Norway</t>
  </si>
  <si>
    <t>Tromso</t>
  </si>
  <si>
    <t>UiT The Arctic University of Norway</t>
  </si>
  <si>
    <t>Armstrong R.</t>
  </si>
  <si>
    <t>Observations of obliquely propagating electron Bernstein waves</t>
  </si>
  <si>
    <t>0375-9601(81)90960-9</t>
  </si>
  <si>
    <t>10.1016/0375-9601(81)90960-9</t>
  </si>
  <si>
    <t>2-s2.0-33646379721</t>
  </si>
  <si>
    <t>['œ ±', '¬© 1981', 'various pretreatments', 'tobacco chloroplasts', 'reduced state', 'qœ ≤,', 'qœ ±', 'quantum yield', 'quantum efficiency', 'q remaining', 'q reduction', 'ps ii', 'previous study', 'oxidizing side', 'mutant su', 'maximum fluorescence', 'matrix model', 'iiœ ±', 'good agreement', 'following conclusions', 'fluorescence quenching', 'energy transfer', 'dark reoxidation', 'corresponding kinetics', 'closed centers', 'adequately described', 'acta 635', 'absorbance measurements', 'absorbance change']</t>
  </si>
  <si>
    <t>(Tobacco chloroplast) | Chlorophyll fluorescence | Energy transfer | Photosystem II | Quantum yield</t>
  </si>
  <si>
    <t>The photoreduction and dark reoxidation of QŒ± and QŒ≤, the primary electron acceptors of Photosystems (PS) IIŒ± and IIŒ≤, respectively, in the presence of 3-(3‚Ä≤,4‚Ä≤-dichlorophenyl)-1,1-dimethylurea (DCMU) were studied in tobacco chloroplasts by means of fluorescence and absorbance measurements. The magnitude of a correction for an absorbance change by the oxidizing side of PS II needed in our previous study of the quantum yield of Q reduction (Biochim. Biophys. Acta 635 (1981), 111-120) has been determined. The absorbance change occurs in PS IIŒ± mainly. The maximum fluorescence yield was found to be the same as in the mutant Su/su, which has a 3-fold higher reaction center concentration and a lower PS IIŒ± to PS IIŒ≤ ratio. The kinetics of the light-induced fluorescence increase were measured after various pretreatments and the corresponding kinetics of the integrated fluorescence deficit were analyzed into their Œ± and Œ≤ components. From the results the contribution to the minimum fluorescence level, the degree of energy transfer between units, and the quantum efficiency of Q reduction were calculated for both types of PS II. This led to the following conclusions. The absence of energy between PS IIŒ≤ antennae is confirmed. Fluorescence quenching in PS IIŒ± was adequately described by the matrix model, except for a decrease in the energy transfer between units during photoreduction of QŒ±, possibly due to the formation of 'islets' of closed centers. PS II reaction centers in which Q is reduced do not significantly quench fluorescence. The ratio of variable to maximum fluorescence, 0.77 in PS IIŒ± and 0.92 in PS IIŒ≤, multiplied by the fraction of Q remaining in the reduced state after one saturating flash, 0.88 in PS IIŒ± and greater than 0.95 in PS IIŒ≤, leads to a net quantum efficiency of Q reduction in the presence of DCMU and NH2OH of 0.68 in PS IIŒ± and about 0.90 in PS IIŒ≤. These values are in good agreement with the measured overall quantum efficiency of Q reduction. ¬© 1981.</t>
  </si>
  <si>
    <t>439-446</t>
  </si>
  <si>
    <t>Thielen, A. P.G.M.;Van Gorkom, H. J.</t>
  </si>
  <si>
    <t>Thielen A.</t>
  </si>
  <si>
    <t>Energy transfer and quantum yield in Photosystem II</t>
  </si>
  <si>
    <t>0005-2728(81)90049-9</t>
  </si>
  <si>
    <t>10.1016/0005-2728(81)90049-9</t>
  </si>
  <si>
    <t>2-s2.0-0000510679</t>
  </si>
  <si>
    <t>National Research Council Canada</t>
  </si>
  <si>
    <t>NRC</t>
  </si>
  <si>
    <t>['¬© 1981', 'transmembrane arrangement', 'rotational mobility', 'room temperature', 'rhodospirillum rubrum', 'photoreaction center', 'little depolarization', 'independent evidence', 'energy transfer', 'chromatophores treated', 'chromatophores immersed', 'chromatophore membrane', 'antenna bacteriochlorophyll', 'absorption changes', '865 nm']</t>
  </si>
  <si>
    <t>(R. rubrum) | Bacterial photosynthesis | carbonyl cyanide p-trifluoromethoxy-phenylhydrazone | Chromatophore membrane | FCCP | Linear dichroism | Reaction center | Rotational mobility</t>
  </si>
  <si>
    <t>We investigated the rotational mobility of the photoreaction center in chromatophores of Rhodospirillum rubrum by studying the photoinduced linear dichroism of absorption changes at 865 nm. The study was carried out in suspensions of chromatophores treated with ferricyanide in order to bleach their antenna bacteriochlorophyll and thus minimize depolarization by energy transfer. Very little depolarization of the photoinduced absorbance change at 865 nm was observed at room temperature for chromatophores immersed in a highly viscous medium over the time range 0-10 ms following an exciting light flash. In the light of independent evidence for transmembrane arrangement of the photoreaction center, we conclude that the photoreaction center protein is immobilized in the chromatophore membrane for at least 10 ms. ¬© 1981.</t>
  </si>
  <si>
    <t>546-550</t>
  </si>
  <si>
    <t>60009507;60009507;60009507</t>
  </si>
  <si>
    <t>6701706557;56259745200;7006937587</t>
  </si>
  <si>
    <t>Mar, Ted;Picorel, Rafael;Gingras, Gabriel</t>
  </si>
  <si>
    <t>University of Montreal</t>
  </si>
  <si>
    <t>Mar T.</t>
  </si>
  <si>
    <t>Rotational mobility of the photoreaction center in chromatophore membranes of Rhodospirillum rubrum</t>
  </si>
  <si>
    <t>0005-2728(81)90062-1</t>
  </si>
  <si>
    <t>10.1016/0005-2728(81)90062-1</t>
  </si>
  <si>
    <t>2-s2.0-4243567383</t>
  </si>
  <si>
    <t>['¬© 1981', 'rights reserved', 'measurements show', 'electrical engineers', 'drier regions', 'australian systems', 'appreciably altered']</t>
  </si>
  <si>
    <t>Antennas | Protection</t>
  </si>
  <si>
    <t>Window units constructed from multiple dielectric plates offer means for combating bird damage to antenna feed horns on microwave radio systems. The need for such devices on Australian systems is increasing as routes are extended into the drier regions of the country. Measurements show that the antenna electrical characteristics are not appreciably altered by the new window units. ¬© 1981, The Institution of Electrical Engineers. All rights reserved.</t>
  </si>
  <si>
    <t>777-779</t>
  </si>
  <si>
    <t>60006359;60006359;60006359</t>
  </si>
  <si>
    <t>7202338079;6505707437;7006303190</t>
  </si>
  <si>
    <t>Davies, W. S.;Lipback, G. W.;Copeland, P. R.</t>
  </si>
  <si>
    <t>Telstra</t>
  </si>
  <si>
    <t>Davies W.</t>
  </si>
  <si>
    <t>Bird-proof feed-horn windows for microwave radio system antennas</t>
  </si>
  <si>
    <t>10.1049/el:19810545</t>
  </si>
  <si>
    <t>2-s2.0-0019621371</t>
  </si>
  <si>
    <t>['¬© 1981', 'standard two', 'rights reserved', 'provides identical', 'point edge', 'modified ring', 'letter describes', 'electrical engineers', 'diffraction results', 'current procedure', 'axis fields', 'also merges']</t>
  </si>
  <si>
    <t>Antennas | Electromagnetic waves</t>
  </si>
  <si>
    <t>The letter describes a modified ring-current procedure which provides identical on-axis fields and also merges into the standard two-point edge-diffraction results. ¬© 1981, The Institution of Electrical Engineers. All rights reserved.</t>
  </si>
  <si>
    <t>801-803</t>
  </si>
  <si>
    <t>Rusch, W. V.T.</t>
  </si>
  <si>
    <t>University of Southern California</t>
  </si>
  <si>
    <t>Rusch W.</t>
  </si>
  <si>
    <t>Modified ring currents to treat axial caustics and slope diffraction in edge-diffraction analysis</t>
  </si>
  <si>
    <t>10.1049/el:19810560</t>
  </si>
  <si>
    <t>2-s2.0-0019621561</t>
  </si>
  <si>
    <t>943-946</t>
  </si>
  <si>
    <t>;;;;</t>
  </si>
  <si>
    <t>7006802217;7003370436;6603600348;7402046985;25640804800</t>
  </si>
  <si>
    <t>Grinev, A. Yu;Kompanets, I. N.;Temchenko, V. S.;Vasil'ev, A. A.;Ezhov, V. A.</t>
  </si>
  <si>
    <t>Grinev A.</t>
  </si>
  <si>
    <t>Experimental results concerning interfering signal rejection in radiooptical antenna arrays</t>
  </si>
  <si>
    <t>10.1007/BF01035331</t>
  </si>
  <si>
    <t>2-s2.0-0019632360</t>
  </si>
  <si>
    <t>['¬© 1981', 'viridis ).', 'undergo shifts', 'two molecules', 'triplet states', 'triplet state', 'supersaturating flashes', 'strongly influenced', 'short flashes', 'rhodopseudomonas sphaeroides', 'reaction centers', 'reaction center', 'one molecule', 'new transient', 'neighboring bacteriochlorophylls', 'monomeric bacteriochlorophyll', 'ground state', 'exciton bands', 'dimeric bacteriochlorophyll', 'delayed fluorescence', 'decay kinetics', 'complex acquires', 'antenna dimer', 'anionic radical', 'absorption bands', '960 nm', '870 nm', '850 nm', '810 nm', '20 ns']</t>
  </si>
  <si>
    <t>Antenna | Bacterial photosynthesis | Bacteriochlorophyll | Reaction center | Triplet state</t>
  </si>
  <si>
    <t>Triplet states of monomeric bacteriochlorophyll in solution, and of dimeric bacteriochlorophyll in photosynthetic reaction centers and antenna complexes isolated from Rhodopseudomonas sphaeroides and Rps. viridis were generated by excitation with short flashes. The triplet states were characterized by measurements of optical absorption spectra, decay kinetics as functions of temperature, quenching by O2, and delayed fluorescence. The triplet state of the antenna dimer can be described as one molecule in the ground (singlet) state and one in the excited (triplet) state. Formation of the triplet disrupts exciton interactions between the two molecules, and the complex acquires a new absorption band due to the molecule in the ground state. In reaction centers, the formation of the triplet causes bleaching of the main absorption band of P, the reactive bacteriochlorophyll complex (870 nm in Rps. sphaeroides; 960 nm in Rps. viridis). Other absorption bands that have been considered to be exciton bands of P (810 nm in Rps. sphaeroides; 850 nm in Rps. viridis) appear to undergo shifts, but not to bleach. The latter bands probably are due to neighboring bacteriochlorophylls, not to P. The decay kinetics of the triplet state in reaction centers are strongly influenced by interactions with the anionic radical of the quinone that serves as an early electron acceptor. A new transient (20 ns) state of the reaction center was found when reaction centers were excited with supersaturating flashes. ¬© 1981.</t>
  </si>
  <si>
    <t>50-59</t>
  </si>
  <si>
    <t>60015481;60015481</t>
  </si>
  <si>
    <t>7101961104;7006623893</t>
  </si>
  <si>
    <t>Shuvalov, Vladimir A.;Parson, William W.</t>
  </si>
  <si>
    <t>Shuvalov V.</t>
  </si>
  <si>
    <t>Triplet states of monomeric bacteriochlorophyll in vitro and of bacteriochlorophyll dimers in antenna and reaction center complexes</t>
  </si>
  <si>
    <t>0005-2728(81)90184-5</t>
  </si>
  <si>
    <t>10.1016/0005-2728(81)90184-5</t>
  </si>
  <si>
    <t>2-s2.0-0002688599</t>
  </si>
  <si>
    <t>['¬© 1981', 'transmission curves', 'transmission bands', 'simple rings', 'rights reserved', 'example discussed', 'electrical engineers', 'concentric rings', 'compound elements', 'array elements']</t>
  </si>
  <si>
    <t>Antennas | Dichroic mirrors | Electromagnetic waves | Frequency selective surfaces</t>
  </si>
  <si>
    <t>Concentric rings can be used as array elements in frequency selective surfaces. The transmission curves are more complex than those for simple rings, but provide more closely spaced reflection and transmission bands. In an example discussed here, a band centre frequency ratio of 1/1.3 is given by an array of compound elements with two concentric rings. ¬© 1981, The Institution of Electrical Engineers. All rights reserved.</t>
  </si>
  <si>
    <t>880-881</t>
  </si>
  <si>
    <t>60010818;60010818;60010818</t>
  </si>
  <si>
    <t>7201840709;7004104010;56020461500</t>
  </si>
  <si>
    <t>Parker, E. A.;Hamdy, S. M.A.;Langley, R. J.</t>
  </si>
  <si>
    <t>Arrays of concentric rings as frequency selective surfaces</t>
  </si>
  <si>
    <t>10.1049/el:19810614</t>
  </si>
  <si>
    <t>2-s2.0-0019636686</t>
  </si>
  <si>
    <t>['¬© 1981', 'rights reserved', 'quarterwave resonance', 'one wavelength', 'obtained bandwidth', 'high directivity', 'flat short', 'experimental results', 'excellent efficiency', 'electrical engineers', 'correct agreement', 'circuited half']</t>
  </si>
  <si>
    <t>Properties of a large, flat short-circuited half-radiating strip acting at a quarterwave resonance are presented. It is excited by means of several feed points. The obtained bandwidth is large. When the width is about one wavelength, it appears as an antenna with excellent efficiency and high directivity. Correct agreement is obtained between theoretical and experimental results. ¬© 1981, The Institution of Electrical Engineers. All rights reserved.</t>
  </si>
  <si>
    <t>891-893</t>
  </si>
  <si>
    <t>Dubost, G.</t>
  </si>
  <si>
    <t>Flat short-circuited strip of one wavelength width and acting at quarter-wave resonance</t>
  </si>
  <si>
    <t>10.1049/el:19810621</t>
  </si>
  <si>
    <t>2-s2.0-0019637025</t>
  </si>
  <si>
    <t>['¬© 1981', 'whose effect', 'thus justified', 'simple transmission', 'rights reserved', 'reflector plane', 'radiation resistance', 'radiating dipole', 'literal formulas', 'first approximation', 'experimental results', 'electrical engineers', 'correct agreement']</t>
  </si>
  <si>
    <t>Antennas | Dipoles</t>
  </si>
  <si>
    <t>The properties of an open or short-circuited flat resonant dipole parallel to a reflector plane and embedded in a substrate are given. Simple transmission-line model analysis is used. Correct agreement is obtained between theoretical and experimental results, and literal formulas for radiation resistance and bandwidth are thus justified. To a first approximation, the radiation resistance is independent of the substrate, whose effect is to reduce the length and the bandwidth of the radiating dipole. ¬© 1981, The Institution of Electrical Engineers. All rights reserved.</t>
  </si>
  <si>
    <t>914-916</t>
  </si>
  <si>
    <t>Universite de Rennes 1</t>
  </si>
  <si>
    <t>Short- or open-circuited dipole parallel to perfect reflector plane and embedded in substrate and acting at resonance</t>
  </si>
  <si>
    <t>10.1049/el:19810637</t>
  </si>
  <si>
    <t>2-s2.0-0019634780</t>
  </si>
  <si>
    <t>['¬© 1981', 'tuned oscillator', 'rights reserved', 'provide coupling', 'probe antenna', 'output power', 'oscillation frequency', 'new single', 'electrical engineers', 'device oscillator', 'device circuits', 'controlled independently', 'circuit design', 'active device', '44 mw', '2 ghz']</t>
  </si>
  <si>
    <t>Field-effect transistors | Gallium arsenide | Oscillators | Semiconductor devices and materials | Waveguides</t>
  </si>
  <si>
    <t>A new single-tuned oscillator, applicable to power combining circuits, is described in which a probe antenna is used to provide coupling between an active device and the cavity. It is shown that output power, oscillation frequency and injection locking range of the oscillator can be controlled independently in the circuit design. The experiments with low-power FET oscillators demonstrate output power of 44 mW at 9-2 GHz and DC-RF conversion efficiency of 33-2% from a single-device oscillator and about 100% of power combining efficiency in the case of two- and three-device circuits. ¬© 1981, The Institution of Electrical Engineers. All rights reserved.</t>
  </si>
  <si>
    <t>902-904</t>
  </si>
  <si>
    <t>60103680-60016104;60103680</t>
  </si>
  <si>
    <t>6701558644;56796547400</t>
  </si>
  <si>
    <t>Materka, A.;Mizushina, S.</t>
  </si>
  <si>
    <t>Japan;Poland</t>
  </si>
  <si>
    <t>Shizuoka;Lodz</t>
  </si>
  <si>
    <t>Shizuoka University;Lodz University of Technology</t>
  </si>
  <si>
    <t>60103680;60016104</t>
  </si>
  <si>
    <t>Materka A.</t>
  </si>
  <si>
    <t>Waveguide cavity FET oscillator</t>
  </si>
  <si>
    <t>10.1049/el:19810629</t>
  </si>
  <si>
    <t>2-s2.0-0019636106</t>
  </si>
  <si>
    <t>['subpicosecond laser', 'psec lifetime', 'gaas sample', 'dipole antenna', 'correlation technique', 'contactless measurement', 'also used', '3 psec']</t>
  </si>
  <si>
    <t>A subpicosecond laser has been used to trigger a GaAs photoconductive switch driving a dipole antenna. The microwave transient produced was measured with a correlation technique to have a FWHM of less than 3 psec. This technique was also used in a contactless measurement of the 250-psec lifetime of a GaAs sample.</t>
  </si>
  <si>
    <t>295-296</t>
  </si>
  <si>
    <t>Applied Physics Letters</t>
  </si>
  <si>
    <t>60007590;60027165;60006158;60006158</t>
  </si>
  <si>
    <t>7102620818;6603009431;7006685663;6602379316</t>
  </si>
  <si>
    <t>Mourou, G.;Stancampiano, C. V.;Antonetti, A.;Orszag, A.</t>
  </si>
  <si>
    <t>United States;United States;France</t>
  </si>
  <si>
    <t>Rochester;Rochester;Palaiseau</t>
  </si>
  <si>
    <t>University of Rochester;University of Rochester Laboratory for Laser Energetics;Laboratoire d'Optique Appliqu√©e</t>
  </si>
  <si>
    <t>60027165;60007590;60006158</t>
  </si>
  <si>
    <t>Mourou G.</t>
  </si>
  <si>
    <t>Picosecond microwave pulses generated with a subpicosecond laser-driven semiconductor switch</t>
  </si>
  <si>
    <t>10.1063/1.92719</t>
  </si>
  <si>
    <t>2-s2.0-0000167608</t>
  </si>
  <si>
    <t>['water vibration', 'water movement', 'two types', 'surrounding medium', 'stimulated directly', 'stand upright', 'smooth hairs', 'sensory hairs', 'second antenna', 'resting position', 'response properties', 'new type', 'nearly independent', 'much higher', 'mechanical properties', 'major resonance', 'lowest threshold', 'lie adpressed', 'intersegmental joint', 'immediate environment', 'first antenna', 'feathered hairs', 'equally common', 'distal segment', 'distal margin', 'conical hairs', 'antenna suggesting', 'antenna change', 'antenna appear', 'animal grows', 'angular deflection', 'amplitude vibration', 'also present', '90 hz', '7 ).', '40 hz', '4 ),', '2 ).', '150 hz', '115 segments', '100 hz', '06 ¬∞']</t>
  </si>
  <si>
    <t>1. In adult freshwater crayfish Astacus leptodactylus the flagellum of the second antenna is composed of 90 to 115 segments, each of which has two morphologically distinct types of sensory hairs (Fig. 1) inserting on its distal margin: (a) smooth, conical hairs that stand upright and tilt slightly towards the tip of the antenna, and (b) feathered hairs that lie adpressed to the flagellum and span each intersegmental joint, contacting the next more distal segment at their tips and at the ends of their side-branches. Both types of hair are about equally common (700-1,000 per flagellum) and are similarly distributed along the flagellum (Fig. 2). The two types are also present on the flagella of the first antenna. 2. Hairs of both kinds are sensitive to low-amplitude vibration of the surrounding medium. Smooth hairs can be stimulated directly by water movement while feathered hairs exhibit a new type of coupling to the medium: the hairs themselves are not driven by water vibration, rather the flagellum is bent by water movement and each feathered hair responds to bending of the joint which it spans. 3. For smooth hairs the lowest threshold (3.5 ¬∞ deviation from resting position) occurred at 40 Hz (Fig. 4), while for feathered hairs the lowest threshold was at 90 Hz (Fig. 7). The sensitivity, in terms of angular deflection, is much higher for feathered hairs than smooth hairs and was estimated to be equal to, or more probably below, 0.06 ¬∞ at 90 Hz. 4. Resonances of the antenna appear to be important in determining the response properties of the feathered hairs. Measurement of antennal motion showed a major resonance at about 100 Hz, with less pronounced peaks at 50 and 150 Hz. The frequency of the major resonance is nearly independent of the length of the antenna suggesting that the mechanical properties of the antenna change as the animal grows. 5. We suggest that the flagellum-feathered hair system may permit the crayfish to detect and possibly locate moving objects in its immediate environment. ¬© 1981 Springer-Verlag.</t>
  </si>
  <si>
    <t>533-541</t>
  </si>
  <si>
    <t>60025525;60025525;60025525;60025525</t>
  </si>
  <si>
    <t>7004559400;7003730183;16183401100;57208447146</t>
  </si>
  <si>
    <t>Tautz, J√ºrgen;Masters, W. Mitch;Aicher, Bernhard;Markl, Hubert</t>
  </si>
  <si>
    <t>Tautz J.</t>
  </si>
  <si>
    <t>A new type of water vibration receptor on the crayfish antenna - I. Sensory physiology</t>
  </si>
  <si>
    <t>10.1007/BF01326838</t>
  </si>
  <si>
    <t>2-s2.0-0000765258</t>
  </si>
  <si>
    <t>['two facets', 'porphyrin œä', 'poorly understood', 'photosynthetic work13', 'photosynthetic membranes', 'photosensitized formation', 'photophysical functions', 'green plants1', 'electron systems', 'close interaction', 'chlorophyll system', 'carotenoids prevent', 'carotenoids perform', 'carotenoid pigments', 'carotenoid function', 'antenna function', 'absorbed light']</t>
  </si>
  <si>
    <t>Carotenoid pigments, ubiquitous in photosynthetic membranes, are essential for the survival of green plants1. Two facets of carotenoid function are recognized in photosynthetic membranes. First, carotenoids prevent the chlorophyll-photosensitized formation of highly destructive singlet oxygen by intercepting the chlorophyll triplet states2-10 and may also scavenge additional singlet oxygen present11,12. Second, carotenoids perform an antenna function by transferring the energy of absorbed light at the singlet excited state level to the chlorophyll system for the execution of photosynthetic work13-16. Nevertheless, the mechanisms by which carotenoids perform these functions are poorly understood. We now report that a unique synthetic carotenoporphyrin I consisting of a carotenoid part covalently linked to a synthetic tetraarylporphyrin successfully mimics both the photophysical functions of carotenoids in photosynthesis. The explanation for this seems to be the close interaction of the carotenoid and porphyrin œÄ-electron systems. ¬© 1981 Nature Publishing Group.</t>
  </si>
  <si>
    <t>329-332</t>
  </si>
  <si>
    <t>Nature</t>
  </si>
  <si>
    <t>60000905;60028784;60003892;60003892;60003892;60003892;60003892</t>
  </si>
  <si>
    <t>57202750332;7005096101;23047297400;23046372400;15622013500;7403336040;26643239600</t>
  </si>
  <si>
    <t>Bensasson, Ren√© V.;Land, Edward J.;Morre, Ana L.;Crouch, Robert L.;Dirks, Gary;Moore, Thomas A.;Gust, Devens</t>
  </si>
  <si>
    <t>United Kingdom;United States;France</t>
  </si>
  <si>
    <t>Manchester;Tempe;Paris</t>
  </si>
  <si>
    <t>The Christie NHS Foundation Trust;Arizona State University;Inserm</t>
  </si>
  <si>
    <t>60028784;60003892;60000905</t>
  </si>
  <si>
    <t>Bensasson R.V.</t>
  </si>
  <si>
    <t>Mimicry of antenna and photo-protective carotenoid functions by a synthetic carotenoporphyrin</t>
  </si>
  <si>
    <t>10.1038/290329a0</t>
  </si>
  <si>
    <t>2-s2.0-0001030309</t>
  </si>
  <si>
    <t>['yet definitive', 'warm unit', 'warm receptor', 'temperature drops', 'temperature drop', 'speophyes lucidulus', 'single pair', 'rapid rises', 'one unit', 'larval stages', 'initial temperatures', 'impulse frequencies', 'hair sensilla', 'encountered less', 'electrophysiological examination', 'corbi √®', 'cold receptor', 'cave beetle', 'average gain', '6 ).', '5 ).', '4 ).', '24 imp', '200 imp', '2 black', '1 ).']</t>
  </si>
  <si>
    <t>Electrophysiological examination of the 2 black-hair sensilla on the antennae of both larval stages of the cave beetle, Speophyes lucidulus, has revealed in each a pair of antagonistic thermal receptors (Fig. 1). Each sensillum was known to house the dendrites of 2 sensory cells which are associated with the extensively lamellated dendrite of a third (Corbi√®re-Tichan√© 1971). One unit, a cold receptor, responds to temperature drops of 1 to 7 ¬∞C from initial temperatures between 9 and 14 ¬∞C with impulse frequencies up to 200 imp/s (Figs. 3, 4). Its antagonist, encountered less than 10% as often, is a warm receptor which responds with similar impulse frequencies to rapid rises in temperature from the same 9-14 ¬∞C (Figs. 3, 6). As indicated by the average gain of 24 imp/s for an increase of 1 ¬∞C in temperature drop, the cold unit appears almost twice as sensitive to sudden temperature change as the warm unit (14 (imp/s) ¬∞C). Examination of response scatter indicates that the average cold unit should on the basis of a single pair of responses be able to designate the greater of two temperature drops between 1 and 7 ¬∞C with 90% probability when they differ by 0.7 ¬∞C (Fig. 5). Though not yet definitive, evidence is accumulating that the third physiological unit is a dry air receptor. ¬© 1981 Springer-Verlag.</t>
  </si>
  <si>
    <t>443-452</t>
  </si>
  <si>
    <t>60030807;60008134</t>
  </si>
  <si>
    <t>7003421668;6603125278</t>
  </si>
  <si>
    <t>Loftus, Richard;Corbi√®re-Tichan√©, Gis√®le</t>
  </si>
  <si>
    <t>Germany;France</t>
  </si>
  <si>
    <t>Regensburg;Paris</t>
  </si>
  <si>
    <t>Universit√§t Regensburg;CNRS Centre National de la Recherche Scientifique</t>
  </si>
  <si>
    <t>Loftus R.</t>
  </si>
  <si>
    <t>Antennal warm and cold receptors of the cave beetle, Speophyes lucidulus delar., in sensilla with a lamellated dendrite - I. Response to sudden temperature change</t>
  </si>
  <si>
    <t>10.1007/BF00609911</t>
  </si>
  <si>
    <t>2-s2.0-0001645746</t>
  </si>
  <si>
    <t>['shot noise', 'several components', 'noise power', 'noise due', 'langmuir oscillations', 'ion waves', 'dipole antenna', 'different temperatures', 'definitely observed', 'approximate algebraic', '6 satellite']</t>
  </si>
  <si>
    <t>Calculations, both approximate algebraic and numerical, have been carried out for the noise due to electrostatic waves incident on a dipole antenna. The noise is calculated both for a thermal equilibrium plasma, and one having several components at different temperatures. The results are compared with measurements from the IMP-6 satellite. In various frequency ranges, the noise power is dominated by Langmuir oscillations, by electron acoustic waves and by ion acoustic waves. The measurements are consistent with all of these, although the ion waves are not definitely observed, due to interference from shot noise.</t>
  </si>
  <si>
    <t>735-751</t>
  </si>
  <si>
    <t>Plasma Physics</t>
  </si>
  <si>
    <t>Kellogg, P. J.</t>
  </si>
  <si>
    <t>Minneapolis</t>
  </si>
  <si>
    <t>University of Minnesota Twin Cities</t>
  </si>
  <si>
    <t>Kellogg P.</t>
  </si>
  <si>
    <t>Calculation and observation of thermal electrostatic noise in solar wind plasma</t>
  </si>
  <si>
    <t>10.1088/0032-1028/23/8/005</t>
  </si>
  <si>
    <t>2-s2.0-0007011052</t>
  </si>
  <si>
    <t>['uniquely located', 'three proteins', 'subsequently inactivated', 'step process', 'sensitive sensilla', 'sensilla trichodea', 'residual stimulant', 'remarkable sensitivity', 'receptors located', 'receptor lymph2', 'receptor lymph', 'plumose antennae', 'pheromone molecules', 'male moth', 'largely unknown', 'extremely sensitive', 'epidermal cells', 'early inactivation', 'dendritic membrane6', 'degrading esterase', 'cuticular wall', 'cuticular hair4', 'biochemistry involved', 'biochemical design', 'binding protein', 'apparent two']</t>
  </si>
  <si>
    <t>The antennae of male silk moths are extremely sensitive to the female sex pheromone such that a male moth can find a female up to 4.5 km away1. This remarkable sensitivity is due to both the morphological and biochemical design of these antennae. Along the branches of the plumose antennae are the sensilla trichodea, each consisting of a hollow cuticular hair containing two unbranched dendrites bathed in a fluid, the receptor lymph2,3. The dendrites and receptor lymph are isolated from the haemolymph by a barrier of epidermal cells which secreted the cuticular hair4-6. Pheromone molecules are thought to diffuse down 100 √Ö-wide pore tubules through the cuticular wall and across the receptor lymph space to receptors located in the dendritic membrane6,7. To prevent the accumulation of residual stimulant and hence sensory adaptation, the pheromone molecules are subsequently inactivated in an apparent two-step process of rapid 'early inactivation' followed by much slower enzymatic degradation8,9. The biochemistry involved in this sequence of events is largely unknown. We report here the identification of three proteins which interact with the pheromone of the wild silk moth Antheraea polyphemus: a pheromone-binding protein and a pheromone-degrading esterase, both uniquely located in the pheromone-sensitive sensilla; and a second esterase common to all cuticular tissues except the sensilla. ¬© 1981 Nature Publishing Group.</t>
  </si>
  <si>
    <t>161-163</t>
  </si>
  <si>
    <t>7202412220;7006721427</t>
  </si>
  <si>
    <t>Vogt, Richard G.;Riddiford, Lynn M.</t>
  </si>
  <si>
    <t>Vogt R.</t>
  </si>
  <si>
    <t>Pheromone binding and inactivation by moth antennae</t>
  </si>
  <si>
    <t>10.1038/293161a0</t>
  </si>
  <si>
    <t>2-s2.0-0019489601</t>
  </si>
  <si>
    <t>['two interfaces', 'time response', 'single integrals', 'integral expression', 'asymptotic methods']</t>
  </si>
  <si>
    <t>The double-integral expression for the time response of the vertical magnetic field due to a vertical electric dipole placed on a two-layer dielectric medium has been reduced to a series of single integrals by asymptotic methods and explicit inversion approaches. The summation of the infinite series represents contributions arised from the multiple images due to the presence of the two interfaces. Causality of the solutions is shown to be preserved.</t>
  </si>
  <si>
    <t>1202-1208</t>
  </si>
  <si>
    <t>Journal of Applied Physics</t>
  </si>
  <si>
    <t>57212310981;7202290923;7103290950</t>
  </si>
  <si>
    <t>Ezzeddine, A.;Kong, J. A.;Tsang, L.</t>
  </si>
  <si>
    <t>Ezzeddine A.</t>
  </si>
  <si>
    <t>Transient fields of a vertical electric dipole over a two-layer nondispersive dielectric</t>
  </si>
  <si>
    <t>10.1063/1.329738</t>
  </si>
  <si>
    <t>2-s2.0-0019539432</t>
  </si>
  <si>
    <t>['stanford 4800', 'resonant transducer', 'performance fo', 'partly numerical', 'noise ratio', 'include mechanical', 'extremely efficient', 'design parameters', 'current noise', 'amplifier voltage', 'also present', 'allows optimization']</t>
  </si>
  <si>
    <t>It has become standard practice to apply optimum linear filter theory to the analysis of gravitational radiation detection systems. In this paper, we present an analysis of the signal-to-noise ratio (SNR) of a two-mode resonant detector consisting of a resonant antenna coupled to a resonant transducer. We also present a comparison of the results of this analysis to the performance fo the Stanford 4800-kg cryogenic gravity wave detector. The analysis given includes all Gaussian noise sources present in the system. These include mechanical and electrical dissipation noise sources as well as amplifier voltage and current noise. The procedure is partly numerical, but it is extremely efficient and allows optimization over a range of design parameters, rather than the case-by-case results provided by the usual modelling techniques.</t>
  </si>
  <si>
    <t>4313-4319</t>
  </si>
  <si>
    <t>60012708;60012708</t>
  </si>
  <si>
    <t>35230455000;7006744335</t>
  </si>
  <si>
    <t>Michelson, P. F.;Taber, R. C.</t>
  </si>
  <si>
    <t>Michelson P.</t>
  </si>
  <si>
    <t>Sensitivity analysis of a resonant mass gravitational wave antenna with resonant transducer</t>
  </si>
  <si>
    <t>10.1063/1.329244</t>
  </si>
  <si>
    <t>2-s2.0-0019576179</t>
  </si>
  <si>
    <t>['wave response', 'radiation characteristics', 'ion acoustic', 'examined experimentally']</t>
  </si>
  <si>
    <t>The ion acoustic-wave response to an impulse excitation applied to an antenna is examined experimentally. Dispersion is found to determine the radiation characteristics.</t>
  </si>
  <si>
    <t>3902-3904</t>
  </si>
  <si>
    <t>Khazei, Mehyar;Nelson, Brian;Chan, Chung;Lonngren, Karl E.</t>
  </si>
  <si>
    <t>Effects of dispersion on the radiation of ion acoustic waves</t>
  </si>
  <si>
    <t>10.1063/1.329238</t>
  </si>
  <si>
    <t>2-s2.0-0019576998</t>
  </si>
  <si>
    <t>['source resistance', 'rome group', 'noise voltage', 'noise current', '8 khz', '25 mk', '150 k']</t>
  </si>
  <si>
    <t>We describe a low-frequency amplifier whose front end, realized with field effect transistors, is cooled at the temperature of 150 K. The results of the measurement of the noise voltage and of the noise current are given as a function of both frequency and temperature. The amplifier has an optimum noise temperature of 25 mK at 1.8 kHz with a source resistance of 390 kŒ© and has been used in connection with a gravitational wave antenna of the Rome group.</t>
  </si>
  <si>
    <t>1079-1086</t>
  </si>
  <si>
    <t>Review of Scientific Instruments</t>
  </si>
  <si>
    <t>Very low noise cooled audiofrequency preamplifier for gravitational research</t>
  </si>
  <si>
    <t>10.1063/1.1136712</t>
  </si>
  <si>
    <t>2-s2.0-0019584589</t>
  </si>
  <si>
    <t>['interacts strongly', 'considerable advances', 'already led']</t>
  </si>
  <si>
    <t>Millimetre wave astronomy is a rapidly moving branch of science that interacts strongly with physics and technology. Considerable advances in the technology of receivers and of highly accurate antennas are in progress. They have already led to important astrophysical results.</t>
  </si>
  <si>
    <t>162-169</t>
  </si>
  <si>
    <t>I02</t>
  </si>
  <si>
    <t>Physics in Technology</t>
  </si>
  <si>
    <t>Blum, E. J.</t>
  </si>
  <si>
    <t>Grenoble</t>
  </si>
  <si>
    <t>Inst. de Radio Astronom. Millimetrique</t>
  </si>
  <si>
    <t>Blum E.J.</t>
  </si>
  <si>
    <t>Millimetre wave astronomy</t>
  </si>
  <si>
    <t>10.1088/0305-4624/12/4/I02</t>
  </si>
  <si>
    <t>2-s2.0-0019586829</t>
  </si>
  <si>
    <t>['‚ üí0', 'widely used', 'technique used', 'solved asymptotically', 'solved approximately', 'resonant frequencies', 'region around', 'open resonator', 'little used', 'interior region', 'fluid mechanics', 'exterior region', 'edge region', 'disk radius', 'asymptotic formula', 'asymptotic eigenequation']</t>
  </si>
  <si>
    <t>The resonant frequencies of both the axial and nonaxial symmetric modes of a circular microstrip antenna or resonator are solved asymptotically. The technique used is matched asymptotic expansions which is widely used in fluid mechanics but little used in electromagnetism. In this technique, the region around the open resonator is divided into the exterior region, the edge region, and the interior region. Leading order solution is derived in each region and matched to each other asymptotically. This provides an asymptotic eigenequation which can be solved approximately to give an asymptotic formula. The asymptotic formula agrees well with previous numerical methods, especially when the ratio of the dielectric substrate thickness to disk radius is d/a‚Üí0.</t>
  </si>
  <si>
    <t>5365-5369</t>
  </si>
  <si>
    <t>Chew, W. C.;Kong, J. A.</t>
  </si>
  <si>
    <t>Asymptotic formula for the resonant frequencies of a circular microstrip antenna</t>
  </si>
  <si>
    <t>10.1063/1.329396</t>
  </si>
  <si>
    <t>2-s2.0-0019599451</t>
  </si>
  <si>
    <t>['various length', 'report high', 'quantum theory', 'quantitatively agrees', 'frequency mixing', 'existing technology', 'conversion maxima', 'conversion loss', 'array geometry', 'antenna coupling', '9 db', '300 ghz']</t>
  </si>
  <si>
    <t>We report high-frequency mixing at 75 GHz using superconductor-insulator- superconductor (SIS) tunnel junction arrays of various length and composition. Short (6-junction) arrays, both of Pb (In) and of Pb, and long (36-junction) arrays of Pb are used. The array geometry and antenna coupling can be scaled to 300 GHz with existing technology. Comparing the experiments to each other and to theory provides criteria for SIS mixer design. The measured single side band (SSB) conversion loss is as good as 2.0¬±0.9 dB. This is marginally the best published conversion result for any resistive mixer without image rejection, and quantitatively agrees with the quantum theory of mixing. We examine Josephson effect noise in this device and give a rough upper frequency limit for single-junction SIS mixers. Conversion maxima are also noted close to the half-gap singularity present in Pb (In) junctions.</t>
  </si>
  <si>
    <t>6366-6376</t>
  </si>
  <si>
    <t>6701356056;55432134800;7005304586;56186732700</t>
  </si>
  <si>
    <t>Rudner, S.;Feldman, M. J.;Kollberg, E.;Claeson, T.</t>
  </si>
  <si>
    <t>Superconductor-insulator-superconductor mixing with arrays at millimeter-wave frequencies</t>
  </si>
  <si>
    <t>10.1063/1.328580</t>
  </si>
  <si>
    <t>2-s2.0-0019625061</t>
  </si>
  <si>
    <t>['‚ àº0', 'two sources', 'shot noise', 'mom diode', 'local oscillator', 'limiting noise', 'induced current', 'heterodyne analysis', 'equivalent circuit', 'diode due', 'based upon', 'antenna models', '2 v']</t>
  </si>
  <si>
    <t>The heterodyne analysis of a metal-oxide-metal (MOM) diode is presented. The analysis is based upon the equivalent circuit and antenna models of the MOM diode. Expressions are derived for the noise equivalent power per Hz (NEP/Hz) for two sources of limiting noise. The first noise limitation considered is shot noise of the current in the diode due to a dc bias voltage of ‚àº0.2 V. The second noise considered is the shot noise associated with local oscillator (LO) induced current. For a temperature of 300 ¬∞K and circuit parameters chosen to optimize the tunnel diode operation, the theoretically ideal NEP/Hz is estimated for the LO and bias voltage noise to be 2√ó10-18 and 6.7√ó10-17, respectively.</t>
  </si>
  <si>
    <t>6395-6400</t>
  </si>
  <si>
    <t>Augeri, R. C.</t>
  </si>
  <si>
    <t>Eaton Corporation</t>
  </si>
  <si>
    <t>Augeri R.</t>
  </si>
  <si>
    <t>Heterodyne analysis of metal-oxide-metal diodes</t>
  </si>
  <si>
    <t>10.1063/1.328583</t>
  </si>
  <si>
    <t>2-s2.0-0019626291</t>
  </si>
  <si>
    <t>['right breakpoint', 'right arm', 'proximal parts', 'one responsible', 'normally localised', 'normal expression', 'mutation maps', 'mutant phenotype', 'hypermorph affecting', 'genetical characteristics', 'gene localised', 'dosage studies', 'distal regions', 'distal parts', 'dipr show', 'dipr revertants', 'dipr ),', 'different doses', 'developmental significance', 'complementation analyses', 'chromosome 3', 'called distal', 'adult appendages']</t>
  </si>
  <si>
    <t>The morphology and genetical characteristics of a new dominant homoeotic mutation, called Distal into proximal (Dipr), are described. Dipr causes two main abnormalities, both of which are specific to distal regions of the adult appendages (i.e. the wing, haltere, legs, antenna, and proboscis); first that distal parts are reduced in size and second that the patterns found distally resemble those normally localised in more proximal parts. The mutation maps to the right arm of chromosome 3 and is associated with an inversion with breakpoints in 84D and 84F. Analysis of revertants of Dipr show that the right breakpoint of In(3R)Dipr is the one responsible for the mutant phenotype. Complementation analyses of Dipr revertants and dosage studies of Dipr with different doses of Dipr+ indicate that the mutant is a hypermorph affecting the normal expression of a gene localised in 84F. The developmental significance of the mutation is discussed. ¬© 1981 Springer-Verlag.</t>
  </si>
  <si>
    <t>519-525</t>
  </si>
  <si>
    <t>Kerridge, Stephen</t>
  </si>
  <si>
    <t>Spain</t>
  </si>
  <si>
    <t>Madrid</t>
  </si>
  <si>
    <t>CSIC-UAM - Centro de Biolog√≠a Molecular Severo Ochoa (CBM)</t>
  </si>
  <si>
    <t>Kerridge S.</t>
  </si>
  <si>
    <t>Distal into proximal (Dipr): A homoeotic mutation of Drosophila melanogaster</t>
  </si>
  <si>
    <t>10.1007/BF00352532</t>
  </si>
  <si>
    <t>2-s2.0-0019762090</t>
  </si>
  <si>
    <t>['thoracic segments1', 'second leg4', 'second leg', 'result indicates', 'primitive condition', 'normally active', 'normally absent', 'normal antenna', 'mutations lead', 'mesothoracic pathway', 'locus result', 'insect evolution', 'inappropriate activity', 'homoeotic phenotype', 'homoeotic mutations', 'head segments', 'gene seems', 'gene product', 'dominant mutations', 'development instead', 'bearing segments', 'atavistic condition', 'antp locus', 'antennal pathway']</t>
  </si>
  <si>
    <t>Insects are thought to have evolved from millipede-like ancestors composed largely of a series of identical, leg-bearing segments. This view of insect evolution is supported by the existence of homoeotic mutations which transform particular abdominal and head segments into thoracic segments1-3. Such transformations are described as atavistic3, because they return specialized segments to a more primitive condition. In Drosophila, several dominant mutations of the homoeotic locus Antennapedia (Antp) lead to a transformation of the antenna to the second leg4-8. Here, I describe the isolation and characterization of apparent null alleles of the Antp locus. These mutations lead to a homoeotic phenotype which is the reverse of the dominant Antennapedia phenotype, namely, they result in the transformation of the second leg into an antenna but do not alter the development of the normal antenna itself. This result indicates that (1) the product of the wild-type Antp gene is normally active in the mesothorax where it promotes a mesothoracic pathway of development instead of an antennal pathway, (2) the Antp+ gene product is normally absent or inactive in the antenna, and (3) dominant mutations of the locus result in the inappropriate activity of the wild-type gene product in the antenna, and hence in the transformation of antenna to leg. Thus, unlike most other homoeotic gene products, the product of the Antp + gene seems to promote, not to repress or modify, an atavistic condition. ¬© 1981 Nature Publishing Group.</t>
  </si>
  <si>
    <t>635-638</t>
  </si>
  <si>
    <t>A homoeotic mutation transforming leg to antenna in Drosophila</t>
  </si>
  <si>
    <t>10.1038/292635a0</t>
  </si>
  <si>
    <t>2-s2.0-0019796926</t>
  </si>
  <si>
    <t>['small size', 'receiving antenna', 'output stimuli', 'lateral displacements', 'implantable rf', 'implant assembly', 'hip stabilization', 'flat pack', 'external powering', 'approach included']</t>
  </si>
  <si>
    <t>An implantable RF-powered dual channel stimulator was designed for hip stabilization. The approach included: small size, low power consumption, external powering, adjustable output current stimulus, dual channel operation and hermetic sealed electronic packaging. Thick film hybrid circuit techniques were used. The circuit and RF powering scheme were designed for low power operation with compromise to allow for linear and lateral displacements between the transmitting and receiving antenna. The output stimuli are biphasic negative going current pulses of 175 Œºs duration and 0-5 mA amplitude. Hermeticity is provided by enclosure of the electronics in a flat pack and subsequent epoxy coating of the implant assembly.</t>
  </si>
  <si>
    <t>180-188</t>
  </si>
  <si>
    <t>0378309X</t>
  </si>
  <si>
    <t>Biotelemetry and patient monitoring</t>
  </si>
  <si>
    <t>60000305;60000305;60000305;;</t>
  </si>
  <si>
    <t>7202673532;7202288048;7007171553;7004904051;7103232379</t>
  </si>
  <si>
    <t>Poon, C. W.;Ko, W. H.;Peckham, P. H.;McNeal, D. R.;Su, N.</t>
  </si>
  <si>
    <t>Poon C.</t>
  </si>
  <si>
    <t>An implantable RF-powered dual channel stimulator</t>
  </si>
  <si>
    <t>2-s2.0-0019820609</t>
  </si>
  <si>
    <t>['solution used', 'resultant improvement', 'present work', 'low temperature', 'good agreement', 'future steps', 'experimental results', 'difficult task', 'cryogenic point', 'computed performance', 'briefly described']</t>
  </si>
  <si>
    <t>The basic operational principles of a Weber type gravitational wave antenna are briefly described. The need to operate at low temperature to decrease noise implies the use of an efficient cryogenic apparatus. In particular the difficult task of having long and continuous operation time is aimed at. In the present work the solution used in Frascati is described and experimental results on the performance of the apparatus from cryogenic point of view are presented. Good agreement of these with computed performance is found. Future steps to reach still lower temperature and longer operation times are discussed with reference to the resultant improvement in sensitivity.</t>
  </si>
  <si>
    <t>1067-1072</t>
  </si>
  <si>
    <t>Journal of Physics E: Scientific Instruments</t>
  </si>
  <si>
    <t>60021199;60021199;60021199;60021199;60021199;</t>
  </si>
  <si>
    <t>24560782200;6602162239;22998533700;22998568400;56148964400;7103269533</t>
  </si>
  <si>
    <t>Giovanardi, U.;Iafolla, V.;Napoleoni, P.;Pavan, B.;Ugazio, S.;Ricci, F.</t>
  </si>
  <si>
    <t>Giovanardi U.</t>
  </si>
  <si>
    <t>The cryogenic detector of gravitational waves in Frascati</t>
  </si>
  <si>
    <t>10.1088/0022-3735/14/9/010</t>
  </si>
  <si>
    <t>2-s2.0-0040543488</t>
  </si>
  <si>
    <t>1089-1090</t>
  </si>
  <si>
    <t>7103313639;6701453221</t>
  </si>
  <si>
    <t>Tishchenko, V. A.;Tokatly, V. I.</t>
  </si>
  <si>
    <t>Tishchenko V.</t>
  </si>
  <si>
    <t>Effect of interturn capacity on the calculated magnetic field of a double-turn loop antenna</t>
  </si>
  <si>
    <t>10.1007/BF00828724</t>
  </si>
  <si>
    <t>2-s2.0-34250238880</t>
  </si>
  <si>
    <t>['wave field', 'toroidal plasma', 'theory leads', 'simplified mhd', 'plasma density', 'magnetosonic wave', 'magnetic field', 'hydromagnetic wave', 'external measurements', 'experimental results', 'deduce information', 'antenna excites', '1014 cm', '10 ev']</t>
  </si>
  <si>
    <t>The propagation of a magnetosonic wave with finite wavelength parallel to the magnetic field in a toroidal plasma is investigated. Measurements at a small pulsed experiment with a Tokamak like configuration and typical plasma parameters ne=2*1014 cm-3, T e=10 eV are reported. The wave is coupled to the plasma by an antenna structure consisting of 4 single turn coils symmetrically located around the torus. Comparison of the experimental results with a simplified MHD-theory leads to the conclusion, that this antenna excites a hydromagnetic wave with a comparatively simple mode structure which allows to deduce information on plasma density and effective collision frequency from external measurements of the wave field.</t>
  </si>
  <si>
    <t>845-855</t>
  </si>
  <si>
    <t>60014264;60014264</t>
  </si>
  <si>
    <t>57213359424;6602670699</t>
  </si>
  <si>
    <t>Hahnekamp, H. G.;Stampa, A.</t>
  </si>
  <si>
    <t>Hahnekamp H.</t>
  </si>
  <si>
    <t>Plasmadiagnostics by the excitation of eigenmodes of the magnetosonic wave in toroidal geometry</t>
  </si>
  <si>
    <t>10.1088/0032-1028/23/9/007</t>
  </si>
  <si>
    <t>2-s2.0-36149038172</t>
  </si>
  <si>
    <t>['unstable waves', 'unmagnetized multi', 'probe separation', 'positive probe', 'observed modulations', 'isolated probe', 'frequency instability', 'f pi', 'dipole plasma', 'delta n']</t>
  </si>
  <si>
    <t>Measurements are presented of a low-frequency instability (f&lt;f pi, where fpi is the ion plasma frequency) in the neighborhood of positively biased disk probes in an unmagnetized multi-dipole plasma. On an isolated probe the spectrum is broad, with relative density perturbation delta n/n&lt;or approximately=1 per cent, but sharpens and increases in amplitude when a second, negatively biased probe is brought into the vicinity. Observed modulations in delta n/n as a function of probe separation are modeled under the assumption that the unstable waves have wave-vectors in the plane of the positive probe, leading to an 'antenna pattern'.</t>
  </si>
  <si>
    <t>325-335</t>
  </si>
  <si>
    <t>60024324;60024324</t>
  </si>
  <si>
    <t>57215743084;7006072211</t>
  </si>
  <si>
    <t>Glanz, J.;Hershkowitz, N.</t>
  </si>
  <si>
    <t>Glanz J.</t>
  </si>
  <si>
    <t>Ion-acoustic noise excited by positive probes</t>
  </si>
  <si>
    <t>10.1088/0032-1028/23/4/005</t>
  </si>
  <si>
    <t>2-s2.0-36149047949</t>
  </si>
  <si>
    <t>['tfr tokamak', 'suggested previously', 'radiometer theory', 'radiation received', 'major radius', 'local temperature', 'equatorial plane', 'electron temperature']</t>
  </si>
  <si>
    <t>The electron temperature in the hot, dense plasma confined in the TFR Tokamak is measured using first harmonic, ordinary mode electron cyclotron emission using a high gain antenna in the equatorial plane on the low field side of the machine viewing along the major radius. In this case the receiver output signal V is proportional to the local temperature. Measurements on TFR have shown that the ratio of the fluctuation about the average signal value to the average signal value is given by the well known result of radiometer theory. These fluctuations are due to classical photon fluctuations in the radiation received by the antenna and cannot be interpreted as turbulent temperature fluctuations, as suggested previously.</t>
  </si>
  <si>
    <t>61-65</t>
  </si>
  <si>
    <t>7101973801;7006341711</t>
  </si>
  <si>
    <t>Cavallo, A.;Cano, R.</t>
  </si>
  <si>
    <t>Cavallo A.</t>
  </si>
  <si>
    <t>Measurement of apparent turbulent temperature fluctuations on the TFR Tokamak</t>
  </si>
  <si>
    <t>10.1088/0032-1028/23/1/007</t>
  </si>
  <si>
    <t>2-s2.0-4644274445</t>
  </si>
  <si>
    <t>['¬© 1981', 'vice versa', 'temperature results', 'spectral changes', 'spectral change', 'significant changes', 'rights reserved', 'possible origin', 'phycocyanin ),', 'phase changes', 'lipid membrane', 'ion balance', 'green chloroplasts', 'ensuring modification', 'electrochromic effect', 'electrochromic band', 'chlorophyll bands', 'carotenoid ).', 'also observed', 'also increases', 'also decreases', 'aggregated chlorophyll', '705 nm', '703 nm', '690 nm', '678 nm', '587 nm', '546 nm', '545 nm', '505 nm', '502 nm', '486 nm', '469 nm']</t>
  </si>
  <si>
    <t>Blue-Green Algae | Change in Absorption | Chlorophyll | Lipid Phase Transition | Photosynthesis | Phycobili Proteins | Red Algae</t>
  </si>
  <si>
    <t>Cooling A. nidulans or P. cruentum from 26 ¬∞C to 4 ¬∞C results in progressive spectral changes. The most significant changes are increases in absorbance at 690 nm (photosystem II), 678 nm (antenna chlorophyll), 625 nm (phycocyanin), and 505 nm (electrochromic band). In the case of P. cruentum there are also increases in absorbance at 568 and 545 nm (B-phycoerythrin) and a decrease at 587 nm. The spectral changes in both organisms are accompanied by decreases at 703 nm (photosystem I or aggregated chlorophyll), 650 nm (allophycocyanin) and 486 nm (carotenoid). Heating A. nidulans or P. cruentum from 4 ¬∞C to 44 ¬∞C results in increases in absorbance at 705 nm (photosystem I) and 486 nm (carotenoid), accompanied by decreases at 690 nm (photosystem II), 676 nm (antenna chlorophyll), 628 nm (phycocyanin), 507 nm (electrochromic band) and 469 nm (carotenoid). In the case of P. cruentum there are also decreases at 568 and 546 nm (B-phycoerythrin) and an increase at 587 nm. The possible origin of the spectral change at 587 nm. The possible origin of the spectral change at 587 nm is discussed. The spectral changes of the chlorophyll bands (703, 690, 678 nm) and the electrochromic band (502 nm) are associated with phase changes of the lipid membrane. Lowering the temperature results in a decrease of aggregated chlorophyll or photosystem I, and vice versa. These spectral changes are also observed in green chloroplasts. The spectral changes of the phycobilins may originate from a temperature dependent change of the ion balance of the thylakoid. A spectral change may result from the ensuring modification of the stacking or from an electrochromic effect. ¬© 1981, Walter de Gruyter. All rights reserved.</t>
  </si>
  <si>
    <t>1013-1020</t>
  </si>
  <si>
    <t>Zeitschrift fur Naturforschung - Section C Journal of Biosciences</t>
  </si>
  <si>
    <t>Brody, Seymour Steven</t>
  </si>
  <si>
    <t>New York</t>
  </si>
  <si>
    <t>New York University</t>
  </si>
  <si>
    <t>Brody S.</t>
  </si>
  <si>
    <t>Temperature induced changes in the absorption spectra of porphyridium cruentum and anacystis nidulans</t>
  </si>
  <si>
    <t>10.1515/znc-1981-11-1218</t>
  </si>
  <si>
    <t>2-s2.0-84915228582</t>
  </si>
  <si>
    <t>['¬© 1981', 'rights reserved', 'moments starting', 'finite length', 'electrical engineers', 'current distribution']</t>
  </si>
  <si>
    <t>Dipoles | Electromagnetic waves</t>
  </si>
  <si>
    <t>The current distribution and the impedance of dipoles of finite length above stratified planar regions are calculated by the method of moments starting from Green's function of the structure. ¬© 1981, The Institution of Electrical Engineers. All rights reserved.</t>
  </si>
  <si>
    <t>982-984</t>
  </si>
  <si>
    <t>Hansen, V.</t>
  </si>
  <si>
    <t>Bochum</t>
  </si>
  <si>
    <t>Ruhr-Universitat Bochum</t>
  </si>
  <si>
    <t>Hansen V.</t>
  </si>
  <si>
    <t>Dipoles of finite length above stratified planar structures</t>
  </si>
  <si>
    <t>10.1049/el:19810685</t>
  </si>
  <si>
    <t>2-s2.0-0019665489</t>
  </si>
  <si>
    <t>['¬© 1981', 'rights reserved', 'return loss', 'refocused back', 'reflector antennas', 'radiated power', 'possible methods', 'performance confirmed', 'novel scheme', 'letter describes', 'give information', 'electrical engineers', 'diameter reflector', 'compact measurements', 'briefly discussed', 'basic concept', 'aperture plane', 'antenna efficiency', '10 ft']</t>
  </si>
  <si>
    <t>Lasers and applications | Semiconductor lasers</t>
  </si>
  <si>
    <t>The letter describes a novel scheme for very compact measurements on reflector antennas. The measurement configuration involves a plane reflector located just beyond (and parallel to) the aperture plane, so that radiated power is reflected and refocused back into the feed. Measurement of return loss can then give information on antenna efficiency and gain. The basic concept is described and its performance confirmed by means of experiments on a 10 ft (3.048 m) diameter reflector. Possible methods of extending the performance of the scheme are briefly discussed. ¬© 1981, The Institution of Electrical Engineers. All rights reserved.</t>
  </si>
  <si>
    <t>960-961</t>
  </si>
  <si>
    <t>60022148;118840503</t>
  </si>
  <si>
    <t>57194931006;7004047217</t>
  </si>
  <si>
    <t>Da Vies, D. E.N.;Withers, M. J.</t>
  </si>
  <si>
    <t>London;Lochgelly</t>
  </si>
  <si>
    <t>University College London;Andrew Antennas</t>
  </si>
  <si>
    <t>Da Vies D.</t>
  </si>
  <si>
    <t>New approach to compact measurements on reflector antennas</t>
  </si>
  <si>
    <t>10.1049/el:19810671</t>
  </si>
  <si>
    <t>2-s2.0-0019708381</t>
  </si>
  <si>
    <t>VR</t>
  </si>
  <si>
    <t>['¬© 1981', 'two complexes', 'transition temperatures', 'thermophilic blue', 'thermal agitation', 'temperature regimes', 'temperature absorption', 'strongly bound', 'specific effects', 'sds solubilization', 'scan profile', 'ps ii', 'protein complexes', 'phase transition', 'minor ps', 'low temperatures', 'isolated chlorophyll', 'heat stability', 'forms micelles', 'extreme high', 'extraction temperatures', 'enable synechococcus', 'cp aii', 'cp ai', 'certain level']</t>
  </si>
  <si>
    <t>(Blue-green alga) | Chlorophyll-protein complex | Phase transition | Reaction center spectrum | Solubilization</t>
  </si>
  <si>
    <t>The thermophilic blue-green alga Synechococcus lividus was grown at 38 and 55¬∞C. The reaction center chlorophyll-protein complexes (CP) of Photosystem (PS I) and PS II, CP aI and CP aII, were isolated by sodium dodecyl sulphate (SDS) polyacrylamide gel electrophoresis at 4¬∞C. SDS solubilization of thylakoids was performed in the temperature range 0-65¬∞C. The low-temperature absorption and fluorescence emission spectral properties of the isolated chlorophyll-protein complexes were analyzed. Only traces of CP aI were solubilized at temperatures below the lipid phase transition temperature. Instead, a minor PS I component, CP a‚Ä≤I, was obtained that had absorption and fluorescence characteristics similar to those of CP aI. CP a‚Ä≤I had a slightly lower mobility than CP aI in SDS-polyacrylamide gel electrophoresis. The amount of CP aI in the gel scan profile increased dramatically when solubilization was carried out above the phase transition temperatures, but started to decrease above 60¬∞C. CP aII, on the other hand, could be efficiently extracted even at 0¬∞C and was stable in the scan profile up to extraction temperatures of 30-40¬∞C. Low-temperature absorption and fluorescence emission spectra were typical for CP aI and CP aII and no specific effects of the two growth temperatures on these properties were observed. The phase transition temperature was considered to be critical for the solubilization of CP aI, either because of the difficulties of SDS (especially as it forms micelles at low temperatures) in penetrating the solidified membrane lipids at temperatures below that of the phase transition or because the CP aI monomers of the PS I antennae are so strongly bound to each other that they cannot be dissociated by SDS before thermal agitation has reached a certain level that is achieved above the phase transition temperature. We consider both the difficulties in solubilizing CP aI at sub-transition temperatures and the heat stability of the two complexes as adaptations which enable Synechococcus to grow under extreme high-temperature regimes. ¬© 1981.</t>
  </si>
  <si>
    <t>192-200</t>
  </si>
  <si>
    <t>60024613;60024613;60024613;60024613</t>
  </si>
  <si>
    <t>56212852200;7006821248;7003886025;6603593335</t>
  </si>
  <si>
    <t>√ñquist, Gunnar;Fork, David C.;Schoch, Siegrid;Malmberg, Gunilla</t>
  </si>
  <si>
    <t>√ñquist G.</t>
  </si>
  <si>
    <t>Solubilization and spectral characteristics of chlorophyll-protein complexes isolated from the thermophilic blue-green alga Synechococcus lividus</t>
  </si>
  <si>
    <t>10.1016/0005-2728(81)90227-9</t>
  </si>
  <si>
    <t>2-s2.0-49049144976</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</si>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</sst>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19">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0" fontId="0" fillId="7" borderId="0" xfId="0" applyFill="1"/>
    <xf numFmtId="0" fontId="5" fillId="0" borderId="1" xfId="3" applyFont="1" applyFill="1"/>
    <xf numFmtId="0" fontId="6" fillId="0" borderId="2" xfId="0" applyFont="1" applyBorder="1" applyAlignment="1">
      <alignment horizontal="center" vertical="top"/>
    </xf>
    <xf numFmtId="0" fontId="4" fillId="0" borderId="0" xfId="0" applyFont="1"/>
    <xf numFmtId="2" fontId="7" fillId="0" borderId="0" xfId="1" applyNumberFormat="1" applyFont="1" applyFill="1"/>
    <xf numFmtId="2" fontId="4" fillId="0" borderId="0" xfId="0" applyNumberFormat="1" applyFont="1"/>
    <xf numFmtId="0" fontId="6" fillId="0" borderId="0" xfId="0" applyFont="1" applyAlignment="1">
      <alignment horizontal="center" vertical="top"/>
    </xf>
    <xf numFmtId="0" fontId="8" fillId="0" borderId="0" xfId="2" applyFont="1" applyFill="1" applyBorder="1" applyAlignment="1">
      <alignment horizontal="center" vertical="top"/>
    </xf>
    <xf numFmtId="164" fontId="4"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11FA3-AA63-974A-B928-40B75099B87E}">
  <dimension ref="A1:AW66"/>
  <sheetViews>
    <sheetView tabSelected="1" topLeftCell="T1" workbookViewId="0">
      <selection activeCell="N15" sqref="N15"/>
    </sheetView>
  </sheetViews>
  <sheetFormatPr baseColWidth="10" defaultRowHeight="16" x14ac:dyDescent="0.2"/>
  <sheetData>
    <row r="1" spans="1:49" s="10" customFormat="1" x14ac:dyDescent="0.2">
      <c r="A1" s="13"/>
      <c r="B1" s="13" t="s">
        <v>856</v>
      </c>
      <c r="C1" s="13" t="s">
        <v>855</v>
      </c>
      <c r="D1" s="13" t="s">
        <v>854</v>
      </c>
      <c r="E1" s="13" t="s">
        <v>853</v>
      </c>
      <c r="F1" s="13" t="s">
        <v>852</v>
      </c>
      <c r="G1" s="13" t="s">
        <v>851</v>
      </c>
      <c r="H1" s="13" t="s">
        <v>850</v>
      </c>
      <c r="I1" s="13" t="s">
        <v>849</v>
      </c>
      <c r="J1" s="13" t="s">
        <v>848</v>
      </c>
      <c r="K1" s="13" t="s">
        <v>847</v>
      </c>
      <c r="L1" s="13" t="s">
        <v>846</v>
      </c>
      <c r="M1" s="13" t="s">
        <v>845</v>
      </c>
      <c r="N1" s="13" t="s">
        <v>844</v>
      </c>
      <c r="O1" s="13" t="s">
        <v>843</v>
      </c>
      <c r="P1" s="13" t="s">
        <v>842</v>
      </c>
      <c r="Q1" s="13" t="s">
        <v>841</v>
      </c>
      <c r="R1" s="18" t="s">
        <v>840</v>
      </c>
      <c r="S1" s="13" t="s">
        <v>839</v>
      </c>
      <c r="T1" s="13" t="s">
        <v>839</v>
      </c>
      <c r="U1" s="13" t="s">
        <v>838</v>
      </c>
      <c r="V1" s="18" t="s">
        <v>837</v>
      </c>
      <c r="W1" s="13" t="s">
        <v>836</v>
      </c>
      <c r="X1" s="12" t="s">
        <v>835</v>
      </c>
      <c r="Y1" s="17" t="s">
        <v>834</v>
      </c>
      <c r="Z1" s="16" t="s">
        <v>819</v>
      </c>
      <c r="AA1" s="13" t="s">
        <v>833</v>
      </c>
      <c r="AB1" s="13" t="s">
        <v>832</v>
      </c>
      <c r="AC1" s="13" t="s">
        <v>831</v>
      </c>
      <c r="AD1" s="13" t="s">
        <v>830</v>
      </c>
      <c r="AE1" s="13" t="s">
        <v>829</v>
      </c>
      <c r="AF1" s="13" t="s">
        <v>828</v>
      </c>
      <c r="AG1" s="13" t="s">
        <v>827</v>
      </c>
      <c r="AH1" s="13" t="s">
        <v>826</v>
      </c>
      <c r="AI1" s="13" t="s">
        <v>825</v>
      </c>
      <c r="AJ1" s="13" t="s">
        <v>824</v>
      </c>
      <c r="AK1" s="12" t="s">
        <v>823</v>
      </c>
      <c r="AL1" s="13" t="s">
        <v>822</v>
      </c>
      <c r="AM1" s="15" t="s">
        <v>821</v>
      </c>
      <c r="AN1" s="14" t="s">
        <v>820</v>
      </c>
      <c r="AO1" s="14" t="s">
        <v>819</v>
      </c>
      <c r="AP1" s="13" t="s">
        <v>818</v>
      </c>
      <c r="AQ1" s="13" t="s">
        <v>817</v>
      </c>
      <c r="AR1" s="13" t="s">
        <v>816</v>
      </c>
      <c r="AS1" s="13" t="s">
        <v>815</v>
      </c>
      <c r="AT1" s="12" t="s">
        <v>814</v>
      </c>
      <c r="AU1" s="11" t="s">
        <v>813</v>
      </c>
      <c r="AV1" s="11" t="s">
        <v>812</v>
      </c>
      <c r="AW1" s="11" t="s">
        <v>811</v>
      </c>
    </row>
    <row r="2" spans="1:49" x14ac:dyDescent="0.2">
      <c r="A2">
        <v>0</v>
      </c>
      <c r="B2" t="s">
        <v>810</v>
      </c>
      <c r="C2" t="s">
        <v>809</v>
      </c>
      <c r="D2">
        <v>5272881902279</v>
      </c>
      <c r="F2" t="s">
        <v>808</v>
      </c>
      <c r="G2" t="s">
        <v>5</v>
      </c>
      <c r="H2" t="s">
        <v>4</v>
      </c>
      <c r="I2" t="s">
        <v>807</v>
      </c>
      <c r="J2">
        <v>60024613</v>
      </c>
      <c r="K2" t="s">
        <v>177</v>
      </c>
      <c r="L2" t="s">
        <v>10</v>
      </c>
      <c r="M2" t="s">
        <v>3</v>
      </c>
      <c r="N2">
        <v>4</v>
      </c>
      <c r="O2" t="s">
        <v>806</v>
      </c>
      <c r="P2" t="s">
        <v>805</v>
      </c>
      <c r="Q2" t="s">
        <v>804</v>
      </c>
      <c r="R2" s="7">
        <v>29934</v>
      </c>
      <c r="S2" s="8">
        <f t="shared" ref="S2:S65" si="0">YEAR(R2)</f>
        <v>1981</v>
      </c>
      <c r="T2" s="8">
        <v>1981</v>
      </c>
      <c r="U2" s="8">
        <f t="shared" ref="U2:U65" si="1">2022-T2</f>
        <v>41</v>
      </c>
      <c r="V2" s="7">
        <v>29934</v>
      </c>
      <c r="W2" t="s">
        <v>28</v>
      </c>
      <c r="X2" s="2">
        <v>1.59</v>
      </c>
      <c r="Y2" s="6">
        <f t="shared" ref="Y2:Y65" si="2">(X2-$Z$4)/($Z$3-$Z$4)</f>
        <v>4.2444141907583888E-2</v>
      </c>
      <c r="AA2">
        <v>52728</v>
      </c>
      <c r="AB2">
        <v>16791</v>
      </c>
      <c r="AD2" t="s">
        <v>2</v>
      </c>
      <c r="AE2">
        <v>638</v>
      </c>
      <c r="AF2">
        <v>2</v>
      </c>
      <c r="AH2" t="s">
        <v>803</v>
      </c>
      <c r="AI2" t="s">
        <v>802</v>
      </c>
      <c r="AJ2" t="s">
        <v>801</v>
      </c>
      <c r="AK2" t="s">
        <v>800</v>
      </c>
      <c r="AL2">
        <v>3</v>
      </c>
      <c r="AM2" s="5">
        <f t="shared" ref="AM2:AM65" si="3">AL2/U2</f>
        <v>7.3170731707317069E-2</v>
      </c>
      <c r="AN2" s="4">
        <f t="shared" ref="AN2:AN65" si="4">(AM2-$AO$4)/($AO$3-$AO$4)</f>
        <v>1.1082276669037041E-4</v>
      </c>
      <c r="AO2" s="3"/>
      <c r="AP2">
        <v>0</v>
      </c>
      <c r="AQ2" t="s">
        <v>799</v>
      </c>
      <c r="AR2" t="s">
        <v>1</v>
      </c>
      <c r="AS2" t="s">
        <v>177</v>
      </c>
      <c r="AT2" s="2" t="s">
        <v>0</v>
      </c>
      <c r="AU2" s="1">
        <f t="shared" ref="AU2:AU65" si="5">(Y2*0.7+AN2*0.3)*100</f>
        <v>2.9744146165315835</v>
      </c>
      <c r="AV2" s="1">
        <f t="shared" ref="AV2:AV65" si="6">(Y2*0.5+AN2*0.5)*100</f>
        <v>2.1277482337137128</v>
      </c>
      <c r="AW2" s="1">
        <f t="shared" ref="AW2:AW65" si="7">(Y2*0.3+AN2*0.7)*100</f>
        <v>1.2810818508958424</v>
      </c>
    </row>
    <row r="3" spans="1:49" x14ac:dyDescent="0.2">
      <c r="A3">
        <v>1</v>
      </c>
      <c r="B3" t="s">
        <v>798</v>
      </c>
      <c r="C3" t="s">
        <v>797</v>
      </c>
      <c r="F3" t="s">
        <v>796</v>
      </c>
      <c r="G3" t="s">
        <v>5</v>
      </c>
      <c r="H3" t="s">
        <v>4</v>
      </c>
      <c r="I3" t="s">
        <v>795</v>
      </c>
      <c r="J3" t="s">
        <v>790</v>
      </c>
      <c r="K3" t="s">
        <v>794</v>
      </c>
      <c r="L3" t="s">
        <v>793</v>
      </c>
      <c r="M3" t="s">
        <v>18</v>
      </c>
      <c r="N3">
        <v>2</v>
      </c>
      <c r="O3" t="s">
        <v>792</v>
      </c>
      <c r="P3" t="s">
        <v>791</v>
      </c>
      <c r="Q3" t="s">
        <v>790</v>
      </c>
      <c r="R3" s="7">
        <v>29930</v>
      </c>
      <c r="S3" s="8">
        <f t="shared" si="0"/>
        <v>1981</v>
      </c>
      <c r="T3" s="8">
        <v>1981</v>
      </c>
      <c r="U3" s="8">
        <f t="shared" si="1"/>
        <v>41</v>
      </c>
      <c r="V3" s="7">
        <v>29930</v>
      </c>
      <c r="W3" t="s">
        <v>74</v>
      </c>
      <c r="X3" s="2">
        <v>0.375</v>
      </c>
      <c r="Y3" s="6">
        <f t="shared" si="2"/>
        <v>1.0010410827260351E-2</v>
      </c>
      <c r="Z3">
        <v>37.460999999999999</v>
      </c>
      <c r="AA3">
        <v>135194</v>
      </c>
      <c r="AB3">
        <v>24918</v>
      </c>
      <c r="AD3" t="s">
        <v>2</v>
      </c>
      <c r="AE3">
        <v>17</v>
      </c>
      <c r="AH3" t="s">
        <v>789</v>
      </c>
      <c r="AI3" t="s">
        <v>788</v>
      </c>
      <c r="AJ3" t="s">
        <v>787</v>
      </c>
      <c r="AK3" t="s">
        <v>786</v>
      </c>
      <c r="AL3">
        <v>0</v>
      </c>
      <c r="AM3" s="5">
        <f t="shared" si="3"/>
        <v>0</v>
      </c>
      <c r="AN3" s="4">
        <f t="shared" si="4"/>
        <v>0</v>
      </c>
      <c r="AO3" s="3">
        <v>660.25</v>
      </c>
      <c r="AP3">
        <v>0</v>
      </c>
      <c r="AR3" t="s">
        <v>1</v>
      </c>
      <c r="AT3" s="2">
        <v>1.3140000000000001</v>
      </c>
      <c r="AU3" s="1">
        <f t="shared" si="5"/>
        <v>0.70072875790822453</v>
      </c>
      <c r="AV3" s="1">
        <f t="shared" si="6"/>
        <v>0.5005205413630176</v>
      </c>
      <c r="AW3" s="1">
        <f t="shared" si="7"/>
        <v>0.30031232481781051</v>
      </c>
    </row>
    <row r="4" spans="1:49" x14ac:dyDescent="0.2">
      <c r="A4">
        <v>2</v>
      </c>
      <c r="B4" t="s">
        <v>785</v>
      </c>
      <c r="C4" t="s">
        <v>784</v>
      </c>
      <c r="F4" t="s">
        <v>783</v>
      </c>
      <c r="G4" t="s">
        <v>5</v>
      </c>
      <c r="H4" t="s">
        <v>4</v>
      </c>
      <c r="I4" t="s">
        <v>782</v>
      </c>
      <c r="J4">
        <v>60005322</v>
      </c>
      <c r="K4" t="s">
        <v>781</v>
      </c>
      <c r="L4" t="s">
        <v>780</v>
      </c>
      <c r="M4" t="s">
        <v>16</v>
      </c>
      <c r="N4">
        <v>1</v>
      </c>
      <c r="O4" t="s">
        <v>779</v>
      </c>
      <c r="P4">
        <v>56196059900</v>
      </c>
      <c r="Q4">
        <v>60005322</v>
      </c>
      <c r="R4" s="7">
        <v>29930</v>
      </c>
      <c r="S4" s="8">
        <f t="shared" si="0"/>
        <v>1981</v>
      </c>
      <c r="T4" s="8">
        <v>1981</v>
      </c>
      <c r="U4" s="8">
        <f t="shared" si="1"/>
        <v>41</v>
      </c>
      <c r="V4" s="7">
        <v>29930</v>
      </c>
      <c r="W4" t="s">
        <v>74</v>
      </c>
      <c r="X4" s="2">
        <v>0.375</v>
      </c>
      <c r="Y4" s="6">
        <f t="shared" si="2"/>
        <v>1.0010410827260351E-2</v>
      </c>
      <c r="Z4">
        <v>0</v>
      </c>
      <c r="AA4">
        <v>135194</v>
      </c>
      <c r="AB4">
        <v>24918</v>
      </c>
      <c r="AD4" t="s">
        <v>2</v>
      </c>
      <c r="AE4">
        <v>17</v>
      </c>
      <c r="AH4" t="s">
        <v>778</v>
      </c>
      <c r="AI4" t="s">
        <v>777</v>
      </c>
      <c r="AJ4" t="s">
        <v>776</v>
      </c>
      <c r="AK4" t="s">
        <v>775</v>
      </c>
      <c r="AL4">
        <v>0</v>
      </c>
      <c r="AM4" s="5">
        <f t="shared" si="3"/>
        <v>0</v>
      </c>
      <c r="AN4" s="4">
        <f t="shared" si="4"/>
        <v>0</v>
      </c>
      <c r="AO4" s="3">
        <v>0</v>
      </c>
      <c r="AP4">
        <v>0</v>
      </c>
      <c r="AR4" t="s">
        <v>1</v>
      </c>
      <c r="AT4" s="2">
        <v>1.3140000000000001</v>
      </c>
      <c r="AU4" s="1">
        <f t="shared" si="5"/>
        <v>0.70072875790822453</v>
      </c>
      <c r="AV4" s="1">
        <f t="shared" si="6"/>
        <v>0.5005205413630176</v>
      </c>
      <c r="AW4" s="1">
        <f t="shared" si="7"/>
        <v>0.30031232481781051</v>
      </c>
    </row>
    <row r="5" spans="1:49" x14ac:dyDescent="0.2">
      <c r="A5">
        <v>3</v>
      </c>
      <c r="B5" t="s">
        <v>774</v>
      </c>
      <c r="C5" t="s">
        <v>773</v>
      </c>
      <c r="F5" t="s">
        <v>772</v>
      </c>
      <c r="G5" t="s">
        <v>5</v>
      </c>
      <c r="H5" t="s">
        <v>4</v>
      </c>
      <c r="I5" t="s">
        <v>771</v>
      </c>
      <c r="J5">
        <v>60021784</v>
      </c>
      <c r="K5" t="s">
        <v>770</v>
      </c>
      <c r="L5" t="s">
        <v>769</v>
      </c>
      <c r="M5" t="s">
        <v>3</v>
      </c>
      <c r="N5">
        <v>1</v>
      </c>
      <c r="O5" t="s">
        <v>768</v>
      </c>
      <c r="P5">
        <v>35613071100</v>
      </c>
      <c r="Q5">
        <v>60021784</v>
      </c>
      <c r="R5" s="7">
        <v>29921</v>
      </c>
      <c r="S5" s="8">
        <f t="shared" si="0"/>
        <v>1981</v>
      </c>
      <c r="T5" s="8">
        <v>1981</v>
      </c>
      <c r="U5" s="8">
        <f t="shared" si="1"/>
        <v>41</v>
      </c>
      <c r="V5" s="7">
        <v>29921</v>
      </c>
      <c r="W5" t="s">
        <v>767</v>
      </c>
      <c r="X5" s="2">
        <v>0.30099999999999999</v>
      </c>
      <c r="Y5" s="6">
        <f t="shared" si="2"/>
        <v>8.0350230906809754E-3</v>
      </c>
      <c r="AA5">
        <v>9395075</v>
      </c>
      <c r="AB5">
        <v>14954</v>
      </c>
      <c r="AC5">
        <v>18657125</v>
      </c>
      <c r="AD5" t="s">
        <v>2</v>
      </c>
      <c r="AE5">
        <v>36</v>
      </c>
      <c r="AF5" s="9">
        <v>44541</v>
      </c>
      <c r="AH5" t="s">
        <v>766</v>
      </c>
      <c r="AI5" t="s">
        <v>765</v>
      </c>
      <c r="AJ5" t="s">
        <v>764</v>
      </c>
      <c r="AK5" t="s">
        <v>763</v>
      </c>
      <c r="AL5">
        <v>5</v>
      </c>
      <c r="AM5" s="5">
        <f t="shared" si="3"/>
        <v>0.12195121951219512</v>
      </c>
      <c r="AN5" s="4">
        <f t="shared" si="4"/>
        <v>1.8470461115061736E-4</v>
      </c>
      <c r="AO5" s="3"/>
      <c r="AP5">
        <v>1</v>
      </c>
      <c r="AR5" t="s">
        <v>1</v>
      </c>
      <c r="AT5" s="2" t="s">
        <v>0</v>
      </c>
      <c r="AU5" s="1">
        <f t="shared" si="5"/>
        <v>0.5679927546821868</v>
      </c>
      <c r="AV5" s="1">
        <f t="shared" si="6"/>
        <v>0.41098638509157964</v>
      </c>
      <c r="AW5" s="1">
        <f t="shared" si="7"/>
        <v>0.25398001550097249</v>
      </c>
    </row>
    <row r="6" spans="1:49" x14ac:dyDescent="0.2">
      <c r="A6">
        <v>4</v>
      </c>
      <c r="B6" t="s">
        <v>762</v>
      </c>
      <c r="C6" t="s">
        <v>761</v>
      </c>
      <c r="F6" t="s">
        <v>760</v>
      </c>
      <c r="G6" t="s">
        <v>5</v>
      </c>
      <c r="H6" t="s">
        <v>4</v>
      </c>
      <c r="I6" t="s">
        <v>759</v>
      </c>
      <c r="J6">
        <v>60009386</v>
      </c>
      <c r="K6" t="s">
        <v>43</v>
      </c>
      <c r="L6" t="s">
        <v>42</v>
      </c>
      <c r="M6" t="s">
        <v>35</v>
      </c>
      <c r="N6">
        <v>2</v>
      </c>
      <c r="O6" t="s">
        <v>758</v>
      </c>
      <c r="P6" t="s">
        <v>757</v>
      </c>
      <c r="Q6" t="s">
        <v>41</v>
      </c>
      <c r="R6" s="7">
        <v>29921</v>
      </c>
      <c r="S6" s="8">
        <f t="shared" si="0"/>
        <v>1981</v>
      </c>
      <c r="T6" s="8">
        <v>1981</v>
      </c>
      <c r="U6" s="8">
        <f t="shared" si="1"/>
        <v>41</v>
      </c>
      <c r="V6" s="7">
        <v>1981</v>
      </c>
      <c r="W6" t="s">
        <v>601</v>
      </c>
      <c r="X6" s="2" t="s">
        <v>0</v>
      </c>
      <c r="Y6" s="6" t="e">
        <f t="shared" si="2"/>
        <v>#VALUE!</v>
      </c>
      <c r="AA6">
        <v>321028</v>
      </c>
      <c r="AB6">
        <v>60924</v>
      </c>
      <c r="AD6" t="s">
        <v>2</v>
      </c>
      <c r="AE6">
        <v>23</v>
      </c>
      <c r="AF6">
        <v>1</v>
      </c>
      <c r="AG6">
        <v>7</v>
      </c>
      <c r="AH6" t="s">
        <v>756</v>
      </c>
      <c r="AI6" t="s">
        <v>755</v>
      </c>
      <c r="AK6" t="s">
        <v>754</v>
      </c>
      <c r="AL6">
        <v>23</v>
      </c>
      <c r="AM6" s="5">
        <f t="shared" si="3"/>
        <v>0.56097560975609762</v>
      </c>
      <c r="AN6" s="4">
        <f t="shared" si="4"/>
        <v>8.4964121129284004E-4</v>
      </c>
      <c r="AO6" s="3"/>
      <c r="AP6">
        <v>0</v>
      </c>
      <c r="AR6" t="s">
        <v>1</v>
      </c>
      <c r="AT6" s="2" t="s">
        <v>0</v>
      </c>
      <c r="AU6" s="1" t="e">
        <f t="shared" si="5"/>
        <v>#VALUE!</v>
      </c>
      <c r="AV6" s="1" t="e">
        <f t="shared" si="6"/>
        <v>#VALUE!</v>
      </c>
      <c r="AW6" s="1" t="e">
        <f t="shared" si="7"/>
        <v>#VALUE!</v>
      </c>
    </row>
    <row r="7" spans="1:49" x14ac:dyDescent="0.2">
      <c r="A7">
        <v>5</v>
      </c>
      <c r="B7" t="s">
        <v>753</v>
      </c>
      <c r="C7" t="s">
        <v>752</v>
      </c>
      <c r="F7" t="s">
        <v>751</v>
      </c>
      <c r="G7" t="s">
        <v>5</v>
      </c>
      <c r="H7" t="s">
        <v>4</v>
      </c>
      <c r="I7" t="s">
        <v>750</v>
      </c>
      <c r="J7">
        <v>60024324</v>
      </c>
      <c r="K7" t="s">
        <v>58</v>
      </c>
      <c r="L7" t="s">
        <v>57</v>
      </c>
      <c r="M7" t="s">
        <v>3</v>
      </c>
      <c r="N7">
        <v>2</v>
      </c>
      <c r="O7" t="s">
        <v>749</v>
      </c>
      <c r="P7" t="s">
        <v>748</v>
      </c>
      <c r="Q7" t="s">
        <v>747</v>
      </c>
      <c r="R7" s="7">
        <v>29921</v>
      </c>
      <c r="S7" s="8">
        <f t="shared" si="0"/>
        <v>1981</v>
      </c>
      <c r="T7" s="8">
        <v>1981</v>
      </c>
      <c r="U7" s="8">
        <f t="shared" si="1"/>
        <v>41</v>
      </c>
      <c r="V7" s="7">
        <v>1981</v>
      </c>
      <c r="W7" t="s">
        <v>601</v>
      </c>
      <c r="X7" s="2" t="s">
        <v>0</v>
      </c>
      <c r="Y7" s="6" t="e">
        <f t="shared" si="2"/>
        <v>#VALUE!</v>
      </c>
      <c r="AA7">
        <v>321028</v>
      </c>
      <c r="AB7">
        <v>60924</v>
      </c>
      <c r="AD7" t="s">
        <v>2</v>
      </c>
      <c r="AE7">
        <v>23</v>
      </c>
      <c r="AF7">
        <v>4</v>
      </c>
      <c r="AG7">
        <v>5</v>
      </c>
      <c r="AH7" t="s">
        <v>746</v>
      </c>
      <c r="AI7" t="s">
        <v>745</v>
      </c>
      <c r="AK7" t="s">
        <v>744</v>
      </c>
      <c r="AL7">
        <v>5</v>
      </c>
      <c r="AM7" s="5">
        <f t="shared" si="3"/>
        <v>0.12195121951219512</v>
      </c>
      <c r="AN7" s="4">
        <f t="shared" si="4"/>
        <v>1.8470461115061736E-4</v>
      </c>
      <c r="AO7" s="3"/>
      <c r="AP7">
        <v>0</v>
      </c>
      <c r="AR7" t="s">
        <v>1</v>
      </c>
      <c r="AT7" s="2" t="s">
        <v>0</v>
      </c>
      <c r="AU7" s="1" t="e">
        <f t="shared" si="5"/>
        <v>#VALUE!</v>
      </c>
      <c r="AV7" s="1" t="e">
        <f t="shared" si="6"/>
        <v>#VALUE!</v>
      </c>
      <c r="AW7" s="1" t="e">
        <f t="shared" si="7"/>
        <v>#VALUE!</v>
      </c>
    </row>
    <row r="8" spans="1:49" x14ac:dyDescent="0.2">
      <c r="A8">
        <v>6</v>
      </c>
      <c r="B8" t="s">
        <v>743</v>
      </c>
      <c r="C8" t="s">
        <v>742</v>
      </c>
      <c r="F8" t="s">
        <v>741</v>
      </c>
      <c r="G8" t="s">
        <v>5</v>
      </c>
      <c r="H8" t="s">
        <v>4</v>
      </c>
      <c r="I8" t="s">
        <v>740</v>
      </c>
      <c r="J8">
        <v>60014264</v>
      </c>
      <c r="K8" t="s">
        <v>45</v>
      </c>
      <c r="L8" t="s">
        <v>44</v>
      </c>
      <c r="M8" t="s">
        <v>16</v>
      </c>
      <c r="N8">
        <v>2</v>
      </c>
      <c r="O8" t="s">
        <v>739</v>
      </c>
      <c r="P8" t="s">
        <v>738</v>
      </c>
      <c r="Q8" t="s">
        <v>737</v>
      </c>
      <c r="R8" s="7">
        <v>29921</v>
      </c>
      <c r="S8" s="8">
        <f t="shared" si="0"/>
        <v>1981</v>
      </c>
      <c r="T8" s="8">
        <v>1981</v>
      </c>
      <c r="U8" s="8">
        <f t="shared" si="1"/>
        <v>41</v>
      </c>
      <c r="V8" s="7">
        <v>1981</v>
      </c>
      <c r="W8" t="s">
        <v>601</v>
      </c>
      <c r="X8" s="2" t="s">
        <v>0</v>
      </c>
      <c r="Y8" s="6" t="e">
        <f t="shared" si="2"/>
        <v>#VALUE!</v>
      </c>
      <c r="AA8">
        <v>321028</v>
      </c>
      <c r="AB8">
        <v>60924</v>
      </c>
      <c r="AD8" t="s">
        <v>2</v>
      </c>
      <c r="AE8">
        <v>23</v>
      </c>
      <c r="AF8">
        <v>9</v>
      </c>
      <c r="AG8">
        <v>7</v>
      </c>
      <c r="AH8" t="s">
        <v>736</v>
      </c>
      <c r="AI8" t="s">
        <v>735</v>
      </c>
      <c r="AK8" t="s">
        <v>734</v>
      </c>
      <c r="AL8">
        <v>2</v>
      </c>
      <c r="AM8" s="5">
        <f t="shared" si="3"/>
        <v>4.878048780487805E-2</v>
      </c>
      <c r="AN8" s="4">
        <f t="shared" si="4"/>
        <v>7.3881844460246948E-5</v>
      </c>
      <c r="AO8" s="3"/>
      <c r="AP8">
        <v>0</v>
      </c>
      <c r="AR8" t="s">
        <v>1</v>
      </c>
      <c r="AT8" s="2" t="s">
        <v>0</v>
      </c>
      <c r="AU8" s="1" t="e">
        <f t="shared" si="5"/>
        <v>#VALUE!</v>
      </c>
      <c r="AV8" s="1" t="e">
        <f t="shared" si="6"/>
        <v>#VALUE!</v>
      </c>
      <c r="AW8" s="1" t="e">
        <f t="shared" si="7"/>
        <v>#VALUE!</v>
      </c>
    </row>
    <row r="9" spans="1:49" x14ac:dyDescent="0.2">
      <c r="A9">
        <v>7</v>
      </c>
      <c r="B9" t="s">
        <v>733</v>
      </c>
      <c r="C9" t="s">
        <v>732</v>
      </c>
      <c r="F9" t="s">
        <v>731</v>
      </c>
      <c r="G9" t="s">
        <v>5</v>
      </c>
      <c r="H9" t="s">
        <v>4</v>
      </c>
      <c r="I9" t="s">
        <v>730</v>
      </c>
      <c r="N9">
        <v>2</v>
      </c>
      <c r="O9" t="s">
        <v>729</v>
      </c>
      <c r="P9" t="s">
        <v>728</v>
      </c>
      <c r="Q9" t="s">
        <v>25</v>
      </c>
      <c r="R9" s="7">
        <v>29921</v>
      </c>
      <c r="S9" s="8">
        <f t="shared" si="0"/>
        <v>1981</v>
      </c>
      <c r="T9" s="8">
        <v>1981</v>
      </c>
      <c r="U9" s="8">
        <f t="shared" si="1"/>
        <v>41</v>
      </c>
      <c r="V9" s="7">
        <v>29921</v>
      </c>
      <c r="W9" t="s">
        <v>86</v>
      </c>
      <c r="X9" s="2">
        <v>0.14899999999999999</v>
      </c>
      <c r="Y9" s="6">
        <f t="shared" si="2"/>
        <v>3.977469902031446E-3</v>
      </c>
      <c r="AA9">
        <v>5431972</v>
      </c>
      <c r="AB9">
        <v>15425</v>
      </c>
      <c r="AC9">
        <v>15738906</v>
      </c>
      <c r="AD9" t="s">
        <v>2</v>
      </c>
      <c r="AE9">
        <v>24</v>
      </c>
      <c r="AF9">
        <v>12</v>
      </c>
      <c r="AH9" t="s">
        <v>727</v>
      </c>
      <c r="AL9">
        <v>0</v>
      </c>
      <c r="AM9" s="5">
        <f t="shared" si="3"/>
        <v>0</v>
      </c>
      <c r="AN9" s="4">
        <f t="shared" si="4"/>
        <v>0</v>
      </c>
      <c r="AO9" s="3"/>
      <c r="AP9">
        <v>0</v>
      </c>
      <c r="AR9" t="s">
        <v>1</v>
      </c>
      <c r="AT9" s="2" t="s">
        <v>0</v>
      </c>
      <c r="AU9" s="1">
        <f t="shared" si="5"/>
        <v>0.2784228931422012</v>
      </c>
      <c r="AV9" s="1">
        <f t="shared" si="6"/>
        <v>0.19887349510157229</v>
      </c>
      <c r="AW9" s="1">
        <f t="shared" si="7"/>
        <v>0.11932409706094337</v>
      </c>
    </row>
    <row r="10" spans="1:49" x14ac:dyDescent="0.2">
      <c r="A10">
        <v>8</v>
      </c>
      <c r="B10" t="s">
        <v>726</v>
      </c>
      <c r="C10" t="s">
        <v>725</v>
      </c>
      <c r="F10" t="s">
        <v>724</v>
      </c>
      <c r="G10" t="s">
        <v>5</v>
      </c>
      <c r="H10" t="s">
        <v>4</v>
      </c>
      <c r="I10" t="s">
        <v>723</v>
      </c>
      <c r="J10">
        <v>60021199</v>
      </c>
      <c r="K10" t="s">
        <v>40</v>
      </c>
      <c r="L10" t="s">
        <v>39</v>
      </c>
      <c r="M10" t="s">
        <v>38</v>
      </c>
      <c r="N10">
        <v>6</v>
      </c>
      <c r="O10" t="s">
        <v>722</v>
      </c>
      <c r="P10" t="s">
        <v>721</v>
      </c>
      <c r="Q10" t="s">
        <v>720</v>
      </c>
      <c r="R10" s="7">
        <v>29921</v>
      </c>
      <c r="S10" s="8">
        <f t="shared" si="0"/>
        <v>1981</v>
      </c>
      <c r="T10" s="8">
        <v>1981</v>
      </c>
      <c r="U10" s="8">
        <f t="shared" si="1"/>
        <v>41</v>
      </c>
      <c r="V10" s="7">
        <v>1981</v>
      </c>
      <c r="W10" t="s">
        <v>719</v>
      </c>
      <c r="X10" s="2" t="s">
        <v>0</v>
      </c>
      <c r="Y10" s="6" t="e">
        <f t="shared" si="2"/>
        <v>#VALUE!</v>
      </c>
      <c r="AA10">
        <v>223735</v>
      </c>
      <c r="AB10">
        <v>32471</v>
      </c>
      <c r="AD10" t="s">
        <v>2</v>
      </c>
      <c r="AE10">
        <v>14</v>
      </c>
      <c r="AF10">
        <v>9</v>
      </c>
      <c r="AG10">
        <v>10</v>
      </c>
      <c r="AH10" t="s">
        <v>718</v>
      </c>
      <c r="AI10" t="s">
        <v>717</v>
      </c>
      <c r="AK10" t="s">
        <v>716</v>
      </c>
      <c r="AL10">
        <v>5</v>
      </c>
      <c r="AM10" s="5">
        <f t="shared" si="3"/>
        <v>0.12195121951219512</v>
      </c>
      <c r="AN10" s="4">
        <f t="shared" si="4"/>
        <v>1.8470461115061736E-4</v>
      </c>
      <c r="AO10" s="3"/>
      <c r="AP10">
        <v>0</v>
      </c>
      <c r="AR10" t="s">
        <v>1</v>
      </c>
      <c r="AT10" s="2" t="s">
        <v>0</v>
      </c>
      <c r="AU10" s="1" t="e">
        <f t="shared" si="5"/>
        <v>#VALUE!</v>
      </c>
      <c r="AV10" s="1" t="e">
        <f t="shared" si="6"/>
        <v>#VALUE!</v>
      </c>
      <c r="AW10" s="1" t="e">
        <f t="shared" si="7"/>
        <v>#VALUE!</v>
      </c>
    </row>
    <row r="11" spans="1:49" x14ac:dyDescent="0.2">
      <c r="A11">
        <v>9</v>
      </c>
      <c r="B11" t="s">
        <v>715</v>
      </c>
      <c r="E11">
        <v>7295933</v>
      </c>
      <c r="F11" t="s">
        <v>714</v>
      </c>
      <c r="G11" t="s">
        <v>5</v>
      </c>
      <c r="H11" t="s">
        <v>4</v>
      </c>
      <c r="I11" t="s">
        <v>713</v>
      </c>
      <c r="J11">
        <v>60000305</v>
      </c>
      <c r="K11" t="s">
        <v>53</v>
      </c>
      <c r="L11" t="s">
        <v>52</v>
      </c>
      <c r="M11" t="s">
        <v>3</v>
      </c>
      <c r="N11">
        <v>5</v>
      </c>
      <c r="O11" t="s">
        <v>712</v>
      </c>
      <c r="P11" t="s">
        <v>711</v>
      </c>
      <c r="Q11" t="s">
        <v>710</v>
      </c>
      <c r="R11" s="7">
        <v>29921</v>
      </c>
      <c r="S11" s="8">
        <f t="shared" si="0"/>
        <v>1981</v>
      </c>
      <c r="T11" s="8">
        <v>1981</v>
      </c>
      <c r="U11" s="8">
        <f t="shared" si="1"/>
        <v>41</v>
      </c>
      <c r="V11" s="7">
        <v>1981</v>
      </c>
      <c r="W11" t="s">
        <v>709</v>
      </c>
      <c r="X11" s="2" t="s">
        <v>0</v>
      </c>
      <c r="Y11" s="6" t="e">
        <f t="shared" si="2"/>
        <v>#VALUE!</v>
      </c>
      <c r="AA11" t="s">
        <v>708</v>
      </c>
      <c r="AB11">
        <v>32846</v>
      </c>
      <c r="AD11" t="s">
        <v>2</v>
      </c>
      <c r="AE11">
        <v>8</v>
      </c>
      <c r="AF11">
        <v>3</v>
      </c>
      <c r="AH11" t="s">
        <v>707</v>
      </c>
      <c r="AI11" t="s">
        <v>706</v>
      </c>
      <c r="AK11" t="s">
        <v>705</v>
      </c>
      <c r="AL11">
        <v>1</v>
      </c>
      <c r="AM11" s="5">
        <f t="shared" si="3"/>
        <v>2.4390243902439025E-2</v>
      </c>
      <c r="AN11" s="4">
        <f t="shared" si="4"/>
        <v>3.6940922230123474E-5</v>
      </c>
      <c r="AO11" s="3"/>
      <c r="AP11">
        <v>0</v>
      </c>
      <c r="AR11" t="s">
        <v>1</v>
      </c>
      <c r="AT11" s="2" t="s">
        <v>0</v>
      </c>
      <c r="AU11" s="1" t="e">
        <f t="shared" si="5"/>
        <v>#VALUE!</v>
      </c>
      <c r="AV11" s="1" t="e">
        <f t="shared" si="6"/>
        <v>#VALUE!</v>
      </c>
      <c r="AW11" s="1" t="e">
        <f t="shared" si="7"/>
        <v>#VALUE!</v>
      </c>
    </row>
    <row r="12" spans="1:49" x14ac:dyDescent="0.2">
      <c r="A12">
        <v>10</v>
      </c>
      <c r="B12" t="s">
        <v>704</v>
      </c>
      <c r="C12" t="s">
        <v>703</v>
      </c>
      <c r="E12">
        <v>7254358</v>
      </c>
      <c r="F12" t="s">
        <v>702</v>
      </c>
      <c r="G12" t="s">
        <v>5</v>
      </c>
      <c r="H12" t="s">
        <v>4</v>
      </c>
      <c r="I12" t="s">
        <v>15</v>
      </c>
      <c r="J12">
        <v>60010269</v>
      </c>
      <c r="K12" t="s">
        <v>14</v>
      </c>
      <c r="L12" t="s">
        <v>13</v>
      </c>
      <c r="M12" t="s">
        <v>7</v>
      </c>
      <c r="N12">
        <v>1</v>
      </c>
      <c r="O12" t="s">
        <v>12</v>
      </c>
      <c r="P12">
        <v>7005408553</v>
      </c>
      <c r="Q12">
        <v>60010269</v>
      </c>
      <c r="R12" s="7">
        <v>29921</v>
      </c>
      <c r="S12" s="8">
        <f t="shared" si="0"/>
        <v>1981</v>
      </c>
      <c r="T12" s="8">
        <v>1981</v>
      </c>
      <c r="U12" s="8">
        <f t="shared" si="1"/>
        <v>41</v>
      </c>
      <c r="V12" s="7">
        <v>1981</v>
      </c>
      <c r="W12" t="s">
        <v>573</v>
      </c>
      <c r="X12" s="2">
        <v>15.993</v>
      </c>
      <c r="Y12" s="6">
        <f t="shared" si="2"/>
        <v>0.42692400096099947</v>
      </c>
      <c r="AA12">
        <v>280836</v>
      </c>
      <c r="AB12">
        <v>21206</v>
      </c>
      <c r="AD12" t="s">
        <v>2</v>
      </c>
      <c r="AE12">
        <v>292</v>
      </c>
      <c r="AF12">
        <v>5824</v>
      </c>
      <c r="AH12" t="s">
        <v>701</v>
      </c>
      <c r="AI12" t="s">
        <v>700</v>
      </c>
      <c r="AK12" t="s">
        <v>699</v>
      </c>
      <c r="AL12">
        <v>141</v>
      </c>
      <c r="AM12" s="5">
        <f t="shared" si="3"/>
        <v>3.4390243902439024</v>
      </c>
      <c r="AN12" s="4">
        <f t="shared" si="4"/>
        <v>5.2086700344474096E-3</v>
      </c>
      <c r="AO12" s="3"/>
      <c r="AP12">
        <v>0</v>
      </c>
      <c r="AR12" t="s">
        <v>1</v>
      </c>
      <c r="AT12" s="2">
        <v>49.962000000000003</v>
      </c>
      <c r="AU12" s="1">
        <f t="shared" si="5"/>
        <v>30.040940168303383</v>
      </c>
      <c r="AV12" s="1">
        <f t="shared" si="6"/>
        <v>21.606633549772344</v>
      </c>
      <c r="AW12" s="1">
        <f t="shared" si="7"/>
        <v>13.172326931241301</v>
      </c>
    </row>
    <row r="13" spans="1:49" x14ac:dyDescent="0.2">
      <c r="A13">
        <v>11</v>
      </c>
      <c r="B13" t="s">
        <v>698</v>
      </c>
      <c r="C13" t="s">
        <v>697</v>
      </c>
      <c r="E13">
        <v>6801435</v>
      </c>
      <c r="F13" t="s">
        <v>696</v>
      </c>
      <c r="G13" t="s">
        <v>5</v>
      </c>
      <c r="H13" t="s">
        <v>4</v>
      </c>
      <c r="I13" t="s">
        <v>695</v>
      </c>
      <c r="J13">
        <v>60018505</v>
      </c>
      <c r="K13" t="s">
        <v>694</v>
      </c>
      <c r="L13" t="s">
        <v>693</v>
      </c>
      <c r="M13" t="s">
        <v>692</v>
      </c>
      <c r="N13">
        <v>1</v>
      </c>
      <c r="O13" t="s">
        <v>691</v>
      </c>
      <c r="P13">
        <v>55986984200</v>
      </c>
      <c r="Q13">
        <v>60018505</v>
      </c>
      <c r="R13" s="7">
        <v>29921</v>
      </c>
      <c r="S13" s="8">
        <f t="shared" si="0"/>
        <v>1981</v>
      </c>
      <c r="T13" s="8">
        <v>1981</v>
      </c>
      <c r="U13" s="8">
        <f t="shared" si="1"/>
        <v>41</v>
      </c>
      <c r="V13" s="7">
        <v>29921</v>
      </c>
      <c r="W13" t="s">
        <v>260</v>
      </c>
      <c r="X13" s="2" t="s">
        <v>0</v>
      </c>
      <c r="Y13" s="6" t="e">
        <f t="shared" si="2"/>
        <v>#VALUE!</v>
      </c>
      <c r="AA13">
        <v>268925</v>
      </c>
      <c r="AB13">
        <v>32876</v>
      </c>
      <c r="AC13">
        <v>16174623</v>
      </c>
      <c r="AD13" t="s">
        <v>2</v>
      </c>
      <c r="AE13">
        <v>184</v>
      </c>
      <c r="AF13">
        <v>3</v>
      </c>
      <c r="AH13" t="s">
        <v>690</v>
      </c>
      <c r="AI13" t="s">
        <v>689</v>
      </c>
      <c r="AK13" t="s">
        <v>688</v>
      </c>
      <c r="AL13">
        <v>2</v>
      </c>
      <c r="AM13" s="5">
        <f t="shared" si="3"/>
        <v>4.878048780487805E-2</v>
      </c>
      <c r="AN13" s="4">
        <f t="shared" si="4"/>
        <v>7.3881844460246948E-5</v>
      </c>
      <c r="AO13" s="3"/>
      <c r="AP13">
        <v>0</v>
      </c>
      <c r="AR13" t="s">
        <v>1</v>
      </c>
      <c r="AT13" s="2" t="s">
        <v>0</v>
      </c>
      <c r="AU13" s="1" t="e">
        <f t="shared" si="5"/>
        <v>#VALUE!</v>
      </c>
      <c r="AV13" s="1" t="e">
        <f t="shared" si="6"/>
        <v>#VALUE!</v>
      </c>
      <c r="AW13" s="1" t="e">
        <f t="shared" si="7"/>
        <v>#VALUE!</v>
      </c>
    </row>
    <row r="14" spans="1:49" x14ac:dyDescent="0.2">
      <c r="A14">
        <v>12</v>
      </c>
      <c r="B14" t="s">
        <v>687</v>
      </c>
      <c r="C14" t="s">
        <v>686</v>
      </c>
      <c r="F14" t="s">
        <v>685</v>
      </c>
      <c r="G14" t="s">
        <v>5</v>
      </c>
      <c r="H14" t="s">
        <v>4</v>
      </c>
      <c r="I14" t="s">
        <v>684</v>
      </c>
      <c r="J14">
        <v>60022402</v>
      </c>
      <c r="K14" t="s">
        <v>683</v>
      </c>
      <c r="L14" t="s">
        <v>52</v>
      </c>
      <c r="M14" t="s">
        <v>3</v>
      </c>
      <c r="N14">
        <v>1</v>
      </c>
      <c r="O14" t="s">
        <v>682</v>
      </c>
      <c r="P14">
        <v>6506829826</v>
      </c>
      <c r="Q14">
        <v>60022402</v>
      </c>
      <c r="R14" s="7">
        <v>29921</v>
      </c>
      <c r="S14" s="8">
        <f t="shared" si="0"/>
        <v>1981</v>
      </c>
      <c r="T14" s="8">
        <v>1981</v>
      </c>
      <c r="U14" s="8">
        <f t="shared" si="1"/>
        <v>41</v>
      </c>
      <c r="V14" s="7">
        <v>1981</v>
      </c>
      <c r="W14" t="s">
        <v>621</v>
      </c>
      <c r="X14" s="2">
        <v>0.69899999999999995</v>
      </c>
      <c r="Y14" s="6">
        <f t="shared" si="2"/>
        <v>1.8659405782013295E-2</v>
      </c>
      <c r="AA14">
        <v>218979</v>
      </c>
      <c r="AB14">
        <v>28132</v>
      </c>
      <c r="AD14" t="s">
        <v>2</v>
      </c>
      <c r="AE14">
        <v>52</v>
      </c>
      <c r="AF14">
        <v>10</v>
      </c>
      <c r="AH14" t="s">
        <v>681</v>
      </c>
      <c r="AI14" t="s">
        <v>680</v>
      </c>
      <c r="AK14" t="s">
        <v>679</v>
      </c>
      <c r="AL14">
        <v>3</v>
      </c>
      <c r="AM14" s="5">
        <f t="shared" si="3"/>
        <v>7.3170731707317069E-2</v>
      </c>
      <c r="AN14" s="4">
        <f t="shared" si="4"/>
        <v>1.1082276669037041E-4</v>
      </c>
      <c r="AO14" s="3"/>
      <c r="AP14">
        <v>0</v>
      </c>
      <c r="AR14" t="s">
        <v>1</v>
      </c>
      <c r="AT14" s="2">
        <v>2.5459999999999998</v>
      </c>
      <c r="AU14" s="1">
        <f t="shared" si="5"/>
        <v>1.3094830877416415</v>
      </c>
      <c r="AV14" s="1">
        <f t="shared" si="6"/>
        <v>0.93851142743518334</v>
      </c>
      <c r="AW14" s="1">
        <f t="shared" si="7"/>
        <v>0.56753976712872478</v>
      </c>
    </row>
    <row r="15" spans="1:49" x14ac:dyDescent="0.2">
      <c r="A15">
        <v>13</v>
      </c>
      <c r="B15" t="s">
        <v>678</v>
      </c>
      <c r="C15" t="s">
        <v>677</v>
      </c>
      <c r="F15" t="s">
        <v>676</v>
      </c>
      <c r="G15" t="s">
        <v>5</v>
      </c>
      <c r="H15" t="s">
        <v>4</v>
      </c>
      <c r="I15" t="s">
        <v>24</v>
      </c>
      <c r="J15">
        <v>60000990</v>
      </c>
      <c r="K15" t="s">
        <v>23</v>
      </c>
      <c r="L15" t="s">
        <v>22</v>
      </c>
      <c r="M15" t="s">
        <v>21</v>
      </c>
      <c r="N15">
        <v>4</v>
      </c>
      <c r="O15" t="s">
        <v>675</v>
      </c>
      <c r="P15" t="s">
        <v>674</v>
      </c>
      <c r="Q15" t="s">
        <v>20</v>
      </c>
      <c r="R15" s="7">
        <v>29921</v>
      </c>
      <c r="S15" s="8">
        <f t="shared" si="0"/>
        <v>1981</v>
      </c>
      <c r="T15" s="8">
        <v>1981</v>
      </c>
      <c r="U15" s="8">
        <f t="shared" si="1"/>
        <v>41</v>
      </c>
      <c r="V15" s="7">
        <v>1981</v>
      </c>
      <c r="W15" t="s">
        <v>621</v>
      </c>
      <c r="X15" s="2">
        <v>0.69899999999999995</v>
      </c>
      <c r="Y15" s="6">
        <f t="shared" si="2"/>
        <v>1.8659405782013295E-2</v>
      </c>
      <c r="AA15">
        <v>218979</v>
      </c>
      <c r="AB15">
        <v>28132</v>
      </c>
      <c r="AD15" t="s">
        <v>2</v>
      </c>
      <c r="AE15">
        <v>52</v>
      </c>
      <c r="AF15">
        <v>10</v>
      </c>
      <c r="AH15" t="s">
        <v>673</v>
      </c>
      <c r="AI15" t="s">
        <v>672</v>
      </c>
      <c r="AK15" t="s">
        <v>671</v>
      </c>
      <c r="AL15">
        <v>35</v>
      </c>
      <c r="AM15" s="5">
        <f t="shared" si="3"/>
        <v>0.85365853658536583</v>
      </c>
      <c r="AN15" s="4">
        <f t="shared" si="4"/>
        <v>1.2929322780543216E-3</v>
      </c>
      <c r="AO15" s="3"/>
      <c r="AP15">
        <v>0</v>
      </c>
      <c r="AR15" t="s">
        <v>1</v>
      </c>
      <c r="AT15" s="2">
        <v>2.5459999999999998</v>
      </c>
      <c r="AU15" s="1">
        <f t="shared" si="5"/>
        <v>1.3449463730825602</v>
      </c>
      <c r="AV15" s="1">
        <f t="shared" si="6"/>
        <v>0.99761690300338091</v>
      </c>
      <c r="AW15" s="1">
        <f t="shared" si="7"/>
        <v>0.65028743292420133</v>
      </c>
    </row>
    <row r="16" spans="1:49" x14ac:dyDescent="0.2">
      <c r="A16">
        <v>14</v>
      </c>
      <c r="B16" t="s">
        <v>670</v>
      </c>
      <c r="C16" t="s">
        <v>669</v>
      </c>
      <c r="F16" t="s">
        <v>668</v>
      </c>
      <c r="G16" t="s">
        <v>5</v>
      </c>
      <c r="H16" t="s">
        <v>4</v>
      </c>
      <c r="I16" t="s">
        <v>34</v>
      </c>
      <c r="J16">
        <v>60022195</v>
      </c>
      <c r="K16" t="s">
        <v>33</v>
      </c>
      <c r="L16" t="s">
        <v>13</v>
      </c>
      <c r="M16" t="s">
        <v>3</v>
      </c>
      <c r="N16">
        <v>2</v>
      </c>
      <c r="O16" t="s">
        <v>667</v>
      </c>
      <c r="P16" t="s">
        <v>32</v>
      </c>
      <c r="Q16" t="s">
        <v>31</v>
      </c>
      <c r="R16" s="7">
        <v>29921</v>
      </c>
      <c r="S16" s="8">
        <f t="shared" si="0"/>
        <v>1981</v>
      </c>
      <c r="T16" s="8">
        <v>1981</v>
      </c>
      <c r="U16" s="8">
        <f t="shared" si="1"/>
        <v>41</v>
      </c>
      <c r="V16" s="7">
        <v>1981</v>
      </c>
      <c r="W16" t="s">
        <v>621</v>
      </c>
      <c r="X16" s="2">
        <v>0.69899999999999995</v>
      </c>
      <c r="Y16" s="6">
        <f t="shared" si="2"/>
        <v>1.8659405782013295E-2</v>
      </c>
      <c r="AA16">
        <v>218979</v>
      </c>
      <c r="AB16">
        <v>28132</v>
      </c>
      <c r="AD16" t="s">
        <v>2</v>
      </c>
      <c r="AE16">
        <v>52</v>
      </c>
      <c r="AF16">
        <v>8</v>
      </c>
      <c r="AH16" t="s">
        <v>666</v>
      </c>
      <c r="AI16" t="s">
        <v>665</v>
      </c>
      <c r="AK16" t="s">
        <v>664</v>
      </c>
      <c r="AL16">
        <v>4</v>
      </c>
      <c r="AM16" s="5">
        <f t="shared" si="3"/>
        <v>9.7560975609756101E-2</v>
      </c>
      <c r="AN16" s="4">
        <f t="shared" si="4"/>
        <v>1.477636889204939E-4</v>
      </c>
      <c r="AO16" s="3"/>
      <c r="AP16">
        <v>0</v>
      </c>
      <c r="AR16" t="s">
        <v>1</v>
      </c>
      <c r="AT16" s="2">
        <v>2.5459999999999998</v>
      </c>
      <c r="AU16" s="1">
        <f t="shared" si="5"/>
        <v>1.3105913154085453</v>
      </c>
      <c r="AV16" s="1">
        <f t="shared" si="6"/>
        <v>0.94035847354668933</v>
      </c>
      <c r="AW16" s="1">
        <f t="shared" si="7"/>
        <v>0.57012563168483343</v>
      </c>
    </row>
    <row r="17" spans="1:49" x14ac:dyDescent="0.2">
      <c r="A17">
        <v>15</v>
      </c>
      <c r="B17" t="s">
        <v>663</v>
      </c>
      <c r="C17" t="s">
        <v>662</v>
      </c>
      <c r="F17" t="s">
        <v>661</v>
      </c>
      <c r="G17" t="s">
        <v>5</v>
      </c>
      <c r="H17" t="s">
        <v>4</v>
      </c>
      <c r="I17" t="s">
        <v>660</v>
      </c>
      <c r="J17">
        <v>126126940</v>
      </c>
      <c r="K17" t="s">
        <v>659</v>
      </c>
      <c r="L17" t="s">
        <v>658</v>
      </c>
      <c r="M17" t="s">
        <v>35</v>
      </c>
      <c r="N17">
        <v>1</v>
      </c>
      <c r="O17" t="s">
        <v>657</v>
      </c>
      <c r="P17">
        <v>7006453231</v>
      </c>
      <c r="Q17">
        <v>126126940</v>
      </c>
      <c r="R17" s="7">
        <v>29921</v>
      </c>
      <c r="S17" s="8">
        <f t="shared" si="0"/>
        <v>1981</v>
      </c>
      <c r="T17" s="8">
        <v>1981</v>
      </c>
      <c r="U17" s="8">
        <f t="shared" si="1"/>
        <v>41</v>
      </c>
      <c r="V17" s="7">
        <v>1981</v>
      </c>
      <c r="W17" t="s">
        <v>656</v>
      </c>
      <c r="X17" s="2" t="s">
        <v>0</v>
      </c>
      <c r="Y17" s="6" t="e">
        <f t="shared" si="2"/>
        <v>#VALUE!</v>
      </c>
      <c r="AA17">
        <v>3054624</v>
      </c>
      <c r="AB17">
        <v>40132</v>
      </c>
      <c r="AD17" t="s">
        <v>2</v>
      </c>
      <c r="AE17">
        <v>12</v>
      </c>
      <c r="AF17">
        <v>4</v>
      </c>
      <c r="AG17" t="s">
        <v>655</v>
      </c>
      <c r="AH17" t="s">
        <v>654</v>
      </c>
      <c r="AI17" t="s">
        <v>653</v>
      </c>
      <c r="AK17" t="s">
        <v>652</v>
      </c>
      <c r="AL17">
        <v>0</v>
      </c>
      <c r="AM17" s="5">
        <f t="shared" si="3"/>
        <v>0</v>
      </c>
      <c r="AN17" s="4">
        <f t="shared" si="4"/>
        <v>0</v>
      </c>
      <c r="AO17" s="3"/>
      <c r="AP17">
        <v>0</v>
      </c>
      <c r="AR17" t="s">
        <v>1</v>
      </c>
      <c r="AT17" s="2" t="s">
        <v>0</v>
      </c>
      <c r="AU17" s="1" t="e">
        <f t="shared" si="5"/>
        <v>#VALUE!</v>
      </c>
      <c r="AV17" s="1" t="e">
        <f t="shared" si="6"/>
        <v>#VALUE!</v>
      </c>
      <c r="AW17" s="1" t="e">
        <f t="shared" si="7"/>
        <v>#VALUE!</v>
      </c>
    </row>
    <row r="18" spans="1:49" x14ac:dyDescent="0.2">
      <c r="A18">
        <v>16</v>
      </c>
      <c r="B18" t="s">
        <v>651</v>
      </c>
      <c r="C18" t="s">
        <v>650</v>
      </c>
      <c r="F18" t="s">
        <v>649</v>
      </c>
      <c r="G18" t="s">
        <v>5</v>
      </c>
      <c r="H18" t="s">
        <v>4</v>
      </c>
      <c r="R18" s="7">
        <v>29921</v>
      </c>
      <c r="S18" s="8">
        <f t="shared" si="0"/>
        <v>1981</v>
      </c>
      <c r="T18" s="8">
        <v>1981</v>
      </c>
      <c r="U18" s="8">
        <f t="shared" si="1"/>
        <v>41</v>
      </c>
      <c r="V18" s="7">
        <v>1981</v>
      </c>
      <c r="W18" t="s">
        <v>648</v>
      </c>
      <c r="X18" s="2">
        <v>0.60499999999999998</v>
      </c>
      <c r="Y18" s="6">
        <f t="shared" si="2"/>
        <v>1.6150129467980032E-2</v>
      </c>
      <c r="AA18">
        <v>346748</v>
      </c>
      <c r="AB18">
        <v>15563</v>
      </c>
      <c r="AD18" t="s">
        <v>2</v>
      </c>
      <c r="AE18">
        <v>52</v>
      </c>
      <c r="AF18">
        <v>7</v>
      </c>
      <c r="AH18" t="s">
        <v>647</v>
      </c>
      <c r="AI18" t="s">
        <v>646</v>
      </c>
      <c r="AK18" t="s">
        <v>645</v>
      </c>
      <c r="AL18">
        <v>15</v>
      </c>
      <c r="AM18" s="5">
        <f t="shared" si="3"/>
        <v>0.36585365853658536</v>
      </c>
      <c r="AN18" s="4">
        <f t="shared" si="4"/>
        <v>5.5411383345185209E-4</v>
      </c>
      <c r="AO18" s="3"/>
      <c r="AP18">
        <v>0</v>
      </c>
      <c r="AR18" t="s">
        <v>1</v>
      </c>
      <c r="AT18" s="2">
        <v>1.5229999999999999</v>
      </c>
      <c r="AU18" s="1">
        <f t="shared" si="5"/>
        <v>1.1471324777621579</v>
      </c>
      <c r="AV18" s="1">
        <f t="shared" si="6"/>
        <v>0.83521216507159413</v>
      </c>
      <c r="AW18" s="1">
        <f t="shared" si="7"/>
        <v>0.5232918523810306</v>
      </c>
    </row>
    <row r="19" spans="1:49" x14ac:dyDescent="0.2">
      <c r="A19">
        <v>17</v>
      </c>
      <c r="B19" t="s">
        <v>644</v>
      </c>
      <c r="C19" t="s">
        <v>643</v>
      </c>
      <c r="F19" t="s">
        <v>642</v>
      </c>
      <c r="G19" t="s">
        <v>5</v>
      </c>
      <c r="H19" t="s">
        <v>4</v>
      </c>
      <c r="I19" t="s">
        <v>59</v>
      </c>
      <c r="J19">
        <v>60024324</v>
      </c>
      <c r="K19" t="s">
        <v>58</v>
      </c>
      <c r="L19" t="s">
        <v>57</v>
      </c>
      <c r="M19" t="s">
        <v>3</v>
      </c>
      <c r="N19">
        <v>4</v>
      </c>
      <c r="O19" t="s">
        <v>641</v>
      </c>
      <c r="P19" t="s">
        <v>56</v>
      </c>
      <c r="Q19" t="s">
        <v>55</v>
      </c>
      <c r="R19" s="7">
        <v>29921</v>
      </c>
      <c r="S19" s="8">
        <f t="shared" si="0"/>
        <v>1981</v>
      </c>
      <c r="T19" s="8">
        <v>1981</v>
      </c>
      <c r="U19" s="8">
        <f t="shared" si="1"/>
        <v>41</v>
      </c>
      <c r="V19" s="7">
        <v>1981</v>
      </c>
      <c r="W19" t="s">
        <v>621</v>
      </c>
      <c r="X19" s="2">
        <v>0.69899999999999995</v>
      </c>
      <c r="Y19" s="6">
        <f t="shared" si="2"/>
        <v>1.8659405782013295E-2</v>
      </c>
      <c r="AA19">
        <v>218979</v>
      </c>
      <c r="AB19">
        <v>28132</v>
      </c>
      <c r="AD19" t="s">
        <v>2</v>
      </c>
      <c r="AE19">
        <v>52</v>
      </c>
      <c r="AF19">
        <v>6</v>
      </c>
      <c r="AH19" t="s">
        <v>640</v>
      </c>
      <c r="AI19" t="s">
        <v>639</v>
      </c>
      <c r="AK19" t="s">
        <v>638</v>
      </c>
      <c r="AL19">
        <v>3</v>
      </c>
      <c r="AM19" s="5">
        <f t="shared" si="3"/>
        <v>7.3170731707317069E-2</v>
      </c>
      <c r="AN19" s="4">
        <f t="shared" si="4"/>
        <v>1.1082276669037041E-4</v>
      </c>
      <c r="AO19" s="3"/>
      <c r="AP19">
        <v>0</v>
      </c>
      <c r="AR19" t="s">
        <v>1</v>
      </c>
      <c r="AT19" s="2">
        <v>2.5459999999999998</v>
      </c>
      <c r="AU19" s="1">
        <f t="shared" si="5"/>
        <v>1.3094830877416415</v>
      </c>
      <c r="AV19" s="1">
        <f t="shared" si="6"/>
        <v>0.93851142743518334</v>
      </c>
      <c r="AW19" s="1">
        <f t="shared" si="7"/>
        <v>0.56753976712872478</v>
      </c>
    </row>
    <row r="20" spans="1:49" x14ac:dyDescent="0.2">
      <c r="A20">
        <v>18</v>
      </c>
      <c r="B20" t="s">
        <v>637</v>
      </c>
      <c r="C20" t="s">
        <v>636</v>
      </c>
      <c r="F20" t="s">
        <v>635</v>
      </c>
      <c r="G20" t="s">
        <v>5</v>
      </c>
      <c r="H20" t="s">
        <v>4</v>
      </c>
      <c r="I20" t="s">
        <v>634</v>
      </c>
      <c r="J20">
        <v>60012708</v>
      </c>
      <c r="K20" t="s">
        <v>63</v>
      </c>
      <c r="L20" t="s">
        <v>62</v>
      </c>
      <c r="M20" t="s">
        <v>3</v>
      </c>
      <c r="N20">
        <v>2</v>
      </c>
      <c r="O20" t="s">
        <v>633</v>
      </c>
      <c r="P20" t="s">
        <v>632</v>
      </c>
      <c r="Q20" t="s">
        <v>631</v>
      </c>
      <c r="R20" s="7">
        <v>29921</v>
      </c>
      <c r="S20" s="8">
        <f t="shared" si="0"/>
        <v>1981</v>
      </c>
      <c r="T20" s="8">
        <v>1981</v>
      </c>
      <c r="U20" s="8">
        <f t="shared" si="1"/>
        <v>41</v>
      </c>
      <c r="V20" s="7">
        <v>1981</v>
      </c>
      <c r="W20" t="s">
        <v>621</v>
      </c>
      <c r="X20" s="2">
        <v>0.69899999999999995</v>
      </c>
      <c r="Y20" s="6">
        <f t="shared" si="2"/>
        <v>1.8659405782013295E-2</v>
      </c>
      <c r="AA20">
        <v>218979</v>
      </c>
      <c r="AB20">
        <v>28132</v>
      </c>
      <c r="AD20" t="s">
        <v>2</v>
      </c>
      <c r="AE20">
        <v>52</v>
      </c>
      <c r="AF20">
        <v>6</v>
      </c>
      <c r="AH20" t="s">
        <v>630</v>
      </c>
      <c r="AI20" t="s">
        <v>629</v>
      </c>
      <c r="AK20" t="s">
        <v>628</v>
      </c>
      <c r="AL20">
        <v>43</v>
      </c>
      <c r="AM20" s="5">
        <f t="shared" si="3"/>
        <v>1.0487804878048781</v>
      </c>
      <c r="AN20" s="4">
        <f t="shared" si="4"/>
        <v>1.5884596558953094E-3</v>
      </c>
      <c r="AO20" s="3"/>
      <c r="AP20">
        <v>0</v>
      </c>
      <c r="AR20" t="s">
        <v>1</v>
      </c>
      <c r="AT20" s="2">
        <v>2.5459999999999998</v>
      </c>
      <c r="AU20" s="1">
        <f t="shared" si="5"/>
        <v>1.3538121944177897</v>
      </c>
      <c r="AV20" s="1">
        <f t="shared" si="6"/>
        <v>1.0123932718954303</v>
      </c>
      <c r="AW20" s="1">
        <f t="shared" si="7"/>
        <v>0.67097434937307043</v>
      </c>
    </row>
    <row r="21" spans="1:49" x14ac:dyDescent="0.2">
      <c r="A21">
        <v>19</v>
      </c>
      <c r="B21" t="s">
        <v>627</v>
      </c>
      <c r="C21" t="s">
        <v>626</v>
      </c>
      <c r="F21" t="s">
        <v>625</v>
      </c>
      <c r="G21" t="s">
        <v>5</v>
      </c>
      <c r="H21" t="s">
        <v>4</v>
      </c>
      <c r="I21" t="s">
        <v>624</v>
      </c>
      <c r="J21">
        <v>60022195</v>
      </c>
      <c r="K21" t="s">
        <v>33</v>
      </c>
      <c r="L21" t="s">
        <v>13</v>
      </c>
      <c r="M21" t="s">
        <v>3</v>
      </c>
      <c r="N21">
        <v>3</v>
      </c>
      <c r="O21" t="s">
        <v>623</v>
      </c>
      <c r="P21" t="s">
        <v>622</v>
      </c>
      <c r="Q21" t="s">
        <v>61</v>
      </c>
      <c r="R21" s="7">
        <v>29921</v>
      </c>
      <c r="S21" s="8">
        <f t="shared" si="0"/>
        <v>1981</v>
      </c>
      <c r="T21" s="8">
        <v>1981</v>
      </c>
      <c r="U21" s="8">
        <f t="shared" si="1"/>
        <v>41</v>
      </c>
      <c r="V21" s="7">
        <v>1981</v>
      </c>
      <c r="W21" t="s">
        <v>621</v>
      </c>
      <c r="X21" s="2">
        <v>0.69899999999999995</v>
      </c>
      <c r="Y21" s="6">
        <f t="shared" si="2"/>
        <v>1.8659405782013295E-2</v>
      </c>
      <c r="AA21">
        <v>218979</v>
      </c>
      <c r="AB21">
        <v>28132</v>
      </c>
      <c r="AD21" t="s">
        <v>2</v>
      </c>
      <c r="AE21">
        <v>52</v>
      </c>
      <c r="AF21">
        <v>3</v>
      </c>
      <c r="AH21" t="s">
        <v>620</v>
      </c>
      <c r="AI21" t="s">
        <v>619</v>
      </c>
      <c r="AK21" t="s">
        <v>618</v>
      </c>
      <c r="AL21">
        <v>18</v>
      </c>
      <c r="AM21" s="5">
        <f t="shared" si="3"/>
        <v>0.43902439024390244</v>
      </c>
      <c r="AN21" s="4">
        <f t="shared" si="4"/>
        <v>6.6493660014222257E-4</v>
      </c>
      <c r="AO21" s="3"/>
      <c r="AP21">
        <v>0</v>
      </c>
      <c r="AR21" t="s">
        <v>1</v>
      </c>
      <c r="AT21" s="2">
        <v>2.5459999999999998</v>
      </c>
      <c r="AU21" s="1">
        <f t="shared" si="5"/>
        <v>1.3261065027451973</v>
      </c>
      <c r="AV21" s="1">
        <f t="shared" si="6"/>
        <v>0.96621711910777586</v>
      </c>
      <c r="AW21" s="1">
        <f t="shared" si="7"/>
        <v>0.60632773547035446</v>
      </c>
    </row>
    <row r="22" spans="1:49" x14ac:dyDescent="0.2">
      <c r="A22">
        <v>20</v>
      </c>
      <c r="B22" t="s">
        <v>617</v>
      </c>
      <c r="C22" t="s">
        <v>616</v>
      </c>
      <c r="F22" t="s">
        <v>615</v>
      </c>
      <c r="G22" t="s">
        <v>5</v>
      </c>
      <c r="H22" t="s">
        <v>4</v>
      </c>
      <c r="I22" t="s">
        <v>614</v>
      </c>
      <c r="J22">
        <v>60015481</v>
      </c>
      <c r="K22" t="s">
        <v>79</v>
      </c>
      <c r="L22" t="s">
        <v>78</v>
      </c>
      <c r="M22" t="s">
        <v>3</v>
      </c>
      <c r="N22">
        <v>2</v>
      </c>
      <c r="O22" t="s">
        <v>613</v>
      </c>
      <c r="P22" t="s">
        <v>612</v>
      </c>
      <c r="Q22" t="s">
        <v>497</v>
      </c>
      <c r="R22" s="7">
        <v>29921</v>
      </c>
      <c r="S22" s="8">
        <f t="shared" si="0"/>
        <v>1981</v>
      </c>
      <c r="T22" s="8">
        <v>1981</v>
      </c>
      <c r="U22" s="8">
        <f t="shared" si="1"/>
        <v>41</v>
      </c>
      <c r="V22" s="7">
        <v>1981</v>
      </c>
      <c r="W22" t="s">
        <v>573</v>
      </c>
      <c r="X22" s="2">
        <v>15.993</v>
      </c>
      <c r="Y22" s="6">
        <f t="shared" si="2"/>
        <v>0.42692400096099947</v>
      </c>
      <c r="AA22">
        <v>280836</v>
      </c>
      <c r="AB22">
        <v>21206</v>
      </c>
      <c r="AD22" t="s">
        <v>2</v>
      </c>
      <c r="AE22">
        <v>293</v>
      </c>
      <c r="AF22">
        <v>5828</v>
      </c>
      <c r="AH22" t="s">
        <v>611</v>
      </c>
      <c r="AI22" t="s">
        <v>610</v>
      </c>
      <c r="AK22" t="s">
        <v>609</v>
      </c>
      <c r="AL22">
        <v>826</v>
      </c>
      <c r="AM22" s="5">
        <f t="shared" si="3"/>
        <v>20.146341463414632</v>
      </c>
      <c r="AN22" s="4">
        <f t="shared" si="4"/>
        <v>3.0513201762081988E-2</v>
      </c>
      <c r="AO22" s="3"/>
      <c r="AP22">
        <v>0</v>
      </c>
      <c r="AR22" t="s">
        <v>1</v>
      </c>
      <c r="AT22" s="2">
        <v>49.962000000000003</v>
      </c>
      <c r="AU22" s="1">
        <f t="shared" si="5"/>
        <v>30.80007612013242</v>
      </c>
      <c r="AV22" s="1">
        <f t="shared" si="6"/>
        <v>22.871860136154073</v>
      </c>
      <c r="AW22" s="1">
        <f t="shared" si="7"/>
        <v>14.943644152175722</v>
      </c>
    </row>
    <row r="23" spans="1:49" x14ac:dyDescent="0.2">
      <c r="A23">
        <v>21</v>
      </c>
      <c r="B23" t="s">
        <v>608</v>
      </c>
      <c r="C23" t="s">
        <v>607</v>
      </c>
      <c r="F23" t="s">
        <v>606</v>
      </c>
      <c r="G23" t="s">
        <v>5</v>
      </c>
      <c r="H23" t="s">
        <v>4</v>
      </c>
      <c r="I23" t="s">
        <v>605</v>
      </c>
      <c r="J23">
        <v>60029445</v>
      </c>
      <c r="K23" t="s">
        <v>604</v>
      </c>
      <c r="L23" t="s">
        <v>603</v>
      </c>
      <c r="M23" t="s">
        <v>3</v>
      </c>
      <c r="N23">
        <v>1</v>
      </c>
      <c r="O23" t="s">
        <v>602</v>
      </c>
      <c r="P23">
        <v>7003575559</v>
      </c>
      <c r="Q23">
        <v>60029445</v>
      </c>
      <c r="R23" s="7">
        <v>29921</v>
      </c>
      <c r="S23" s="8">
        <f t="shared" si="0"/>
        <v>1981</v>
      </c>
      <c r="T23" s="8">
        <v>1981</v>
      </c>
      <c r="U23" s="8">
        <f t="shared" si="1"/>
        <v>41</v>
      </c>
      <c r="V23" s="7">
        <v>1981</v>
      </c>
      <c r="W23" t="s">
        <v>601</v>
      </c>
      <c r="X23" s="2" t="s">
        <v>0</v>
      </c>
      <c r="Y23" s="6" t="e">
        <f t="shared" si="2"/>
        <v>#VALUE!</v>
      </c>
      <c r="AA23">
        <v>321028</v>
      </c>
      <c r="AB23">
        <v>60924</v>
      </c>
      <c r="AD23" t="s">
        <v>2</v>
      </c>
      <c r="AE23">
        <v>23</v>
      </c>
      <c r="AF23">
        <v>8</v>
      </c>
      <c r="AG23">
        <v>5</v>
      </c>
      <c r="AH23" t="s">
        <v>600</v>
      </c>
      <c r="AI23" t="s">
        <v>599</v>
      </c>
      <c r="AK23" t="s">
        <v>598</v>
      </c>
      <c r="AL23">
        <v>10</v>
      </c>
      <c r="AM23" s="5">
        <f t="shared" si="3"/>
        <v>0.24390243902439024</v>
      </c>
      <c r="AN23" s="4">
        <f t="shared" si="4"/>
        <v>3.6940922230123473E-4</v>
      </c>
      <c r="AO23" s="3"/>
      <c r="AP23">
        <v>0</v>
      </c>
      <c r="AR23" t="s">
        <v>1</v>
      </c>
      <c r="AT23" s="2" t="s">
        <v>0</v>
      </c>
      <c r="AU23" s="1" t="e">
        <f t="shared" si="5"/>
        <v>#VALUE!</v>
      </c>
      <c r="AV23" s="1" t="e">
        <f t="shared" si="6"/>
        <v>#VALUE!</v>
      </c>
      <c r="AW23" s="1" t="e">
        <f t="shared" si="7"/>
        <v>#VALUE!</v>
      </c>
    </row>
    <row r="24" spans="1:49" x14ac:dyDescent="0.2">
      <c r="A24">
        <v>22</v>
      </c>
      <c r="B24" t="s">
        <v>597</v>
      </c>
      <c r="C24" t="s">
        <v>596</v>
      </c>
      <c r="F24" t="s">
        <v>595</v>
      </c>
      <c r="G24" t="s">
        <v>5</v>
      </c>
      <c r="H24" t="s">
        <v>4</v>
      </c>
      <c r="I24" t="s">
        <v>594</v>
      </c>
      <c r="J24" t="s">
        <v>588</v>
      </c>
      <c r="K24" t="s">
        <v>593</v>
      </c>
      <c r="L24" t="s">
        <v>592</v>
      </c>
      <c r="M24" t="s">
        <v>591</v>
      </c>
      <c r="N24">
        <v>2</v>
      </c>
      <c r="O24" t="s">
        <v>590</v>
      </c>
      <c r="P24" t="s">
        <v>589</v>
      </c>
      <c r="Q24" t="s">
        <v>588</v>
      </c>
      <c r="R24" s="7">
        <v>29921</v>
      </c>
      <c r="S24" s="8">
        <f t="shared" si="0"/>
        <v>1981</v>
      </c>
      <c r="T24" s="8">
        <v>1981</v>
      </c>
      <c r="U24" s="8">
        <f t="shared" si="1"/>
        <v>41</v>
      </c>
      <c r="V24" s="7">
        <v>29921</v>
      </c>
      <c r="W24" t="s">
        <v>77</v>
      </c>
      <c r="X24" s="2">
        <v>0.8</v>
      </c>
      <c r="Y24" s="6">
        <f t="shared" si="2"/>
        <v>2.1355543098155415E-2</v>
      </c>
      <c r="AA24">
        <v>3407594</v>
      </c>
      <c r="AB24">
        <v>23456</v>
      </c>
      <c r="AC24">
        <v>14321351</v>
      </c>
      <c r="AD24" t="s">
        <v>2</v>
      </c>
      <c r="AE24">
        <v>143</v>
      </c>
      <c r="AF24">
        <v>4</v>
      </c>
      <c r="AH24" t="s">
        <v>587</v>
      </c>
      <c r="AI24" t="s">
        <v>586</v>
      </c>
      <c r="AK24" t="s">
        <v>585</v>
      </c>
      <c r="AL24">
        <v>50</v>
      </c>
      <c r="AM24" s="5">
        <f t="shared" si="3"/>
        <v>1.2195121951219512</v>
      </c>
      <c r="AN24" s="4">
        <f t="shared" si="4"/>
        <v>1.8470461115061736E-3</v>
      </c>
      <c r="AO24" s="3"/>
      <c r="AP24">
        <v>0</v>
      </c>
      <c r="AR24" t="s">
        <v>1</v>
      </c>
      <c r="AT24" s="2" t="s">
        <v>0</v>
      </c>
      <c r="AU24" s="1">
        <f t="shared" si="5"/>
        <v>1.5502994002160642</v>
      </c>
      <c r="AV24" s="1">
        <f t="shared" si="6"/>
        <v>1.1601294604830794</v>
      </c>
      <c r="AW24" s="1">
        <f t="shared" si="7"/>
        <v>0.76995952075009455</v>
      </c>
    </row>
    <row r="25" spans="1:49" x14ac:dyDescent="0.2">
      <c r="A25">
        <v>23</v>
      </c>
      <c r="B25" t="s">
        <v>584</v>
      </c>
      <c r="C25" t="s">
        <v>583</v>
      </c>
      <c r="F25" t="s">
        <v>582</v>
      </c>
      <c r="G25" t="s">
        <v>5</v>
      </c>
      <c r="H25" t="s">
        <v>4</v>
      </c>
      <c r="I25" t="s">
        <v>581</v>
      </c>
      <c r="J25" t="s">
        <v>580</v>
      </c>
      <c r="K25" t="s">
        <v>579</v>
      </c>
      <c r="L25" t="s">
        <v>578</v>
      </c>
      <c r="M25" t="s">
        <v>577</v>
      </c>
      <c r="N25">
        <v>7</v>
      </c>
      <c r="O25" t="s">
        <v>576</v>
      </c>
      <c r="P25" t="s">
        <v>575</v>
      </c>
      <c r="Q25" t="s">
        <v>574</v>
      </c>
      <c r="R25" s="7">
        <v>29921</v>
      </c>
      <c r="S25" s="8">
        <f t="shared" si="0"/>
        <v>1981</v>
      </c>
      <c r="T25" s="8">
        <v>1981</v>
      </c>
      <c r="U25" s="8">
        <f t="shared" si="1"/>
        <v>41</v>
      </c>
      <c r="V25" s="7">
        <v>1981</v>
      </c>
      <c r="W25" t="s">
        <v>573</v>
      </c>
      <c r="X25" s="2">
        <v>15.993</v>
      </c>
      <c r="Y25" s="6">
        <f t="shared" si="2"/>
        <v>0.42692400096099947</v>
      </c>
      <c r="AA25">
        <v>280836</v>
      </c>
      <c r="AB25">
        <v>21206</v>
      </c>
      <c r="AD25" t="s">
        <v>2</v>
      </c>
      <c r="AE25">
        <v>290</v>
      </c>
      <c r="AF25">
        <v>5804</v>
      </c>
      <c r="AH25" t="s">
        <v>572</v>
      </c>
      <c r="AI25" t="s">
        <v>571</v>
      </c>
      <c r="AK25" t="s">
        <v>570</v>
      </c>
      <c r="AL25">
        <v>73</v>
      </c>
      <c r="AM25" s="5">
        <f t="shared" si="3"/>
        <v>1.7804878048780488</v>
      </c>
      <c r="AN25" s="4">
        <f t="shared" si="4"/>
        <v>2.6966873227990138E-3</v>
      </c>
      <c r="AO25" s="3"/>
      <c r="AP25">
        <v>0</v>
      </c>
      <c r="AR25" t="s">
        <v>1</v>
      </c>
      <c r="AT25" s="2">
        <v>49.962000000000003</v>
      </c>
      <c r="AU25" s="1">
        <f t="shared" si="5"/>
        <v>29.965580686953931</v>
      </c>
      <c r="AV25" s="1">
        <f t="shared" si="6"/>
        <v>21.481034414189924</v>
      </c>
      <c r="AW25" s="1">
        <f t="shared" si="7"/>
        <v>12.996488141425914</v>
      </c>
    </row>
    <row r="26" spans="1:49" x14ac:dyDescent="0.2">
      <c r="A26">
        <v>24</v>
      </c>
      <c r="B26" t="s">
        <v>569</v>
      </c>
      <c r="C26" t="s">
        <v>568</v>
      </c>
      <c r="F26" t="s">
        <v>567</v>
      </c>
      <c r="G26" t="s">
        <v>5</v>
      </c>
      <c r="H26" t="s">
        <v>4</v>
      </c>
      <c r="I26" t="s">
        <v>566</v>
      </c>
      <c r="J26">
        <v>60025525</v>
      </c>
      <c r="K26" t="s">
        <v>222</v>
      </c>
      <c r="L26" t="s">
        <v>221</v>
      </c>
      <c r="M26" t="s">
        <v>16</v>
      </c>
      <c r="N26">
        <v>4</v>
      </c>
      <c r="O26" t="s">
        <v>565</v>
      </c>
      <c r="P26" t="s">
        <v>564</v>
      </c>
      <c r="Q26" t="s">
        <v>563</v>
      </c>
      <c r="R26" s="7">
        <v>29921</v>
      </c>
      <c r="S26" s="8">
        <f t="shared" si="0"/>
        <v>1981</v>
      </c>
      <c r="T26" s="8">
        <v>1981</v>
      </c>
      <c r="U26" s="8">
        <f t="shared" si="1"/>
        <v>41</v>
      </c>
      <c r="V26" s="7">
        <v>29921</v>
      </c>
      <c r="W26" t="s">
        <v>77</v>
      </c>
      <c r="X26" s="2">
        <v>0.8</v>
      </c>
      <c r="Y26" s="6">
        <f t="shared" si="2"/>
        <v>2.1355543098155415E-2</v>
      </c>
      <c r="AA26">
        <v>3407594</v>
      </c>
      <c r="AB26">
        <v>23456</v>
      </c>
      <c r="AC26">
        <v>14321351</v>
      </c>
      <c r="AD26" t="s">
        <v>2</v>
      </c>
      <c r="AE26">
        <v>144</v>
      </c>
      <c r="AF26">
        <v>4</v>
      </c>
      <c r="AH26" t="s">
        <v>562</v>
      </c>
      <c r="AI26" t="s">
        <v>561</v>
      </c>
      <c r="AK26" t="s">
        <v>560</v>
      </c>
      <c r="AL26">
        <v>52</v>
      </c>
      <c r="AM26" s="5">
        <f t="shared" si="3"/>
        <v>1.2682926829268293</v>
      </c>
      <c r="AN26" s="4">
        <f t="shared" si="4"/>
        <v>1.9209279559664208E-3</v>
      </c>
      <c r="AO26" s="3"/>
      <c r="AP26">
        <v>0</v>
      </c>
      <c r="AR26" t="s">
        <v>1</v>
      </c>
      <c r="AT26" s="2" t="s">
        <v>0</v>
      </c>
      <c r="AU26" s="1">
        <f t="shared" si="5"/>
        <v>1.5525158555498715</v>
      </c>
      <c r="AV26" s="1">
        <f t="shared" si="6"/>
        <v>1.1638235527060918</v>
      </c>
      <c r="AW26" s="1">
        <f t="shared" si="7"/>
        <v>0.77513124986231186</v>
      </c>
    </row>
    <row r="27" spans="1:49" x14ac:dyDescent="0.2">
      <c r="A27">
        <v>25</v>
      </c>
      <c r="B27" t="s">
        <v>559</v>
      </c>
      <c r="C27" t="s">
        <v>558</v>
      </c>
      <c r="F27" t="s">
        <v>557</v>
      </c>
      <c r="G27" t="s">
        <v>5</v>
      </c>
      <c r="H27" t="s">
        <v>4</v>
      </c>
      <c r="I27" t="s">
        <v>556</v>
      </c>
      <c r="J27" t="s">
        <v>555</v>
      </c>
      <c r="K27" t="s">
        <v>554</v>
      </c>
      <c r="L27" t="s">
        <v>553</v>
      </c>
      <c r="M27" t="s">
        <v>552</v>
      </c>
      <c r="N27">
        <v>4</v>
      </c>
      <c r="O27" t="s">
        <v>551</v>
      </c>
      <c r="P27" t="s">
        <v>550</v>
      </c>
      <c r="Q27" t="s">
        <v>549</v>
      </c>
      <c r="R27" s="7">
        <v>29921</v>
      </c>
      <c r="S27" s="8">
        <f t="shared" si="0"/>
        <v>1981</v>
      </c>
      <c r="T27" s="8">
        <v>1981</v>
      </c>
      <c r="U27" s="8">
        <f t="shared" si="1"/>
        <v>41</v>
      </c>
      <c r="V27" s="7">
        <v>1981</v>
      </c>
      <c r="W27" t="s">
        <v>548</v>
      </c>
      <c r="X27" s="2">
        <v>1.1819999999999999</v>
      </c>
      <c r="Y27" s="6">
        <f t="shared" si="2"/>
        <v>3.1552814927524625E-2</v>
      </c>
      <c r="AA27">
        <v>36951</v>
      </c>
      <c r="AB27">
        <v>27030</v>
      </c>
      <c r="AD27" t="s">
        <v>2</v>
      </c>
      <c r="AE27">
        <v>39</v>
      </c>
      <c r="AF27">
        <v>4</v>
      </c>
      <c r="AH27" t="s">
        <v>547</v>
      </c>
      <c r="AI27" t="s">
        <v>546</v>
      </c>
      <c r="AK27" t="s">
        <v>545</v>
      </c>
      <c r="AL27">
        <v>113</v>
      </c>
      <c r="AM27" s="5">
        <f t="shared" si="3"/>
        <v>2.7560975609756095</v>
      </c>
      <c r="AN27" s="4">
        <f t="shared" si="4"/>
        <v>4.1743242120039527E-3</v>
      </c>
      <c r="AO27" s="3"/>
      <c r="AP27">
        <v>0</v>
      </c>
      <c r="AR27" t="s">
        <v>1</v>
      </c>
      <c r="AT27" s="2">
        <v>3.7909999999999999</v>
      </c>
      <c r="AU27" s="1">
        <f t="shared" si="5"/>
        <v>2.3339267712868419</v>
      </c>
      <c r="AV27" s="1">
        <f t="shared" si="6"/>
        <v>1.7863569569764288</v>
      </c>
      <c r="AW27" s="1">
        <f t="shared" si="7"/>
        <v>1.2387871426660155</v>
      </c>
    </row>
    <row r="28" spans="1:49" x14ac:dyDescent="0.2">
      <c r="A28">
        <v>26</v>
      </c>
      <c r="B28" t="s">
        <v>544</v>
      </c>
      <c r="C28" t="s">
        <v>543</v>
      </c>
      <c r="F28" t="s">
        <v>542</v>
      </c>
      <c r="G28" t="s">
        <v>5</v>
      </c>
      <c r="H28" t="s">
        <v>4</v>
      </c>
      <c r="I28" t="s">
        <v>541</v>
      </c>
      <c r="J28" t="s">
        <v>540</v>
      </c>
      <c r="K28" t="s">
        <v>539</v>
      </c>
      <c r="L28" t="s">
        <v>538</v>
      </c>
      <c r="M28" t="s">
        <v>537</v>
      </c>
      <c r="N28">
        <v>2</v>
      </c>
      <c r="O28" t="s">
        <v>536</v>
      </c>
      <c r="P28" t="s">
        <v>535</v>
      </c>
      <c r="Q28" t="s">
        <v>534</v>
      </c>
      <c r="R28" s="7">
        <v>29916</v>
      </c>
      <c r="S28" s="8">
        <f t="shared" si="0"/>
        <v>1981</v>
      </c>
      <c r="T28" s="8">
        <v>1981</v>
      </c>
      <c r="U28" s="8">
        <f t="shared" si="1"/>
        <v>41</v>
      </c>
      <c r="V28" s="7">
        <v>29916</v>
      </c>
      <c r="W28" t="s">
        <v>74</v>
      </c>
      <c r="X28" s="2">
        <v>0.375</v>
      </c>
      <c r="Y28" s="6">
        <f t="shared" si="2"/>
        <v>1.0010410827260351E-2</v>
      </c>
      <c r="AA28">
        <v>135194</v>
      </c>
      <c r="AB28">
        <v>24918</v>
      </c>
      <c r="AD28" t="s">
        <v>2</v>
      </c>
      <c r="AE28">
        <v>17</v>
      </c>
      <c r="AF28">
        <v>24</v>
      </c>
      <c r="AH28" t="s">
        <v>533</v>
      </c>
      <c r="AI28" t="s">
        <v>532</v>
      </c>
      <c r="AJ28" t="s">
        <v>531</v>
      </c>
      <c r="AK28" t="s">
        <v>530</v>
      </c>
      <c r="AL28">
        <v>0</v>
      </c>
      <c r="AM28" s="5">
        <f t="shared" si="3"/>
        <v>0</v>
      </c>
      <c r="AN28" s="4">
        <f t="shared" si="4"/>
        <v>0</v>
      </c>
      <c r="AO28" s="3"/>
      <c r="AP28">
        <v>0</v>
      </c>
      <c r="AR28" t="s">
        <v>1</v>
      </c>
      <c r="AT28" s="2">
        <v>1.3140000000000001</v>
      </c>
      <c r="AU28" s="1">
        <f t="shared" si="5"/>
        <v>0.70072875790822453</v>
      </c>
      <c r="AV28" s="1">
        <f t="shared" si="6"/>
        <v>0.5005205413630176</v>
      </c>
      <c r="AW28" s="1">
        <f t="shared" si="7"/>
        <v>0.30031232481781051</v>
      </c>
    </row>
    <row r="29" spans="1:49" x14ac:dyDescent="0.2">
      <c r="A29">
        <v>27</v>
      </c>
      <c r="B29" t="s">
        <v>529</v>
      </c>
      <c r="C29" t="s">
        <v>528</v>
      </c>
      <c r="F29" t="s">
        <v>527</v>
      </c>
      <c r="G29" t="s">
        <v>5</v>
      </c>
      <c r="H29" t="s">
        <v>4</v>
      </c>
      <c r="I29" t="s">
        <v>48</v>
      </c>
      <c r="J29">
        <v>60030553</v>
      </c>
      <c r="K29" t="s">
        <v>526</v>
      </c>
      <c r="L29" t="s">
        <v>49</v>
      </c>
      <c r="M29" t="s">
        <v>35</v>
      </c>
      <c r="N29">
        <v>1</v>
      </c>
      <c r="O29" t="s">
        <v>518</v>
      </c>
      <c r="P29">
        <v>7006052449</v>
      </c>
      <c r="Q29">
        <v>60030553</v>
      </c>
      <c r="R29" s="7">
        <v>29916</v>
      </c>
      <c r="S29" s="8">
        <f t="shared" si="0"/>
        <v>1981</v>
      </c>
      <c r="T29" s="8">
        <v>1981</v>
      </c>
      <c r="U29" s="8">
        <f t="shared" si="1"/>
        <v>41</v>
      </c>
      <c r="V29" s="7">
        <v>29916</v>
      </c>
      <c r="W29" t="s">
        <v>74</v>
      </c>
      <c r="X29" s="2">
        <v>0.375</v>
      </c>
      <c r="Y29" s="6">
        <f t="shared" si="2"/>
        <v>1.0010410827260351E-2</v>
      </c>
      <c r="AA29">
        <v>135194</v>
      </c>
      <c r="AB29">
        <v>24918</v>
      </c>
      <c r="AD29" t="s">
        <v>2</v>
      </c>
      <c r="AE29">
        <v>17</v>
      </c>
      <c r="AF29">
        <v>24</v>
      </c>
      <c r="AH29" t="s">
        <v>525</v>
      </c>
      <c r="AI29" t="s">
        <v>524</v>
      </c>
      <c r="AJ29" t="s">
        <v>523</v>
      </c>
      <c r="AK29" t="s">
        <v>522</v>
      </c>
      <c r="AL29">
        <v>16</v>
      </c>
      <c r="AM29" s="5">
        <f t="shared" si="3"/>
        <v>0.3902439024390244</v>
      </c>
      <c r="AN29" s="4">
        <f t="shared" si="4"/>
        <v>5.9105475568197558E-4</v>
      </c>
      <c r="AO29" s="3"/>
      <c r="AP29">
        <v>0</v>
      </c>
      <c r="AR29" t="s">
        <v>1</v>
      </c>
      <c r="AT29" s="2">
        <v>1.3140000000000001</v>
      </c>
      <c r="AU29" s="1">
        <f t="shared" si="5"/>
        <v>0.71846040057868388</v>
      </c>
      <c r="AV29" s="1">
        <f t="shared" si="6"/>
        <v>0.53007327914711633</v>
      </c>
      <c r="AW29" s="1">
        <f t="shared" si="7"/>
        <v>0.34168615771554883</v>
      </c>
    </row>
    <row r="30" spans="1:49" x14ac:dyDescent="0.2">
      <c r="A30">
        <v>28</v>
      </c>
      <c r="B30" t="s">
        <v>521</v>
      </c>
      <c r="C30" t="s">
        <v>520</v>
      </c>
      <c r="F30" t="s">
        <v>519</v>
      </c>
      <c r="G30" t="s">
        <v>5</v>
      </c>
      <c r="H30" t="s">
        <v>4</v>
      </c>
      <c r="I30" t="s">
        <v>48</v>
      </c>
      <c r="J30">
        <v>101885524</v>
      </c>
      <c r="K30" t="s">
        <v>50</v>
      </c>
      <c r="L30" t="s">
        <v>49</v>
      </c>
      <c r="M30" t="s">
        <v>35</v>
      </c>
      <c r="N30">
        <v>1</v>
      </c>
      <c r="O30" t="s">
        <v>518</v>
      </c>
      <c r="P30">
        <v>7006052449</v>
      </c>
      <c r="Q30">
        <v>101885524</v>
      </c>
      <c r="R30" s="7">
        <v>29902</v>
      </c>
      <c r="S30" s="8">
        <f t="shared" si="0"/>
        <v>1981</v>
      </c>
      <c r="T30" s="8">
        <v>1981</v>
      </c>
      <c r="U30" s="8">
        <f t="shared" si="1"/>
        <v>41</v>
      </c>
      <c r="V30" s="7">
        <v>29902</v>
      </c>
      <c r="W30" t="s">
        <v>74</v>
      </c>
      <c r="X30" s="2">
        <v>0.375</v>
      </c>
      <c r="Y30" s="6">
        <f t="shared" si="2"/>
        <v>1.0010410827260351E-2</v>
      </c>
      <c r="AA30">
        <v>135194</v>
      </c>
      <c r="AB30">
        <v>24918</v>
      </c>
      <c r="AD30" t="s">
        <v>2</v>
      </c>
      <c r="AE30">
        <v>17</v>
      </c>
      <c r="AF30">
        <v>23</v>
      </c>
      <c r="AH30" t="s">
        <v>517</v>
      </c>
      <c r="AI30" t="s">
        <v>516</v>
      </c>
      <c r="AJ30" t="s">
        <v>80</v>
      </c>
      <c r="AK30" t="s">
        <v>515</v>
      </c>
      <c r="AL30">
        <v>0</v>
      </c>
      <c r="AM30" s="5">
        <f t="shared" si="3"/>
        <v>0</v>
      </c>
      <c r="AN30" s="4">
        <f t="shared" si="4"/>
        <v>0</v>
      </c>
      <c r="AO30" s="3"/>
      <c r="AP30">
        <v>0</v>
      </c>
      <c r="AR30" t="s">
        <v>1</v>
      </c>
      <c r="AT30" s="2">
        <v>1.3140000000000001</v>
      </c>
      <c r="AU30" s="1">
        <f t="shared" si="5"/>
        <v>0.70072875790822453</v>
      </c>
      <c r="AV30" s="1">
        <f t="shared" si="6"/>
        <v>0.5005205413630176</v>
      </c>
      <c r="AW30" s="1">
        <f t="shared" si="7"/>
        <v>0.30031232481781051</v>
      </c>
    </row>
    <row r="31" spans="1:49" x14ac:dyDescent="0.2">
      <c r="A31">
        <v>29</v>
      </c>
      <c r="B31" t="s">
        <v>514</v>
      </c>
      <c r="C31" t="s">
        <v>513</v>
      </c>
      <c r="F31" t="s">
        <v>512</v>
      </c>
      <c r="G31" t="s">
        <v>5</v>
      </c>
      <c r="H31" t="s">
        <v>4</v>
      </c>
      <c r="I31" t="s">
        <v>213</v>
      </c>
      <c r="J31">
        <v>60010818</v>
      </c>
      <c r="K31" t="s">
        <v>212</v>
      </c>
      <c r="L31" t="s">
        <v>211</v>
      </c>
      <c r="M31" t="s">
        <v>7</v>
      </c>
      <c r="N31">
        <v>3</v>
      </c>
      <c r="O31" t="s">
        <v>511</v>
      </c>
      <c r="P31" t="s">
        <v>510</v>
      </c>
      <c r="Q31" t="s">
        <v>509</v>
      </c>
      <c r="R31" s="7">
        <v>29902</v>
      </c>
      <c r="S31" s="8">
        <f t="shared" si="0"/>
        <v>1981</v>
      </c>
      <c r="T31" s="8">
        <v>1981</v>
      </c>
      <c r="U31" s="8">
        <f t="shared" si="1"/>
        <v>41</v>
      </c>
      <c r="V31" s="7">
        <v>29902</v>
      </c>
      <c r="W31" t="s">
        <v>74</v>
      </c>
      <c r="X31" s="2">
        <v>0.375</v>
      </c>
      <c r="Y31" s="6">
        <f t="shared" si="2"/>
        <v>1.0010410827260351E-2</v>
      </c>
      <c r="AA31">
        <v>135194</v>
      </c>
      <c r="AB31">
        <v>24918</v>
      </c>
      <c r="AD31" t="s">
        <v>2</v>
      </c>
      <c r="AE31">
        <v>17</v>
      </c>
      <c r="AF31">
        <v>23</v>
      </c>
      <c r="AH31" t="s">
        <v>508</v>
      </c>
      <c r="AI31" t="s">
        <v>507</v>
      </c>
      <c r="AJ31" t="s">
        <v>506</v>
      </c>
      <c r="AK31" t="s">
        <v>505</v>
      </c>
      <c r="AL31">
        <v>59</v>
      </c>
      <c r="AM31" s="5">
        <f t="shared" si="3"/>
        <v>1.4390243902439024</v>
      </c>
      <c r="AN31" s="4">
        <f t="shared" si="4"/>
        <v>2.1795144115772849E-3</v>
      </c>
      <c r="AO31" s="3"/>
      <c r="AP31">
        <v>0</v>
      </c>
      <c r="AR31" t="s">
        <v>1</v>
      </c>
      <c r="AT31" s="2">
        <v>1.3140000000000001</v>
      </c>
      <c r="AU31" s="1">
        <f t="shared" si="5"/>
        <v>0.76611419025554317</v>
      </c>
      <c r="AV31" s="1">
        <f t="shared" si="6"/>
        <v>0.60949626194188178</v>
      </c>
      <c r="AW31" s="1">
        <f t="shared" si="7"/>
        <v>0.4528783336282205</v>
      </c>
    </row>
    <row r="32" spans="1:49" x14ac:dyDescent="0.2">
      <c r="A32">
        <v>30</v>
      </c>
      <c r="B32" t="s">
        <v>504</v>
      </c>
      <c r="C32" t="s">
        <v>503</v>
      </c>
      <c r="D32" t="s">
        <v>502</v>
      </c>
      <c r="F32" t="s">
        <v>501</v>
      </c>
      <c r="G32" t="s">
        <v>5</v>
      </c>
      <c r="H32" t="s">
        <v>4</v>
      </c>
      <c r="I32" t="s">
        <v>500</v>
      </c>
      <c r="J32">
        <v>60015481</v>
      </c>
      <c r="K32" t="s">
        <v>79</v>
      </c>
      <c r="L32" t="s">
        <v>78</v>
      </c>
      <c r="M32" t="s">
        <v>3</v>
      </c>
      <c r="N32">
        <v>2</v>
      </c>
      <c r="O32" t="s">
        <v>499</v>
      </c>
      <c r="P32" t="s">
        <v>498</v>
      </c>
      <c r="Q32" t="s">
        <v>497</v>
      </c>
      <c r="R32" s="7">
        <v>29902</v>
      </c>
      <c r="S32" s="8">
        <f t="shared" si="0"/>
        <v>1981</v>
      </c>
      <c r="T32" s="8">
        <v>1981</v>
      </c>
      <c r="U32" s="8">
        <f t="shared" si="1"/>
        <v>41</v>
      </c>
      <c r="V32" s="7">
        <v>29902</v>
      </c>
      <c r="W32" t="s">
        <v>28</v>
      </c>
      <c r="X32" s="2">
        <v>1.59</v>
      </c>
      <c r="Y32" s="6">
        <f t="shared" si="2"/>
        <v>4.2444141907583888E-2</v>
      </c>
      <c r="AA32">
        <v>52728</v>
      </c>
      <c r="AB32">
        <v>16791</v>
      </c>
      <c r="AD32" t="s">
        <v>2</v>
      </c>
      <c r="AE32">
        <v>638</v>
      </c>
      <c r="AF32">
        <v>1</v>
      </c>
      <c r="AH32" t="s">
        <v>496</v>
      </c>
      <c r="AI32" t="s">
        <v>495</v>
      </c>
      <c r="AJ32" t="s">
        <v>494</v>
      </c>
      <c r="AK32" t="s">
        <v>493</v>
      </c>
      <c r="AL32">
        <v>61</v>
      </c>
      <c r="AM32" s="5">
        <f t="shared" si="3"/>
        <v>1.4878048780487805</v>
      </c>
      <c r="AN32" s="4">
        <f t="shared" si="4"/>
        <v>2.2533962560375318E-3</v>
      </c>
      <c r="AO32" s="3"/>
      <c r="AP32">
        <v>0</v>
      </c>
      <c r="AR32" t="s">
        <v>1</v>
      </c>
      <c r="AT32" s="2" t="s">
        <v>0</v>
      </c>
      <c r="AU32" s="1">
        <f t="shared" si="5"/>
        <v>3.038691821211998</v>
      </c>
      <c r="AV32" s="1">
        <f t="shared" si="6"/>
        <v>2.2348769081810707</v>
      </c>
      <c r="AW32" s="1">
        <f t="shared" si="7"/>
        <v>1.4310619951501438</v>
      </c>
    </row>
    <row r="33" spans="1:49" x14ac:dyDescent="0.2">
      <c r="A33">
        <v>31</v>
      </c>
      <c r="B33" t="s">
        <v>492</v>
      </c>
      <c r="C33" t="s">
        <v>491</v>
      </c>
      <c r="F33" t="s">
        <v>490</v>
      </c>
      <c r="G33" t="s">
        <v>5</v>
      </c>
      <c r="H33" t="s">
        <v>4</v>
      </c>
      <c r="I33" t="s">
        <v>489</v>
      </c>
      <c r="N33">
        <v>5</v>
      </c>
      <c r="O33" t="s">
        <v>488</v>
      </c>
      <c r="P33" t="s">
        <v>487</v>
      </c>
      <c r="Q33" t="s">
        <v>486</v>
      </c>
      <c r="R33" s="7">
        <v>29891</v>
      </c>
      <c r="S33" s="8">
        <f t="shared" si="0"/>
        <v>1981</v>
      </c>
      <c r="T33" s="8">
        <v>1981</v>
      </c>
      <c r="U33" s="8">
        <f t="shared" si="1"/>
        <v>41</v>
      </c>
      <c r="V33" s="7">
        <v>29891</v>
      </c>
      <c r="W33" t="s">
        <v>27</v>
      </c>
      <c r="X33" s="2">
        <v>0.318</v>
      </c>
      <c r="Y33" s="6">
        <f t="shared" si="2"/>
        <v>8.4888283815167786E-3</v>
      </c>
      <c r="AA33">
        <v>338443</v>
      </c>
      <c r="AB33">
        <v>27160</v>
      </c>
      <c r="AC33">
        <v>15739120</v>
      </c>
      <c r="AD33" t="s">
        <v>2</v>
      </c>
      <c r="AE33">
        <v>24</v>
      </c>
      <c r="AF33">
        <v>11</v>
      </c>
      <c r="AH33" t="s">
        <v>485</v>
      </c>
      <c r="AL33">
        <v>0</v>
      </c>
      <c r="AM33" s="5">
        <f t="shared" si="3"/>
        <v>0</v>
      </c>
      <c r="AN33" s="4">
        <f t="shared" si="4"/>
        <v>0</v>
      </c>
      <c r="AO33" s="3"/>
      <c r="AP33">
        <v>0</v>
      </c>
      <c r="AR33" t="s">
        <v>1</v>
      </c>
      <c r="AT33" s="2">
        <v>0.77</v>
      </c>
      <c r="AU33" s="1">
        <f t="shared" si="5"/>
        <v>0.59421798670617454</v>
      </c>
      <c r="AV33" s="1">
        <f t="shared" si="6"/>
        <v>0.42444141907583893</v>
      </c>
      <c r="AW33" s="1">
        <f t="shared" si="7"/>
        <v>0.25466485144550338</v>
      </c>
    </row>
    <row r="34" spans="1:49" x14ac:dyDescent="0.2">
      <c r="A34">
        <v>32</v>
      </c>
      <c r="B34" t="s">
        <v>484</v>
      </c>
      <c r="C34" t="s">
        <v>483</v>
      </c>
      <c r="F34" t="s">
        <v>482</v>
      </c>
      <c r="G34" t="s">
        <v>5</v>
      </c>
      <c r="H34" t="s">
        <v>4</v>
      </c>
      <c r="I34" t="s">
        <v>481</v>
      </c>
      <c r="J34">
        <v>60029311</v>
      </c>
      <c r="K34" t="s">
        <v>480</v>
      </c>
      <c r="L34" t="s">
        <v>29</v>
      </c>
      <c r="M34" t="s">
        <v>3</v>
      </c>
      <c r="N34">
        <v>1</v>
      </c>
      <c r="O34" t="s">
        <v>479</v>
      </c>
      <c r="P34">
        <v>7005574913</v>
      </c>
      <c r="Q34">
        <v>60029311</v>
      </c>
      <c r="R34" s="7">
        <v>29874</v>
      </c>
      <c r="S34" s="8">
        <f t="shared" si="0"/>
        <v>1981</v>
      </c>
      <c r="T34" s="8">
        <v>1981</v>
      </c>
      <c r="U34" s="8">
        <f t="shared" si="1"/>
        <v>41</v>
      </c>
      <c r="V34" s="7">
        <v>29874</v>
      </c>
      <c r="W34" t="s">
        <v>74</v>
      </c>
      <c r="X34" s="2">
        <v>0.375</v>
      </c>
      <c r="Y34" s="6">
        <f t="shared" si="2"/>
        <v>1.0010410827260351E-2</v>
      </c>
      <c r="AA34">
        <v>135194</v>
      </c>
      <c r="AB34">
        <v>24918</v>
      </c>
      <c r="AD34" t="s">
        <v>2</v>
      </c>
      <c r="AE34">
        <v>17</v>
      </c>
      <c r="AF34">
        <v>21</v>
      </c>
      <c r="AH34" t="s">
        <v>478</v>
      </c>
      <c r="AI34" t="s">
        <v>477</v>
      </c>
      <c r="AJ34" t="s">
        <v>476</v>
      </c>
      <c r="AK34" t="s">
        <v>475</v>
      </c>
      <c r="AL34">
        <v>3</v>
      </c>
      <c r="AM34" s="5">
        <f t="shared" si="3"/>
        <v>7.3170731707317069E-2</v>
      </c>
      <c r="AN34" s="4">
        <f t="shared" si="4"/>
        <v>1.1082276669037041E-4</v>
      </c>
      <c r="AO34" s="3"/>
      <c r="AP34">
        <v>0</v>
      </c>
      <c r="AR34" t="s">
        <v>1</v>
      </c>
      <c r="AT34" s="2">
        <v>1.3140000000000001</v>
      </c>
      <c r="AU34" s="1">
        <f t="shared" si="5"/>
        <v>0.70405344090893573</v>
      </c>
      <c r="AV34" s="1">
        <f t="shared" si="6"/>
        <v>0.50606167969753613</v>
      </c>
      <c r="AW34" s="1">
        <f t="shared" si="7"/>
        <v>0.30806991848613646</v>
      </c>
    </row>
    <row r="35" spans="1:49" x14ac:dyDescent="0.2">
      <c r="A35">
        <v>33</v>
      </c>
      <c r="B35" t="s">
        <v>474</v>
      </c>
      <c r="C35" t="s">
        <v>473</v>
      </c>
      <c r="F35" t="s">
        <v>472</v>
      </c>
      <c r="G35" t="s">
        <v>5</v>
      </c>
      <c r="H35" t="s">
        <v>4</v>
      </c>
      <c r="I35" t="s">
        <v>471</v>
      </c>
      <c r="J35">
        <v>60006359</v>
      </c>
      <c r="K35" t="s">
        <v>470</v>
      </c>
      <c r="L35" t="s">
        <v>54</v>
      </c>
      <c r="M35" t="s">
        <v>51</v>
      </c>
      <c r="N35">
        <v>3</v>
      </c>
      <c r="O35" t="s">
        <v>469</v>
      </c>
      <c r="P35" t="s">
        <v>468</v>
      </c>
      <c r="Q35" t="s">
        <v>467</v>
      </c>
      <c r="R35" s="7">
        <v>29874</v>
      </c>
      <c r="S35" s="8">
        <f t="shared" si="0"/>
        <v>1981</v>
      </c>
      <c r="T35" s="8">
        <v>1981</v>
      </c>
      <c r="U35" s="8">
        <f t="shared" si="1"/>
        <v>41</v>
      </c>
      <c r="V35" s="7">
        <v>29874</v>
      </c>
      <c r="W35" t="s">
        <v>74</v>
      </c>
      <c r="X35" s="2">
        <v>0.375</v>
      </c>
      <c r="Y35" s="6">
        <f t="shared" si="2"/>
        <v>1.0010410827260351E-2</v>
      </c>
      <c r="AA35">
        <v>135194</v>
      </c>
      <c r="AB35">
        <v>24918</v>
      </c>
      <c r="AD35" t="s">
        <v>2</v>
      </c>
      <c r="AE35">
        <v>17</v>
      </c>
      <c r="AF35">
        <v>21</v>
      </c>
      <c r="AH35" t="s">
        <v>466</v>
      </c>
      <c r="AI35" t="s">
        <v>465</v>
      </c>
      <c r="AJ35" t="s">
        <v>464</v>
      </c>
      <c r="AK35" t="s">
        <v>463</v>
      </c>
      <c r="AL35">
        <v>0</v>
      </c>
      <c r="AM35" s="5">
        <f t="shared" si="3"/>
        <v>0</v>
      </c>
      <c r="AN35" s="4">
        <f t="shared" si="4"/>
        <v>0</v>
      </c>
      <c r="AO35" s="3"/>
      <c r="AP35">
        <v>0</v>
      </c>
      <c r="AR35" t="s">
        <v>1</v>
      </c>
      <c r="AT35" s="2">
        <v>1.3140000000000001</v>
      </c>
      <c r="AU35" s="1">
        <f t="shared" si="5"/>
        <v>0.70072875790822453</v>
      </c>
      <c r="AV35" s="1">
        <f t="shared" si="6"/>
        <v>0.5005205413630176</v>
      </c>
      <c r="AW35" s="1">
        <f t="shared" si="7"/>
        <v>0.30031232481781051</v>
      </c>
    </row>
    <row r="36" spans="1:49" x14ac:dyDescent="0.2">
      <c r="A36">
        <v>34</v>
      </c>
      <c r="B36" t="s">
        <v>462</v>
      </c>
      <c r="C36" t="s">
        <v>461</v>
      </c>
      <c r="D36" t="s">
        <v>460</v>
      </c>
      <c r="F36" t="s">
        <v>459</v>
      </c>
      <c r="G36" t="s">
        <v>5</v>
      </c>
      <c r="H36" t="s">
        <v>4</v>
      </c>
      <c r="I36" t="s">
        <v>458</v>
      </c>
      <c r="J36">
        <v>60009507</v>
      </c>
      <c r="K36" t="s">
        <v>457</v>
      </c>
      <c r="L36" t="s">
        <v>30</v>
      </c>
      <c r="M36" t="s">
        <v>6</v>
      </c>
      <c r="N36">
        <v>3</v>
      </c>
      <c r="O36" t="s">
        <v>456</v>
      </c>
      <c r="P36" t="s">
        <v>455</v>
      </c>
      <c r="Q36" t="s">
        <v>454</v>
      </c>
      <c r="R36" s="7">
        <v>29871</v>
      </c>
      <c r="S36" s="8">
        <f t="shared" si="0"/>
        <v>1981</v>
      </c>
      <c r="T36" s="8">
        <v>1981</v>
      </c>
      <c r="U36" s="8">
        <f t="shared" si="1"/>
        <v>41</v>
      </c>
      <c r="V36" s="7">
        <v>29871</v>
      </c>
      <c r="W36" t="s">
        <v>28</v>
      </c>
      <c r="X36" s="2">
        <v>1.59</v>
      </c>
      <c r="Y36" s="6">
        <f t="shared" si="2"/>
        <v>4.2444141907583888E-2</v>
      </c>
      <c r="AA36">
        <v>52728</v>
      </c>
      <c r="AB36">
        <v>16791</v>
      </c>
      <c r="AD36" t="s">
        <v>2</v>
      </c>
      <c r="AE36">
        <v>637</v>
      </c>
      <c r="AF36">
        <v>3</v>
      </c>
      <c r="AH36" t="s">
        <v>453</v>
      </c>
      <c r="AI36" t="s">
        <v>452</v>
      </c>
      <c r="AJ36" t="s">
        <v>451</v>
      </c>
      <c r="AK36" t="s">
        <v>450</v>
      </c>
      <c r="AL36">
        <v>8</v>
      </c>
      <c r="AM36" s="5">
        <f t="shared" si="3"/>
        <v>0.1951219512195122</v>
      </c>
      <c r="AN36" s="4">
        <f t="shared" si="4"/>
        <v>2.9552737784098779E-4</v>
      </c>
      <c r="AO36" s="3"/>
      <c r="AP36">
        <v>0</v>
      </c>
      <c r="AQ36" t="s">
        <v>449</v>
      </c>
      <c r="AR36" t="s">
        <v>1</v>
      </c>
      <c r="AS36" t="s">
        <v>448</v>
      </c>
      <c r="AT36" s="2" t="s">
        <v>0</v>
      </c>
      <c r="AU36" s="1">
        <f t="shared" si="5"/>
        <v>2.9799557548661015</v>
      </c>
      <c r="AV36" s="1">
        <f t="shared" si="6"/>
        <v>2.1369834642712435</v>
      </c>
      <c r="AW36" s="1">
        <f t="shared" si="7"/>
        <v>1.2940111736763857</v>
      </c>
    </row>
    <row r="37" spans="1:49" x14ac:dyDescent="0.2">
      <c r="A37">
        <v>35</v>
      </c>
      <c r="B37" t="s">
        <v>447</v>
      </c>
      <c r="C37" t="s">
        <v>446</v>
      </c>
      <c r="D37" t="s">
        <v>445</v>
      </c>
      <c r="F37" t="s">
        <v>444</v>
      </c>
      <c r="G37" t="s">
        <v>5</v>
      </c>
      <c r="H37" t="s">
        <v>4</v>
      </c>
      <c r="I37" t="s">
        <v>443</v>
      </c>
      <c r="J37">
        <v>60003878</v>
      </c>
      <c r="K37" t="s">
        <v>69</v>
      </c>
      <c r="L37" t="s">
        <v>47</v>
      </c>
      <c r="M37" t="s">
        <v>17</v>
      </c>
      <c r="N37">
        <v>2</v>
      </c>
      <c r="O37" t="s">
        <v>442</v>
      </c>
      <c r="P37" t="s">
        <v>83</v>
      </c>
      <c r="Q37" t="s">
        <v>70</v>
      </c>
      <c r="R37" s="7">
        <v>29871</v>
      </c>
      <c r="S37" s="8">
        <f t="shared" si="0"/>
        <v>1981</v>
      </c>
      <c r="T37" s="8">
        <v>1981</v>
      </c>
      <c r="U37" s="8">
        <f t="shared" si="1"/>
        <v>41</v>
      </c>
      <c r="V37" s="7">
        <v>29871</v>
      </c>
      <c r="W37" t="s">
        <v>28</v>
      </c>
      <c r="X37" s="2">
        <v>1.59</v>
      </c>
      <c r="Y37" s="6">
        <f t="shared" si="2"/>
        <v>4.2444141907583888E-2</v>
      </c>
      <c r="AA37">
        <v>52728</v>
      </c>
      <c r="AB37">
        <v>16791</v>
      </c>
      <c r="AD37" t="s">
        <v>2</v>
      </c>
      <c r="AE37">
        <v>637</v>
      </c>
      <c r="AF37">
        <v>3</v>
      </c>
      <c r="AH37" t="s">
        <v>441</v>
      </c>
      <c r="AI37" t="s">
        <v>440</v>
      </c>
      <c r="AJ37" t="s">
        <v>439</v>
      </c>
      <c r="AK37" t="s">
        <v>438</v>
      </c>
      <c r="AL37">
        <v>34</v>
      </c>
      <c r="AM37" s="5">
        <f t="shared" si="3"/>
        <v>0.82926829268292679</v>
      </c>
      <c r="AN37" s="4">
        <f t="shared" si="4"/>
        <v>1.2559913558241982E-3</v>
      </c>
      <c r="AO37" s="3"/>
      <c r="AP37">
        <v>0</v>
      </c>
      <c r="AQ37" t="s">
        <v>82</v>
      </c>
      <c r="AR37" t="s">
        <v>1</v>
      </c>
      <c r="AS37" t="s">
        <v>81</v>
      </c>
      <c r="AT37" s="2" t="s">
        <v>0</v>
      </c>
      <c r="AU37" s="1">
        <f t="shared" si="5"/>
        <v>3.008769674205598</v>
      </c>
      <c r="AV37" s="1">
        <f t="shared" si="6"/>
        <v>2.1850066631704044</v>
      </c>
      <c r="AW37" s="1">
        <f t="shared" si="7"/>
        <v>1.3612436521352105</v>
      </c>
    </row>
    <row r="38" spans="1:49" x14ac:dyDescent="0.2">
      <c r="A38">
        <v>36</v>
      </c>
      <c r="B38" t="s">
        <v>437</v>
      </c>
      <c r="C38" t="s">
        <v>436</v>
      </c>
      <c r="D38" t="s">
        <v>435</v>
      </c>
      <c r="F38" t="s">
        <v>434</v>
      </c>
      <c r="G38" t="s">
        <v>5</v>
      </c>
      <c r="H38" t="s">
        <v>4</v>
      </c>
      <c r="I38" t="s">
        <v>433</v>
      </c>
      <c r="J38">
        <v>60021255</v>
      </c>
      <c r="K38" t="s">
        <v>432</v>
      </c>
      <c r="L38" t="s">
        <v>431</v>
      </c>
      <c r="M38" t="s">
        <v>430</v>
      </c>
      <c r="N38">
        <v>4</v>
      </c>
      <c r="O38" t="s">
        <v>429</v>
      </c>
      <c r="P38" t="s">
        <v>428</v>
      </c>
      <c r="Q38" t="s">
        <v>427</v>
      </c>
      <c r="R38" s="7">
        <v>29864</v>
      </c>
      <c r="S38" s="8">
        <f t="shared" si="0"/>
        <v>1981</v>
      </c>
      <c r="T38" s="8">
        <v>1981</v>
      </c>
      <c r="U38" s="8">
        <f t="shared" si="1"/>
        <v>41</v>
      </c>
      <c r="V38" s="7">
        <v>29864</v>
      </c>
      <c r="W38" t="s">
        <v>73</v>
      </c>
      <c r="X38" s="2">
        <v>0.499</v>
      </c>
      <c r="Y38" s="6">
        <f t="shared" si="2"/>
        <v>1.332052000747444E-2</v>
      </c>
      <c r="AA38">
        <v>3759601</v>
      </c>
      <c r="AB38">
        <v>29464</v>
      </c>
      <c r="AD38" t="s">
        <v>2</v>
      </c>
      <c r="AE38">
        <v>85</v>
      </c>
      <c r="AF38">
        <v>5</v>
      </c>
      <c r="AH38" t="s">
        <v>426</v>
      </c>
      <c r="AI38" t="s">
        <v>425</v>
      </c>
      <c r="AK38" t="s">
        <v>424</v>
      </c>
      <c r="AL38">
        <v>4</v>
      </c>
      <c r="AM38" s="5">
        <f t="shared" si="3"/>
        <v>9.7560975609756101E-2</v>
      </c>
      <c r="AN38" s="4">
        <f t="shared" si="4"/>
        <v>1.477636889204939E-4</v>
      </c>
      <c r="AO38" s="3"/>
      <c r="AP38">
        <v>0</v>
      </c>
      <c r="AR38" t="s">
        <v>1</v>
      </c>
      <c r="AT38" s="2">
        <v>2.6539999999999999</v>
      </c>
      <c r="AU38" s="1">
        <f t="shared" si="5"/>
        <v>0.93686931119082562</v>
      </c>
      <c r="AV38" s="1">
        <f t="shared" si="6"/>
        <v>0.67341418481974669</v>
      </c>
      <c r="AW38" s="1">
        <f t="shared" si="7"/>
        <v>0.40995905844866781</v>
      </c>
    </row>
    <row r="39" spans="1:49" x14ac:dyDescent="0.2">
      <c r="A39">
        <v>37</v>
      </c>
      <c r="B39" t="s">
        <v>423</v>
      </c>
      <c r="C39" t="s">
        <v>422</v>
      </c>
      <c r="F39" t="s">
        <v>421</v>
      </c>
      <c r="G39" t="s">
        <v>5</v>
      </c>
      <c r="H39" t="s">
        <v>4</v>
      </c>
      <c r="I39" t="s">
        <v>26</v>
      </c>
      <c r="J39">
        <v>60030551</v>
      </c>
      <c r="K39" t="s">
        <v>420</v>
      </c>
      <c r="L39" t="s">
        <v>419</v>
      </c>
      <c r="M39" t="s">
        <v>3</v>
      </c>
      <c r="N39">
        <v>2</v>
      </c>
      <c r="O39" t="s">
        <v>418</v>
      </c>
      <c r="P39" t="s">
        <v>417</v>
      </c>
      <c r="Q39" t="s">
        <v>416</v>
      </c>
      <c r="R39" s="7">
        <v>29860</v>
      </c>
      <c r="S39" s="8">
        <f t="shared" si="0"/>
        <v>1981</v>
      </c>
      <c r="T39" s="8">
        <v>1981</v>
      </c>
      <c r="U39" s="8">
        <f t="shared" si="1"/>
        <v>41</v>
      </c>
      <c r="V39" s="7">
        <v>29860</v>
      </c>
      <c r="W39" t="s">
        <v>74</v>
      </c>
      <c r="X39" s="2">
        <v>0.375</v>
      </c>
      <c r="Y39" s="6">
        <f t="shared" si="2"/>
        <v>1.0010410827260351E-2</v>
      </c>
      <c r="AA39">
        <v>135194</v>
      </c>
      <c r="AB39">
        <v>24918</v>
      </c>
      <c r="AD39" t="s">
        <v>2</v>
      </c>
      <c r="AE39">
        <v>17</v>
      </c>
      <c r="AF39">
        <v>20</v>
      </c>
      <c r="AH39" t="s">
        <v>415</v>
      </c>
      <c r="AI39" t="s">
        <v>414</v>
      </c>
      <c r="AJ39" t="s">
        <v>85</v>
      </c>
      <c r="AK39" t="s">
        <v>413</v>
      </c>
      <c r="AL39">
        <v>1</v>
      </c>
      <c r="AM39" s="5">
        <f t="shared" si="3"/>
        <v>2.4390243902439025E-2</v>
      </c>
      <c r="AN39" s="4">
        <f t="shared" si="4"/>
        <v>3.6940922230123474E-5</v>
      </c>
      <c r="AO39" s="3"/>
      <c r="AP39">
        <v>0</v>
      </c>
      <c r="AR39" t="s">
        <v>1</v>
      </c>
      <c r="AT39" s="2">
        <v>1.3140000000000001</v>
      </c>
      <c r="AU39" s="1">
        <f t="shared" si="5"/>
        <v>0.7018369855751283</v>
      </c>
      <c r="AV39" s="1">
        <f t="shared" si="6"/>
        <v>0.5023675874745237</v>
      </c>
      <c r="AW39" s="1">
        <f t="shared" si="7"/>
        <v>0.30289818937391916</v>
      </c>
    </row>
    <row r="40" spans="1:49" x14ac:dyDescent="0.2">
      <c r="A40">
        <v>38</v>
      </c>
      <c r="B40" t="s">
        <v>412</v>
      </c>
      <c r="C40" t="s">
        <v>411</v>
      </c>
      <c r="F40" t="s">
        <v>410</v>
      </c>
      <c r="G40" t="s">
        <v>5</v>
      </c>
      <c r="H40" t="s">
        <v>4</v>
      </c>
      <c r="I40" t="s">
        <v>409</v>
      </c>
      <c r="J40">
        <v>60009658</v>
      </c>
      <c r="K40" t="s">
        <v>37</v>
      </c>
      <c r="L40" t="s">
        <v>36</v>
      </c>
      <c r="M40" t="s">
        <v>7</v>
      </c>
      <c r="N40">
        <v>1</v>
      </c>
      <c r="O40" t="s">
        <v>408</v>
      </c>
      <c r="P40">
        <v>6701384126</v>
      </c>
      <c r="Q40">
        <v>60009658</v>
      </c>
      <c r="R40" s="7">
        <v>29860</v>
      </c>
      <c r="S40" s="8">
        <f t="shared" si="0"/>
        <v>1981</v>
      </c>
      <c r="T40" s="8">
        <v>1981</v>
      </c>
      <c r="U40" s="8">
        <f t="shared" si="1"/>
        <v>41</v>
      </c>
      <c r="V40" s="7">
        <v>29860</v>
      </c>
      <c r="W40" t="s">
        <v>74</v>
      </c>
      <c r="X40" s="2">
        <v>0.375</v>
      </c>
      <c r="Y40" s="6">
        <f t="shared" si="2"/>
        <v>1.0010410827260351E-2</v>
      </c>
      <c r="AA40">
        <v>135194</v>
      </c>
      <c r="AB40">
        <v>24918</v>
      </c>
      <c r="AD40" t="s">
        <v>2</v>
      </c>
      <c r="AE40">
        <v>17</v>
      </c>
      <c r="AF40">
        <v>20</v>
      </c>
      <c r="AH40" t="s">
        <v>407</v>
      </c>
      <c r="AI40" t="s">
        <v>406</v>
      </c>
      <c r="AJ40" t="s">
        <v>85</v>
      </c>
      <c r="AK40" t="s">
        <v>405</v>
      </c>
      <c r="AL40">
        <v>0</v>
      </c>
      <c r="AM40" s="5">
        <f t="shared" si="3"/>
        <v>0</v>
      </c>
      <c r="AN40" s="4">
        <f t="shared" si="4"/>
        <v>0</v>
      </c>
      <c r="AO40" s="3"/>
      <c r="AP40">
        <v>0</v>
      </c>
      <c r="AR40" t="s">
        <v>1</v>
      </c>
      <c r="AT40" s="2">
        <v>1.3140000000000001</v>
      </c>
      <c r="AU40" s="1">
        <f t="shared" si="5"/>
        <v>0.70072875790822453</v>
      </c>
      <c r="AV40" s="1">
        <f t="shared" si="6"/>
        <v>0.5005205413630176</v>
      </c>
      <c r="AW40" s="1">
        <f t="shared" si="7"/>
        <v>0.30031232481781051</v>
      </c>
    </row>
    <row r="41" spans="1:49" x14ac:dyDescent="0.2">
      <c r="A41">
        <v>39</v>
      </c>
      <c r="B41" t="s">
        <v>404</v>
      </c>
      <c r="C41" t="s">
        <v>403</v>
      </c>
      <c r="F41" t="s">
        <v>402</v>
      </c>
      <c r="G41" t="s">
        <v>5</v>
      </c>
      <c r="H41" t="s">
        <v>4</v>
      </c>
      <c r="I41" t="s">
        <v>166</v>
      </c>
      <c r="J41">
        <v>60019702</v>
      </c>
      <c r="K41" t="s">
        <v>165</v>
      </c>
      <c r="L41" t="s">
        <v>164</v>
      </c>
      <c r="M41" t="s">
        <v>7</v>
      </c>
      <c r="N41">
        <v>3</v>
      </c>
      <c r="O41" t="s">
        <v>401</v>
      </c>
      <c r="P41" t="s">
        <v>400</v>
      </c>
      <c r="Q41" t="s">
        <v>399</v>
      </c>
      <c r="R41" s="7">
        <v>29860</v>
      </c>
      <c r="S41" s="8">
        <f t="shared" si="0"/>
        <v>1981</v>
      </c>
      <c r="T41" s="8">
        <v>1981</v>
      </c>
      <c r="U41" s="8">
        <f t="shared" si="1"/>
        <v>41</v>
      </c>
      <c r="V41" s="7">
        <v>29860</v>
      </c>
      <c r="W41" t="s">
        <v>74</v>
      </c>
      <c r="X41" s="2">
        <v>0.375</v>
      </c>
      <c r="Y41" s="6">
        <f t="shared" si="2"/>
        <v>1.0010410827260351E-2</v>
      </c>
      <c r="AA41">
        <v>135194</v>
      </c>
      <c r="AB41">
        <v>24918</v>
      </c>
      <c r="AD41" t="s">
        <v>2</v>
      </c>
      <c r="AE41">
        <v>17</v>
      </c>
      <c r="AF41">
        <v>20</v>
      </c>
      <c r="AH41" t="s">
        <v>398</v>
      </c>
      <c r="AI41" t="s">
        <v>397</v>
      </c>
      <c r="AJ41" t="s">
        <v>85</v>
      </c>
      <c r="AK41" t="s">
        <v>396</v>
      </c>
      <c r="AL41">
        <v>1</v>
      </c>
      <c r="AM41" s="5">
        <f t="shared" si="3"/>
        <v>2.4390243902439025E-2</v>
      </c>
      <c r="AN41" s="4">
        <f t="shared" si="4"/>
        <v>3.6940922230123474E-5</v>
      </c>
      <c r="AO41" s="3"/>
      <c r="AP41">
        <v>0</v>
      </c>
      <c r="AR41" t="s">
        <v>1</v>
      </c>
      <c r="AT41" s="2">
        <v>1.3140000000000001</v>
      </c>
      <c r="AU41" s="1">
        <f t="shared" si="5"/>
        <v>0.7018369855751283</v>
      </c>
      <c r="AV41" s="1">
        <f t="shared" si="6"/>
        <v>0.5023675874745237</v>
      </c>
      <c r="AW41" s="1">
        <f t="shared" si="7"/>
        <v>0.30289818937391916</v>
      </c>
    </row>
    <row r="42" spans="1:49" x14ac:dyDescent="0.2">
      <c r="A42">
        <v>40</v>
      </c>
      <c r="B42" t="s">
        <v>395</v>
      </c>
      <c r="C42" t="s">
        <v>394</v>
      </c>
      <c r="F42" t="s">
        <v>393</v>
      </c>
      <c r="G42" t="s">
        <v>5</v>
      </c>
      <c r="H42" t="s">
        <v>4</v>
      </c>
      <c r="I42" t="s">
        <v>392</v>
      </c>
      <c r="J42">
        <v>60026242</v>
      </c>
      <c r="K42" t="s">
        <v>391</v>
      </c>
      <c r="L42" t="s">
        <v>390</v>
      </c>
      <c r="M42" t="s">
        <v>7</v>
      </c>
      <c r="N42">
        <v>3</v>
      </c>
      <c r="O42" t="s">
        <v>389</v>
      </c>
      <c r="P42" t="s">
        <v>388</v>
      </c>
      <c r="Q42" t="s">
        <v>387</v>
      </c>
      <c r="R42" s="7">
        <v>29860</v>
      </c>
      <c r="S42" s="8">
        <f t="shared" si="0"/>
        <v>1981</v>
      </c>
      <c r="T42" s="8">
        <v>1981</v>
      </c>
      <c r="U42" s="8">
        <f t="shared" si="1"/>
        <v>41</v>
      </c>
      <c r="V42" s="7">
        <v>29860</v>
      </c>
      <c r="W42" t="s">
        <v>74</v>
      </c>
      <c r="X42" s="2">
        <v>0.375</v>
      </c>
      <c r="Y42" s="6">
        <f t="shared" si="2"/>
        <v>1.0010410827260351E-2</v>
      </c>
      <c r="AA42">
        <v>135194</v>
      </c>
      <c r="AB42">
        <v>24918</v>
      </c>
      <c r="AD42" t="s">
        <v>2</v>
      </c>
      <c r="AE42">
        <v>17</v>
      </c>
      <c r="AF42">
        <v>20</v>
      </c>
      <c r="AH42" t="s">
        <v>89</v>
      </c>
      <c r="AI42" t="s">
        <v>386</v>
      </c>
      <c r="AJ42" t="s">
        <v>385</v>
      </c>
      <c r="AK42" t="s">
        <v>384</v>
      </c>
      <c r="AL42">
        <v>72</v>
      </c>
      <c r="AM42" s="5">
        <f t="shared" si="3"/>
        <v>1.7560975609756098</v>
      </c>
      <c r="AN42" s="4">
        <f t="shared" si="4"/>
        <v>2.6597464005688903E-3</v>
      </c>
      <c r="AO42" s="3"/>
      <c r="AP42">
        <v>0</v>
      </c>
      <c r="AR42" t="s">
        <v>1</v>
      </c>
      <c r="AT42" s="2">
        <v>1.3140000000000001</v>
      </c>
      <c r="AU42" s="1">
        <f t="shared" si="5"/>
        <v>0.78052114992529131</v>
      </c>
      <c r="AV42" s="1">
        <f t="shared" si="6"/>
        <v>0.63350786139146209</v>
      </c>
      <c r="AW42" s="1">
        <f t="shared" si="7"/>
        <v>0.48649457285763287</v>
      </c>
    </row>
    <row r="43" spans="1:49" x14ac:dyDescent="0.2">
      <c r="A43">
        <v>41</v>
      </c>
      <c r="B43" t="s">
        <v>383</v>
      </c>
      <c r="C43" t="s">
        <v>382</v>
      </c>
      <c r="F43" t="s">
        <v>381</v>
      </c>
      <c r="G43" t="s">
        <v>5</v>
      </c>
      <c r="H43" t="s">
        <v>4</v>
      </c>
      <c r="I43" t="s">
        <v>380</v>
      </c>
      <c r="J43" t="s">
        <v>379</v>
      </c>
      <c r="K43" t="s">
        <v>378</v>
      </c>
      <c r="L43" t="s">
        <v>377</v>
      </c>
      <c r="M43" t="s">
        <v>18</v>
      </c>
      <c r="N43">
        <v>3</v>
      </c>
      <c r="O43" t="s">
        <v>376</v>
      </c>
      <c r="P43" t="s">
        <v>375</v>
      </c>
      <c r="Q43" t="s">
        <v>374</v>
      </c>
      <c r="R43" s="7">
        <v>29860</v>
      </c>
      <c r="S43" s="8">
        <f t="shared" si="0"/>
        <v>1981</v>
      </c>
      <c r="T43" s="8">
        <v>1981</v>
      </c>
      <c r="U43" s="8">
        <f t="shared" si="1"/>
        <v>41</v>
      </c>
      <c r="V43" s="7">
        <v>29860</v>
      </c>
      <c r="W43" t="s">
        <v>373</v>
      </c>
      <c r="X43" s="2">
        <v>2.6160000000000001</v>
      </c>
      <c r="Y43" s="6">
        <f t="shared" si="2"/>
        <v>6.9832625930968215E-2</v>
      </c>
      <c r="AA43">
        <v>220957</v>
      </c>
      <c r="AB43">
        <v>19210</v>
      </c>
      <c r="AD43" t="s">
        <v>2</v>
      </c>
      <c r="AE43">
        <v>32</v>
      </c>
      <c r="AF43">
        <v>5</v>
      </c>
      <c r="AH43" t="s">
        <v>372</v>
      </c>
      <c r="AI43" t="s">
        <v>371</v>
      </c>
      <c r="AK43" t="s">
        <v>370</v>
      </c>
      <c r="AL43">
        <v>42</v>
      </c>
      <c r="AM43" s="5">
        <f t="shared" si="3"/>
        <v>1.024390243902439</v>
      </c>
      <c r="AN43" s="4">
        <f t="shared" si="4"/>
        <v>1.5515187336651859E-3</v>
      </c>
      <c r="AO43" s="3"/>
      <c r="AP43">
        <v>0</v>
      </c>
      <c r="AR43" t="s">
        <v>1</v>
      </c>
      <c r="AT43" s="2">
        <v>6.992</v>
      </c>
      <c r="AU43" s="1">
        <f t="shared" si="5"/>
        <v>4.9348293771777305</v>
      </c>
      <c r="AV43" s="1">
        <f t="shared" si="6"/>
        <v>3.56920723323167</v>
      </c>
      <c r="AW43" s="1">
        <f t="shared" si="7"/>
        <v>2.2035850892856095</v>
      </c>
    </row>
    <row r="44" spans="1:49" x14ac:dyDescent="0.2">
      <c r="A44">
        <v>42</v>
      </c>
      <c r="B44" t="s">
        <v>369</v>
      </c>
      <c r="C44" t="s">
        <v>368</v>
      </c>
      <c r="D44">
        <v>22098181901416</v>
      </c>
      <c r="F44" t="s">
        <v>367</v>
      </c>
      <c r="G44" t="s">
        <v>5</v>
      </c>
      <c r="H44" t="s">
        <v>4</v>
      </c>
      <c r="I44" t="s">
        <v>366</v>
      </c>
      <c r="J44" t="s">
        <v>365</v>
      </c>
      <c r="K44" t="s">
        <v>364</v>
      </c>
      <c r="L44" t="s">
        <v>363</v>
      </c>
      <c r="M44" t="s">
        <v>362</v>
      </c>
      <c r="N44">
        <v>2</v>
      </c>
      <c r="O44" t="s">
        <v>361</v>
      </c>
      <c r="P44" t="s">
        <v>360</v>
      </c>
      <c r="Q44" t="s">
        <v>359</v>
      </c>
      <c r="R44" s="7">
        <v>29844</v>
      </c>
      <c r="S44" s="8">
        <f t="shared" si="0"/>
        <v>1981</v>
      </c>
      <c r="T44" s="8">
        <v>1981</v>
      </c>
      <c r="U44" s="8">
        <f t="shared" si="1"/>
        <v>41</v>
      </c>
      <c r="V44" s="7">
        <v>29844</v>
      </c>
      <c r="W44" t="s">
        <v>72</v>
      </c>
      <c r="X44" s="2">
        <v>0.96499999999999997</v>
      </c>
      <c r="Y44" s="6">
        <f t="shared" si="2"/>
        <v>2.5760123862149969E-2</v>
      </c>
      <c r="AA44">
        <v>220981</v>
      </c>
      <c r="AB44">
        <v>29606</v>
      </c>
      <c r="AD44" t="s">
        <v>2</v>
      </c>
      <c r="AE44">
        <v>54</v>
      </c>
      <c r="AF44">
        <v>2</v>
      </c>
      <c r="AH44" t="s">
        <v>358</v>
      </c>
      <c r="AI44" t="s">
        <v>357</v>
      </c>
      <c r="AK44" t="s">
        <v>356</v>
      </c>
      <c r="AL44">
        <v>19</v>
      </c>
      <c r="AM44" s="5">
        <f t="shared" si="3"/>
        <v>0.46341463414634149</v>
      </c>
      <c r="AN44" s="4">
        <f t="shared" si="4"/>
        <v>7.0187752237234606E-4</v>
      </c>
      <c r="AO44" s="3"/>
      <c r="AP44">
        <v>0</v>
      </c>
      <c r="AR44" t="s">
        <v>1</v>
      </c>
      <c r="AT44" s="2" t="s">
        <v>0</v>
      </c>
      <c r="AU44" s="1">
        <f t="shared" si="5"/>
        <v>1.8242649960216679</v>
      </c>
      <c r="AV44" s="1">
        <f t="shared" si="6"/>
        <v>1.3231000692261157</v>
      </c>
      <c r="AW44" s="1">
        <f t="shared" si="7"/>
        <v>0.8219351424305632</v>
      </c>
    </row>
    <row r="45" spans="1:49" x14ac:dyDescent="0.2">
      <c r="A45">
        <v>43</v>
      </c>
      <c r="B45" t="s">
        <v>355</v>
      </c>
      <c r="C45" t="s">
        <v>354</v>
      </c>
      <c r="D45" t="s">
        <v>353</v>
      </c>
      <c r="F45" t="s">
        <v>352</v>
      </c>
      <c r="G45" t="s">
        <v>5</v>
      </c>
      <c r="H45" t="s">
        <v>4</v>
      </c>
      <c r="I45" t="s">
        <v>351</v>
      </c>
      <c r="J45" t="s">
        <v>350</v>
      </c>
      <c r="K45" t="s">
        <v>349</v>
      </c>
      <c r="L45" t="s">
        <v>348</v>
      </c>
      <c r="M45" t="s">
        <v>347</v>
      </c>
      <c r="N45">
        <v>2</v>
      </c>
      <c r="O45" t="s">
        <v>346</v>
      </c>
      <c r="P45" t="s">
        <v>345</v>
      </c>
      <c r="Q45" t="s">
        <v>344</v>
      </c>
      <c r="R45" s="7">
        <v>29843</v>
      </c>
      <c r="S45" s="8">
        <f t="shared" si="0"/>
        <v>1981</v>
      </c>
      <c r="T45" s="8">
        <v>1981</v>
      </c>
      <c r="U45" s="8">
        <f t="shared" si="1"/>
        <v>41</v>
      </c>
      <c r="V45" s="7">
        <v>29843</v>
      </c>
      <c r="W45" t="s">
        <v>73</v>
      </c>
      <c r="X45" s="2">
        <v>0.499</v>
      </c>
      <c r="Y45" s="6">
        <f t="shared" si="2"/>
        <v>1.332052000747444E-2</v>
      </c>
      <c r="AA45">
        <v>3759601</v>
      </c>
      <c r="AB45">
        <v>29464</v>
      </c>
      <c r="AD45" t="s">
        <v>2</v>
      </c>
      <c r="AE45">
        <v>85</v>
      </c>
      <c r="AF45">
        <v>2</v>
      </c>
      <c r="AH45" t="s">
        <v>343</v>
      </c>
      <c r="AI45" t="s">
        <v>342</v>
      </c>
      <c r="AK45" t="s">
        <v>341</v>
      </c>
      <c r="AL45">
        <v>8</v>
      </c>
      <c r="AM45" s="5">
        <f t="shared" si="3"/>
        <v>0.1951219512195122</v>
      </c>
      <c r="AN45" s="4">
        <f t="shared" si="4"/>
        <v>2.9552737784098779E-4</v>
      </c>
      <c r="AO45" s="3"/>
      <c r="AP45">
        <v>0</v>
      </c>
      <c r="AR45">
        <v>3852</v>
      </c>
      <c r="AT45" s="2">
        <v>2.6539999999999999</v>
      </c>
      <c r="AU45" s="1">
        <f t="shared" si="5"/>
        <v>0.94130222185844037</v>
      </c>
      <c r="AV45" s="1">
        <f t="shared" si="6"/>
        <v>0.68080236926577142</v>
      </c>
      <c r="AW45" s="1">
        <f t="shared" si="7"/>
        <v>0.42030251667310231</v>
      </c>
    </row>
    <row r="46" spans="1:49" x14ac:dyDescent="0.2">
      <c r="A46">
        <v>44</v>
      </c>
      <c r="B46" t="s">
        <v>340</v>
      </c>
      <c r="C46" t="s">
        <v>339</v>
      </c>
      <c r="F46" t="s">
        <v>338</v>
      </c>
      <c r="G46" t="s">
        <v>5</v>
      </c>
      <c r="H46" t="s">
        <v>4</v>
      </c>
      <c r="I46" t="s">
        <v>337</v>
      </c>
      <c r="J46">
        <v>60022148</v>
      </c>
      <c r="K46" t="s">
        <v>76</v>
      </c>
      <c r="L46" t="s">
        <v>8</v>
      </c>
      <c r="M46" t="s">
        <v>7</v>
      </c>
      <c r="N46">
        <v>2</v>
      </c>
      <c r="O46" t="s">
        <v>336</v>
      </c>
      <c r="P46" t="s">
        <v>335</v>
      </c>
      <c r="Q46" t="s">
        <v>75</v>
      </c>
      <c r="R46" s="7">
        <v>29832</v>
      </c>
      <c r="S46" s="8">
        <f t="shared" si="0"/>
        <v>1981</v>
      </c>
      <c r="T46" s="8">
        <v>1981</v>
      </c>
      <c r="U46" s="8">
        <f t="shared" si="1"/>
        <v>41</v>
      </c>
      <c r="V46" s="7">
        <v>29832</v>
      </c>
      <c r="W46" t="s">
        <v>74</v>
      </c>
      <c r="X46" s="2">
        <v>0.375</v>
      </c>
      <c r="Y46" s="6">
        <f t="shared" si="2"/>
        <v>1.0010410827260351E-2</v>
      </c>
      <c r="AA46">
        <v>135194</v>
      </c>
      <c r="AB46">
        <v>24918</v>
      </c>
      <c r="AD46" t="s">
        <v>2</v>
      </c>
      <c r="AE46">
        <v>17</v>
      </c>
      <c r="AF46">
        <v>18</v>
      </c>
      <c r="AH46" t="s">
        <v>71</v>
      </c>
      <c r="AI46" t="s">
        <v>334</v>
      </c>
      <c r="AJ46" t="s">
        <v>333</v>
      </c>
      <c r="AK46" t="s">
        <v>332</v>
      </c>
      <c r="AL46">
        <v>1</v>
      </c>
      <c r="AM46" s="5">
        <f t="shared" si="3"/>
        <v>2.4390243902439025E-2</v>
      </c>
      <c r="AN46" s="4">
        <f t="shared" si="4"/>
        <v>3.6940922230123474E-5</v>
      </c>
      <c r="AO46" s="3"/>
      <c r="AP46">
        <v>0</v>
      </c>
      <c r="AR46" t="s">
        <v>1</v>
      </c>
      <c r="AT46" s="2">
        <v>1.3140000000000001</v>
      </c>
      <c r="AU46" s="1">
        <f t="shared" si="5"/>
        <v>0.7018369855751283</v>
      </c>
      <c r="AV46" s="1">
        <f t="shared" si="6"/>
        <v>0.5023675874745237</v>
      </c>
      <c r="AW46" s="1">
        <f t="shared" si="7"/>
        <v>0.30289818937391916</v>
      </c>
    </row>
    <row r="47" spans="1:49" x14ac:dyDescent="0.2">
      <c r="A47">
        <v>45</v>
      </c>
      <c r="B47" t="s">
        <v>331</v>
      </c>
      <c r="C47" t="s">
        <v>330</v>
      </c>
      <c r="F47" t="s">
        <v>329</v>
      </c>
      <c r="G47" t="s">
        <v>5</v>
      </c>
      <c r="H47" t="s">
        <v>4</v>
      </c>
      <c r="I47" t="s">
        <v>328</v>
      </c>
      <c r="J47" t="s">
        <v>327</v>
      </c>
      <c r="K47" t="s">
        <v>326</v>
      </c>
      <c r="L47" t="s">
        <v>325</v>
      </c>
      <c r="M47" t="s">
        <v>324</v>
      </c>
      <c r="N47">
        <v>2</v>
      </c>
      <c r="O47" t="s">
        <v>323</v>
      </c>
      <c r="P47" t="s">
        <v>322</v>
      </c>
      <c r="Q47" t="s">
        <v>321</v>
      </c>
      <c r="R47" s="7">
        <v>29832</v>
      </c>
      <c r="S47" s="8">
        <f t="shared" si="0"/>
        <v>1981</v>
      </c>
      <c r="T47" s="8">
        <v>1981</v>
      </c>
      <c r="U47" s="8">
        <f t="shared" si="1"/>
        <v>41</v>
      </c>
      <c r="V47" s="7">
        <v>29832</v>
      </c>
      <c r="W47" t="s">
        <v>74</v>
      </c>
      <c r="X47" s="2">
        <v>0.375</v>
      </c>
      <c r="Y47" s="6">
        <f t="shared" si="2"/>
        <v>1.0010410827260351E-2</v>
      </c>
      <c r="AA47">
        <v>135194</v>
      </c>
      <c r="AB47">
        <v>24918</v>
      </c>
      <c r="AD47" t="s">
        <v>2</v>
      </c>
      <c r="AE47">
        <v>17</v>
      </c>
      <c r="AF47">
        <v>18</v>
      </c>
      <c r="AH47" t="s">
        <v>320</v>
      </c>
      <c r="AI47" t="s">
        <v>319</v>
      </c>
      <c r="AJ47" t="s">
        <v>318</v>
      </c>
      <c r="AK47" t="s">
        <v>317</v>
      </c>
      <c r="AL47">
        <v>24</v>
      </c>
      <c r="AM47" s="5">
        <f t="shared" si="3"/>
        <v>0.58536585365853655</v>
      </c>
      <c r="AN47" s="4">
        <f t="shared" si="4"/>
        <v>8.8658213352296332E-4</v>
      </c>
      <c r="AO47" s="3"/>
      <c r="AP47">
        <v>0</v>
      </c>
      <c r="AR47" t="s">
        <v>1</v>
      </c>
      <c r="AT47" s="2">
        <v>1.3140000000000001</v>
      </c>
      <c r="AU47" s="1">
        <f t="shared" si="5"/>
        <v>0.7273262219139135</v>
      </c>
      <c r="AV47" s="1">
        <f t="shared" si="6"/>
        <v>0.5448496480391658</v>
      </c>
      <c r="AW47" s="1">
        <f t="shared" si="7"/>
        <v>0.36237307416441794</v>
      </c>
    </row>
    <row r="48" spans="1:49" x14ac:dyDescent="0.2">
      <c r="A48">
        <v>46</v>
      </c>
      <c r="B48" t="s">
        <v>316</v>
      </c>
      <c r="C48" t="s">
        <v>315</v>
      </c>
      <c r="F48" t="s">
        <v>314</v>
      </c>
      <c r="G48" t="s">
        <v>5</v>
      </c>
      <c r="H48" t="s">
        <v>4</v>
      </c>
      <c r="I48" t="s">
        <v>313</v>
      </c>
      <c r="J48">
        <v>60000635</v>
      </c>
      <c r="K48" t="s">
        <v>312</v>
      </c>
      <c r="L48" t="s">
        <v>311</v>
      </c>
      <c r="M48" t="s">
        <v>3</v>
      </c>
      <c r="N48">
        <v>2</v>
      </c>
      <c r="O48" t="s">
        <v>310</v>
      </c>
      <c r="P48" t="s">
        <v>309</v>
      </c>
      <c r="Q48" t="s">
        <v>308</v>
      </c>
      <c r="R48" s="7">
        <v>29830</v>
      </c>
      <c r="S48" s="8">
        <f t="shared" si="0"/>
        <v>1981</v>
      </c>
      <c r="T48" s="8">
        <v>1981</v>
      </c>
      <c r="U48" s="8">
        <f t="shared" si="1"/>
        <v>41</v>
      </c>
      <c r="V48" s="7">
        <v>29830</v>
      </c>
      <c r="W48" t="s">
        <v>307</v>
      </c>
      <c r="X48" s="2" t="s">
        <v>0</v>
      </c>
      <c r="Y48" s="6" t="e">
        <f t="shared" si="2"/>
        <v>#VALUE!</v>
      </c>
      <c r="AA48">
        <v>30589</v>
      </c>
      <c r="AB48">
        <v>9500153987</v>
      </c>
      <c r="AC48">
        <v>18749380</v>
      </c>
      <c r="AD48" t="s">
        <v>2</v>
      </c>
      <c r="AE48">
        <v>58</v>
      </c>
      <c r="AF48">
        <v>9</v>
      </c>
      <c r="AH48" t="s">
        <v>306</v>
      </c>
      <c r="AI48" t="s">
        <v>305</v>
      </c>
      <c r="AJ48" t="s">
        <v>304</v>
      </c>
      <c r="AK48" t="s">
        <v>303</v>
      </c>
      <c r="AL48">
        <v>4</v>
      </c>
      <c r="AM48" s="5">
        <f t="shared" si="3"/>
        <v>9.7560975609756101E-2</v>
      </c>
      <c r="AN48" s="4">
        <f t="shared" si="4"/>
        <v>1.477636889204939E-4</v>
      </c>
      <c r="AO48" s="3"/>
      <c r="AP48">
        <v>0</v>
      </c>
      <c r="AR48" t="s">
        <v>1</v>
      </c>
      <c r="AT48" s="2" t="s">
        <v>0</v>
      </c>
      <c r="AU48" s="1" t="e">
        <f t="shared" si="5"/>
        <v>#VALUE!</v>
      </c>
      <c r="AV48" s="1" t="e">
        <f t="shared" si="6"/>
        <v>#VALUE!</v>
      </c>
      <c r="AW48" s="1" t="e">
        <f t="shared" si="7"/>
        <v>#VALUE!</v>
      </c>
    </row>
    <row r="49" spans="1:49" x14ac:dyDescent="0.2">
      <c r="A49">
        <v>47</v>
      </c>
      <c r="B49" t="s">
        <v>302</v>
      </c>
      <c r="C49" t="s">
        <v>301</v>
      </c>
      <c r="F49" t="s">
        <v>300</v>
      </c>
      <c r="G49" t="s">
        <v>5</v>
      </c>
      <c r="H49" t="s">
        <v>4</v>
      </c>
      <c r="I49" t="s">
        <v>299</v>
      </c>
      <c r="J49">
        <v>60068535</v>
      </c>
      <c r="K49" t="s">
        <v>298</v>
      </c>
      <c r="L49" t="s">
        <v>297</v>
      </c>
      <c r="M49" t="s">
        <v>296</v>
      </c>
      <c r="N49">
        <v>2</v>
      </c>
      <c r="O49" t="s">
        <v>295</v>
      </c>
      <c r="P49" t="s">
        <v>294</v>
      </c>
      <c r="Q49" t="s">
        <v>293</v>
      </c>
      <c r="R49" s="7">
        <v>29830</v>
      </c>
      <c r="S49" s="8">
        <f t="shared" si="0"/>
        <v>1981</v>
      </c>
      <c r="T49" s="8">
        <v>1981</v>
      </c>
      <c r="U49" s="8">
        <f t="shared" si="1"/>
        <v>41</v>
      </c>
      <c r="V49" s="7">
        <v>29830</v>
      </c>
      <c r="W49" t="s">
        <v>292</v>
      </c>
      <c r="X49" s="2">
        <v>0.39800000000000002</v>
      </c>
      <c r="Y49" s="6">
        <f t="shared" si="2"/>
        <v>1.0624382691332319E-2</v>
      </c>
      <c r="AA49" t="s">
        <v>291</v>
      </c>
      <c r="AB49">
        <v>26771</v>
      </c>
      <c r="AC49" t="s">
        <v>290</v>
      </c>
      <c r="AD49" t="s">
        <v>2</v>
      </c>
      <c r="AE49">
        <v>79</v>
      </c>
      <c r="AF49">
        <v>1</v>
      </c>
      <c r="AH49" t="s">
        <v>289</v>
      </c>
      <c r="AI49" t="s">
        <v>288</v>
      </c>
      <c r="AK49" t="s">
        <v>287</v>
      </c>
      <c r="AL49">
        <v>3</v>
      </c>
      <c r="AM49" s="5">
        <f t="shared" si="3"/>
        <v>7.3170731707317069E-2</v>
      </c>
      <c r="AN49" s="4">
        <f t="shared" si="4"/>
        <v>1.1082276669037041E-4</v>
      </c>
      <c r="AO49" s="3"/>
      <c r="AP49">
        <v>0</v>
      </c>
      <c r="AR49" t="s">
        <v>1</v>
      </c>
      <c r="AT49" s="2">
        <v>1.83</v>
      </c>
      <c r="AU49" s="1">
        <f t="shared" si="5"/>
        <v>0.74703147139397341</v>
      </c>
      <c r="AV49" s="1">
        <f t="shared" si="6"/>
        <v>0.53676027290113448</v>
      </c>
      <c r="AW49" s="1">
        <f t="shared" si="7"/>
        <v>0.32648907440829555</v>
      </c>
    </row>
    <row r="50" spans="1:49" x14ac:dyDescent="0.2">
      <c r="A50">
        <v>48</v>
      </c>
      <c r="B50" t="s">
        <v>286</v>
      </c>
      <c r="C50" t="s">
        <v>285</v>
      </c>
      <c r="F50" t="s">
        <v>284</v>
      </c>
      <c r="G50" t="s">
        <v>5</v>
      </c>
      <c r="H50" t="s">
        <v>4</v>
      </c>
      <c r="I50" t="s">
        <v>283</v>
      </c>
      <c r="J50">
        <v>60011685</v>
      </c>
      <c r="K50" t="s">
        <v>282</v>
      </c>
      <c r="L50" t="s">
        <v>281</v>
      </c>
      <c r="M50" t="s">
        <v>280</v>
      </c>
      <c r="N50">
        <v>3</v>
      </c>
      <c r="O50" t="s">
        <v>279</v>
      </c>
      <c r="P50" t="s">
        <v>278</v>
      </c>
      <c r="Q50" t="s">
        <v>277</v>
      </c>
      <c r="R50" s="7">
        <v>29830</v>
      </c>
      <c r="S50" s="8">
        <f t="shared" si="0"/>
        <v>1981</v>
      </c>
      <c r="T50" s="8">
        <v>1981</v>
      </c>
      <c r="U50" s="8">
        <f t="shared" si="1"/>
        <v>41</v>
      </c>
      <c r="V50" s="7">
        <v>29830</v>
      </c>
      <c r="W50" t="s">
        <v>276</v>
      </c>
      <c r="X50" s="2">
        <v>1.1579999999999999</v>
      </c>
      <c r="Y50" s="6">
        <f t="shared" si="2"/>
        <v>3.0912148634579962E-2</v>
      </c>
      <c r="AA50">
        <v>1668595</v>
      </c>
      <c r="AB50">
        <v>14223</v>
      </c>
      <c r="AC50">
        <v>15735079</v>
      </c>
      <c r="AD50" t="s">
        <v>2</v>
      </c>
      <c r="AE50">
        <v>2</v>
      </c>
      <c r="AF50">
        <v>3</v>
      </c>
      <c r="AH50" t="s">
        <v>275</v>
      </c>
      <c r="AI50" t="s">
        <v>274</v>
      </c>
      <c r="AJ50" t="s">
        <v>273</v>
      </c>
      <c r="AK50" t="s">
        <v>272</v>
      </c>
      <c r="AL50">
        <v>0</v>
      </c>
      <c r="AM50" s="5">
        <f t="shared" si="3"/>
        <v>0</v>
      </c>
      <c r="AN50" s="4">
        <f t="shared" si="4"/>
        <v>0</v>
      </c>
      <c r="AO50" s="3"/>
      <c r="AP50">
        <v>0</v>
      </c>
      <c r="AR50" t="s">
        <v>1</v>
      </c>
      <c r="AT50" s="2">
        <v>3.573</v>
      </c>
      <c r="AU50" s="1">
        <f t="shared" si="5"/>
        <v>2.1638504044205971</v>
      </c>
      <c r="AV50" s="1">
        <f t="shared" si="6"/>
        <v>1.5456074317289981</v>
      </c>
      <c r="AW50" s="1">
        <f t="shared" si="7"/>
        <v>0.92736445903739884</v>
      </c>
    </row>
    <row r="51" spans="1:49" x14ac:dyDescent="0.2">
      <c r="A51">
        <v>49</v>
      </c>
      <c r="B51" t="s">
        <v>271</v>
      </c>
      <c r="C51" t="s">
        <v>270</v>
      </c>
      <c r="E51">
        <v>6799740</v>
      </c>
      <c r="F51" t="s">
        <v>269</v>
      </c>
      <c r="G51" t="s">
        <v>5</v>
      </c>
      <c r="H51" t="s">
        <v>4</v>
      </c>
      <c r="I51" t="s">
        <v>268</v>
      </c>
      <c r="J51" t="s">
        <v>267</v>
      </c>
      <c r="K51" t="s">
        <v>266</v>
      </c>
      <c r="L51" t="s">
        <v>265</v>
      </c>
      <c r="M51" t="s">
        <v>264</v>
      </c>
      <c r="N51">
        <v>4</v>
      </c>
      <c r="O51" t="s">
        <v>263</v>
      </c>
      <c r="P51" t="s">
        <v>262</v>
      </c>
      <c r="Q51" t="s">
        <v>261</v>
      </c>
      <c r="R51" s="7">
        <v>29830</v>
      </c>
      <c r="S51" s="8">
        <f t="shared" si="0"/>
        <v>1981</v>
      </c>
      <c r="T51" s="8">
        <v>1981</v>
      </c>
      <c r="U51" s="8">
        <f t="shared" si="1"/>
        <v>41</v>
      </c>
      <c r="V51" s="7">
        <v>29830</v>
      </c>
      <c r="W51" t="s">
        <v>260</v>
      </c>
      <c r="X51" s="2" t="s">
        <v>0</v>
      </c>
      <c r="Y51" s="6" t="e">
        <f t="shared" si="2"/>
        <v>#VALUE!</v>
      </c>
      <c r="AA51">
        <v>268925</v>
      </c>
      <c r="AB51">
        <v>32876</v>
      </c>
      <c r="AC51">
        <v>16174623</v>
      </c>
      <c r="AD51" t="s">
        <v>2</v>
      </c>
      <c r="AE51">
        <v>183</v>
      </c>
      <c r="AF51">
        <v>1</v>
      </c>
      <c r="AH51" t="s">
        <v>259</v>
      </c>
      <c r="AI51" t="s">
        <v>258</v>
      </c>
      <c r="AK51" t="s">
        <v>257</v>
      </c>
      <c r="AL51">
        <v>2</v>
      </c>
      <c r="AM51" s="5">
        <f t="shared" si="3"/>
        <v>4.878048780487805E-2</v>
      </c>
      <c r="AN51" s="4">
        <f t="shared" si="4"/>
        <v>7.3881844460246948E-5</v>
      </c>
      <c r="AO51" s="3"/>
      <c r="AP51">
        <v>0</v>
      </c>
      <c r="AR51" t="s">
        <v>1</v>
      </c>
      <c r="AT51" s="2" t="s">
        <v>0</v>
      </c>
      <c r="AU51" s="1" t="e">
        <f t="shared" si="5"/>
        <v>#VALUE!</v>
      </c>
      <c r="AV51" s="1" t="e">
        <f t="shared" si="6"/>
        <v>#VALUE!</v>
      </c>
      <c r="AW51" s="1" t="e">
        <f t="shared" si="7"/>
        <v>#VALUE!</v>
      </c>
    </row>
    <row r="52" spans="1:49" x14ac:dyDescent="0.2">
      <c r="A52">
        <v>50</v>
      </c>
      <c r="B52" t="s">
        <v>256</v>
      </c>
      <c r="C52" t="s">
        <v>255</v>
      </c>
      <c r="F52" t="s">
        <v>254</v>
      </c>
      <c r="G52" t="s">
        <v>5</v>
      </c>
      <c r="H52" t="s">
        <v>4</v>
      </c>
      <c r="I52" t="s">
        <v>253</v>
      </c>
      <c r="N52">
        <v>1</v>
      </c>
      <c r="O52" t="s">
        <v>252</v>
      </c>
      <c r="P52">
        <v>6506360858</v>
      </c>
      <c r="R52" s="7">
        <v>29830</v>
      </c>
      <c r="S52" s="8">
        <f t="shared" si="0"/>
        <v>1981</v>
      </c>
      <c r="T52" s="8">
        <v>1981</v>
      </c>
      <c r="U52" s="8">
        <f t="shared" si="1"/>
        <v>41</v>
      </c>
      <c r="V52" s="7">
        <v>29830</v>
      </c>
      <c r="W52" t="s">
        <v>27</v>
      </c>
      <c r="X52" s="2">
        <v>0.318</v>
      </c>
      <c r="Y52" s="6">
        <f t="shared" si="2"/>
        <v>8.4888283815167786E-3</v>
      </c>
      <c r="AA52">
        <v>338443</v>
      </c>
      <c r="AB52">
        <v>27160</v>
      </c>
      <c r="AC52">
        <v>15739120</v>
      </c>
      <c r="AD52" t="s">
        <v>2</v>
      </c>
      <c r="AE52">
        <v>24</v>
      </c>
      <c r="AF52">
        <v>9</v>
      </c>
      <c r="AH52" t="s">
        <v>251</v>
      </c>
      <c r="AL52">
        <v>0</v>
      </c>
      <c r="AM52" s="5">
        <f t="shared" si="3"/>
        <v>0</v>
      </c>
      <c r="AN52" s="4">
        <f t="shared" si="4"/>
        <v>0</v>
      </c>
      <c r="AO52" s="3"/>
      <c r="AP52">
        <v>0</v>
      </c>
      <c r="AR52" t="s">
        <v>1</v>
      </c>
      <c r="AT52" s="2">
        <v>0.77</v>
      </c>
      <c r="AU52" s="1">
        <f t="shared" si="5"/>
        <v>0.59421798670617454</v>
      </c>
      <c r="AV52" s="1">
        <f t="shared" si="6"/>
        <v>0.42444141907583893</v>
      </c>
      <c r="AW52" s="1">
        <f t="shared" si="7"/>
        <v>0.25466485144550338</v>
      </c>
    </row>
    <row r="53" spans="1:49" x14ac:dyDescent="0.2">
      <c r="A53">
        <v>51</v>
      </c>
      <c r="B53" t="s">
        <v>250</v>
      </c>
      <c r="C53" t="s">
        <v>249</v>
      </c>
      <c r="F53" t="s">
        <v>248</v>
      </c>
      <c r="G53" t="s">
        <v>5</v>
      </c>
      <c r="H53" t="s">
        <v>4</v>
      </c>
      <c r="I53" t="s">
        <v>247</v>
      </c>
      <c r="J53">
        <v>60006723</v>
      </c>
      <c r="K53" t="s">
        <v>246</v>
      </c>
      <c r="L53" t="s">
        <v>245</v>
      </c>
      <c r="M53" t="s">
        <v>60</v>
      </c>
      <c r="N53">
        <v>1</v>
      </c>
      <c r="O53" t="s">
        <v>244</v>
      </c>
      <c r="P53">
        <v>7102234434</v>
      </c>
      <c r="Q53">
        <v>60006723</v>
      </c>
      <c r="R53" s="7">
        <v>29830</v>
      </c>
      <c r="S53" s="8">
        <f t="shared" si="0"/>
        <v>1981</v>
      </c>
      <c r="T53" s="8">
        <v>1981</v>
      </c>
      <c r="U53" s="8">
        <f t="shared" si="1"/>
        <v>41</v>
      </c>
      <c r="V53" s="7">
        <v>29830</v>
      </c>
      <c r="W53" t="s">
        <v>243</v>
      </c>
      <c r="X53" s="2">
        <v>0.85499999999999998</v>
      </c>
      <c r="Y53" s="6">
        <f t="shared" si="2"/>
        <v>2.28237366861536E-2</v>
      </c>
      <c r="AA53">
        <v>980331</v>
      </c>
      <c r="AB53">
        <v>23342</v>
      </c>
      <c r="AC53">
        <v>15731561</v>
      </c>
      <c r="AD53" t="s">
        <v>2</v>
      </c>
      <c r="AE53">
        <v>7</v>
      </c>
      <c r="AF53">
        <v>5</v>
      </c>
      <c r="AH53" t="s">
        <v>242</v>
      </c>
      <c r="AI53" t="s">
        <v>241</v>
      </c>
      <c r="AJ53" t="s">
        <v>240</v>
      </c>
      <c r="AK53" t="s">
        <v>239</v>
      </c>
      <c r="AL53">
        <v>13</v>
      </c>
      <c r="AM53" s="5">
        <f t="shared" si="3"/>
        <v>0.31707317073170732</v>
      </c>
      <c r="AN53" s="4">
        <f t="shared" si="4"/>
        <v>4.8023198899160521E-4</v>
      </c>
      <c r="AO53" s="3"/>
      <c r="AP53">
        <v>0</v>
      </c>
      <c r="AR53" t="s">
        <v>1</v>
      </c>
      <c r="AT53" s="2">
        <v>2.6259999999999999</v>
      </c>
      <c r="AU53" s="1">
        <f t="shared" si="5"/>
        <v>1.6120685277005002</v>
      </c>
      <c r="AV53" s="1">
        <f t="shared" si="6"/>
        <v>1.1651984337572603</v>
      </c>
      <c r="AW53" s="1">
        <f t="shared" si="7"/>
        <v>0.71832833981402033</v>
      </c>
    </row>
    <row r="54" spans="1:49" x14ac:dyDescent="0.2">
      <c r="A54">
        <v>52</v>
      </c>
      <c r="B54" t="s">
        <v>238</v>
      </c>
      <c r="C54" t="s">
        <v>237</v>
      </c>
      <c r="F54" t="s">
        <v>236</v>
      </c>
      <c r="G54" t="s">
        <v>5</v>
      </c>
      <c r="H54" t="s">
        <v>4</v>
      </c>
      <c r="I54" t="s">
        <v>235</v>
      </c>
      <c r="J54">
        <v>60007776</v>
      </c>
      <c r="K54" t="s">
        <v>234</v>
      </c>
      <c r="L54" t="s">
        <v>233</v>
      </c>
      <c r="M54" t="s">
        <v>3</v>
      </c>
      <c r="N54">
        <v>2</v>
      </c>
      <c r="O54" t="s">
        <v>232</v>
      </c>
      <c r="P54" t="s">
        <v>231</v>
      </c>
      <c r="Q54" t="s">
        <v>230</v>
      </c>
      <c r="R54" s="7">
        <v>29830</v>
      </c>
      <c r="S54" s="8">
        <f t="shared" si="0"/>
        <v>1981</v>
      </c>
      <c r="T54" s="8">
        <v>1981</v>
      </c>
      <c r="U54" s="8">
        <f t="shared" si="1"/>
        <v>41</v>
      </c>
      <c r="V54" s="7">
        <v>29830</v>
      </c>
      <c r="W54" t="s">
        <v>77</v>
      </c>
      <c r="X54" s="2">
        <v>0.8</v>
      </c>
      <c r="Y54" s="6">
        <f t="shared" si="2"/>
        <v>2.1355543098155415E-2</v>
      </c>
      <c r="AA54">
        <v>3407594</v>
      </c>
      <c r="AB54">
        <v>23456</v>
      </c>
      <c r="AC54">
        <v>14321351</v>
      </c>
      <c r="AD54" t="s">
        <v>2</v>
      </c>
      <c r="AE54">
        <v>142</v>
      </c>
      <c r="AF54">
        <v>3</v>
      </c>
      <c r="AH54" t="s">
        <v>229</v>
      </c>
      <c r="AI54" t="s">
        <v>228</v>
      </c>
      <c r="AK54" t="s">
        <v>227</v>
      </c>
      <c r="AL54">
        <v>69</v>
      </c>
      <c r="AM54" s="5">
        <f t="shared" si="3"/>
        <v>1.6829268292682926</v>
      </c>
      <c r="AN54" s="4">
        <f t="shared" si="4"/>
        <v>2.5489236338785198E-3</v>
      </c>
      <c r="AO54" s="3"/>
      <c r="AP54">
        <v>0</v>
      </c>
      <c r="AR54" t="s">
        <v>1</v>
      </c>
      <c r="AT54" s="2" t="s">
        <v>0</v>
      </c>
      <c r="AU54" s="1">
        <f t="shared" si="5"/>
        <v>1.5713557258872346</v>
      </c>
      <c r="AV54" s="1">
        <f t="shared" si="6"/>
        <v>1.1952233366016969</v>
      </c>
      <c r="AW54" s="1">
        <f t="shared" si="7"/>
        <v>0.81909094731615872</v>
      </c>
    </row>
    <row r="55" spans="1:49" x14ac:dyDescent="0.2">
      <c r="A55">
        <v>53</v>
      </c>
      <c r="B55" t="s">
        <v>226</v>
      </c>
      <c r="C55" t="s">
        <v>225</v>
      </c>
      <c r="F55" t="s">
        <v>224</v>
      </c>
      <c r="G55" t="s">
        <v>5</v>
      </c>
      <c r="H55" t="s">
        <v>4</v>
      </c>
      <c r="I55" t="s">
        <v>223</v>
      </c>
      <c r="J55">
        <v>60025525</v>
      </c>
      <c r="K55" t="s">
        <v>222</v>
      </c>
      <c r="L55" t="s">
        <v>221</v>
      </c>
      <c r="M55" t="s">
        <v>16</v>
      </c>
      <c r="N55">
        <v>1</v>
      </c>
      <c r="O55" t="s">
        <v>220</v>
      </c>
      <c r="P55">
        <v>7005736995</v>
      </c>
      <c r="Q55">
        <v>60025525</v>
      </c>
      <c r="R55" s="7">
        <v>29830</v>
      </c>
      <c r="S55" s="8">
        <f t="shared" si="0"/>
        <v>1981</v>
      </c>
      <c r="T55" s="8">
        <v>1981</v>
      </c>
      <c r="U55" s="8">
        <f t="shared" si="1"/>
        <v>41</v>
      </c>
      <c r="V55" s="7">
        <v>29830</v>
      </c>
      <c r="W55" t="s">
        <v>77</v>
      </c>
      <c r="X55" s="2">
        <v>0.8</v>
      </c>
      <c r="Y55" s="6">
        <f t="shared" si="2"/>
        <v>2.1355543098155415E-2</v>
      </c>
      <c r="AA55">
        <v>3407594</v>
      </c>
      <c r="AB55">
        <v>23456</v>
      </c>
      <c r="AC55">
        <v>14321351</v>
      </c>
      <c r="AD55" t="s">
        <v>2</v>
      </c>
      <c r="AE55">
        <v>142</v>
      </c>
      <c r="AF55">
        <v>3</v>
      </c>
      <c r="AH55" t="s">
        <v>219</v>
      </c>
      <c r="AI55" t="s">
        <v>218</v>
      </c>
      <c r="AK55" t="s">
        <v>217</v>
      </c>
      <c r="AL55">
        <v>57</v>
      </c>
      <c r="AM55" s="5">
        <f t="shared" si="3"/>
        <v>1.3902439024390243</v>
      </c>
      <c r="AN55" s="4">
        <f t="shared" si="4"/>
        <v>2.1056325671170379E-3</v>
      </c>
      <c r="AO55" s="3"/>
      <c r="AP55">
        <v>0</v>
      </c>
      <c r="AR55" t="s">
        <v>1</v>
      </c>
      <c r="AT55" s="2" t="s">
        <v>0</v>
      </c>
      <c r="AU55" s="1">
        <f t="shared" si="5"/>
        <v>1.55805699388439</v>
      </c>
      <c r="AV55" s="1">
        <f t="shared" si="6"/>
        <v>1.1730587832636226</v>
      </c>
      <c r="AW55" s="1">
        <f t="shared" si="7"/>
        <v>0.78806057264285512</v>
      </c>
    </row>
    <row r="56" spans="1:49" x14ac:dyDescent="0.2">
      <c r="A56">
        <v>54</v>
      </c>
      <c r="B56" t="s">
        <v>216</v>
      </c>
      <c r="C56" t="s">
        <v>215</v>
      </c>
      <c r="F56" t="s">
        <v>214</v>
      </c>
      <c r="G56" t="s">
        <v>5</v>
      </c>
      <c r="H56" t="s">
        <v>4</v>
      </c>
      <c r="I56" t="s">
        <v>213</v>
      </c>
      <c r="J56">
        <v>60010818</v>
      </c>
      <c r="K56" t="s">
        <v>212</v>
      </c>
      <c r="L56" t="s">
        <v>211</v>
      </c>
      <c r="M56" t="s">
        <v>7</v>
      </c>
      <c r="N56">
        <v>2</v>
      </c>
      <c r="O56" t="s">
        <v>210</v>
      </c>
      <c r="P56" t="s">
        <v>209</v>
      </c>
      <c r="Q56" t="s">
        <v>208</v>
      </c>
      <c r="R56" s="7">
        <v>29818</v>
      </c>
      <c r="S56" s="8">
        <f t="shared" si="0"/>
        <v>1981</v>
      </c>
      <c r="T56" s="8">
        <v>1981</v>
      </c>
      <c r="U56" s="8">
        <f t="shared" si="1"/>
        <v>41</v>
      </c>
      <c r="V56" s="7">
        <v>29818</v>
      </c>
      <c r="W56" t="s">
        <v>74</v>
      </c>
      <c r="X56" s="2">
        <v>0.375</v>
      </c>
      <c r="Y56" s="6">
        <f t="shared" si="2"/>
        <v>1.0010410827260351E-2</v>
      </c>
      <c r="AA56">
        <v>135194</v>
      </c>
      <c r="AB56">
        <v>24918</v>
      </c>
      <c r="AD56" t="s">
        <v>2</v>
      </c>
      <c r="AE56">
        <v>17</v>
      </c>
      <c r="AF56">
        <v>17</v>
      </c>
      <c r="AH56" t="s">
        <v>207</v>
      </c>
      <c r="AI56" t="s">
        <v>206</v>
      </c>
      <c r="AJ56" t="s">
        <v>205</v>
      </c>
      <c r="AK56" t="s">
        <v>204</v>
      </c>
      <c r="AL56">
        <v>96</v>
      </c>
      <c r="AM56" s="5">
        <f t="shared" si="3"/>
        <v>2.3414634146341462</v>
      </c>
      <c r="AN56" s="4">
        <f t="shared" si="4"/>
        <v>3.5463285340918533E-3</v>
      </c>
      <c r="AO56" s="3"/>
      <c r="AP56">
        <v>0</v>
      </c>
      <c r="AR56" t="s">
        <v>1</v>
      </c>
      <c r="AT56" s="2">
        <v>1.3140000000000001</v>
      </c>
      <c r="AU56" s="1">
        <f t="shared" si="5"/>
        <v>0.80711861393098006</v>
      </c>
      <c r="AV56" s="1">
        <f t="shared" si="6"/>
        <v>0.67783696806761029</v>
      </c>
      <c r="AW56" s="1">
        <f t="shared" si="7"/>
        <v>0.5485553222042403</v>
      </c>
    </row>
    <row r="57" spans="1:49" x14ac:dyDescent="0.2">
      <c r="A57">
        <v>55</v>
      </c>
      <c r="B57" t="s">
        <v>203</v>
      </c>
      <c r="C57" t="s">
        <v>202</v>
      </c>
      <c r="F57" t="s">
        <v>201</v>
      </c>
      <c r="G57" t="s">
        <v>5</v>
      </c>
      <c r="H57" t="s">
        <v>4</v>
      </c>
      <c r="I57" t="s">
        <v>200</v>
      </c>
      <c r="J57">
        <v>60019870</v>
      </c>
      <c r="K57" t="s">
        <v>199</v>
      </c>
      <c r="L57" t="s">
        <v>198</v>
      </c>
      <c r="M57" t="s">
        <v>51</v>
      </c>
      <c r="N57">
        <v>1</v>
      </c>
      <c r="O57" t="s">
        <v>197</v>
      </c>
      <c r="P57">
        <v>7202832083</v>
      </c>
      <c r="Q57">
        <v>60019870</v>
      </c>
      <c r="R57" s="7">
        <v>29818</v>
      </c>
      <c r="S57" s="8">
        <f t="shared" si="0"/>
        <v>1981</v>
      </c>
      <c r="T57" s="8">
        <v>1981</v>
      </c>
      <c r="U57" s="8">
        <f t="shared" si="1"/>
        <v>41</v>
      </c>
      <c r="V57" s="7">
        <v>29818</v>
      </c>
      <c r="W57" t="s">
        <v>74</v>
      </c>
      <c r="X57" s="2">
        <v>0.375</v>
      </c>
      <c r="Y57" s="6">
        <f t="shared" si="2"/>
        <v>1.0010410827260351E-2</v>
      </c>
      <c r="AA57">
        <v>135194</v>
      </c>
      <c r="AB57">
        <v>24918</v>
      </c>
      <c r="AD57" t="s">
        <v>2</v>
      </c>
      <c r="AE57">
        <v>17</v>
      </c>
      <c r="AF57">
        <v>17</v>
      </c>
      <c r="AH57" t="s">
        <v>196</v>
      </c>
      <c r="AI57" t="s">
        <v>195</v>
      </c>
      <c r="AJ57" t="s">
        <v>194</v>
      </c>
      <c r="AK57" t="s">
        <v>193</v>
      </c>
      <c r="AL57">
        <v>7</v>
      </c>
      <c r="AM57" s="5">
        <f t="shared" si="3"/>
        <v>0.17073170731707318</v>
      </c>
      <c r="AN57" s="4">
        <f t="shared" si="4"/>
        <v>2.5858645561086435E-4</v>
      </c>
      <c r="AO57" s="3"/>
      <c r="AP57">
        <v>0</v>
      </c>
      <c r="AR57" t="s">
        <v>1</v>
      </c>
      <c r="AT57" s="2">
        <v>1.3140000000000001</v>
      </c>
      <c r="AU57" s="1">
        <f t="shared" si="5"/>
        <v>0.70848635157655049</v>
      </c>
      <c r="AV57" s="1">
        <f t="shared" si="6"/>
        <v>0.51344986414356086</v>
      </c>
      <c r="AW57" s="1">
        <f t="shared" si="7"/>
        <v>0.31841337671057102</v>
      </c>
    </row>
    <row r="58" spans="1:49" x14ac:dyDescent="0.2">
      <c r="A58">
        <v>56</v>
      </c>
      <c r="B58" t="s">
        <v>192</v>
      </c>
      <c r="C58" t="s">
        <v>191</v>
      </c>
      <c r="D58" t="s">
        <v>190</v>
      </c>
      <c r="F58" t="s">
        <v>189</v>
      </c>
      <c r="G58" t="s">
        <v>5</v>
      </c>
      <c r="H58" t="s">
        <v>4</v>
      </c>
      <c r="I58" t="s">
        <v>188</v>
      </c>
      <c r="J58">
        <v>60024613</v>
      </c>
      <c r="K58" t="s">
        <v>177</v>
      </c>
      <c r="L58" t="s">
        <v>10</v>
      </c>
      <c r="M58" t="s">
        <v>3</v>
      </c>
      <c r="N58">
        <v>2</v>
      </c>
      <c r="O58" t="s">
        <v>187</v>
      </c>
      <c r="P58" t="s">
        <v>186</v>
      </c>
      <c r="Q58" t="s">
        <v>174</v>
      </c>
      <c r="R58" s="7">
        <v>29810</v>
      </c>
      <c r="S58" s="8">
        <f t="shared" si="0"/>
        <v>1981</v>
      </c>
      <c r="T58" s="8">
        <v>1981</v>
      </c>
      <c r="U58" s="8">
        <f t="shared" si="1"/>
        <v>41</v>
      </c>
      <c r="V58" s="7">
        <v>29810</v>
      </c>
      <c r="W58" t="s">
        <v>28</v>
      </c>
      <c r="X58" s="2">
        <v>1.59</v>
      </c>
      <c r="Y58" s="6">
        <f t="shared" si="2"/>
        <v>4.2444141907583888E-2</v>
      </c>
      <c r="AA58">
        <v>52728</v>
      </c>
      <c r="AB58">
        <v>16791</v>
      </c>
      <c r="AD58" t="s">
        <v>2</v>
      </c>
      <c r="AE58">
        <v>637</v>
      </c>
      <c r="AF58">
        <v>1</v>
      </c>
      <c r="AH58" t="s">
        <v>185</v>
      </c>
      <c r="AI58" t="s">
        <v>184</v>
      </c>
      <c r="AJ58" t="s">
        <v>183</v>
      </c>
      <c r="AK58" t="s">
        <v>182</v>
      </c>
      <c r="AL58">
        <v>120</v>
      </c>
      <c r="AM58" s="5">
        <f t="shared" si="3"/>
        <v>2.9268292682926829</v>
      </c>
      <c r="AN58" s="4">
        <f t="shared" si="4"/>
        <v>4.4329106676148167E-3</v>
      </c>
      <c r="AO58" s="3"/>
      <c r="AP58">
        <v>0</v>
      </c>
      <c r="AR58" t="s">
        <v>1</v>
      </c>
      <c r="AT58" s="2" t="s">
        <v>0</v>
      </c>
      <c r="AU58" s="1">
        <f t="shared" si="5"/>
        <v>3.1040772535593164</v>
      </c>
      <c r="AV58" s="1">
        <f t="shared" si="6"/>
        <v>2.3438526287599353</v>
      </c>
      <c r="AW58" s="1">
        <f t="shared" si="7"/>
        <v>1.5836280039605535</v>
      </c>
    </row>
    <row r="59" spans="1:49" x14ac:dyDescent="0.2">
      <c r="A59">
        <v>57</v>
      </c>
      <c r="B59" t="s">
        <v>181</v>
      </c>
      <c r="C59" t="s">
        <v>180</v>
      </c>
      <c r="D59">
        <v>5272881900943</v>
      </c>
      <c r="E59">
        <v>7284350</v>
      </c>
      <c r="F59" t="s">
        <v>179</v>
      </c>
      <c r="G59" t="s">
        <v>5</v>
      </c>
      <c r="H59" t="s">
        <v>4</v>
      </c>
      <c r="I59" t="s">
        <v>178</v>
      </c>
      <c r="J59">
        <v>60024613</v>
      </c>
      <c r="K59" t="s">
        <v>177</v>
      </c>
      <c r="L59" t="s">
        <v>10</v>
      </c>
      <c r="M59" t="s">
        <v>3</v>
      </c>
      <c r="N59">
        <v>2</v>
      </c>
      <c r="O59" t="s">
        <v>176</v>
      </c>
      <c r="P59" t="s">
        <v>175</v>
      </c>
      <c r="Q59" t="s">
        <v>174</v>
      </c>
      <c r="R59" s="7">
        <v>29780</v>
      </c>
      <c r="S59" s="8">
        <f t="shared" si="0"/>
        <v>1981</v>
      </c>
      <c r="T59" s="8">
        <v>1981</v>
      </c>
      <c r="U59" s="8">
        <f t="shared" si="1"/>
        <v>41</v>
      </c>
      <c r="V59" s="7">
        <v>29780</v>
      </c>
      <c r="W59" t="s">
        <v>28</v>
      </c>
      <c r="X59" s="2">
        <v>1.59</v>
      </c>
      <c r="Y59" s="6">
        <f t="shared" si="2"/>
        <v>4.2444141907583888E-2</v>
      </c>
      <c r="AA59">
        <v>52728</v>
      </c>
      <c r="AB59">
        <v>16791</v>
      </c>
      <c r="AD59" t="s">
        <v>2</v>
      </c>
      <c r="AE59">
        <v>636</v>
      </c>
      <c r="AF59">
        <v>2</v>
      </c>
      <c r="AH59" t="s">
        <v>173</v>
      </c>
      <c r="AI59" t="s">
        <v>172</v>
      </c>
      <c r="AJ59" t="s">
        <v>171</v>
      </c>
      <c r="AK59" t="s">
        <v>170</v>
      </c>
      <c r="AL59">
        <v>34</v>
      </c>
      <c r="AM59" s="5">
        <f t="shared" si="3"/>
        <v>0.82926829268292679</v>
      </c>
      <c r="AN59" s="4">
        <f t="shared" si="4"/>
        <v>1.2559913558241982E-3</v>
      </c>
      <c r="AO59" s="3"/>
      <c r="AP59">
        <v>0</v>
      </c>
      <c r="AR59" t="s">
        <v>1</v>
      </c>
      <c r="AT59" s="2" t="s">
        <v>0</v>
      </c>
      <c r="AU59" s="1">
        <f t="shared" si="5"/>
        <v>3.008769674205598</v>
      </c>
      <c r="AV59" s="1">
        <f t="shared" si="6"/>
        <v>2.1850066631704044</v>
      </c>
      <c r="AW59" s="1">
        <f t="shared" si="7"/>
        <v>1.3612436521352105</v>
      </c>
    </row>
    <row r="60" spans="1:49" x14ac:dyDescent="0.2">
      <c r="A60">
        <v>58</v>
      </c>
      <c r="B60" t="s">
        <v>169</v>
      </c>
      <c r="C60" t="s">
        <v>168</v>
      </c>
      <c r="F60" t="s">
        <v>167</v>
      </c>
      <c r="G60" t="s">
        <v>5</v>
      </c>
      <c r="H60" t="s">
        <v>4</v>
      </c>
      <c r="I60" t="s">
        <v>166</v>
      </c>
      <c r="J60">
        <v>60019702</v>
      </c>
      <c r="K60" t="s">
        <v>165</v>
      </c>
      <c r="L60" t="s">
        <v>164</v>
      </c>
      <c r="M60" t="s">
        <v>7</v>
      </c>
      <c r="N60">
        <v>2</v>
      </c>
      <c r="O60" t="s">
        <v>163</v>
      </c>
      <c r="P60" t="s">
        <v>162</v>
      </c>
      <c r="Q60" t="s">
        <v>161</v>
      </c>
      <c r="R60" s="7">
        <v>29776</v>
      </c>
      <c r="S60" s="8">
        <f t="shared" si="0"/>
        <v>1981</v>
      </c>
      <c r="T60" s="8">
        <v>1981</v>
      </c>
      <c r="U60" s="8">
        <f t="shared" si="1"/>
        <v>41</v>
      </c>
      <c r="V60" s="7">
        <v>29776</v>
      </c>
      <c r="W60" t="s">
        <v>74</v>
      </c>
      <c r="X60" s="2">
        <v>0.375</v>
      </c>
      <c r="Y60" s="6">
        <f t="shared" si="2"/>
        <v>1.0010410827260351E-2</v>
      </c>
      <c r="AA60">
        <v>135194</v>
      </c>
      <c r="AB60">
        <v>24918</v>
      </c>
      <c r="AD60" t="s">
        <v>2</v>
      </c>
      <c r="AE60">
        <v>17</v>
      </c>
      <c r="AF60">
        <v>14</v>
      </c>
      <c r="AH60" t="s">
        <v>160</v>
      </c>
      <c r="AI60" t="s">
        <v>159</v>
      </c>
      <c r="AJ60" t="s">
        <v>158</v>
      </c>
      <c r="AK60" t="s">
        <v>157</v>
      </c>
      <c r="AL60">
        <v>2</v>
      </c>
      <c r="AM60" s="5">
        <f t="shared" si="3"/>
        <v>4.878048780487805E-2</v>
      </c>
      <c r="AN60" s="4">
        <f t="shared" si="4"/>
        <v>7.3881844460246948E-5</v>
      </c>
      <c r="AO60" s="3"/>
      <c r="AP60">
        <v>0</v>
      </c>
      <c r="AR60" t="s">
        <v>1</v>
      </c>
      <c r="AT60" s="2">
        <v>1.3140000000000001</v>
      </c>
      <c r="AU60" s="1">
        <f t="shared" si="5"/>
        <v>0.70294521324203196</v>
      </c>
      <c r="AV60" s="1">
        <f t="shared" si="6"/>
        <v>0.50421463358602991</v>
      </c>
      <c r="AW60" s="1">
        <f t="shared" si="7"/>
        <v>0.30548405393002781</v>
      </c>
    </row>
    <row r="61" spans="1:49" x14ac:dyDescent="0.2">
      <c r="A61">
        <v>59</v>
      </c>
      <c r="B61" t="s">
        <v>156</v>
      </c>
      <c r="C61" t="s">
        <v>155</v>
      </c>
      <c r="F61" t="s">
        <v>154</v>
      </c>
      <c r="G61" t="s">
        <v>5</v>
      </c>
      <c r="H61" t="s">
        <v>4</v>
      </c>
      <c r="I61" t="s">
        <v>153</v>
      </c>
      <c r="J61" t="s">
        <v>68</v>
      </c>
      <c r="K61" t="s">
        <v>67</v>
      </c>
      <c r="L61" t="s">
        <v>66</v>
      </c>
      <c r="M61" t="s">
        <v>65</v>
      </c>
      <c r="N61">
        <v>3</v>
      </c>
      <c r="O61" t="s">
        <v>152</v>
      </c>
      <c r="P61" t="s">
        <v>151</v>
      </c>
      <c r="Q61" t="s">
        <v>150</v>
      </c>
      <c r="R61" s="7">
        <v>29768</v>
      </c>
      <c r="S61" s="8">
        <f t="shared" si="0"/>
        <v>1981</v>
      </c>
      <c r="T61" s="8">
        <v>1981</v>
      </c>
      <c r="U61" s="8">
        <f t="shared" si="1"/>
        <v>41</v>
      </c>
      <c r="V61" s="7">
        <v>29768</v>
      </c>
      <c r="W61" t="s">
        <v>64</v>
      </c>
      <c r="X61" s="2" t="s">
        <v>0</v>
      </c>
      <c r="Y61" s="6" t="e">
        <f t="shared" si="2"/>
        <v>#VALUE!</v>
      </c>
      <c r="AA61">
        <v>3905551</v>
      </c>
      <c r="AB61">
        <v>15400155600</v>
      </c>
      <c r="AD61" t="s">
        <v>2</v>
      </c>
      <c r="AE61">
        <v>4</v>
      </c>
      <c r="AF61">
        <v>4</v>
      </c>
      <c r="AH61" t="s">
        <v>149</v>
      </c>
      <c r="AI61" t="s">
        <v>148</v>
      </c>
      <c r="AK61" t="s">
        <v>147</v>
      </c>
      <c r="AL61">
        <v>2</v>
      </c>
      <c r="AM61" s="5">
        <f t="shared" si="3"/>
        <v>4.878048780487805E-2</v>
      </c>
      <c r="AN61" s="4">
        <f t="shared" si="4"/>
        <v>7.3881844460246948E-5</v>
      </c>
      <c r="AO61" s="3"/>
      <c r="AP61">
        <v>0</v>
      </c>
      <c r="AR61" t="s">
        <v>1</v>
      </c>
      <c r="AT61" s="2" t="s">
        <v>0</v>
      </c>
      <c r="AU61" s="1" t="e">
        <f t="shared" si="5"/>
        <v>#VALUE!</v>
      </c>
      <c r="AV61" s="1" t="e">
        <f t="shared" si="6"/>
        <v>#VALUE!</v>
      </c>
      <c r="AW61" s="1" t="e">
        <f t="shared" si="7"/>
        <v>#VALUE!</v>
      </c>
    </row>
    <row r="62" spans="1:49" x14ac:dyDescent="0.2">
      <c r="A62">
        <v>60</v>
      </c>
      <c r="B62" t="s">
        <v>146</v>
      </c>
      <c r="C62" t="s">
        <v>145</v>
      </c>
      <c r="F62" t="s">
        <v>144</v>
      </c>
      <c r="G62" t="s">
        <v>5</v>
      </c>
      <c r="H62" t="s">
        <v>4</v>
      </c>
      <c r="I62" t="s">
        <v>84</v>
      </c>
      <c r="J62" t="s">
        <v>68</v>
      </c>
      <c r="K62" t="s">
        <v>67</v>
      </c>
      <c r="L62" t="s">
        <v>66</v>
      </c>
      <c r="M62" t="s">
        <v>65</v>
      </c>
      <c r="N62">
        <v>9</v>
      </c>
      <c r="O62" t="s">
        <v>143</v>
      </c>
      <c r="P62" t="s">
        <v>142</v>
      </c>
      <c r="Q62" t="s">
        <v>141</v>
      </c>
      <c r="R62" s="7">
        <v>29768</v>
      </c>
      <c r="S62" s="8">
        <f t="shared" si="0"/>
        <v>1981</v>
      </c>
      <c r="T62" s="8">
        <v>1981</v>
      </c>
      <c r="U62" s="8">
        <f t="shared" si="1"/>
        <v>41</v>
      </c>
      <c r="V62" s="7">
        <v>29768</v>
      </c>
      <c r="W62" t="s">
        <v>64</v>
      </c>
      <c r="X62" s="2" t="s">
        <v>0</v>
      </c>
      <c r="Y62" s="6" t="e">
        <f t="shared" si="2"/>
        <v>#VALUE!</v>
      </c>
      <c r="AA62">
        <v>3905551</v>
      </c>
      <c r="AB62">
        <v>15400155600</v>
      </c>
      <c r="AD62" t="s">
        <v>2</v>
      </c>
      <c r="AE62">
        <v>4</v>
      </c>
      <c r="AF62">
        <v>4</v>
      </c>
      <c r="AH62" t="s">
        <v>140</v>
      </c>
      <c r="AI62" t="s">
        <v>139</v>
      </c>
      <c r="AK62" t="s">
        <v>138</v>
      </c>
      <c r="AL62">
        <v>2</v>
      </c>
      <c r="AM62" s="5">
        <f t="shared" si="3"/>
        <v>4.878048780487805E-2</v>
      </c>
      <c r="AN62" s="4">
        <f t="shared" si="4"/>
        <v>7.3881844460246948E-5</v>
      </c>
      <c r="AO62" s="3"/>
      <c r="AP62">
        <v>0</v>
      </c>
      <c r="AR62" t="s">
        <v>1</v>
      </c>
      <c r="AT62" s="2" t="s">
        <v>0</v>
      </c>
      <c r="AU62" s="1" t="e">
        <f t="shared" si="5"/>
        <v>#VALUE!</v>
      </c>
      <c r="AV62" s="1" t="e">
        <f t="shared" si="6"/>
        <v>#VALUE!</v>
      </c>
      <c r="AW62" s="1" t="e">
        <f t="shared" si="7"/>
        <v>#VALUE!</v>
      </c>
    </row>
    <row r="63" spans="1:49" x14ac:dyDescent="0.2">
      <c r="A63">
        <v>61</v>
      </c>
      <c r="B63" t="s">
        <v>137</v>
      </c>
      <c r="C63" t="s">
        <v>136</v>
      </c>
      <c r="F63" t="s">
        <v>135</v>
      </c>
      <c r="G63" t="s">
        <v>5</v>
      </c>
      <c r="H63" t="s">
        <v>4</v>
      </c>
      <c r="I63" t="s">
        <v>134</v>
      </c>
      <c r="J63" t="s">
        <v>133</v>
      </c>
      <c r="K63" t="s">
        <v>132</v>
      </c>
      <c r="L63" t="s">
        <v>131</v>
      </c>
      <c r="M63" t="s">
        <v>130</v>
      </c>
      <c r="N63">
        <v>5</v>
      </c>
      <c r="O63" t="s">
        <v>129</v>
      </c>
      <c r="P63" t="s">
        <v>128</v>
      </c>
      <c r="Q63" t="s">
        <v>127</v>
      </c>
      <c r="R63" s="7">
        <v>29768</v>
      </c>
      <c r="S63" s="8">
        <f t="shared" si="0"/>
        <v>1981</v>
      </c>
      <c r="T63" s="8">
        <v>1981</v>
      </c>
      <c r="U63" s="8">
        <f t="shared" si="1"/>
        <v>41</v>
      </c>
      <c r="V63" s="7">
        <v>29768</v>
      </c>
      <c r="W63" t="s">
        <v>126</v>
      </c>
      <c r="X63" s="2" t="s">
        <v>0</v>
      </c>
      <c r="Y63" s="6" t="e">
        <f t="shared" si="2"/>
        <v>#VALUE!</v>
      </c>
      <c r="AA63">
        <v>1051938</v>
      </c>
      <c r="AB63">
        <v>76824</v>
      </c>
      <c r="AD63" t="s">
        <v>2</v>
      </c>
      <c r="AE63">
        <v>46</v>
      </c>
      <c r="AF63">
        <v>4</v>
      </c>
      <c r="AH63" t="s">
        <v>125</v>
      </c>
      <c r="AI63" t="s">
        <v>124</v>
      </c>
      <c r="AJ63" t="s">
        <v>123</v>
      </c>
      <c r="AK63" t="s">
        <v>122</v>
      </c>
      <c r="AL63">
        <v>8</v>
      </c>
      <c r="AM63" s="5">
        <f t="shared" si="3"/>
        <v>0.1951219512195122</v>
      </c>
      <c r="AN63" s="4">
        <f t="shared" si="4"/>
        <v>2.9552737784098779E-4</v>
      </c>
      <c r="AO63" s="3"/>
      <c r="AP63">
        <v>1</v>
      </c>
      <c r="AR63" t="s">
        <v>1</v>
      </c>
      <c r="AT63" s="2" t="s">
        <v>0</v>
      </c>
      <c r="AU63" s="1" t="e">
        <f t="shared" si="5"/>
        <v>#VALUE!</v>
      </c>
      <c r="AV63" s="1" t="e">
        <f t="shared" si="6"/>
        <v>#VALUE!</v>
      </c>
      <c r="AW63" s="1" t="e">
        <f t="shared" si="7"/>
        <v>#VALUE!</v>
      </c>
    </row>
    <row r="64" spans="1:49" x14ac:dyDescent="0.2">
      <c r="A64">
        <v>62</v>
      </c>
      <c r="B64" t="s">
        <v>121</v>
      </c>
      <c r="C64" t="s">
        <v>120</v>
      </c>
      <c r="D64" t="s">
        <v>119</v>
      </c>
      <c r="F64" t="s">
        <v>118</v>
      </c>
      <c r="G64" t="s">
        <v>5</v>
      </c>
      <c r="H64" t="s">
        <v>4</v>
      </c>
      <c r="I64" t="s">
        <v>117</v>
      </c>
      <c r="J64" t="s">
        <v>116</v>
      </c>
      <c r="K64" t="s">
        <v>115</v>
      </c>
      <c r="L64" t="s">
        <v>114</v>
      </c>
      <c r="M64" t="s">
        <v>19</v>
      </c>
      <c r="N64">
        <v>3</v>
      </c>
      <c r="O64" t="s">
        <v>113</v>
      </c>
      <c r="P64" t="s">
        <v>112</v>
      </c>
      <c r="Q64" t="s">
        <v>111</v>
      </c>
      <c r="R64" s="7">
        <v>29768</v>
      </c>
      <c r="S64" s="8">
        <f t="shared" si="0"/>
        <v>1981</v>
      </c>
      <c r="T64" s="8">
        <v>1981</v>
      </c>
      <c r="U64" s="8">
        <f t="shared" si="1"/>
        <v>41</v>
      </c>
      <c r="V64" s="7">
        <v>29768</v>
      </c>
      <c r="W64" t="s">
        <v>110</v>
      </c>
      <c r="X64" s="2">
        <v>1.319</v>
      </c>
      <c r="Y64" s="6">
        <f t="shared" si="2"/>
        <v>3.5209951683083739E-2</v>
      </c>
      <c r="AA64">
        <v>104655</v>
      </c>
      <c r="AB64">
        <v>13184</v>
      </c>
      <c r="AD64" t="s">
        <v>2</v>
      </c>
      <c r="AE64">
        <v>23</v>
      </c>
      <c r="AF64">
        <v>2</v>
      </c>
      <c r="AH64" t="s">
        <v>109</v>
      </c>
      <c r="AL64">
        <v>0</v>
      </c>
      <c r="AM64" s="5">
        <f t="shared" si="3"/>
        <v>0</v>
      </c>
      <c r="AN64" s="4">
        <f t="shared" si="4"/>
        <v>0</v>
      </c>
      <c r="AO64" s="3"/>
      <c r="AP64">
        <v>0</v>
      </c>
      <c r="AR64" t="s">
        <v>1</v>
      </c>
      <c r="AT64" s="2">
        <v>4.3899999999999997</v>
      </c>
      <c r="AU64" s="1">
        <f t="shared" si="5"/>
        <v>2.4646966178158616</v>
      </c>
      <c r="AV64" s="1">
        <f t="shared" si="6"/>
        <v>1.760497584154187</v>
      </c>
      <c r="AW64" s="1">
        <f t="shared" si="7"/>
        <v>1.0562985504925122</v>
      </c>
    </row>
    <row r="65" spans="1:49" x14ac:dyDescent="0.2">
      <c r="A65">
        <v>63</v>
      </c>
      <c r="B65" t="s">
        <v>108</v>
      </c>
      <c r="C65" t="s">
        <v>107</v>
      </c>
      <c r="F65" t="s">
        <v>106</v>
      </c>
      <c r="G65" t="s">
        <v>5</v>
      </c>
      <c r="H65" t="s">
        <v>4</v>
      </c>
      <c r="I65" t="s">
        <v>105</v>
      </c>
      <c r="J65">
        <v>60006662</v>
      </c>
      <c r="K65" t="s">
        <v>104</v>
      </c>
      <c r="L65" t="s">
        <v>46</v>
      </c>
      <c r="M65" t="s">
        <v>35</v>
      </c>
      <c r="N65">
        <v>4</v>
      </c>
      <c r="O65" t="s">
        <v>103</v>
      </c>
      <c r="P65" t="s">
        <v>102</v>
      </c>
      <c r="Q65" t="s">
        <v>101</v>
      </c>
      <c r="R65" s="7">
        <v>29768</v>
      </c>
      <c r="S65" s="8">
        <f t="shared" si="0"/>
        <v>1981</v>
      </c>
      <c r="T65" s="8">
        <v>1981</v>
      </c>
      <c r="U65" s="8">
        <f t="shared" si="1"/>
        <v>41</v>
      </c>
      <c r="V65" s="7">
        <v>29768</v>
      </c>
      <c r="W65" t="s">
        <v>100</v>
      </c>
      <c r="X65" s="2">
        <v>0.61499999999999999</v>
      </c>
      <c r="Y65" s="6">
        <f t="shared" si="2"/>
        <v>1.6417073756706976E-2</v>
      </c>
      <c r="AA65">
        <v>1959271</v>
      </c>
      <c r="AB65">
        <v>12141</v>
      </c>
      <c r="AC65">
        <v>15729559</v>
      </c>
      <c r="AD65" t="s">
        <v>2</v>
      </c>
      <c r="AE65">
        <v>2</v>
      </c>
      <c r="AF65">
        <v>4</v>
      </c>
      <c r="AH65" t="s">
        <v>99</v>
      </c>
      <c r="AI65" t="s">
        <v>98</v>
      </c>
      <c r="AK65" t="s">
        <v>97</v>
      </c>
      <c r="AL65">
        <v>8</v>
      </c>
      <c r="AM65" s="5">
        <f t="shared" si="3"/>
        <v>0.1951219512195122</v>
      </c>
      <c r="AN65" s="4">
        <f t="shared" si="4"/>
        <v>2.9552737784098779E-4</v>
      </c>
      <c r="AO65" s="3"/>
      <c r="AP65">
        <v>0</v>
      </c>
      <c r="AR65" t="s">
        <v>1</v>
      </c>
      <c r="AT65" s="2" t="s">
        <v>0</v>
      </c>
      <c r="AU65" s="1">
        <f t="shared" si="5"/>
        <v>1.1580609843047178</v>
      </c>
      <c r="AV65" s="1">
        <f t="shared" si="6"/>
        <v>0.83563005672739821</v>
      </c>
      <c r="AW65" s="1">
        <f t="shared" si="7"/>
        <v>0.51319912915007837</v>
      </c>
    </row>
    <row r="66" spans="1:49" x14ac:dyDescent="0.2">
      <c r="A66">
        <v>64</v>
      </c>
      <c r="B66" t="s">
        <v>96</v>
      </c>
      <c r="C66" t="s">
        <v>95</v>
      </c>
      <c r="F66" t="s">
        <v>94</v>
      </c>
      <c r="G66" t="s">
        <v>5</v>
      </c>
      <c r="H66" t="s">
        <v>4</v>
      </c>
      <c r="I66" t="s">
        <v>93</v>
      </c>
      <c r="J66">
        <v>60032280</v>
      </c>
      <c r="K66" t="s">
        <v>11</v>
      </c>
      <c r="L66" t="s">
        <v>10</v>
      </c>
      <c r="M66" t="s">
        <v>3</v>
      </c>
      <c r="N66">
        <v>3</v>
      </c>
      <c r="O66" t="s">
        <v>92</v>
      </c>
      <c r="P66" t="s">
        <v>91</v>
      </c>
      <c r="Q66" t="s">
        <v>9</v>
      </c>
      <c r="R66" s="7">
        <v>29768</v>
      </c>
      <c r="S66" s="8">
        <f t="shared" ref="S66" si="8">YEAR(R66)</f>
        <v>1981</v>
      </c>
      <c r="T66" s="8">
        <v>1981</v>
      </c>
      <c r="U66" s="8">
        <f t="shared" ref="U66" si="9">2022-T66</f>
        <v>41</v>
      </c>
      <c r="V66" s="7">
        <v>29768</v>
      </c>
      <c r="W66" t="s">
        <v>90</v>
      </c>
      <c r="X66" s="2" t="s">
        <v>0</v>
      </c>
      <c r="Y66" s="6" t="e">
        <f t="shared" ref="Y66" si="10">(X66-$Z$4)/($Z$3-$Z$4)</f>
        <v>#VALUE!</v>
      </c>
      <c r="AA66">
        <v>144754</v>
      </c>
      <c r="AB66">
        <v>74305</v>
      </c>
      <c r="AC66">
        <v>14209071</v>
      </c>
      <c r="AD66" t="s">
        <v>2</v>
      </c>
      <c r="AE66">
        <v>37</v>
      </c>
      <c r="AF66">
        <v>7</v>
      </c>
      <c r="AH66" t="s">
        <v>89</v>
      </c>
      <c r="AI66" t="s">
        <v>88</v>
      </c>
      <c r="AK66" t="s">
        <v>87</v>
      </c>
      <c r="AL66">
        <v>12</v>
      </c>
      <c r="AM66" s="5">
        <f t="shared" ref="AM66" si="11">AL66/U66</f>
        <v>0.29268292682926828</v>
      </c>
      <c r="AN66" s="4">
        <f t="shared" ref="AN66" si="12">(AM66-$AO$4)/($AO$3-$AO$4)</f>
        <v>4.4329106676148166E-4</v>
      </c>
      <c r="AO66" s="3"/>
      <c r="AP66">
        <v>0</v>
      </c>
      <c r="AR66" t="s">
        <v>1</v>
      </c>
      <c r="AT66" s="2" t="s">
        <v>0</v>
      </c>
      <c r="AU66" s="1" t="e">
        <f t="shared" ref="AU66" si="13">(Y66*0.7+AN66*0.3)*100</f>
        <v>#VALUE!</v>
      </c>
      <c r="AV66" s="1" t="e">
        <f t="shared" ref="AV66" si="14">(Y66*0.5+AN66*0.5)*100</f>
        <v>#VALUE!</v>
      </c>
      <c r="AW66" s="1" t="e">
        <f t="shared" ref="AW66" si="15">(Y66*0.3+AN66*0.7)*100</f>
        <v>#VALUE!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1981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2021-11-11T11:59:21Z</dcterms:created>
  <dcterms:modified xsi:type="dcterms:W3CDTF">2022-01-19T20:41:21Z</dcterms:modified>
</cp:coreProperties>
</file>