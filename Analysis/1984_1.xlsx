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0" documentId="8_{6E5CC3E4-E7F1-3B44-89D3-9BABEF4659DF}" xr6:coauthVersionLast="47" xr6:coauthVersionMax="47" xr10:uidLastSave="{5AB75136-303B-B647-9129-2727CBA73017}"/>
  <bookViews>
    <workbookView xWindow="4000" yWindow="3900" windowWidth="27640" windowHeight="16940" xr2:uid="{000AA7F9-B528-384B-830F-2F6E70005244}"/>
  </bookViews>
  <sheets>
    <sheet name="1984"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3" i="1" l="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699" i="1"/>
  <c r="AN700" i="1"/>
  <c r="AN701" i="1"/>
  <c r="AN702" i="1"/>
  <c r="AN703" i="1"/>
  <c r="AN704" i="1"/>
  <c r="AN705" i="1"/>
  <c r="AN706" i="1"/>
  <c r="AN707" i="1"/>
  <c r="AN708" i="1"/>
  <c r="AN709" i="1"/>
  <c r="AN710" i="1"/>
  <c r="AN711" i="1"/>
  <c r="AN712" i="1"/>
  <c r="AN713" i="1"/>
  <c r="AN714" i="1"/>
  <c r="AN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2" i="1"/>
  <c r="S2" i="1" l="1"/>
  <c r="U2" i="1"/>
  <c r="AM2" i="1" s="1"/>
  <c r="S3" i="1"/>
  <c r="U3" i="1"/>
  <c r="AM3" i="1" s="1"/>
  <c r="S4" i="1"/>
  <c r="U4" i="1"/>
  <c r="AM4" i="1"/>
  <c r="S5" i="1"/>
  <c r="U5" i="1"/>
  <c r="AM5" i="1" s="1"/>
  <c r="S6" i="1"/>
  <c r="U6" i="1"/>
  <c r="AM6" i="1" s="1"/>
  <c r="S7" i="1"/>
  <c r="U7" i="1"/>
  <c r="AM7" i="1" s="1"/>
  <c r="S8" i="1"/>
  <c r="U8" i="1"/>
  <c r="AM8" i="1"/>
  <c r="S9" i="1"/>
  <c r="U9" i="1"/>
  <c r="AM9" i="1" s="1"/>
  <c r="S10" i="1"/>
  <c r="U10" i="1"/>
  <c r="AM10" i="1" s="1"/>
  <c r="S11" i="1"/>
  <c r="U11" i="1"/>
  <c r="AM11" i="1"/>
  <c r="S12" i="1"/>
  <c r="U12" i="1"/>
  <c r="AM12" i="1" s="1"/>
  <c r="S13" i="1"/>
  <c r="U13" i="1"/>
  <c r="AM13" i="1" s="1"/>
  <c r="AW13" i="1" s="1"/>
  <c r="S14" i="1"/>
  <c r="U14" i="1"/>
  <c r="AM14" i="1" s="1"/>
  <c r="S15" i="1"/>
  <c r="U15" i="1"/>
  <c r="AM15" i="1" s="1"/>
  <c r="S16" i="1"/>
  <c r="U16" i="1"/>
  <c r="AM16" i="1"/>
  <c r="S17" i="1"/>
  <c r="U17" i="1"/>
  <c r="AM17" i="1" s="1"/>
  <c r="S18" i="1"/>
  <c r="U18" i="1"/>
  <c r="AM18" i="1"/>
  <c r="S19" i="1"/>
  <c r="U19" i="1"/>
  <c r="AM19" i="1" s="1"/>
  <c r="AV19" i="1" s="1"/>
  <c r="S20" i="1"/>
  <c r="U20" i="1"/>
  <c r="AM20" i="1" s="1"/>
  <c r="S21" i="1"/>
  <c r="U21" i="1"/>
  <c r="AM21" i="1" s="1"/>
  <c r="AW21" i="1" s="1"/>
  <c r="S22" i="1"/>
  <c r="U22" i="1"/>
  <c r="AM22" i="1" s="1"/>
  <c r="S23" i="1"/>
  <c r="U23" i="1"/>
  <c r="AM23" i="1" s="1"/>
  <c r="S24" i="1"/>
  <c r="U24" i="1"/>
  <c r="AM24" i="1" s="1"/>
  <c r="S25" i="1"/>
  <c r="U25" i="1"/>
  <c r="AM25" i="1" s="1"/>
  <c r="S26" i="1"/>
  <c r="U26" i="1"/>
  <c r="AM26" i="1" s="1"/>
  <c r="S27" i="1"/>
  <c r="U27" i="1"/>
  <c r="AM27" i="1"/>
  <c r="S28" i="1"/>
  <c r="U28" i="1"/>
  <c r="AM28" i="1" s="1"/>
  <c r="S29" i="1"/>
  <c r="U29" i="1"/>
  <c r="AM29" i="1"/>
  <c r="S30" i="1"/>
  <c r="U30" i="1"/>
  <c r="AM30" i="1" s="1"/>
  <c r="S31" i="1"/>
  <c r="U31" i="1"/>
  <c r="AM31" i="1" s="1"/>
  <c r="AW31" i="1" s="1"/>
  <c r="S32" i="1"/>
  <c r="U32" i="1"/>
  <c r="AM32" i="1" s="1"/>
  <c r="S33" i="1"/>
  <c r="U33" i="1"/>
  <c r="AM33" i="1" s="1"/>
  <c r="S34" i="1"/>
  <c r="U34" i="1"/>
  <c r="AM34" i="1"/>
  <c r="S35" i="1"/>
  <c r="U35" i="1"/>
  <c r="AM35" i="1" s="1"/>
  <c r="S36" i="1"/>
  <c r="U36" i="1"/>
  <c r="AM36" i="1"/>
  <c r="AW36" i="1" s="1"/>
  <c r="S37" i="1"/>
  <c r="U37" i="1"/>
  <c r="AM37" i="1"/>
  <c r="S38" i="1"/>
  <c r="U38" i="1"/>
  <c r="AM38" i="1" s="1"/>
  <c r="S39" i="1"/>
  <c r="U39" i="1"/>
  <c r="AM39" i="1"/>
  <c r="S40" i="1"/>
  <c r="U40" i="1"/>
  <c r="AM40" i="1" s="1"/>
  <c r="S41" i="1"/>
  <c r="U41" i="1"/>
  <c r="AM41" i="1"/>
  <c r="AW41" i="1" s="1"/>
  <c r="S42" i="1"/>
  <c r="U42" i="1"/>
  <c r="AM42" i="1" s="1"/>
  <c r="S43" i="1"/>
  <c r="U43" i="1"/>
  <c r="AM43" i="1" s="1"/>
  <c r="S44" i="1"/>
  <c r="U44" i="1"/>
  <c r="AM44" i="1" s="1"/>
  <c r="S45" i="1"/>
  <c r="U45" i="1"/>
  <c r="AM45" i="1" s="1"/>
  <c r="S46" i="1"/>
  <c r="U46" i="1"/>
  <c r="AM46" i="1" s="1"/>
  <c r="S47" i="1"/>
  <c r="U47" i="1"/>
  <c r="AM47" i="1" s="1"/>
  <c r="S48" i="1"/>
  <c r="U48" i="1"/>
  <c r="AM48" i="1" s="1"/>
  <c r="S49" i="1"/>
  <c r="U49" i="1"/>
  <c r="AM49" i="1" s="1"/>
  <c r="S50" i="1"/>
  <c r="U50" i="1"/>
  <c r="AM50" i="1" s="1"/>
  <c r="S51" i="1"/>
  <c r="U51" i="1"/>
  <c r="AM51" i="1" s="1"/>
  <c r="AW51" i="1" s="1"/>
  <c r="S52" i="1"/>
  <c r="U52" i="1"/>
  <c r="AM52" i="1" s="1"/>
  <c r="S53" i="1"/>
  <c r="U53" i="1"/>
  <c r="AM53" i="1" s="1"/>
  <c r="S54" i="1"/>
  <c r="U54" i="1"/>
  <c r="AM54" i="1" s="1"/>
  <c r="S55" i="1"/>
  <c r="U55" i="1"/>
  <c r="AM55" i="1" s="1"/>
  <c r="S56" i="1"/>
  <c r="U56" i="1"/>
  <c r="AW56" i="1"/>
  <c r="AM56" i="1"/>
  <c r="S57" i="1"/>
  <c r="U57" i="1"/>
  <c r="AM57" i="1" s="1"/>
  <c r="S58" i="1"/>
  <c r="U58" i="1"/>
  <c r="AM58" i="1" s="1"/>
  <c r="S59" i="1"/>
  <c r="U59" i="1"/>
  <c r="AM59" i="1"/>
  <c r="AU59" i="1" s="1"/>
  <c r="S60" i="1"/>
  <c r="U60" i="1"/>
  <c r="AM60" i="1" s="1"/>
  <c r="S61" i="1"/>
  <c r="U61" i="1"/>
  <c r="AW61" i="1"/>
  <c r="AM61" i="1"/>
  <c r="S62" i="1"/>
  <c r="U62" i="1"/>
  <c r="AM62" i="1" s="1"/>
  <c r="S63" i="1"/>
  <c r="U63" i="1"/>
  <c r="AM63" i="1" s="1"/>
  <c r="S64" i="1"/>
  <c r="U64" i="1"/>
  <c r="AM64" i="1"/>
  <c r="AW64" i="1" s="1"/>
  <c r="AU64" i="1"/>
  <c r="AV64" i="1"/>
  <c r="S65" i="1"/>
  <c r="U65" i="1"/>
  <c r="AM65" i="1" s="1"/>
  <c r="S66" i="1"/>
  <c r="U66" i="1"/>
  <c r="AM66" i="1" s="1"/>
  <c r="AW66" i="1" s="1"/>
  <c r="S67" i="1"/>
  <c r="U67" i="1"/>
  <c r="AM67" i="1"/>
  <c r="S68" i="1"/>
  <c r="U68" i="1"/>
  <c r="AM68" i="1" s="1"/>
  <c r="S69" i="1"/>
  <c r="U69" i="1"/>
  <c r="AM69" i="1" s="1"/>
  <c r="AU69" i="1" s="1"/>
  <c r="S70" i="1"/>
  <c r="U70" i="1"/>
  <c r="AM70" i="1" s="1"/>
  <c r="S71" i="1"/>
  <c r="U71" i="1"/>
  <c r="AM71" i="1" s="1"/>
  <c r="S72" i="1"/>
  <c r="U72" i="1"/>
  <c r="AM72" i="1" s="1"/>
  <c r="S73" i="1"/>
  <c r="U73" i="1"/>
  <c r="AM73" i="1" s="1"/>
  <c r="AU73" i="1"/>
  <c r="S74" i="1"/>
  <c r="U74" i="1"/>
  <c r="AM74" i="1" s="1"/>
  <c r="AU74" i="1" s="1"/>
  <c r="S75" i="1"/>
  <c r="U75" i="1"/>
  <c r="AM75" i="1" s="1"/>
  <c r="S76" i="1"/>
  <c r="U76" i="1"/>
  <c r="AM76" i="1"/>
  <c r="AW76" i="1"/>
  <c r="S77" i="1"/>
  <c r="U77" i="1"/>
  <c r="AM77" i="1" s="1"/>
  <c r="S78" i="1"/>
  <c r="U78" i="1"/>
  <c r="AM78" i="1" s="1"/>
  <c r="S79" i="1"/>
  <c r="U79" i="1"/>
  <c r="AM79" i="1"/>
  <c r="S80" i="1"/>
  <c r="U80" i="1"/>
  <c r="AM80" i="1" s="1"/>
  <c r="S81" i="1"/>
  <c r="U81" i="1"/>
  <c r="AU81" i="1"/>
  <c r="AM81" i="1"/>
  <c r="AW81" i="1"/>
  <c r="S82" i="1"/>
  <c r="U82" i="1"/>
  <c r="AM82" i="1" s="1"/>
  <c r="S83" i="1"/>
  <c r="U83" i="1"/>
  <c r="AM83" i="1" s="1"/>
  <c r="AV83" i="1" s="1"/>
  <c r="S84" i="1"/>
  <c r="U84" i="1"/>
  <c r="AM84" i="1" s="1"/>
  <c r="S85" i="1"/>
  <c r="U85" i="1"/>
  <c r="AM85" i="1" s="1"/>
  <c r="AU85" i="1"/>
  <c r="S86" i="1"/>
  <c r="U86" i="1"/>
  <c r="AM86" i="1" s="1"/>
  <c r="AU86" i="1"/>
  <c r="S87" i="1"/>
  <c r="U87" i="1"/>
  <c r="AM87" i="1"/>
  <c r="S88" i="1"/>
  <c r="U88" i="1"/>
  <c r="AM88" i="1" s="1"/>
  <c r="AW88" i="1"/>
  <c r="S89" i="1"/>
  <c r="U89" i="1"/>
  <c r="AM89" i="1" s="1"/>
  <c r="S90" i="1"/>
  <c r="U90" i="1"/>
  <c r="AM90" i="1" s="1"/>
  <c r="S91" i="1"/>
  <c r="U91" i="1"/>
  <c r="AU91" i="1"/>
  <c r="AM91" i="1"/>
  <c r="AV91" i="1" s="1"/>
  <c r="S92" i="1"/>
  <c r="U92" i="1"/>
  <c r="AM92" i="1"/>
  <c r="S93" i="1"/>
  <c r="U93" i="1"/>
  <c r="AM93" i="1" s="1"/>
  <c r="AV93" i="1"/>
  <c r="AW93" i="1"/>
  <c r="S94" i="1"/>
  <c r="U94" i="1"/>
  <c r="AM94" i="1" s="1"/>
  <c r="S95" i="1"/>
  <c r="U95" i="1"/>
  <c r="AM95" i="1" s="1"/>
  <c r="S96" i="1"/>
  <c r="U96" i="1"/>
  <c r="AM96" i="1" s="1"/>
  <c r="S97" i="1"/>
  <c r="U97" i="1"/>
  <c r="AM97" i="1"/>
  <c r="S98" i="1"/>
  <c r="U98" i="1"/>
  <c r="AM98" i="1" s="1"/>
  <c r="S99" i="1"/>
  <c r="U99" i="1"/>
  <c r="AM99" i="1"/>
  <c r="S100" i="1"/>
  <c r="U100" i="1"/>
  <c r="AM100" i="1" s="1"/>
  <c r="AW100" i="1" s="1"/>
  <c r="AV100" i="1"/>
  <c r="S101" i="1"/>
  <c r="U101" i="1"/>
  <c r="AM101" i="1"/>
  <c r="AU101" i="1" s="1"/>
  <c r="S102" i="1"/>
  <c r="U102" i="1"/>
  <c r="AM102" i="1" s="1"/>
  <c r="S103" i="1"/>
  <c r="U103" i="1"/>
  <c r="AM103" i="1" s="1"/>
  <c r="S104" i="1"/>
  <c r="U104" i="1"/>
  <c r="AM104" i="1" s="1"/>
  <c r="S105" i="1"/>
  <c r="U105" i="1"/>
  <c r="AM105" i="1" s="1"/>
  <c r="AU105" i="1"/>
  <c r="S106" i="1"/>
  <c r="U106" i="1"/>
  <c r="AM106" i="1" s="1"/>
  <c r="S107" i="1"/>
  <c r="U107" i="1"/>
  <c r="AM107" i="1"/>
  <c r="S108" i="1"/>
  <c r="U108" i="1"/>
  <c r="AM108" i="1" s="1"/>
  <c r="S109" i="1"/>
  <c r="U109" i="1"/>
  <c r="AM109" i="1"/>
  <c r="S110" i="1"/>
  <c r="U110" i="1"/>
  <c r="AM110" i="1" s="1"/>
  <c r="AV110" i="1"/>
  <c r="S111" i="1"/>
  <c r="U111" i="1"/>
  <c r="AM111" i="1" s="1"/>
  <c r="S112" i="1"/>
  <c r="U112" i="1"/>
  <c r="AM112" i="1" s="1"/>
  <c r="S113" i="1"/>
  <c r="U113" i="1"/>
  <c r="AM113" i="1" s="1"/>
  <c r="AU113" i="1"/>
  <c r="S114" i="1"/>
  <c r="U114" i="1"/>
  <c r="AM114" i="1"/>
  <c r="S115" i="1"/>
  <c r="U115" i="1"/>
  <c r="AM115" i="1" s="1"/>
  <c r="S116" i="1"/>
  <c r="U116" i="1"/>
  <c r="AM116" i="1"/>
  <c r="AU116" i="1" s="1"/>
  <c r="S117" i="1"/>
  <c r="U117" i="1"/>
  <c r="AM117" i="1" s="1"/>
  <c r="S118" i="1"/>
  <c r="U118" i="1"/>
  <c r="AM118" i="1"/>
  <c r="S119" i="1"/>
  <c r="U119" i="1"/>
  <c r="AM119" i="1" s="1"/>
  <c r="S120" i="1"/>
  <c r="U120" i="1"/>
  <c r="AM120" i="1" s="1"/>
  <c r="AU120" i="1"/>
  <c r="S121" i="1"/>
  <c r="U121" i="1"/>
  <c r="AM121" i="1" s="1"/>
  <c r="S122" i="1"/>
  <c r="U122" i="1"/>
  <c r="AM122" i="1" s="1"/>
  <c r="S123" i="1"/>
  <c r="U123" i="1"/>
  <c r="AM123" i="1" s="1"/>
  <c r="S124" i="1"/>
  <c r="U124" i="1"/>
  <c r="AM124" i="1" s="1"/>
  <c r="S125" i="1"/>
  <c r="U125" i="1"/>
  <c r="AM125" i="1" s="1"/>
  <c r="AU125" i="1"/>
  <c r="AW125" i="1"/>
  <c r="S126" i="1"/>
  <c r="U126" i="1"/>
  <c r="AM126" i="1" s="1"/>
  <c r="AU126" i="1"/>
  <c r="S127" i="1"/>
  <c r="U127" i="1"/>
  <c r="AM127" i="1" s="1"/>
  <c r="S128" i="1"/>
  <c r="U128" i="1"/>
  <c r="AM128" i="1" s="1"/>
  <c r="S129" i="1"/>
  <c r="U129" i="1"/>
  <c r="AM129" i="1" s="1"/>
  <c r="S130" i="1"/>
  <c r="U130" i="1"/>
  <c r="AM130" i="1" s="1"/>
  <c r="AV130" i="1"/>
  <c r="S131" i="1"/>
  <c r="U131" i="1"/>
  <c r="AM131" i="1" s="1"/>
  <c r="AU131" i="1" s="1"/>
  <c r="S132" i="1"/>
  <c r="U132" i="1"/>
  <c r="AM132" i="1" s="1"/>
  <c r="S133" i="1"/>
  <c r="U133" i="1"/>
  <c r="AM133" i="1" s="1"/>
  <c r="S134" i="1"/>
  <c r="U134" i="1"/>
  <c r="AM134" i="1" s="1"/>
  <c r="S135" i="1"/>
  <c r="U135" i="1"/>
  <c r="AM135" i="1" s="1"/>
  <c r="AU135" i="1"/>
  <c r="S136" i="1"/>
  <c r="U136" i="1"/>
  <c r="AM136" i="1"/>
  <c r="AU136" i="1" s="1"/>
  <c r="S137" i="1"/>
  <c r="U137" i="1"/>
  <c r="AM137" i="1" s="1"/>
  <c r="S138" i="1"/>
  <c r="U138" i="1"/>
  <c r="AM138" i="1"/>
  <c r="S139" i="1"/>
  <c r="U139" i="1"/>
  <c r="AM139" i="1"/>
  <c r="S140" i="1"/>
  <c r="U140" i="1"/>
  <c r="AM140" i="1" s="1"/>
  <c r="AU140" i="1"/>
  <c r="S141" i="1"/>
  <c r="U141" i="1"/>
  <c r="AM141" i="1"/>
  <c r="S142" i="1"/>
  <c r="U142" i="1"/>
  <c r="AM142" i="1" s="1"/>
  <c r="S143" i="1"/>
  <c r="U143" i="1"/>
  <c r="AM143" i="1"/>
  <c r="AW143" i="1"/>
  <c r="S144" i="1"/>
  <c r="U144" i="1"/>
  <c r="AM144" i="1" s="1"/>
  <c r="S145" i="1"/>
  <c r="U145" i="1"/>
  <c r="AM145" i="1" s="1"/>
  <c r="AV145" i="1" s="1"/>
  <c r="AU145" i="1"/>
  <c r="S146" i="1"/>
  <c r="U146" i="1"/>
  <c r="AM146" i="1" s="1"/>
  <c r="S147" i="1"/>
  <c r="U147" i="1"/>
  <c r="AM147" i="1" s="1"/>
  <c r="S148" i="1"/>
  <c r="U148" i="1"/>
  <c r="AM148" i="1" s="1"/>
  <c r="S149" i="1"/>
  <c r="U149" i="1"/>
  <c r="AM149" i="1" s="1"/>
  <c r="S150" i="1"/>
  <c r="U150" i="1"/>
  <c r="AM150" i="1" s="1"/>
  <c r="S151" i="1"/>
  <c r="U151" i="1"/>
  <c r="AM151" i="1" s="1"/>
  <c r="S152" i="1"/>
  <c r="U152" i="1"/>
  <c r="AM152" i="1" s="1"/>
  <c r="S153" i="1"/>
  <c r="U153" i="1"/>
  <c r="AM153" i="1" s="1"/>
  <c r="S154" i="1"/>
  <c r="U154" i="1"/>
  <c r="AM154" i="1"/>
  <c r="AU154" i="1" s="1"/>
  <c r="S155" i="1"/>
  <c r="U155" i="1"/>
  <c r="AM155" i="1" s="1"/>
  <c r="AU155" i="1" s="1"/>
  <c r="S156" i="1"/>
  <c r="U156" i="1"/>
  <c r="AM156" i="1"/>
  <c r="S157" i="1"/>
  <c r="U157" i="1"/>
  <c r="AM157" i="1" s="1"/>
  <c r="S158" i="1"/>
  <c r="U158" i="1"/>
  <c r="AM158" i="1"/>
  <c r="S159" i="1"/>
  <c r="U159" i="1"/>
  <c r="AM159" i="1" s="1"/>
  <c r="S160" i="1"/>
  <c r="U160" i="1"/>
  <c r="AM160" i="1" s="1"/>
  <c r="AU160" i="1" s="1"/>
  <c r="S161" i="1"/>
  <c r="U161" i="1"/>
  <c r="AM161" i="1" s="1"/>
  <c r="S162" i="1"/>
  <c r="U162" i="1"/>
  <c r="AM162" i="1" s="1"/>
  <c r="S163" i="1"/>
  <c r="U163" i="1"/>
  <c r="AM163" i="1" s="1"/>
  <c r="AW163" i="1" s="1"/>
  <c r="S164" i="1"/>
  <c r="U164" i="1"/>
  <c r="AM164" i="1" s="1"/>
  <c r="S165" i="1"/>
  <c r="U165" i="1"/>
  <c r="AM165" i="1" s="1"/>
  <c r="S166" i="1"/>
  <c r="U166" i="1"/>
  <c r="AM166" i="1" s="1"/>
  <c r="S167" i="1"/>
  <c r="U167" i="1"/>
  <c r="AM167" i="1"/>
  <c r="S168" i="1"/>
  <c r="U168" i="1"/>
  <c r="AM168" i="1" s="1"/>
  <c r="S169" i="1"/>
  <c r="U169" i="1"/>
  <c r="AM169" i="1" s="1"/>
  <c r="S170" i="1"/>
  <c r="U170" i="1"/>
  <c r="AM170" i="1" s="1"/>
  <c r="AV170" i="1"/>
  <c r="S171" i="1"/>
  <c r="U171" i="1"/>
  <c r="AM171" i="1" s="1"/>
  <c r="S172" i="1"/>
  <c r="U172" i="1"/>
  <c r="AM172" i="1" s="1"/>
  <c r="S173" i="1"/>
  <c r="U173" i="1"/>
  <c r="AM173" i="1"/>
  <c r="AW173" i="1" s="1"/>
  <c r="S174" i="1"/>
  <c r="U174" i="1"/>
  <c r="AM174" i="1"/>
  <c r="AW174" i="1" s="1"/>
  <c r="S175" i="1"/>
  <c r="U175" i="1"/>
  <c r="AM175" i="1" s="1"/>
  <c r="S176" i="1"/>
  <c r="U176" i="1"/>
  <c r="AM176" i="1"/>
  <c r="S177" i="1"/>
  <c r="U177" i="1"/>
  <c r="AM177" i="1"/>
  <c r="S178" i="1"/>
  <c r="U178" i="1"/>
  <c r="AM178" i="1" s="1"/>
  <c r="S179" i="1"/>
  <c r="U179" i="1"/>
  <c r="AM179" i="1" s="1"/>
  <c r="S180" i="1"/>
  <c r="U180" i="1"/>
  <c r="AM180" i="1" s="1"/>
  <c r="AW180" i="1"/>
  <c r="AV180" i="1"/>
  <c r="S181" i="1"/>
  <c r="U181" i="1"/>
  <c r="AM181" i="1"/>
  <c r="AW181" i="1"/>
  <c r="S182" i="1"/>
  <c r="U182" i="1"/>
  <c r="AM182" i="1"/>
  <c r="S183" i="1"/>
  <c r="U183" i="1"/>
  <c r="AM183" i="1"/>
  <c r="S184" i="1"/>
  <c r="U184" i="1"/>
  <c r="AM184" i="1"/>
  <c r="AW184" i="1" s="1"/>
  <c r="S185" i="1"/>
  <c r="U185" i="1"/>
  <c r="AM185" i="1" s="1"/>
  <c r="S186" i="1"/>
  <c r="U186" i="1"/>
  <c r="AM186" i="1" s="1"/>
  <c r="S187" i="1"/>
  <c r="U187" i="1"/>
  <c r="AM187" i="1"/>
  <c r="AU187" i="1"/>
  <c r="S188" i="1"/>
  <c r="U188" i="1"/>
  <c r="AM188" i="1" s="1"/>
  <c r="S189" i="1"/>
  <c r="U189" i="1"/>
  <c r="AM189" i="1" s="1"/>
  <c r="S190" i="1"/>
  <c r="U190" i="1"/>
  <c r="AM190" i="1" s="1"/>
  <c r="S191" i="1"/>
  <c r="U191" i="1"/>
  <c r="AM191" i="1" s="1"/>
  <c r="S192" i="1"/>
  <c r="U192" i="1"/>
  <c r="AM192" i="1"/>
  <c r="S193" i="1"/>
  <c r="U193" i="1"/>
  <c r="AM193" i="1"/>
  <c r="S194" i="1"/>
  <c r="U194" i="1"/>
  <c r="AM194" i="1"/>
  <c r="AW194" i="1" s="1"/>
  <c r="S195" i="1"/>
  <c r="U195" i="1"/>
  <c r="AM195" i="1"/>
  <c r="S196" i="1"/>
  <c r="U196" i="1"/>
  <c r="AM196" i="1" s="1"/>
  <c r="S197" i="1"/>
  <c r="U197" i="1"/>
  <c r="AM197" i="1"/>
  <c r="S198" i="1"/>
  <c r="U198" i="1"/>
  <c r="AM198" i="1" s="1"/>
  <c r="S199" i="1"/>
  <c r="U199" i="1"/>
  <c r="AM199" i="1"/>
  <c r="AW199" i="1" s="1"/>
  <c r="S200" i="1"/>
  <c r="U200" i="1"/>
  <c r="AM200" i="1" s="1"/>
  <c r="S201" i="1"/>
  <c r="U201" i="1"/>
  <c r="AM201" i="1" s="1"/>
  <c r="S202" i="1"/>
  <c r="U202" i="1"/>
  <c r="AM202" i="1" s="1"/>
  <c r="AU202" i="1" s="1"/>
  <c r="S203" i="1"/>
  <c r="U203" i="1"/>
  <c r="AM203" i="1" s="1"/>
  <c r="S204" i="1"/>
  <c r="U204" i="1"/>
  <c r="AM204" i="1" s="1"/>
  <c r="AW204" i="1" s="1"/>
  <c r="S205" i="1"/>
  <c r="U205" i="1"/>
  <c r="AM205" i="1" s="1"/>
  <c r="S206" i="1"/>
  <c r="U206" i="1"/>
  <c r="AM206" i="1" s="1"/>
  <c r="S207" i="1"/>
  <c r="U207" i="1"/>
  <c r="AM207" i="1" s="1"/>
  <c r="S208" i="1"/>
  <c r="U208" i="1"/>
  <c r="AM208" i="1" s="1"/>
  <c r="S209" i="1"/>
  <c r="U209" i="1"/>
  <c r="AM209" i="1" s="1"/>
  <c r="S210" i="1"/>
  <c r="U210" i="1"/>
  <c r="AM210" i="1" s="1"/>
  <c r="S211" i="1"/>
  <c r="U211" i="1"/>
  <c r="AM211" i="1" s="1"/>
  <c r="S212" i="1"/>
  <c r="U212" i="1"/>
  <c r="AM212" i="1" s="1"/>
  <c r="S213" i="1"/>
  <c r="U213" i="1"/>
  <c r="AM213" i="1"/>
  <c r="S214" i="1"/>
  <c r="U214" i="1"/>
  <c r="AM214" i="1" s="1"/>
  <c r="AW214" i="1" s="1"/>
  <c r="S215" i="1"/>
  <c r="U215" i="1"/>
  <c r="AM215" i="1"/>
  <c r="S216" i="1"/>
  <c r="U216" i="1"/>
  <c r="AM216" i="1" s="1"/>
  <c r="AU216" i="1"/>
  <c r="S217" i="1"/>
  <c r="U217" i="1"/>
  <c r="AM217" i="1"/>
  <c r="AU217" i="1"/>
  <c r="S218" i="1"/>
  <c r="U218" i="1"/>
  <c r="AM218" i="1"/>
  <c r="S219" i="1"/>
  <c r="U219" i="1"/>
  <c r="AM219" i="1" s="1"/>
  <c r="S220" i="1"/>
  <c r="U220" i="1"/>
  <c r="AM220" i="1"/>
  <c r="S221" i="1"/>
  <c r="U221" i="1"/>
  <c r="AM221" i="1" s="1"/>
  <c r="S222" i="1"/>
  <c r="U222" i="1"/>
  <c r="AM222" i="1"/>
  <c r="AU222" i="1" s="1"/>
  <c r="S223" i="1"/>
  <c r="U223" i="1"/>
  <c r="AM223" i="1" s="1"/>
  <c r="S224" i="1"/>
  <c r="U224" i="1"/>
  <c r="AM224" i="1" s="1"/>
  <c r="S225" i="1"/>
  <c r="U225" i="1"/>
  <c r="AM225" i="1" s="1"/>
  <c r="S226" i="1"/>
  <c r="U226" i="1"/>
  <c r="AM226" i="1" s="1"/>
  <c r="S227" i="1"/>
  <c r="U227" i="1"/>
  <c r="AM227" i="1" s="1"/>
  <c r="S228" i="1"/>
  <c r="U228" i="1"/>
  <c r="AM228" i="1" s="1"/>
  <c r="S229" i="1"/>
  <c r="U229" i="1"/>
  <c r="AM229" i="1"/>
  <c r="S230" i="1"/>
  <c r="U230" i="1"/>
  <c r="AM230" i="1"/>
  <c r="S231" i="1"/>
  <c r="U231" i="1"/>
  <c r="AM231" i="1" s="1"/>
  <c r="S232" i="1"/>
  <c r="U232" i="1"/>
  <c r="AM232" i="1" s="1"/>
  <c r="S233" i="1"/>
  <c r="U233" i="1"/>
  <c r="AM233" i="1" s="1"/>
  <c r="S234" i="1"/>
  <c r="U234" i="1"/>
  <c r="AM234" i="1"/>
  <c r="S235" i="1"/>
  <c r="U235" i="1"/>
  <c r="AM235" i="1"/>
  <c r="S236" i="1"/>
  <c r="U236" i="1"/>
  <c r="AM236" i="1" s="1"/>
  <c r="AU236" i="1"/>
  <c r="S237" i="1"/>
  <c r="U237" i="1"/>
  <c r="AM237" i="1"/>
  <c r="AU237" i="1"/>
  <c r="AV237" i="1"/>
  <c r="S238" i="1"/>
  <c r="U238" i="1"/>
  <c r="AM238" i="1" s="1"/>
  <c r="S239" i="1"/>
  <c r="U239" i="1"/>
  <c r="AM239" i="1"/>
  <c r="S240" i="1"/>
  <c r="U240" i="1"/>
  <c r="AM240" i="1" s="1"/>
  <c r="S241" i="1"/>
  <c r="U241" i="1"/>
  <c r="AM241" i="1" s="1"/>
  <c r="S242" i="1"/>
  <c r="U242" i="1"/>
  <c r="AM242" i="1" s="1"/>
  <c r="AU242" i="1" s="1"/>
  <c r="S243" i="1"/>
  <c r="U243" i="1"/>
  <c r="AM243" i="1"/>
  <c r="S244" i="1"/>
  <c r="U244" i="1"/>
  <c r="AM244" i="1"/>
  <c r="S245" i="1"/>
  <c r="U245" i="1"/>
  <c r="AM245" i="1" s="1"/>
  <c r="S246" i="1"/>
  <c r="U246" i="1"/>
  <c r="AM246" i="1" s="1"/>
  <c r="S247" i="1"/>
  <c r="U247" i="1"/>
  <c r="AM247" i="1" s="1"/>
  <c r="S248" i="1"/>
  <c r="U248" i="1"/>
  <c r="AM248" i="1"/>
  <c r="S249" i="1"/>
  <c r="U249" i="1"/>
  <c r="AM249" i="1" s="1"/>
  <c r="S250" i="1"/>
  <c r="U250" i="1"/>
  <c r="AM250" i="1" s="1"/>
  <c r="AU250" i="1"/>
  <c r="S251" i="1"/>
  <c r="U251" i="1"/>
  <c r="AM251" i="1" s="1"/>
  <c r="S252" i="1"/>
  <c r="U252" i="1"/>
  <c r="AM252" i="1" s="1"/>
  <c r="S253" i="1"/>
  <c r="U253" i="1"/>
  <c r="AM253" i="1" s="1"/>
  <c r="S254" i="1"/>
  <c r="U254" i="1"/>
  <c r="AM254" i="1"/>
  <c r="S255" i="1"/>
  <c r="U255" i="1"/>
  <c r="AM255" i="1" s="1"/>
  <c r="AU255" i="1"/>
  <c r="S256" i="1"/>
  <c r="U256" i="1"/>
  <c r="AM256" i="1" s="1"/>
  <c r="S257" i="1"/>
  <c r="U257" i="1"/>
  <c r="AM257" i="1" s="1"/>
  <c r="S258" i="1"/>
  <c r="U258" i="1"/>
  <c r="AM258" i="1"/>
  <c r="S259" i="1"/>
  <c r="U259" i="1"/>
  <c r="AM259" i="1" s="1"/>
  <c r="S260" i="1"/>
  <c r="U260" i="1"/>
  <c r="AM260" i="1" s="1"/>
  <c r="AU260" i="1"/>
  <c r="S261" i="1"/>
  <c r="U261" i="1"/>
  <c r="AM261" i="1" s="1"/>
  <c r="S262" i="1"/>
  <c r="U262" i="1"/>
  <c r="AM262" i="1" s="1"/>
  <c r="S263" i="1"/>
  <c r="U263" i="1"/>
  <c r="AM263" i="1"/>
  <c r="S264" i="1"/>
  <c r="U264" i="1"/>
  <c r="AM264" i="1"/>
  <c r="S265" i="1"/>
  <c r="U265" i="1"/>
  <c r="AM265" i="1" s="1"/>
  <c r="S266" i="1"/>
  <c r="U266" i="1"/>
  <c r="AM266" i="1" s="1"/>
  <c r="S267" i="1"/>
  <c r="U267" i="1"/>
  <c r="AM267" i="1" s="1"/>
  <c r="S268" i="1"/>
  <c r="U268" i="1"/>
  <c r="AM268" i="1"/>
  <c r="S269" i="1"/>
  <c r="U269" i="1"/>
  <c r="AM269" i="1"/>
  <c r="S270" i="1"/>
  <c r="U270" i="1"/>
  <c r="AM270" i="1" s="1"/>
  <c r="AU270" i="1"/>
  <c r="S271" i="1"/>
  <c r="U271" i="1"/>
  <c r="AM271" i="1" s="1"/>
  <c r="S272" i="1"/>
  <c r="U272" i="1"/>
  <c r="AM272" i="1" s="1"/>
  <c r="AV272" i="1"/>
  <c r="S273" i="1"/>
  <c r="U273" i="1"/>
  <c r="AM273" i="1" s="1"/>
  <c r="S274" i="1"/>
  <c r="U274" i="1"/>
  <c r="AM274" i="1" s="1"/>
  <c r="S275" i="1"/>
  <c r="U275" i="1"/>
  <c r="AM275" i="1" s="1"/>
  <c r="S276" i="1"/>
  <c r="U276" i="1"/>
  <c r="AM276" i="1"/>
  <c r="S277" i="1"/>
  <c r="U277" i="1"/>
  <c r="AM277" i="1"/>
  <c r="AU277" i="1"/>
  <c r="S278" i="1"/>
  <c r="U278" i="1"/>
  <c r="AM278" i="1" s="1"/>
  <c r="S279" i="1"/>
  <c r="U279" i="1"/>
  <c r="AM279" i="1" s="1"/>
  <c r="S280" i="1"/>
  <c r="U280" i="1"/>
  <c r="AM280" i="1"/>
  <c r="S281" i="1"/>
  <c r="U281" i="1"/>
  <c r="AM281" i="1" s="1"/>
  <c r="S282" i="1"/>
  <c r="U282" i="1"/>
  <c r="AM282" i="1" s="1"/>
  <c r="S283" i="1"/>
  <c r="U283" i="1"/>
  <c r="AM283" i="1" s="1"/>
  <c r="S284" i="1"/>
  <c r="U284" i="1"/>
  <c r="AM284" i="1" s="1"/>
  <c r="S285" i="1"/>
  <c r="U285" i="1"/>
  <c r="AM285" i="1" s="1"/>
  <c r="S286" i="1"/>
  <c r="U286" i="1"/>
  <c r="AM286" i="1"/>
  <c r="S287" i="1"/>
  <c r="U287" i="1"/>
  <c r="AM287" i="1" s="1"/>
  <c r="S288" i="1"/>
  <c r="U288" i="1"/>
  <c r="AM288" i="1" s="1"/>
  <c r="S289" i="1"/>
  <c r="U289" i="1"/>
  <c r="AM289" i="1"/>
  <c r="S290" i="1"/>
  <c r="U290" i="1"/>
  <c r="AM290" i="1" s="1"/>
  <c r="AU290" i="1"/>
  <c r="S291" i="1"/>
  <c r="U291" i="1"/>
  <c r="AM291" i="1" s="1"/>
  <c r="S292" i="1"/>
  <c r="U292" i="1"/>
  <c r="AM292" i="1" s="1"/>
  <c r="S293" i="1"/>
  <c r="U293" i="1"/>
  <c r="AM293" i="1"/>
  <c r="S294" i="1"/>
  <c r="U294" i="1"/>
  <c r="AM294" i="1" s="1"/>
  <c r="S295" i="1"/>
  <c r="U295" i="1"/>
  <c r="AM295" i="1" s="1"/>
  <c r="S296" i="1"/>
  <c r="U296" i="1"/>
  <c r="AM296" i="1" s="1"/>
  <c r="AV296" i="1" s="1"/>
  <c r="S297" i="1"/>
  <c r="U297" i="1"/>
  <c r="AM297" i="1" s="1"/>
  <c r="S298" i="1"/>
  <c r="U298" i="1"/>
  <c r="AM298" i="1"/>
  <c r="S299" i="1"/>
  <c r="U299" i="1"/>
  <c r="AM299" i="1" s="1"/>
  <c r="S300" i="1"/>
  <c r="U300" i="1"/>
  <c r="AM300" i="1" s="1"/>
  <c r="S301" i="1"/>
  <c r="U301" i="1"/>
  <c r="AM301" i="1" s="1"/>
  <c r="AU301" i="1"/>
  <c r="S302" i="1"/>
  <c r="U302" i="1"/>
  <c r="AM302" i="1" s="1"/>
  <c r="AU302" i="1" s="1"/>
  <c r="S303" i="1"/>
  <c r="U303" i="1"/>
  <c r="AM303" i="1" s="1"/>
  <c r="S304" i="1"/>
  <c r="U304" i="1"/>
  <c r="AM304" i="1" s="1"/>
  <c r="S305" i="1"/>
  <c r="U305" i="1"/>
  <c r="AM305" i="1" s="1"/>
  <c r="S306" i="1"/>
  <c r="U306" i="1"/>
  <c r="AM306" i="1" s="1"/>
  <c r="S307" i="1"/>
  <c r="U307" i="1"/>
  <c r="AM307" i="1"/>
  <c r="S308" i="1"/>
  <c r="U308" i="1"/>
  <c r="AM308" i="1" s="1"/>
  <c r="S309" i="1"/>
  <c r="U309" i="1"/>
  <c r="AM309" i="1" s="1"/>
  <c r="S310" i="1"/>
  <c r="U310" i="1"/>
  <c r="AM310" i="1" s="1"/>
  <c r="S311" i="1"/>
  <c r="U311" i="1"/>
  <c r="AM311" i="1" s="1"/>
  <c r="S312" i="1"/>
  <c r="U312" i="1"/>
  <c r="AM312" i="1" s="1"/>
  <c r="S313" i="1"/>
  <c r="U313" i="1"/>
  <c r="AM313" i="1"/>
  <c r="S314" i="1"/>
  <c r="U314" i="1"/>
  <c r="AM314" i="1" s="1"/>
  <c r="S315" i="1"/>
  <c r="U315" i="1"/>
  <c r="AM315" i="1" s="1"/>
  <c r="S316" i="1"/>
  <c r="U316" i="1"/>
  <c r="AM316" i="1" s="1"/>
  <c r="S317" i="1"/>
  <c r="U317" i="1"/>
  <c r="AM317" i="1"/>
  <c r="AU317" i="1" s="1"/>
  <c r="S318" i="1"/>
  <c r="U318" i="1"/>
  <c r="AM318" i="1" s="1"/>
  <c r="S319" i="1"/>
  <c r="U319" i="1"/>
  <c r="AM319" i="1" s="1"/>
  <c r="S320" i="1"/>
  <c r="U320" i="1"/>
  <c r="AM320" i="1" s="1"/>
  <c r="S321" i="1"/>
  <c r="U321" i="1"/>
  <c r="AM321" i="1" s="1"/>
  <c r="AU321" i="1"/>
  <c r="S322" i="1"/>
  <c r="U322" i="1"/>
  <c r="AM322" i="1"/>
  <c r="S323" i="1"/>
  <c r="U323" i="1"/>
  <c r="AM323" i="1" s="1"/>
  <c r="S324" i="1"/>
  <c r="U324" i="1"/>
  <c r="AM324" i="1" s="1"/>
  <c r="S325" i="1"/>
  <c r="U325" i="1"/>
  <c r="AM325" i="1" s="1"/>
  <c r="S326" i="1"/>
  <c r="U326" i="1"/>
  <c r="AM326" i="1" s="1"/>
  <c r="S327" i="1"/>
  <c r="U327" i="1"/>
  <c r="AM327" i="1" s="1"/>
  <c r="AU327" i="1" s="1"/>
  <c r="S328" i="1"/>
  <c r="U328" i="1"/>
  <c r="AM328" i="1" s="1"/>
  <c r="S329" i="1"/>
  <c r="U329" i="1"/>
  <c r="AM329" i="1" s="1"/>
  <c r="S330" i="1"/>
  <c r="U330" i="1"/>
  <c r="AM330" i="1" s="1"/>
  <c r="S331" i="1"/>
  <c r="U331" i="1"/>
  <c r="AM331" i="1" s="1"/>
  <c r="AV331" i="1" s="1"/>
  <c r="S332" i="1"/>
  <c r="U332" i="1"/>
  <c r="AM332" i="1" s="1"/>
  <c r="S333" i="1"/>
  <c r="U333" i="1"/>
  <c r="AM333" i="1" s="1"/>
  <c r="S334" i="1"/>
  <c r="U334" i="1"/>
  <c r="AM334" i="1" s="1"/>
  <c r="AU334" i="1"/>
  <c r="S335" i="1"/>
  <c r="U335" i="1"/>
  <c r="AM335" i="1" s="1"/>
  <c r="S336" i="1"/>
  <c r="U336" i="1"/>
  <c r="AM336" i="1" s="1"/>
  <c r="AU336" i="1"/>
  <c r="S337" i="1"/>
  <c r="U337" i="1"/>
  <c r="AM337" i="1" s="1"/>
  <c r="AU337" i="1" s="1"/>
  <c r="S338" i="1"/>
  <c r="U338" i="1"/>
  <c r="AM338" i="1"/>
  <c r="S339" i="1"/>
  <c r="U339" i="1"/>
  <c r="AM339" i="1" s="1"/>
  <c r="S340" i="1"/>
  <c r="U340" i="1"/>
  <c r="AM340" i="1" s="1"/>
  <c r="S341" i="1"/>
  <c r="U341" i="1"/>
  <c r="AM341" i="1"/>
  <c r="AV341" i="1" s="1"/>
  <c r="S342" i="1"/>
  <c r="U342" i="1"/>
  <c r="AM342" i="1" s="1"/>
  <c r="AV342" i="1"/>
  <c r="S343" i="1"/>
  <c r="U343" i="1"/>
  <c r="AM343" i="1" s="1"/>
  <c r="S344" i="1"/>
  <c r="U344" i="1"/>
  <c r="AM344" i="1" s="1"/>
  <c r="S345" i="1"/>
  <c r="U345" i="1"/>
  <c r="AM345" i="1" s="1"/>
  <c r="S346" i="1"/>
  <c r="U346" i="1"/>
  <c r="AM346" i="1"/>
  <c r="AV346" i="1" s="1"/>
  <c r="S347" i="1"/>
  <c r="U347" i="1"/>
  <c r="AM347" i="1" s="1"/>
  <c r="S348" i="1"/>
  <c r="U348" i="1"/>
  <c r="AM348" i="1" s="1"/>
  <c r="S349" i="1"/>
  <c r="U349" i="1"/>
  <c r="AM349" i="1" s="1"/>
  <c r="S350" i="1"/>
  <c r="U350" i="1"/>
  <c r="AM350" i="1" s="1"/>
  <c r="S351" i="1"/>
  <c r="U351" i="1"/>
  <c r="AM351" i="1" s="1"/>
  <c r="AV351" i="1" s="1"/>
  <c r="S352" i="1"/>
  <c r="U352" i="1"/>
  <c r="AM352" i="1"/>
  <c r="AV352" i="1" s="1"/>
  <c r="S353" i="1"/>
  <c r="U353" i="1"/>
  <c r="AM353" i="1"/>
  <c r="S354" i="1"/>
  <c r="U354" i="1"/>
  <c r="AM354" i="1" s="1"/>
  <c r="S355" i="1"/>
  <c r="U355" i="1"/>
  <c r="AM355" i="1" s="1"/>
  <c r="S356" i="1"/>
  <c r="U356" i="1"/>
  <c r="AM356" i="1"/>
  <c r="S357" i="1"/>
  <c r="U357" i="1"/>
  <c r="AM357" i="1" s="1"/>
  <c r="S358" i="1"/>
  <c r="U358" i="1"/>
  <c r="AM358" i="1" s="1"/>
  <c r="S359" i="1"/>
  <c r="U359" i="1"/>
  <c r="AM359" i="1" s="1"/>
  <c r="S360" i="1"/>
  <c r="U360" i="1"/>
  <c r="AM360" i="1" s="1"/>
  <c r="S361" i="1"/>
  <c r="U361" i="1"/>
  <c r="AM361" i="1" s="1"/>
  <c r="AV361" i="1" s="1"/>
  <c r="S362" i="1"/>
  <c r="U362" i="1"/>
  <c r="AM362" i="1" s="1"/>
  <c r="S363" i="1"/>
  <c r="U363" i="1"/>
  <c r="AM363" i="1" s="1"/>
  <c r="S364" i="1"/>
  <c r="U364" i="1"/>
  <c r="AM364" i="1" s="1"/>
  <c r="S365" i="1"/>
  <c r="U365" i="1"/>
  <c r="AM365" i="1" s="1"/>
  <c r="S366" i="1"/>
  <c r="U366" i="1"/>
  <c r="AM366" i="1" s="1"/>
  <c r="S367" i="1"/>
  <c r="U367" i="1"/>
  <c r="AM367" i="1" s="1"/>
  <c r="S368" i="1"/>
  <c r="U368" i="1"/>
  <c r="AM368" i="1" s="1"/>
  <c r="S369" i="1"/>
  <c r="U369" i="1"/>
  <c r="AM369" i="1" s="1"/>
  <c r="S370" i="1"/>
  <c r="U370" i="1"/>
  <c r="AM370" i="1" s="1"/>
  <c r="AU370" i="1"/>
  <c r="S371" i="1"/>
  <c r="U371" i="1"/>
  <c r="AM371" i="1" s="1"/>
  <c r="S372" i="1"/>
  <c r="U372" i="1"/>
  <c r="AM372" i="1" s="1"/>
  <c r="S373" i="1"/>
  <c r="U373" i="1"/>
  <c r="AM373" i="1" s="1"/>
  <c r="S374" i="1"/>
  <c r="U374" i="1"/>
  <c r="AM374" i="1" s="1"/>
  <c r="AV374" i="1"/>
  <c r="S375" i="1"/>
  <c r="U375" i="1"/>
  <c r="AM375" i="1" s="1"/>
  <c r="S376" i="1"/>
  <c r="U376" i="1"/>
  <c r="AM376" i="1" s="1"/>
  <c r="S377" i="1"/>
  <c r="U377" i="1"/>
  <c r="AM377" i="1" s="1"/>
  <c r="S378" i="1"/>
  <c r="U378" i="1"/>
  <c r="AM378" i="1" s="1"/>
  <c r="S379" i="1"/>
  <c r="U379" i="1"/>
  <c r="AM379" i="1" s="1"/>
  <c r="S380" i="1"/>
  <c r="U380" i="1"/>
  <c r="AM380" i="1" s="1"/>
  <c r="S381" i="1"/>
  <c r="U381" i="1"/>
  <c r="AM381" i="1" s="1"/>
  <c r="AU381" i="1"/>
  <c r="S382" i="1"/>
  <c r="U382" i="1"/>
  <c r="AM382" i="1" s="1"/>
  <c r="S383" i="1"/>
  <c r="U383" i="1"/>
  <c r="AM383" i="1" s="1"/>
  <c r="S384" i="1"/>
  <c r="U384" i="1"/>
  <c r="AM384" i="1" s="1"/>
  <c r="AV384" i="1"/>
  <c r="S385" i="1"/>
  <c r="U385" i="1"/>
  <c r="AM385" i="1" s="1"/>
  <c r="S386" i="1"/>
  <c r="U386" i="1"/>
  <c r="AM386" i="1" s="1"/>
  <c r="AV386" i="1"/>
  <c r="S387" i="1"/>
  <c r="U387" i="1"/>
  <c r="AM387" i="1"/>
  <c r="AW387" i="1" s="1"/>
  <c r="S388" i="1"/>
  <c r="U388" i="1"/>
  <c r="AM388" i="1" s="1"/>
  <c r="S389" i="1"/>
  <c r="U389" i="1"/>
  <c r="AM389" i="1" s="1"/>
  <c r="AV389" i="1"/>
  <c r="S390" i="1"/>
  <c r="U390" i="1"/>
  <c r="AM390" i="1"/>
  <c r="S391" i="1"/>
  <c r="U391" i="1"/>
  <c r="AM391" i="1" s="1"/>
  <c r="S392" i="1"/>
  <c r="U392" i="1"/>
  <c r="AM392" i="1" s="1"/>
  <c r="S393" i="1"/>
  <c r="U393" i="1"/>
  <c r="AM393" i="1" s="1"/>
  <c r="S394" i="1"/>
  <c r="U394" i="1"/>
  <c r="AM394" i="1" s="1"/>
  <c r="AV394" i="1"/>
  <c r="S395" i="1"/>
  <c r="U395" i="1"/>
  <c r="AM395" i="1" s="1"/>
  <c r="AV395" i="1"/>
  <c r="S396" i="1"/>
  <c r="U396" i="1"/>
  <c r="AM396" i="1" s="1"/>
  <c r="S397" i="1"/>
  <c r="U397" i="1"/>
  <c r="AM397" i="1" s="1"/>
  <c r="S398" i="1"/>
  <c r="U398" i="1"/>
  <c r="AM398" i="1" s="1"/>
  <c r="S399" i="1"/>
  <c r="U399" i="1"/>
  <c r="AM399" i="1" s="1"/>
  <c r="AV399" i="1"/>
  <c r="S400" i="1"/>
  <c r="U400" i="1"/>
  <c r="AM400" i="1" s="1"/>
  <c r="S401" i="1"/>
  <c r="U401" i="1"/>
  <c r="AM401" i="1" s="1"/>
  <c r="S402" i="1"/>
  <c r="U402" i="1"/>
  <c r="AM402" i="1" s="1"/>
  <c r="S403" i="1"/>
  <c r="U403" i="1"/>
  <c r="AM403" i="1" s="1"/>
  <c r="S404" i="1"/>
  <c r="U404" i="1"/>
  <c r="AM404" i="1" s="1"/>
  <c r="S405" i="1"/>
  <c r="U405" i="1"/>
  <c r="AM405" i="1" s="1"/>
  <c r="AU405" i="1" s="1"/>
  <c r="S406" i="1"/>
  <c r="U406" i="1"/>
  <c r="AM406" i="1" s="1"/>
  <c r="AV406" i="1"/>
  <c r="S407" i="1"/>
  <c r="U407" i="1"/>
  <c r="AM407" i="1" s="1"/>
  <c r="AU407" i="1" s="1"/>
  <c r="S408" i="1"/>
  <c r="U408" i="1"/>
  <c r="AM408" i="1"/>
  <c r="S409" i="1"/>
  <c r="U409" i="1"/>
  <c r="AM409" i="1"/>
  <c r="S410" i="1"/>
  <c r="U410" i="1"/>
  <c r="AM410" i="1" s="1"/>
  <c r="S411" i="1"/>
  <c r="U411" i="1"/>
  <c r="AM411" i="1"/>
  <c r="AV411" i="1" s="1"/>
  <c r="S412" i="1"/>
  <c r="U412" i="1"/>
  <c r="AM412" i="1"/>
  <c r="S413" i="1"/>
  <c r="U413" i="1"/>
  <c r="AM413" i="1" s="1"/>
  <c r="S414" i="1"/>
  <c r="U414" i="1"/>
  <c r="AM414" i="1"/>
  <c r="S415" i="1"/>
  <c r="U415" i="1"/>
  <c r="AM415" i="1" s="1"/>
  <c r="S416" i="1"/>
  <c r="U416" i="1"/>
  <c r="AM416" i="1"/>
  <c r="S417" i="1"/>
  <c r="U417" i="1"/>
  <c r="AM417" i="1" s="1"/>
  <c r="S418" i="1"/>
  <c r="U418" i="1"/>
  <c r="AM418" i="1" s="1"/>
  <c r="S419" i="1"/>
  <c r="U419" i="1"/>
  <c r="AM419" i="1" s="1"/>
  <c r="S420" i="1"/>
  <c r="U420" i="1"/>
  <c r="AM420" i="1"/>
  <c r="S421" i="1"/>
  <c r="U421" i="1"/>
  <c r="AM421" i="1" s="1"/>
  <c r="AV421" i="1" s="1"/>
  <c r="S422" i="1"/>
  <c r="U422" i="1"/>
  <c r="AM422" i="1"/>
  <c r="AW422" i="1" s="1"/>
  <c r="S423" i="1"/>
  <c r="U423" i="1"/>
  <c r="AM423" i="1" s="1"/>
  <c r="AV423" i="1" s="1"/>
  <c r="S424" i="1"/>
  <c r="U424" i="1"/>
  <c r="AM424" i="1" s="1"/>
  <c r="AV424" i="1"/>
  <c r="S425" i="1"/>
  <c r="U425" i="1"/>
  <c r="AM425" i="1" s="1"/>
  <c r="S426" i="1"/>
  <c r="U426" i="1"/>
  <c r="AM426" i="1" s="1"/>
  <c r="AV426" i="1"/>
  <c r="S427" i="1"/>
  <c r="U427" i="1"/>
  <c r="AM427" i="1" s="1"/>
  <c r="S428" i="1"/>
  <c r="U428" i="1"/>
  <c r="AM428" i="1" s="1"/>
  <c r="S429" i="1"/>
  <c r="U429" i="1"/>
  <c r="AM429" i="1" s="1"/>
  <c r="AU429" i="1"/>
  <c r="S430" i="1"/>
  <c r="U430" i="1"/>
  <c r="AM430" i="1"/>
  <c r="AW430" i="1" s="1"/>
  <c r="S431" i="1"/>
  <c r="U431" i="1"/>
  <c r="AM431" i="1" s="1"/>
  <c r="S432" i="1"/>
  <c r="U432" i="1"/>
  <c r="AM432" i="1" s="1"/>
  <c r="S433" i="1"/>
  <c r="U433" i="1"/>
  <c r="AM433" i="1" s="1"/>
  <c r="S434" i="1"/>
  <c r="U434" i="1"/>
  <c r="AM434" i="1" s="1"/>
  <c r="S435" i="1"/>
  <c r="U435" i="1"/>
  <c r="AM435" i="1" s="1"/>
  <c r="S436" i="1"/>
  <c r="U436" i="1"/>
  <c r="AM436" i="1" s="1"/>
  <c r="S437" i="1"/>
  <c r="U437" i="1"/>
  <c r="AM437" i="1" s="1"/>
  <c r="S438" i="1"/>
  <c r="U438" i="1"/>
  <c r="AM438" i="1" s="1"/>
  <c r="S439" i="1"/>
  <c r="U439" i="1"/>
  <c r="AM439" i="1" s="1"/>
  <c r="AU439" i="1"/>
  <c r="S440" i="1"/>
  <c r="U440" i="1"/>
  <c r="AM440" i="1" s="1"/>
  <c r="S441" i="1"/>
  <c r="U441" i="1"/>
  <c r="AM441" i="1" s="1"/>
  <c r="S442" i="1"/>
  <c r="U442" i="1"/>
  <c r="AM442" i="1" s="1"/>
  <c r="S443" i="1"/>
  <c r="U443" i="1"/>
  <c r="AM443" i="1" s="1"/>
  <c r="S444" i="1"/>
  <c r="U444" i="1"/>
  <c r="AM444" i="1" s="1"/>
  <c r="S445" i="1"/>
  <c r="U445" i="1"/>
  <c r="AM445" i="1" s="1"/>
  <c r="S446" i="1"/>
  <c r="U446" i="1"/>
  <c r="AM446" i="1" s="1"/>
  <c r="S447" i="1"/>
  <c r="U447" i="1"/>
  <c r="AM447" i="1" s="1"/>
  <c r="S448" i="1"/>
  <c r="U448" i="1"/>
  <c r="AM448" i="1" s="1"/>
  <c r="AV448" i="1" s="1"/>
  <c r="S449" i="1"/>
  <c r="U449" i="1"/>
  <c r="AM449" i="1" s="1"/>
  <c r="S450" i="1"/>
  <c r="U450" i="1"/>
  <c r="AM450" i="1"/>
  <c r="S451" i="1"/>
  <c r="U451" i="1"/>
  <c r="AM451" i="1" s="1"/>
  <c r="S452" i="1"/>
  <c r="U452" i="1"/>
  <c r="AM452" i="1" s="1"/>
  <c r="S453" i="1"/>
  <c r="U453" i="1"/>
  <c r="AM453" i="1" s="1"/>
  <c r="AV453" i="1" s="1"/>
  <c r="S454" i="1"/>
  <c r="U454" i="1"/>
  <c r="AM454" i="1" s="1"/>
  <c r="S455" i="1"/>
  <c r="U455" i="1"/>
  <c r="AM455" i="1" s="1"/>
  <c r="AU455" i="1" s="1"/>
  <c r="S456" i="1"/>
  <c r="U456" i="1"/>
  <c r="AM456" i="1" s="1"/>
  <c r="S457" i="1"/>
  <c r="U457" i="1"/>
  <c r="AM457" i="1"/>
  <c r="S458" i="1"/>
  <c r="U458" i="1"/>
  <c r="AM458" i="1" s="1"/>
  <c r="S459" i="1"/>
  <c r="U459" i="1"/>
  <c r="AM459" i="1" s="1"/>
  <c r="S460" i="1"/>
  <c r="U460" i="1"/>
  <c r="AM460" i="1"/>
  <c r="AU460" i="1" s="1"/>
  <c r="S461" i="1"/>
  <c r="U461" i="1"/>
  <c r="AM461" i="1" s="1"/>
  <c r="S462" i="1"/>
  <c r="U462" i="1"/>
  <c r="AM462" i="1"/>
  <c r="S463" i="1"/>
  <c r="U463" i="1"/>
  <c r="AM463" i="1" s="1"/>
  <c r="S464" i="1"/>
  <c r="U464" i="1"/>
  <c r="AM464" i="1" s="1"/>
  <c r="S465" i="1"/>
  <c r="U465" i="1"/>
  <c r="AM465" i="1" s="1"/>
  <c r="S466" i="1"/>
  <c r="U466" i="1"/>
  <c r="AM466" i="1" s="1"/>
  <c r="S467" i="1"/>
  <c r="U467" i="1"/>
  <c r="AM467" i="1"/>
  <c r="S468" i="1"/>
  <c r="U468" i="1"/>
  <c r="AM468" i="1" s="1"/>
  <c r="AV468" i="1" s="1"/>
  <c r="S469" i="1"/>
  <c r="U469" i="1"/>
  <c r="AM469" i="1" s="1"/>
  <c r="S470" i="1"/>
  <c r="U470" i="1"/>
  <c r="AM470" i="1" s="1"/>
  <c r="S471" i="1"/>
  <c r="U471" i="1"/>
  <c r="AM471" i="1" s="1"/>
  <c r="S472" i="1"/>
  <c r="U472" i="1"/>
  <c r="AM472" i="1" s="1"/>
  <c r="S473" i="1"/>
  <c r="U473" i="1"/>
  <c r="AM473" i="1" s="1"/>
  <c r="AW473" i="1" s="1"/>
  <c r="S474" i="1"/>
  <c r="U474" i="1"/>
  <c r="AM474" i="1" s="1"/>
  <c r="S475" i="1"/>
  <c r="U475" i="1"/>
  <c r="AM475" i="1"/>
  <c r="AU475" i="1" s="1"/>
  <c r="S476" i="1"/>
  <c r="U476" i="1"/>
  <c r="AM476" i="1" s="1"/>
  <c r="S477" i="1"/>
  <c r="U477" i="1"/>
  <c r="AM477" i="1" s="1"/>
  <c r="S478" i="1"/>
  <c r="U478" i="1"/>
  <c r="AM478" i="1"/>
  <c r="S479" i="1"/>
  <c r="U479" i="1"/>
  <c r="AM479" i="1" s="1"/>
  <c r="S480" i="1"/>
  <c r="U480" i="1"/>
  <c r="AM480" i="1"/>
  <c r="S481" i="1"/>
  <c r="U481" i="1"/>
  <c r="AM481" i="1" s="1"/>
  <c r="S482" i="1"/>
  <c r="U482" i="1"/>
  <c r="AM482" i="1" s="1"/>
  <c r="S483" i="1"/>
  <c r="U483" i="1"/>
  <c r="AM483" i="1" s="1"/>
  <c r="S484" i="1"/>
  <c r="U484" i="1"/>
  <c r="AM484" i="1" s="1"/>
  <c r="S485" i="1"/>
  <c r="U485" i="1"/>
  <c r="AM485" i="1" s="1"/>
  <c r="AU485" i="1" s="1"/>
  <c r="S486" i="1"/>
  <c r="U486" i="1"/>
  <c r="AM486" i="1" s="1"/>
  <c r="S487" i="1"/>
  <c r="U487" i="1"/>
  <c r="AM487" i="1" s="1"/>
  <c r="S488" i="1"/>
  <c r="U488" i="1"/>
  <c r="AM488" i="1" s="1"/>
  <c r="S489" i="1"/>
  <c r="U489" i="1"/>
  <c r="AM489" i="1" s="1"/>
  <c r="S490" i="1"/>
  <c r="U490" i="1"/>
  <c r="AM490" i="1"/>
  <c r="AU490" i="1"/>
  <c r="S491" i="1"/>
  <c r="U491" i="1"/>
  <c r="AM491" i="1" s="1"/>
  <c r="S492" i="1"/>
  <c r="U492" i="1"/>
  <c r="AM492" i="1" s="1"/>
  <c r="S493" i="1"/>
  <c r="U493" i="1"/>
  <c r="AM493" i="1"/>
  <c r="AU493" i="1" s="1"/>
  <c r="S494" i="1"/>
  <c r="U494" i="1"/>
  <c r="AM494" i="1" s="1"/>
  <c r="S495" i="1"/>
  <c r="U495" i="1"/>
  <c r="AM495" i="1" s="1"/>
  <c r="S496" i="1"/>
  <c r="U496" i="1"/>
  <c r="AM496" i="1" s="1"/>
  <c r="S497" i="1"/>
  <c r="U497" i="1"/>
  <c r="AM497" i="1" s="1"/>
  <c r="S498" i="1"/>
  <c r="U498" i="1"/>
  <c r="AM498" i="1" s="1"/>
  <c r="AV498" i="1" s="1"/>
  <c r="S499" i="1"/>
  <c r="U499" i="1"/>
  <c r="AM499" i="1" s="1"/>
  <c r="S500" i="1"/>
  <c r="U500" i="1"/>
  <c r="AM500" i="1"/>
  <c r="AV500" i="1" s="1"/>
  <c r="S501" i="1"/>
  <c r="U501" i="1"/>
  <c r="AM501" i="1" s="1"/>
  <c r="S502" i="1"/>
  <c r="U502" i="1"/>
  <c r="AM502" i="1" s="1"/>
  <c r="S503" i="1"/>
  <c r="U503" i="1"/>
  <c r="AM503" i="1" s="1"/>
  <c r="S504" i="1"/>
  <c r="U504" i="1"/>
  <c r="AM504" i="1" s="1"/>
  <c r="S505" i="1"/>
  <c r="U505" i="1"/>
  <c r="AM505" i="1"/>
  <c r="S506" i="1"/>
  <c r="U506" i="1"/>
  <c r="AM506" i="1" s="1"/>
  <c r="S507" i="1"/>
  <c r="U507" i="1"/>
  <c r="AM507" i="1" s="1"/>
  <c r="S508" i="1"/>
  <c r="U508" i="1"/>
  <c r="AM508" i="1" s="1"/>
  <c r="S509" i="1"/>
  <c r="U509" i="1"/>
  <c r="AM509" i="1" s="1"/>
  <c r="S510" i="1"/>
  <c r="U510" i="1"/>
  <c r="AM510" i="1" s="1"/>
  <c r="AV510" i="1" s="1"/>
  <c r="S511" i="1"/>
  <c r="U511" i="1"/>
  <c r="AM511" i="1" s="1"/>
  <c r="S512" i="1"/>
  <c r="U512" i="1"/>
  <c r="AM512" i="1" s="1"/>
  <c r="S513" i="1"/>
  <c r="U513" i="1"/>
  <c r="AM513" i="1" s="1"/>
  <c r="S514" i="1"/>
  <c r="U514" i="1"/>
  <c r="AM514" i="1" s="1"/>
  <c r="S515" i="1"/>
  <c r="U515" i="1"/>
  <c r="AM515" i="1" s="1"/>
  <c r="S516" i="1"/>
  <c r="U516" i="1"/>
  <c r="AM516" i="1" s="1"/>
  <c r="S517" i="1"/>
  <c r="U517" i="1"/>
  <c r="AM517" i="1"/>
  <c r="S518" i="1"/>
  <c r="U518" i="1"/>
  <c r="AM518" i="1" s="1"/>
  <c r="S519" i="1"/>
  <c r="U519" i="1"/>
  <c r="AM519" i="1" s="1"/>
  <c r="S520" i="1"/>
  <c r="U520" i="1"/>
  <c r="AM520" i="1" s="1"/>
  <c r="AU520" i="1" s="1"/>
  <c r="S521" i="1"/>
  <c r="U521" i="1"/>
  <c r="AM521" i="1" s="1"/>
  <c r="S522" i="1"/>
  <c r="U522" i="1"/>
  <c r="AM522" i="1" s="1"/>
  <c r="S523" i="1"/>
  <c r="U523" i="1"/>
  <c r="AM523" i="1"/>
  <c r="S524" i="1"/>
  <c r="U524" i="1"/>
  <c r="AM524" i="1" s="1"/>
  <c r="S525" i="1"/>
  <c r="U525" i="1"/>
  <c r="AM525" i="1" s="1"/>
  <c r="S526" i="1"/>
  <c r="U526" i="1"/>
  <c r="AM526" i="1" s="1"/>
  <c r="S527" i="1"/>
  <c r="U527" i="1"/>
  <c r="AM527" i="1" s="1"/>
  <c r="S528" i="1"/>
  <c r="U528" i="1"/>
  <c r="AM528" i="1" s="1"/>
  <c r="S529" i="1"/>
  <c r="U529" i="1"/>
  <c r="AM529" i="1" s="1"/>
  <c r="AW529" i="1" s="1"/>
  <c r="S530" i="1"/>
  <c r="U530" i="1"/>
  <c r="AM530" i="1" s="1"/>
  <c r="S531" i="1"/>
  <c r="U531" i="1"/>
  <c r="AM531" i="1" s="1"/>
  <c r="S532" i="1"/>
  <c r="U532" i="1"/>
  <c r="AM532" i="1" s="1"/>
  <c r="S533" i="1"/>
  <c r="U533" i="1"/>
  <c r="AM533" i="1"/>
  <c r="S534" i="1"/>
  <c r="U534" i="1"/>
  <c r="AM534" i="1" s="1"/>
  <c r="AU534" i="1"/>
  <c r="S535" i="1"/>
  <c r="U535" i="1"/>
  <c r="AM535" i="1"/>
  <c r="AV535" i="1" s="1"/>
  <c r="S536" i="1"/>
  <c r="U536" i="1"/>
  <c r="AM536" i="1" s="1"/>
  <c r="S537" i="1"/>
  <c r="U537" i="1"/>
  <c r="AM537" i="1" s="1"/>
  <c r="S538" i="1"/>
  <c r="U538" i="1"/>
  <c r="AM538" i="1" s="1"/>
  <c r="S539" i="1"/>
  <c r="U539" i="1"/>
  <c r="AM539" i="1" s="1"/>
  <c r="S540" i="1"/>
  <c r="U540" i="1"/>
  <c r="AM540" i="1" s="1"/>
  <c r="AW540" i="1"/>
  <c r="S541" i="1"/>
  <c r="U541" i="1"/>
  <c r="AM541" i="1" s="1"/>
  <c r="S542" i="1"/>
  <c r="U542" i="1"/>
  <c r="AM542" i="1" s="1"/>
  <c r="S543" i="1"/>
  <c r="U543" i="1"/>
  <c r="AM543" i="1" s="1"/>
  <c r="S544" i="1"/>
  <c r="U544" i="1"/>
  <c r="AM544" i="1" s="1"/>
  <c r="AW544" i="1" s="1"/>
  <c r="S545" i="1"/>
  <c r="U545" i="1"/>
  <c r="AU545" i="1"/>
  <c r="AM545" i="1"/>
  <c r="AV545" i="1" s="1"/>
  <c r="S546" i="1"/>
  <c r="U546" i="1"/>
  <c r="AM546" i="1" s="1"/>
  <c r="S547" i="1"/>
  <c r="U547" i="1"/>
  <c r="AM547" i="1" s="1"/>
  <c r="AV547" i="1" s="1"/>
  <c r="S548" i="1"/>
  <c r="U548" i="1"/>
  <c r="AM548" i="1"/>
  <c r="S549" i="1"/>
  <c r="U549" i="1"/>
  <c r="AM549" i="1" s="1"/>
  <c r="AV549" i="1" s="1"/>
  <c r="S550" i="1"/>
  <c r="U550" i="1"/>
  <c r="AM550" i="1" s="1"/>
  <c r="S551" i="1"/>
  <c r="U551" i="1"/>
  <c r="AM551" i="1" s="1"/>
  <c r="AU551" i="1" s="1"/>
  <c r="S552" i="1"/>
  <c r="U552" i="1"/>
  <c r="AM552" i="1" s="1"/>
  <c r="S553" i="1"/>
  <c r="U553" i="1"/>
  <c r="AM553" i="1" s="1"/>
  <c r="S554" i="1"/>
  <c r="U554" i="1"/>
  <c r="AM554" i="1" s="1"/>
  <c r="S555" i="1"/>
  <c r="U555" i="1"/>
  <c r="AM555" i="1" s="1"/>
  <c r="S556" i="1"/>
  <c r="U556" i="1"/>
  <c r="AM556" i="1" s="1"/>
  <c r="S557" i="1"/>
  <c r="U557" i="1"/>
  <c r="AM557" i="1" s="1"/>
  <c r="S558" i="1"/>
  <c r="U558" i="1"/>
  <c r="AM558" i="1" s="1"/>
  <c r="S559" i="1"/>
  <c r="U559" i="1"/>
  <c r="AM559" i="1" s="1"/>
  <c r="AV559" i="1" s="1"/>
  <c r="S560" i="1"/>
  <c r="U560" i="1"/>
  <c r="AM560" i="1" s="1"/>
  <c r="S561" i="1"/>
  <c r="U561" i="1"/>
  <c r="AM561" i="1" s="1"/>
  <c r="S562" i="1"/>
  <c r="U562" i="1"/>
  <c r="AM562" i="1"/>
  <c r="S563" i="1"/>
  <c r="U563" i="1"/>
  <c r="AM563" i="1" s="1"/>
  <c r="AV563" i="1" s="1"/>
  <c r="S564" i="1"/>
  <c r="U564" i="1"/>
  <c r="AM564" i="1" s="1"/>
  <c r="S565" i="1"/>
  <c r="U565" i="1"/>
  <c r="AM565" i="1" s="1"/>
  <c r="S566" i="1"/>
  <c r="U566" i="1"/>
  <c r="AM566" i="1"/>
  <c r="S567" i="1"/>
  <c r="U567" i="1"/>
  <c r="AM567" i="1" s="1"/>
  <c r="S568" i="1"/>
  <c r="U568" i="1"/>
  <c r="AM568" i="1"/>
  <c r="S569" i="1"/>
  <c r="U569" i="1"/>
  <c r="AM569" i="1" s="1"/>
  <c r="S570" i="1"/>
  <c r="U570" i="1"/>
  <c r="AM570" i="1" s="1"/>
  <c r="S571" i="1"/>
  <c r="U571" i="1"/>
  <c r="AM571" i="1" s="1"/>
  <c r="S572" i="1"/>
  <c r="U572" i="1"/>
  <c r="AM572" i="1" s="1"/>
  <c r="S573" i="1"/>
  <c r="U573" i="1"/>
  <c r="AM573" i="1" s="1"/>
  <c r="S574" i="1"/>
  <c r="U574" i="1"/>
  <c r="AM574" i="1" s="1"/>
  <c r="AU574" i="1"/>
  <c r="S575" i="1"/>
  <c r="U575" i="1"/>
  <c r="AM575" i="1" s="1"/>
  <c r="S576" i="1"/>
  <c r="U576" i="1"/>
  <c r="AM576" i="1" s="1"/>
  <c r="S577" i="1"/>
  <c r="U577" i="1"/>
  <c r="AM577" i="1" s="1"/>
  <c r="S578" i="1"/>
  <c r="U578" i="1"/>
  <c r="AM578" i="1" s="1"/>
  <c r="S579" i="1"/>
  <c r="U579" i="1"/>
  <c r="AM579" i="1" s="1"/>
  <c r="S580" i="1"/>
  <c r="U580" i="1"/>
  <c r="AM580" i="1"/>
  <c r="S581" i="1"/>
  <c r="U581" i="1"/>
  <c r="AM581" i="1" s="1"/>
  <c r="AV581" i="1" s="1"/>
  <c r="S582" i="1"/>
  <c r="U582" i="1"/>
  <c r="AM582" i="1" s="1"/>
  <c r="AU582" i="1"/>
  <c r="S583" i="1"/>
  <c r="U583" i="1"/>
  <c r="AM583" i="1"/>
  <c r="S584" i="1"/>
  <c r="U584" i="1"/>
  <c r="AM584" i="1" s="1"/>
  <c r="AU584" i="1"/>
  <c r="S585" i="1"/>
  <c r="U585" i="1"/>
  <c r="AM585" i="1" s="1"/>
  <c r="S586" i="1"/>
  <c r="U586" i="1"/>
  <c r="AM586" i="1" s="1"/>
  <c r="S587" i="1"/>
  <c r="U587" i="1"/>
  <c r="AM587" i="1"/>
  <c r="S588" i="1"/>
  <c r="U588" i="1"/>
  <c r="AM588" i="1"/>
  <c r="S589" i="1"/>
  <c r="U589" i="1"/>
  <c r="AM589" i="1" s="1"/>
  <c r="S590" i="1"/>
  <c r="U590" i="1"/>
  <c r="AM590" i="1"/>
  <c r="AW590" i="1" s="1"/>
  <c r="S591" i="1"/>
  <c r="U591" i="1"/>
  <c r="AM591" i="1" s="1"/>
  <c r="AV591" i="1" s="1"/>
  <c r="S592" i="1"/>
  <c r="U592" i="1"/>
  <c r="AM592" i="1" s="1"/>
  <c r="S593" i="1"/>
  <c r="U593" i="1"/>
  <c r="AM593" i="1" s="1"/>
  <c r="S594" i="1"/>
  <c r="U594" i="1"/>
  <c r="AM594" i="1" s="1"/>
  <c r="AV594" i="1"/>
  <c r="AU594" i="1"/>
  <c r="S595" i="1"/>
  <c r="U595" i="1"/>
  <c r="AM595" i="1"/>
  <c r="S596" i="1"/>
  <c r="U596" i="1"/>
  <c r="AM596" i="1" s="1"/>
  <c r="S597" i="1"/>
  <c r="U597" i="1"/>
  <c r="AM597" i="1" s="1"/>
  <c r="S598" i="1"/>
  <c r="U598" i="1"/>
  <c r="AM598" i="1"/>
  <c r="AW598" i="1" s="1"/>
  <c r="S599" i="1"/>
  <c r="U599" i="1"/>
  <c r="AM599" i="1" s="1"/>
  <c r="S600" i="1"/>
  <c r="U600" i="1"/>
  <c r="AM600" i="1" s="1"/>
  <c r="S601" i="1"/>
  <c r="U601" i="1"/>
  <c r="AM601" i="1" s="1"/>
  <c r="S602" i="1"/>
  <c r="U602" i="1"/>
  <c r="AM602" i="1" s="1"/>
  <c r="S603" i="1"/>
  <c r="U603" i="1"/>
  <c r="AM603" i="1" s="1"/>
  <c r="S604" i="1"/>
  <c r="U604" i="1"/>
  <c r="AM604" i="1" s="1"/>
  <c r="S605" i="1"/>
  <c r="U605" i="1"/>
  <c r="AM605" i="1" s="1"/>
  <c r="S606" i="1"/>
  <c r="U606" i="1"/>
  <c r="AM606" i="1" s="1"/>
  <c r="S607" i="1"/>
  <c r="U607" i="1"/>
  <c r="AM607" i="1" s="1"/>
  <c r="AV607" i="1"/>
  <c r="S608" i="1"/>
  <c r="U608" i="1"/>
  <c r="AM608" i="1"/>
  <c r="S609" i="1"/>
  <c r="U609" i="1"/>
  <c r="AM609" i="1" s="1"/>
  <c r="S610" i="1"/>
  <c r="U610" i="1"/>
  <c r="AM610" i="1" s="1"/>
  <c r="S611" i="1"/>
  <c r="U611" i="1"/>
  <c r="AM611" i="1" s="1"/>
  <c r="S612" i="1"/>
  <c r="U612" i="1"/>
  <c r="AM612" i="1" s="1"/>
  <c r="S613" i="1"/>
  <c r="U613" i="1"/>
  <c r="AM613" i="1" s="1"/>
  <c r="S614" i="1"/>
  <c r="U614" i="1"/>
  <c r="AM614" i="1" s="1"/>
  <c r="S615" i="1"/>
  <c r="U615" i="1"/>
  <c r="AM615" i="1" s="1"/>
  <c r="AU615" i="1"/>
  <c r="S616" i="1"/>
  <c r="U616" i="1"/>
  <c r="AM616" i="1" s="1"/>
  <c r="S617" i="1"/>
  <c r="U617" i="1"/>
  <c r="AM617" i="1" s="1"/>
  <c r="S618" i="1"/>
  <c r="U618" i="1"/>
  <c r="AM618" i="1" s="1"/>
  <c r="S619" i="1"/>
  <c r="U619" i="1"/>
  <c r="AM619" i="1"/>
  <c r="S620" i="1"/>
  <c r="U620" i="1"/>
  <c r="AM620" i="1" s="1"/>
  <c r="S621" i="1"/>
  <c r="U621" i="1"/>
  <c r="AM621" i="1" s="1"/>
  <c r="S622" i="1"/>
  <c r="U622" i="1"/>
  <c r="AM622" i="1" s="1"/>
  <c r="AU622" i="1" s="1"/>
  <c r="S623" i="1"/>
  <c r="U623" i="1"/>
  <c r="AM623" i="1"/>
  <c r="S624" i="1"/>
  <c r="U624" i="1"/>
  <c r="AM624" i="1" s="1"/>
  <c r="S625" i="1"/>
  <c r="U625" i="1"/>
  <c r="AM625" i="1" s="1"/>
  <c r="S626" i="1"/>
  <c r="U626" i="1"/>
  <c r="AM626" i="1" s="1"/>
  <c r="S627" i="1"/>
  <c r="U627" i="1"/>
  <c r="AM627" i="1" s="1"/>
  <c r="S628" i="1"/>
  <c r="U628" i="1"/>
  <c r="AM628" i="1" s="1"/>
  <c r="S629" i="1"/>
  <c r="U629" i="1"/>
  <c r="AM629" i="1"/>
  <c r="S630" i="1"/>
  <c r="U630" i="1"/>
  <c r="AM630" i="1" s="1"/>
  <c r="S631" i="1"/>
  <c r="U631" i="1"/>
  <c r="AM631" i="1" s="1"/>
  <c r="S632" i="1"/>
  <c r="U632" i="1"/>
  <c r="AM632" i="1" s="1"/>
  <c r="AV632" i="1"/>
  <c r="S633" i="1"/>
  <c r="U633" i="1"/>
  <c r="AM633" i="1" s="1"/>
  <c r="S634" i="1"/>
  <c r="U634" i="1"/>
  <c r="AM634" i="1" s="1"/>
  <c r="S635" i="1"/>
  <c r="U635" i="1"/>
  <c r="AM635" i="1" s="1"/>
  <c r="S636" i="1"/>
  <c r="U636" i="1"/>
  <c r="AM636" i="1" s="1"/>
  <c r="S637" i="1"/>
  <c r="U637" i="1"/>
  <c r="AM637" i="1" s="1"/>
  <c r="S638" i="1"/>
  <c r="U638" i="1"/>
  <c r="AM638" i="1" s="1"/>
  <c r="S639" i="1"/>
  <c r="U639" i="1"/>
  <c r="AM639" i="1"/>
  <c r="S640" i="1"/>
  <c r="U640" i="1"/>
  <c r="AM640" i="1" s="1"/>
  <c r="S641" i="1"/>
  <c r="U641" i="1"/>
  <c r="AM641" i="1" s="1"/>
  <c r="S642" i="1"/>
  <c r="U642" i="1"/>
  <c r="AM642" i="1" s="1"/>
  <c r="S643" i="1"/>
  <c r="U643" i="1"/>
  <c r="AM643" i="1"/>
  <c r="S644" i="1"/>
  <c r="U644" i="1"/>
  <c r="AM644" i="1" s="1"/>
  <c r="S645" i="1"/>
  <c r="U645" i="1"/>
  <c r="AM645" i="1" s="1"/>
  <c r="S646" i="1"/>
  <c r="U646" i="1"/>
  <c r="AM646" i="1" s="1"/>
  <c r="S647" i="1"/>
  <c r="U647" i="1"/>
  <c r="AM647" i="1" s="1"/>
  <c r="S648" i="1"/>
  <c r="U648" i="1"/>
  <c r="AM648" i="1"/>
  <c r="S649" i="1"/>
  <c r="U649" i="1"/>
  <c r="AM649" i="1"/>
  <c r="S650" i="1"/>
  <c r="U650" i="1"/>
  <c r="AM650" i="1" s="1"/>
  <c r="S651" i="1"/>
  <c r="U651" i="1"/>
  <c r="AM651" i="1" s="1"/>
  <c r="S652" i="1"/>
  <c r="U652" i="1"/>
  <c r="AM652" i="1" s="1"/>
  <c r="AU652" i="1" s="1"/>
  <c r="S653" i="1"/>
  <c r="U653" i="1"/>
  <c r="AM653" i="1" s="1"/>
  <c r="S654" i="1"/>
  <c r="U654" i="1"/>
  <c r="AM654" i="1" s="1"/>
  <c r="S655" i="1"/>
  <c r="U655" i="1"/>
  <c r="AM655" i="1" s="1"/>
  <c r="AV655" i="1" s="1"/>
  <c r="S656" i="1"/>
  <c r="U656" i="1"/>
  <c r="AM656" i="1" s="1"/>
  <c r="S657" i="1"/>
  <c r="U657" i="1"/>
  <c r="AM657" i="1" s="1"/>
  <c r="AV657" i="1"/>
  <c r="S658" i="1"/>
  <c r="U658" i="1"/>
  <c r="AM658" i="1"/>
  <c r="S659" i="1"/>
  <c r="U659" i="1"/>
  <c r="AM659" i="1"/>
  <c r="S660" i="1"/>
  <c r="U660" i="1"/>
  <c r="AM660" i="1" s="1"/>
  <c r="S661" i="1"/>
  <c r="U661" i="1"/>
  <c r="AM661" i="1" s="1"/>
  <c r="S662" i="1"/>
  <c r="U662" i="1"/>
  <c r="AM662" i="1" s="1"/>
  <c r="S663" i="1"/>
  <c r="U663" i="1"/>
  <c r="AM663" i="1" s="1"/>
  <c r="S664" i="1"/>
  <c r="U664" i="1"/>
  <c r="AM664" i="1" s="1"/>
  <c r="S665" i="1"/>
  <c r="U665" i="1"/>
  <c r="AM665" i="1" s="1"/>
  <c r="S666" i="1"/>
  <c r="U666" i="1"/>
  <c r="AM666" i="1" s="1"/>
  <c r="S667" i="1"/>
  <c r="U667" i="1"/>
  <c r="AM667" i="1" s="1"/>
  <c r="S668" i="1"/>
  <c r="U668" i="1"/>
  <c r="AM668" i="1" s="1"/>
  <c r="S669" i="1"/>
  <c r="U669" i="1"/>
  <c r="AM669" i="1"/>
  <c r="S670" i="1"/>
  <c r="U670" i="1"/>
  <c r="AM670" i="1" s="1"/>
  <c r="S671" i="1"/>
  <c r="U671" i="1"/>
  <c r="AM671" i="1" s="1"/>
  <c r="S672" i="1"/>
  <c r="U672" i="1"/>
  <c r="AM672" i="1" s="1"/>
  <c r="S673" i="1"/>
  <c r="U673" i="1"/>
  <c r="AM673" i="1"/>
  <c r="S674" i="1"/>
  <c r="U674" i="1"/>
  <c r="AM674" i="1" s="1"/>
  <c r="S675" i="1"/>
  <c r="U675" i="1"/>
  <c r="AM675" i="1" s="1"/>
  <c r="S676" i="1"/>
  <c r="U676" i="1"/>
  <c r="AM676" i="1" s="1"/>
  <c r="S677" i="1"/>
  <c r="U677" i="1"/>
  <c r="AM677" i="1" s="1"/>
  <c r="AU677" i="1" s="1"/>
  <c r="S678" i="1"/>
  <c r="U678" i="1"/>
  <c r="AM678" i="1"/>
  <c r="S679" i="1"/>
  <c r="U679" i="1"/>
  <c r="AM679" i="1" s="1"/>
  <c r="S680" i="1"/>
  <c r="U680" i="1"/>
  <c r="AM680" i="1" s="1"/>
  <c r="AU680" i="1"/>
  <c r="S681" i="1"/>
  <c r="U681" i="1"/>
  <c r="AM681" i="1" s="1"/>
  <c r="S682" i="1"/>
  <c r="U682" i="1"/>
  <c r="AM682" i="1" s="1"/>
  <c r="AV682" i="1"/>
  <c r="S683" i="1"/>
  <c r="U683" i="1"/>
  <c r="AM683" i="1" s="1"/>
  <c r="S684" i="1"/>
  <c r="U684" i="1"/>
  <c r="AM684" i="1" s="1"/>
  <c r="S685" i="1"/>
  <c r="U685" i="1"/>
  <c r="AM685" i="1" s="1"/>
  <c r="S686" i="1"/>
  <c r="U686" i="1"/>
  <c r="AM686" i="1" s="1"/>
  <c r="S687" i="1"/>
  <c r="U687" i="1"/>
  <c r="AM687" i="1" s="1"/>
  <c r="S688" i="1"/>
  <c r="U688" i="1"/>
  <c r="AM688" i="1" s="1"/>
  <c r="S689" i="1"/>
  <c r="U689" i="1"/>
  <c r="AM689" i="1" s="1"/>
  <c r="S690" i="1"/>
  <c r="U690" i="1"/>
  <c r="AM690" i="1" s="1"/>
  <c r="AU690" i="1"/>
  <c r="S691" i="1"/>
  <c r="U691" i="1"/>
  <c r="AM691" i="1" s="1"/>
  <c r="S692" i="1"/>
  <c r="U692" i="1"/>
  <c r="AM692" i="1" s="1"/>
  <c r="AU692" i="1" s="1"/>
  <c r="S693" i="1"/>
  <c r="U693" i="1"/>
  <c r="AM693" i="1"/>
  <c r="S694" i="1"/>
  <c r="U694" i="1"/>
  <c r="AM694" i="1" s="1"/>
  <c r="S695" i="1"/>
  <c r="U695" i="1"/>
  <c r="AM695" i="1" s="1"/>
  <c r="S696" i="1"/>
  <c r="U696" i="1"/>
  <c r="AM696" i="1" s="1"/>
  <c r="S697" i="1"/>
  <c r="U697" i="1"/>
  <c r="AM697" i="1" s="1"/>
  <c r="AV697" i="1"/>
  <c r="S698" i="1"/>
  <c r="U698" i="1"/>
  <c r="AM698" i="1" s="1"/>
  <c r="S699" i="1"/>
  <c r="U699" i="1"/>
  <c r="AM699" i="1"/>
  <c r="S700" i="1"/>
  <c r="U700" i="1"/>
  <c r="AM700" i="1" s="1"/>
  <c r="S701" i="1"/>
  <c r="U701" i="1"/>
  <c r="AM701" i="1" s="1"/>
  <c r="S702" i="1"/>
  <c r="U702" i="1"/>
  <c r="AM702" i="1" s="1"/>
  <c r="S703" i="1"/>
  <c r="U703" i="1"/>
  <c r="AM703" i="1" s="1"/>
  <c r="S704" i="1"/>
  <c r="U704" i="1"/>
  <c r="AM704" i="1"/>
  <c r="S705" i="1"/>
  <c r="U705" i="1"/>
  <c r="AM705" i="1" s="1"/>
  <c r="S706" i="1"/>
  <c r="U706" i="1"/>
  <c r="AM706" i="1" s="1"/>
  <c r="S707" i="1"/>
  <c r="U707" i="1"/>
  <c r="AM707" i="1" s="1"/>
  <c r="AV707" i="1"/>
  <c r="S708" i="1"/>
  <c r="U708" i="1"/>
  <c r="AM708" i="1" s="1"/>
  <c r="S709" i="1"/>
  <c r="U709" i="1"/>
  <c r="AM709" i="1"/>
  <c r="S710" i="1"/>
  <c r="U710" i="1"/>
  <c r="AM710" i="1" s="1"/>
  <c r="S711" i="1"/>
  <c r="U711" i="1"/>
  <c r="AM711" i="1" s="1"/>
  <c r="S712" i="1"/>
  <c r="U712" i="1"/>
  <c r="AM712" i="1" s="1"/>
  <c r="S713" i="1"/>
  <c r="U713" i="1"/>
  <c r="AM713" i="1" s="1"/>
  <c r="S714" i="1"/>
  <c r="U714" i="1"/>
  <c r="AM714" i="1" s="1"/>
  <c r="AW106" i="1" l="1"/>
  <c r="AV106" i="1"/>
  <c r="AV366" i="1"/>
  <c r="AW105" i="1"/>
  <c r="AU524" i="1"/>
  <c r="AU457" i="1"/>
  <c r="AV396" i="1"/>
  <c r="AV372" i="1"/>
  <c r="AV311" i="1"/>
  <c r="AW189" i="1"/>
  <c r="AW110" i="1"/>
  <c r="AU54" i="1"/>
  <c r="AV347" i="1"/>
  <c r="AU76" i="1"/>
  <c r="AV391" i="1"/>
  <c r="AV645" i="1"/>
  <c r="AU589" i="1"/>
  <c r="AV577" i="1"/>
  <c r="AU535" i="1"/>
  <c r="AV505" i="1"/>
  <c r="AU450" i="1"/>
  <c r="AV419" i="1"/>
  <c r="AU377" i="1"/>
  <c r="AU322" i="1"/>
  <c r="AW161" i="1"/>
  <c r="AV149" i="1"/>
  <c r="AU104" i="1"/>
  <c r="AU98" i="1"/>
  <c r="AV71" i="1"/>
  <c r="AU432" i="1"/>
  <c r="AV570" i="1"/>
  <c r="AW498" i="1"/>
  <c r="AV316" i="1"/>
  <c r="AV291" i="1"/>
  <c r="AW178" i="1"/>
  <c r="AV103" i="1"/>
  <c r="AV63" i="1"/>
  <c r="AW46" i="1"/>
  <c r="AU630" i="1"/>
  <c r="AW594" i="1"/>
  <c r="AU569" i="1"/>
  <c r="AU558" i="1"/>
  <c r="AU540" i="1"/>
  <c r="AV443" i="1"/>
  <c r="AV401" i="1"/>
  <c r="AW68" i="1"/>
  <c r="AU470" i="1"/>
  <c r="AV705" i="1"/>
  <c r="AW599" i="1"/>
  <c r="AV357" i="1"/>
  <c r="AV125" i="1"/>
  <c r="AW10" i="1"/>
  <c r="AW135" i="1"/>
  <c r="AU342" i="1"/>
  <c r="AU627" i="1"/>
  <c r="AV675" i="1"/>
  <c r="AV625" i="1"/>
  <c r="AU593" i="1"/>
  <c r="AV131" i="1"/>
  <c r="AU312" i="1"/>
  <c r="AW539" i="1"/>
  <c r="AU516" i="1"/>
  <c r="AV356" i="1"/>
  <c r="AU314" i="1"/>
  <c r="AU192" i="1"/>
  <c r="AU180" i="1"/>
  <c r="AV685" i="1"/>
  <c r="AV44" i="1"/>
  <c r="AV276" i="1"/>
  <c r="AV596" i="1"/>
  <c r="AW513" i="1"/>
  <c r="AU387" i="1"/>
  <c r="AV326" i="1"/>
  <c r="AU272" i="1"/>
  <c r="AW146" i="1"/>
  <c r="AV458" i="1"/>
  <c r="AW111" i="1"/>
  <c r="AU642" i="1"/>
  <c r="AV605" i="1"/>
  <c r="AU672" i="1"/>
  <c r="AV635" i="1"/>
  <c r="AV610" i="1"/>
  <c r="AU592" i="1"/>
  <c r="AV562" i="1"/>
  <c r="AV544" i="1"/>
  <c r="AU515" i="1"/>
  <c r="AV362" i="1"/>
  <c r="AW209" i="1"/>
  <c r="AU181" i="1"/>
  <c r="AU170" i="1"/>
  <c r="AU130" i="1"/>
  <c r="AU124" i="1"/>
  <c r="AU95" i="1"/>
  <c r="AV2" i="1"/>
  <c r="AV584" i="1"/>
  <c r="AV660" i="1"/>
  <c r="AU702" i="1"/>
  <c r="AU665" i="1"/>
  <c r="AV647" i="1"/>
  <c r="AU586" i="1"/>
  <c r="AW508" i="1"/>
  <c r="AU459" i="1"/>
  <c r="AU313" i="1"/>
  <c r="AV710" i="1"/>
  <c r="AV337" i="1"/>
  <c r="AU265" i="1"/>
  <c r="AV78" i="1"/>
  <c r="AW26" i="1"/>
  <c r="AV695" i="1"/>
  <c r="AU712" i="1"/>
  <c r="AV488" i="1"/>
  <c r="AU662" i="1"/>
  <c r="AU640" i="1"/>
  <c r="AU306" i="1"/>
  <c r="AW145" i="1"/>
  <c r="AV49" i="1"/>
  <c r="AV370" i="1"/>
  <c r="AW370" i="1"/>
  <c r="AV417" i="1"/>
  <c r="AW417" i="1"/>
  <c r="AU197" i="1"/>
  <c r="AV197" i="1"/>
  <c r="AV192" i="1"/>
  <c r="AU153" i="1"/>
  <c r="AW153" i="1"/>
  <c r="AV96" i="1"/>
  <c r="AW96" i="1"/>
  <c r="AU257" i="1"/>
  <c r="AV257" i="1"/>
  <c r="AV222" i="1"/>
  <c r="AU332" i="1"/>
  <c r="AV332" i="1"/>
  <c r="AU307" i="1"/>
  <c r="AV307" i="1"/>
  <c r="AU422" i="1"/>
  <c r="AU232" i="1"/>
  <c r="AV232" i="1"/>
  <c r="AW136" i="1"/>
  <c r="AV450" i="1"/>
  <c r="AV322" i="1"/>
  <c r="AV430" i="1"/>
  <c r="AU262" i="1"/>
  <c r="AV262" i="1"/>
  <c r="AV86" i="1"/>
  <c r="AW86" i="1"/>
  <c r="AU227" i="1"/>
  <c r="AV227" i="1"/>
  <c r="AU465" i="1"/>
  <c r="AV465" i="1"/>
  <c r="AU212" i="1"/>
  <c r="AV212" i="1"/>
  <c r="AV485" i="1"/>
  <c r="AV495" i="1"/>
  <c r="AU282" i="1"/>
  <c r="AV282" i="1"/>
  <c r="AV242" i="1"/>
  <c r="AV202" i="1"/>
  <c r="AU480" i="1"/>
  <c r="AV480" i="1"/>
  <c r="AU297" i="1"/>
  <c r="AV297" i="1"/>
  <c r="AV302" i="1"/>
  <c r="AU483" i="1"/>
  <c r="AV483" i="1"/>
  <c r="AU427" i="1"/>
  <c r="AV427" i="1"/>
  <c r="AW427" i="1"/>
  <c r="AV367" i="1"/>
  <c r="AW123" i="1"/>
  <c r="AU478" i="1"/>
  <c r="AV470" i="1"/>
  <c r="AV312" i="1"/>
  <c r="AU94" i="1"/>
  <c r="AV94" i="1"/>
  <c r="AW94" i="1"/>
  <c r="AW71" i="1"/>
  <c r="AU165" i="1"/>
  <c r="AU247" i="1"/>
  <c r="AV247" i="1"/>
  <c r="AV455" i="1"/>
  <c r="AW593" i="1"/>
  <c r="AV593" i="1"/>
  <c r="AU397" i="1"/>
  <c r="AV397" i="1"/>
  <c r="AU287" i="1"/>
  <c r="AV287" i="1"/>
  <c r="AV414" i="1"/>
  <c r="AU207" i="1"/>
  <c r="AV207" i="1"/>
  <c r="AU150" i="1"/>
  <c r="AV150" i="1"/>
  <c r="AW150" i="1"/>
  <c r="AV54" i="1"/>
  <c r="AV114" i="1"/>
  <c r="AU114" i="1"/>
  <c r="AU267" i="1"/>
  <c r="AV267" i="1"/>
  <c r="AV525" i="1"/>
  <c r="AU525" i="1"/>
  <c r="AV560" i="1"/>
  <c r="AU560" i="1"/>
  <c r="AU530" i="1"/>
  <c r="AW530" i="1"/>
  <c r="AV317" i="1"/>
  <c r="AU252" i="1"/>
  <c r="AV252" i="1"/>
  <c r="AU134" i="1"/>
  <c r="AV134" i="1"/>
  <c r="AW116" i="1"/>
  <c r="AV475" i="1"/>
  <c r="AU292" i="1"/>
  <c r="AV292" i="1"/>
  <c r="AV286" i="1"/>
  <c r="AU179" i="1"/>
  <c r="AV179" i="1"/>
  <c r="AW179" i="1"/>
  <c r="AV104" i="1"/>
  <c r="AU281" i="1"/>
  <c r="AU238" i="1"/>
  <c r="AU219" i="1"/>
  <c r="AU200" i="1"/>
  <c r="AU7" i="1"/>
  <c r="AU710" i="1"/>
  <c r="AV677" i="1"/>
  <c r="AU660" i="1"/>
  <c r="AV627" i="1"/>
  <c r="AU610" i="1"/>
  <c r="AU599" i="1"/>
  <c r="AV589" i="1"/>
  <c r="AU523" i="1"/>
  <c r="AU498" i="1"/>
  <c r="AU326" i="1"/>
  <c r="AV321" i="1"/>
  <c r="AU294" i="1"/>
  <c r="AW276" i="1"/>
  <c r="AV181" i="1"/>
  <c r="AW126" i="1"/>
  <c r="AW518" i="1"/>
  <c r="AU688" i="1"/>
  <c r="AU638" i="1"/>
  <c r="AU550" i="1"/>
  <c r="AU507" i="1"/>
  <c r="AU382" i="1"/>
  <c r="AU228" i="1"/>
  <c r="AU209" i="1"/>
  <c r="AV95" i="1"/>
  <c r="AU623" i="1"/>
  <c r="AU604" i="1"/>
  <c r="AU563" i="1"/>
  <c r="AU536" i="1"/>
  <c r="AU512" i="1"/>
  <c r="AV460" i="1"/>
  <c r="AU444" i="1"/>
  <c r="AV432" i="1"/>
  <c r="AU396" i="1"/>
  <c r="AU362" i="1"/>
  <c r="AU304" i="1"/>
  <c r="AU204" i="1"/>
  <c r="AU163" i="1"/>
  <c r="AU22" i="1"/>
  <c r="AU633" i="1"/>
  <c r="AU632" i="1"/>
  <c r="AV615" i="1"/>
  <c r="AW554" i="1"/>
  <c r="AV493" i="1"/>
  <c r="AV336" i="1"/>
  <c r="AU27" i="1"/>
  <c r="AU11" i="1"/>
  <c r="AU673" i="1"/>
  <c r="AV422" i="1"/>
  <c r="AU276" i="1"/>
  <c r="AU194" i="1"/>
  <c r="AU185" i="1"/>
  <c r="AU99" i="1"/>
  <c r="AW95" i="1"/>
  <c r="AU32" i="1"/>
  <c r="AU643" i="1"/>
  <c r="AU698" i="1"/>
  <c r="AU687" i="1"/>
  <c r="AV670" i="1"/>
  <c r="AU648" i="1"/>
  <c r="AU637" i="1"/>
  <c r="AV620" i="1"/>
  <c r="AW583" i="1"/>
  <c r="AU567" i="1"/>
  <c r="AW562" i="1"/>
  <c r="AU526" i="1"/>
  <c r="AV409" i="1"/>
  <c r="AU390" i="1"/>
  <c r="AV381" i="1"/>
  <c r="AV376" i="1"/>
  <c r="AV371" i="1"/>
  <c r="AU143" i="1"/>
  <c r="AV138" i="1"/>
  <c r="AW130" i="1"/>
  <c r="AV120" i="1"/>
  <c r="AW103" i="1"/>
  <c r="AV81" i="1"/>
  <c r="AV76" i="1"/>
  <c r="AU614" i="1"/>
  <c r="AU577" i="1"/>
  <c r="AU553" i="1"/>
  <c r="AW549" i="1"/>
  <c r="AU511" i="1"/>
  <c r="AU488" i="1"/>
  <c r="AU449" i="1"/>
  <c r="AU361" i="1"/>
  <c r="AU324" i="1"/>
  <c r="AU303" i="1"/>
  <c r="AV217" i="1"/>
  <c r="AU203" i="1"/>
  <c r="AU42" i="1"/>
  <c r="AU683" i="1"/>
  <c r="AU555" i="1"/>
  <c r="AU653" i="1"/>
  <c r="AU603" i="1"/>
  <c r="AU492" i="1"/>
  <c r="AU479" i="1"/>
  <c r="AU454" i="1"/>
  <c r="AV405" i="1"/>
  <c r="AU385" i="1"/>
  <c r="AU111" i="1"/>
  <c r="AV665" i="1"/>
  <c r="AW115" i="1"/>
  <c r="AU546" i="1"/>
  <c r="AU682" i="1"/>
  <c r="AU619" i="1"/>
  <c r="AU708" i="1"/>
  <c r="AU697" i="1"/>
  <c r="AV680" i="1"/>
  <c r="AU658" i="1"/>
  <c r="AU647" i="1"/>
  <c r="AV630" i="1"/>
  <c r="AU608" i="1"/>
  <c r="AU587" i="1"/>
  <c r="AU544" i="1"/>
  <c r="AU464" i="1"/>
  <c r="AU344" i="1"/>
  <c r="AU339" i="1"/>
  <c r="AU245" i="1"/>
  <c r="AU231" i="1"/>
  <c r="AU106" i="1"/>
  <c r="AU90" i="1"/>
  <c r="AV4" i="1"/>
  <c r="AU693" i="1"/>
  <c r="AV702" i="1"/>
  <c r="AV652" i="1"/>
  <c r="AV557" i="1"/>
  <c r="AV552" i="1"/>
  <c r="AU487" i="1"/>
  <c r="AW483" i="1"/>
  <c r="AW478" i="1"/>
  <c r="AU442" i="1"/>
  <c r="AV404" i="1"/>
  <c r="AV379" i="1"/>
  <c r="AV365" i="1"/>
  <c r="AU349" i="1"/>
  <c r="AW165" i="1"/>
  <c r="AU663" i="1"/>
  <c r="AU613" i="1"/>
  <c r="AU596" i="1"/>
  <c r="AU581" i="1"/>
  <c r="AW576" i="1"/>
  <c r="AV534" i="1"/>
  <c r="AV478" i="1"/>
  <c r="AU417" i="1"/>
  <c r="AU354" i="1"/>
  <c r="AU328" i="1"/>
  <c r="AU278" i="1"/>
  <c r="AU274" i="1"/>
  <c r="AU240" i="1"/>
  <c r="AU221" i="1"/>
  <c r="AW192" i="1"/>
  <c r="AV165" i="1"/>
  <c r="AV9" i="1"/>
  <c r="AU703" i="1"/>
  <c r="AU430" i="1"/>
  <c r="AU412" i="1"/>
  <c r="AW407" i="1"/>
  <c r="AV105" i="1"/>
  <c r="AU713" i="1"/>
  <c r="AU707" i="1"/>
  <c r="AV690" i="1"/>
  <c r="AU668" i="1"/>
  <c r="AU657" i="1"/>
  <c r="AV640" i="1"/>
  <c r="AU618" i="1"/>
  <c r="AW534" i="1"/>
  <c r="AV463" i="1"/>
  <c r="AU447" i="1"/>
  <c r="AV407" i="1"/>
  <c r="AW187" i="1"/>
  <c r="AU175" i="1"/>
  <c r="AV118" i="1"/>
  <c r="AU3" i="1"/>
  <c r="AU402" i="1"/>
  <c r="AV712" i="1"/>
  <c r="AU695" i="1"/>
  <c r="AU684" i="1"/>
  <c r="AV662" i="1"/>
  <c r="AU645" i="1"/>
  <c r="AU634" i="1"/>
  <c r="AV612" i="1"/>
  <c r="AV575" i="1"/>
  <c r="AU565" i="1"/>
  <c r="AU543" i="1"/>
  <c r="AV524" i="1"/>
  <c r="AU509" i="1"/>
  <c r="AV490" i="1"/>
  <c r="AU452" i="1"/>
  <c r="AV416" i="1"/>
  <c r="AV327" i="1"/>
  <c r="AU296" i="1"/>
  <c r="AV277" i="1"/>
  <c r="AU225" i="1"/>
  <c r="AV187" i="1"/>
  <c r="AU123" i="1"/>
  <c r="AU84" i="1"/>
  <c r="AU79" i="1"/>
  <c r="AV74" i="1"/>
  <c r="AU8" i="1"/>
  <c r="AU13" i="1"/>
  <c r="AW524" i="1"/>
  <c r="AU462" i="1"/>
  <c r="AU392" i="1"/>
  <c r="AV387" i="1"/>
  <c r="AW377" i="1"/>
  <c r="AV301" i="1"/>
  <c r="AU286" i="1"/>
  <c r="AV281" i="1"/>
  <c r="AV154" i="1"/>
  <c r="AW113" i="1"/>
  <c r="AV101" i="1"/>
  <c r="AV88" i="1"/>
  <c r="AW54" i="1"/>
  <c r="AV700" i="1"/>
  <c r="AU678" i="1"/>
  <c r="AU667" i="1"/>
  <c r="AV650" i="1"/>
  <c r="AU628" i="1"/>
  <c r="AV600" i="1"/>
  <c r="AU590" i="1"/>
  <c r="AW574" i="1"/>
  <c r="AU564" i="1"/>
  <c r="AW550" i="1"/>
  <c r="AU533" i="1"/>
  <c r="AU508" i="1"/>
  <c r="AU467" i="1"/>
  <c r="AW382" i="1"/>
  <c r="AV377" i="1"/>
  <c r="AV306" i="1"/>
  <c r="AU229" i="1"/>
  <c r="AV140" i="1"/>
  <c r="AW131" i="1"/>
  <c r="AV113" i="1"/>
  <c r="AW104" i="1"/>
  <c r="AW73" i="1"/>
  <c r="AV68" i="1"/>
  <c r="AU2" i="1"/>
  <c r="AU579" i="1"/>
  <c r="AV574" i="1"/>
  <c r="AV550" i="1"/>
  <c r="AU494" i="1"/>
  <c r="AU472" i="1"/>
  <c r="AV382" i="1"/>
  <c r="AU224" i="1"/>
  <c r="AU205" i="1"/>
  <c r="AU108" i="1"/>
  <c r="AU96" i="1"/>
  <c r="AV73" i="1"/>
  <c r="AV568" i="1"/>
  <c r="AW568" i="1"/>
  <c r="AV503" i="1"/>
  <c r="AW503" i="1"/>
  <c r="AU699" i="1"/>
  <c r="AU666" i="1"/>
  <c r="AV666" i="1"/>
  <c r="AW666" i="1"/>
  <c r="AU649" i="1"/>
  <c r="AU616" i="1"/>
  <c r="AV616" i="1"/>
  <c r="AW616" i="1"/>
  <c r="AU568" i="1"/>
  <c r="AU578" i="1"/>
  <c r="AU541" i="1"/>
  <c r="AU704" i="1"/>
  <c r="AU671" i="1"/>
  <c r="AV671" i="1"/>
  <c r="AW671" i="1"/>
  <c r="AU654" i="1"/>
  <c r="AU621" i="1"/>
  <c r="AV621" i="1"/>
  <c r="AW621" i="1"/>
  <c r="AU573" i="1"/>
  <c r="AV573" i="1"/>
  <c r="AW573" i="1"/>
  <c r="AU598" i="1"/>
  <c r="AU709" i="1"/>
  <c r="AV687" i="1"/>
  <c r="AU676" i="1"/>
  <c r="AV676" i="1"/>
  <c r="AW676" i="1"/>
  <c r="AU670" i="1"/>
  <c r="AU659" i="1"/>
  <c r="AV637" i="1"/>
  <c r="AU626" i="1"/>
  <c r="AV626" i="1"/>
  <c r="AW626" i="1"/>
  <c r="AU620" i="1"/>
  <c r="AU609" i="1"/>
  <c r="AU588" i="1"/>
  <c r="AU583" i="1"/>
  <c r="AV583" i="1"/>
  <c r="AU531" i="1"/>
  <c r="AV553" i="1"/>
  <c r="AW553" i="1"/>
  <c r="AU714" i="1"/>
  <c r="AV692" i="1"/>
  <c r="AU681" i="1"/>
  <c r="AV681" i="1"/>
  <c r="AW681" i="1"/>
  <c r="AU675" i="1"/>
  <c r="AU664" i="1"/>
  <c r="AV642" i="1"/>
  <c r="AU631" i="1"/>
  <c r="AV631" i="1"/>
  <c r="AW631" i="1"/>
  <c r="AU625" i="1"/>
  <c r="AU572" i="1"/>
  <c r="AV572" i="1"/>
  <c r="AU597" i="1"/>
  <c r="AW572" i="1"/>
  <c r="AU521" i="1"/>
  <c r="AU686" i="1"/>
  <c r="AV686" i="1"/>
  <c r="AW686" i="1"/>
  <c r="AU669" i="1"/>
  <c r="AU636" i="1"/>
  <c r="AV636" i="1"/>
  <c r="AW636" i="1"/>
  <c r="AW548" i="1"/>
  <c r="AU548" i="1"/>
  <c r="AV548" i="1"/>
  <c r="AV582" i="1"/>
  <c r="AW582" i="1"/>
  <c r="AU566" i="1"/>
  <c r="AU691" i="1"/>
  <c r="AV691" i="1"/>
  <c r="AW691" i="1"/>
  <c r="AU685" i="1"/>
  <c r="AU674" i="1"/>
  <c r="AU641" i="1"/>
  <c r="AV641" i="1"/>
  <c r="AW641" i="1"/>
  <c r="AU635" i="1"/>
  <c r="AU624" i="1"/>
  <c r="AV602" i="1"/>
  <c r="AV592" i="1"/>
  <c r="AW602" i="1"/>
  <c r="AU602" i="1"/>
  <c r="AU571" i="1"/>
  <c r="AV571" i="1"/>
  <c r="AU696" i="1"/>
  <c r="AV696" i="1"/>
  <c r="AW696" i="1"/>
  <c r="AU679" i="1"/>
  <c r="AU646" i="1"/>
  <c r="AV646" i="1"/>
  <c r="AW646" i="1"/>
  <c r="AU629" i="1"/>
  <c r="AW607" i="1"/>
  <c r="AU607" i="1"/>
  <c r="AU591" i="1"/>
  <c r="AU570" i="1"/>
  <c r="AU538" i="1"/>
  <c r="AU701" i="1"/>
  <c r="AV701" i="1"/>
  <c r="AW701" i="1"/>
  <c r="AU651" i="1"/>
  <c r="AV651" i="1"/>
  <c r="AW651" i="1"/>
  <c r="AU601" i="1"/>
  <c r="AV601" i="1"/>
  <c r="AW601" i="1"/>
  <c r="AU595" i="1"/>
  <c r="AV595" i="1"/>
  <c r="AW595" i="1"/>
  <c r="AU556" i="1"/>
  <c r="AV538" i="1"/>
  <c r="AW538" i="1"/>
  <c r="AW612" i="1"/>
  <c r="AU612" i="1"/>
  <c r="AU580" i="1"/>
  <c r="AW575" i="1"/>
  <c r="AU575" i="1"/>
  <c r="AU706" i="1"/>
  <c r="AV706" i="1"/>
  <c r="AW706" i="1"/>
  <c r="AU700" i="1"/>
  <c r="AU689" i="1"/>
  <c r="AV667" i="1"/>
  <c r="AU656" i="1"/>
  <c r="AV656" i="1"/>
  <c r="AW656" i="1"/>
  <c r="AU650" i="1"/>
  <c r="AU639" i="1"/>
  <c r="AV617" i="1"/>
  <c r="AU606" i="1"/>
  <c r="AV606" i="1"/>
  <c r="AW606" i="1"/>
  <c r="AU600" i="1"/>
  <c r="AU528" i="1"/>
  <c r="AW617" i="1"/>
  <c r="AU617" i="1"/>
  <c r="AV528" i="1"/>
  <c r="AW528" i="1"/>
  <c r="AU711" i="1"/>
  <c r="AV711" i="1"/>
  <c r="AW711" i="1"/>
  <c r="AU705" i="1"/>
  <c r="AU694" i="1"/>
  <c r="AV672" i="1"/>
  <c r="AU661" i="1"/>
  <c r="AV661" i="1"/>
  <c r="AW661" i="1"/>
  <c r="AU655" i="1"/>
  <c r="AU644" i="1"/>
  <c r="AV622" i="1"/>
  <c r="AU611" i="1"/>
  <c r="AV611" i="1"/>
  <c r="AW611" i="1"/>
  <c r="AU605" i="1"/>
  <c r="AU585" i="1"/>
  <c r="AV585" i="1"/>
  <c r="AW585" i="1"/>
  <c r="AU518" i="1"/>
  <c r="AV518" i="1"/>
  <c r="AU513" i="1"/>
  <c r="AU503" i="1"/>
  <c r="AU433" i="1"/>
  <c r="AV433" i="1"/>
  <c r="AW433" i="1"/>
  <c r="AW561" i="1"/>
  <c r="AU495" i="1"/>
  <c r="AW495" i="1"/>
  <c r="AU445" i="1"/>
  <c r="AV445" i="1"/>
  <c r="AW445" i="1"/>
  <c r="AV439" i="1"/>
  <c r="AW439" i="1"/>
  <c r="AV410" i="1"/>
  <c r="AW410" i="1"/>
  <c r="AW714" i="1"/>
  <c r="AW709" i="1"/>
  <c r="AW704" i="1"/>
  <c r="AW699" i="1"/>
  <c r="AW694" i="1"/>
  <c r="AW689" i="1"/>
  <c r="AW684" i="1"/>
  <c r="AW679" i="1"/>
  <c r="AW674" i="1"/>
  <c r="AW669" i="1"/>
  <c r="AW664" i="1"/>
  <c r="AW659" i="1"/>
  <c r="AW654" i="1"/>
  <c r="AW649" i="1"/>
  <c r="AW644" i="1"/>
  <c r="AW639" i="1"/>
  <c r="AW634" i="1"/>
  <c r="AW629" i="1"/>
  <c r="AW624" i="1"/>
  <c r="AW619" i="1"/>
  <c r="AW614" i="1"/>
  <c r="AW609" i="1"/>
  <c r="AW604" i="1"/>
  <c r="AW588" i="1"/>
  <c r="AW586" i="1"/>
  <c r="AW580" i="1"/>
  <c r="AW569" i="1"/>
  <c r="AU499" i="1"/>
  <c r="AV491" i="1"/>
  <c r="AW491" i="1"/>
  <c r="AU491" i="1"/>
  <c r="AV479" i="1"/>
  <c r="AW479" i="1"/>
  <c r="AU410" i="1"/>
  <c r="AV714" i="1"/>
  <c r="AV709" i="1"/>
  <c r="AV704" i="1"/>
  <c r="AV699" i="1"/>
  <c r="AV694" i="1"/>
  <c r="AV689" i="1"/>
  <c r="AV684" i="1"/>
  <c r="AV679" i="1"/>
  <c r="AV674" i="1"/>
  <c r="AV669" i="1"/>
  <c r="AV664" i="1"/>
  <c r="AV659" i="1"/>
  <c r="AV654" i="1"/>
  <c r="AV649" i="1"/>
  <c r="AV644" i="1"/>
  <c r="AV639" i="1"/>
  <c r="AV634" i="1"/>
  <c r="AV629" i="1"/>
  <c r="AV624" i="1"/>
  <c r="AV619" i="1"/>
  <c r="AV614" i="1"/>
  <c r="AV609" i="1"/>
  <c r="AV604" i="1"/>
  <c r="AV599" i="1"/>
  <c r="AV588" i="1"/>
  <c r="AV580" i="1"/>
  <c r="AW577" i="1"/>
  <c r="AV569" i="1"/>
  <c r="AV566" i="1"/>
  <c r="AW563" i="1"/>
  <c r="AV511" i="1"/>
  <c r="AW511" i="1"/>
  <c r="AV499" i="1"/>
  <c r="AW499" i="1"/>
  <c r="AW560" i="1"/>
  <c r="AV554" i="1"/>
  <c r="AV551" i="1"/>
  <c r="AW551" i="1"/>
  <c r="AV444" i="1"/>
  <c r="AW444" i="1"/>
  <c r="AU438" i="1"/>
  <c r="AV438" i="1"/>
  <c r="AW438" i="1"/>
  <c r="AW591" i="1"/>
  <c r="AU554" i="1"/>
  <c r="AV541" i="1"/>
  <c r="AW541" i="1"/>
  <c r="AV531" i="1"/>
  <c r="AW531" i="1"/>
  <c r="AV521" i="1"/>
  <c r="AW521" i="1"/>
  <c r="AU514" i="1"/>
  <c r="AU474" i="1"/>
  <c r="AV390" i="1"/>
  <c r="AW390" i="1"/>
  <c r="AV514" i="1"/>
  <c r="AW514" i="1"/>
  <c r="AV474" i="1"/>
  <c r="AW474" i="1"/>
  <c r="AU469" i="1"/>
  <c r="AU400" i="1"/>
  <c r="AV400" i="1"/>
  <c r="AW400" i="1"/>
  <c r="AW566" i="1"/>
  <c r="AU557" i="1"/>
  <c r="AW557" i="1"/>
  <c r="AU510" i="1"/>
  <c r="AW510" i="1"/>
  <c r="AV494" i="1"/>
  <c r="AW494" i="1"/>
  <c r="AV486" i="1"/>
  <c r="AW486" i="1"/>
  <c r="AU486" i="1"/>
  <c r="AV469" i="1"/>
  <c r="AW469" i="1"/>
  <c r="AV464" i="1"/>
  <c r="AW464" i="1"/>
  <c r="AV459" i="1"/>
  <c r="AW459" i="1"/>
  <c r="AV454" i="1"/>
  <c r="AW454" i="1"/>
  <c r="AV449" i="1"/>
  <c r="AW449" i="1"/>
  <c r="AU437" i="1"/>
  <c r="AW596" i="1"/>
  <c r="AW520" i="1"/>
  <c r="AU517" i="1"/>
  <c r="AV506" i="1"/>
  <c r="AW506" i="1"/>
  <c r="AU506" i="1"/>
  <c r="AU502" i="1"/>
  <c r="AU482" i="1"/>
  <c r="AV473" i="1"/>
  <c r="AU443" i="1"/>
  <c r="AW443" i="1"/>
  <c r="AV598" i="1"/>
  <c r="AV590" i="1"/>
  <c r="AU547" i="1"/>
  <c r="AW547" i="1"/>
  <c r="AV540" i="1"/>
  <c r="AU537" i="1"/>
  <c r="AV537" i="1"/>
  <c r="AW537" i="1"/>
  <c r="AV530" i="1"/>
  <c r="AU527" i="1"/>
  <c r="AV527" i="1"/>
  <c r="AW527" i="1"/>
  <c r="AV520" i="1"/>
  <c r="AV513" i="1"/>
  <c r="AW493" i="1"/>
  <c r="AU473" i="1"/>
  <c r="AU380" i="1"/>
  <c r="AV380" i="1"/>
  <c r="AW380" i="1"/>
  <c r="AU375" i="1"/>
  <c r="AW713" i="1"/>
  <c r="AW708" i="1"/>
  <c r="AW703" i="1"/>
  <c r="AW698" i="1"/>
  <c r="AW693" i="1"/>
  <c r="AW688" i="1"/>
  <c r="AW683" i="1"/>
  <c r="AW678" i="1"/>
  <c r="AW673" i="1"/>
  <c r="AW668" i="1"/>
  <c r="AW663" i="1"/>
  <c r="AW658" i="1"/>
  <c r="AW653" i="1"/>
  <c r="AW648" i="1"/>
  <c r="AW643" i="1"/>
  <c r="AW638" i="1"/>
  <c r="AW633" i="1"/>
  <c r="AW628" i="1"/>
  <c r="AW623" i="1"/>
  <c r="AW618" i="1"/>
  <c r="AW613" i="1"/>
  <c r="AW608" i="1"/>
  <c r="AW603" i="1"/>
  <c r="AW587" i="1"/>
  <c r="AW579" i="1"/>
  <c r="AW565" i="1"/>
  <c r="AW543" i="1"/>
  <c r="AW533" i="1"/>
  <c r="AW523" i="1"/>
  <c r="AV436" i="1"/>
  <c r="AV713" i="1"/>
  <c r="AV708" i="1"/>
  <c r="AV703" i="1"/>
  <c r="AV698" i="1"/>
  <c r="AV693" i="1"/>
  <c r="AV688" i="1"/>
  <c r="AV683" i="1"/>
  <c r="AV678" i="1"/>
  <c r="AV673" i="1"/>
  <c r="AV668" i="1"/>
  <c r="AV663" i="1"/>
  <c r="AV658" i="1"/>
  <c r="AV653" i="1"/>
  <c r="AV648" i="1"/>
  <c r="AV643" i="1"/>
  <c r="AV638" i="1"/>
  <c r="AV633" i="1"/>
  <c r="AV628" i="1"/>
  <c r="AV623" i="1"/>
  <c r="AV618" i="1"/>
  <c r="AV613" i="1"/>
  <c r="AV608" i="1"/>
  <c r="AV603" i="1"/>
  <c r="AV587" i="1"/>
  <c r="AV579" i="1"/>
  <c r="AV576" i="1"/>
  <c r="AW571" i="1"/>
  <c r="AV565" i="1"/>
  <c r="AV543" i="1"/>
  <c r="AV533" i="1"/>
  <c r="AV523" i="1"/>
  <c r="AU489" i="1"/>
  <c r="AU468" i="1"/>
  <c r="AW468" i="1"/>
  <c r="AU463" i="1"/>
  <c r="AW463" i="1"/>
  <c r="AU458" i="1"/>
  <c r="AW458" i="1"/>
  <c r="AU453" i="1"/>
  <c r="AW453" i="1"/>
  <c r="AU448" i="1"/>
  <c r="AW448" i="1"/>
  <c r="AU576" i="1"/>
  <c r="AW559" i="1"/>
  <c r="AU505" i="1"/>
  <c r="AW505" i="1"/>
  <c r="AV489" i="1"/>
  <c r="AW489" i="1"/>
  <c r="AV481" i="1"/>
  <c r="AW481" i="1"/>
  <c r="AU481" i="1"/>
  <c r="AW592" i="1"/>
  <c r="AW584" i="1"/>
  <c r="AV556" i="1"/>
  <c r="AW556" i="1"/>
  <c r="AV509" i="1"/>
  <c r="AW509" i="1"/>
  <c r="AV501" i="1"/>
  <c r="AW501" i="1"/>
  <c r="AU501" i="1"/>
  <c r="AU497" i="1"/>
  <c r="AU477" i="1"/>
  <c r="AU425" i="1"/>
  <c r="AW710" i="1"/>
  <c r="AW705" i="1"/>
  <c r="AW700" i="1"/>
  <c r="AW695" i="1"/>
  <c r="AW690" i="1"/>
  <c r="AW685" i="1"/>
  <c r="AW680" i="1"/>
  <c r="AW675" i="1"/>
  <c r="AW670" i="1"/>
  <c r="AW665" i="1"/>
  <c r="AW660" i="1"/>
  <c r="AW655" i="1"/>
  <c r="AW650" i="1"/>
  <c r="AW645" i="1"/>
  <c r="AW640" i="1"/>
  <c r="AW635" i="1"/>
  <c r="AW630" i="1"/>
  <c r="AW625" i="1"/>
  <c r="AW620" i="1"/>
  <c r="AW615" i="1"/>
  <c r="AW610" i="1"/>
  <c r="AW605" i="1"/>
  <c r="AW600" i="1"/>
  <c r="AW570" i="1"/>
  <c r="AU562" i="1"/>
  <c r="AU559" i="1"/>
  <c r="AV516" i="1"/>
  <c r="AW516" i="1"/>
  <c r="AW488" i="1"/>
  <c r="AV441" i="1"/>
  <c r="AW441" i="1"/>
  <c r="AU441" i="1"/>
  <c r="AU435" i="1"/>
  <c r="AV435" i="1"/>
  <c r="AW435" i="1"/>
  <c r="AW578" i="1"/>
  <c r="AW567" i="1"/>
  <c r="AV546" i="1"/>
  <c r="AW546" i="1"/>
  <c r="AV536" i="1"/>
  <c r="AW536" i="1"/>
  <c r="AV526" i="1"/>
  <c r="AW526" i="1"/>
  <c r="AU420" i="1"/>
  <c r="AV420" i="1"/>
  <c r="AW420" i="1"/>
  <c r="AW597" i="1"/>
  <c r="AW589" i="1"/>
  <c r="AV578" i="1"/>
  <c r="AV567" i="1"/>
  <c r="AW555" i="1"/>
  <c r="AU549" i="1"/>
  <c r="AV539" i="1"/>
  <c r="AV529" i="1"/>
  <c r="AU519" i="1"/>
  <c r="AV508" i="1"/>
  <c r="AU484" i="1"/>
  <c r="AV476" i="1"/>
  <c r="AW476" i="1"/>
  <c r="AU476" i="1"/>
  <c r="AU434" i="1"/>
  <c r="AV597" i="1"/>
  <c r="AV561" i="1"/>
  <c r="AW558" i="1"/>
  <c r="AV555" i="1"/>
  <c r="AU539" i="1"/>
  <c r="AU529" i="1"/>
  <c r="AV519" i="1"/>
  <c r="AW519" i="1"/>
  <c r="AW515" i="1"/>
  <c r="AU504" i="1"/>
  <c r="AU500" i="1"/>
  <c r="AW500" i="1"/>
  <c r="AV496" i="1"/>
  <c r="AW496" i="1"/>
  <c r="AU496" i="1"/>
  <c r="AV484" i="1"/>
  <c r="AW484" i="1"/>
  <c r="AV471" i="1"/>
  <c r="AW471" i="1"/>
  <c r="AU471" i="1"/>
  <c r="AV466" i="1"/>
  <c r="AW466" i="1"/>
  <c r="AU466" i="1"/>
  <c r="AV461" i="1"/>
  <c r="AW461" i="1"/>
  <c r="AU461" i="1"/>
  <c r="AV456" i="1"/>
  <c r="AW456" i="1"/>
  <c r="AU456" i="1"/>
  <c r="AV451" i="1"/>
  <c r="AW451" i="1"/>
  <c r="AU451" i="1"/>
  <c r="AV446" i="1"/>
  <c r="AW446" i="1"/>
  <c r="AU446" i="1"/>
  <c r="AV434" i="1"/>
  <c r="AW434" i="1"/>
  <c r="AW712" i="1"/>
  <c r="AW707" i="1"/>
  <c r="AW702" i="1"/>
  <c r="AW697" i="1"/>
  <c r="AW692" i="1"/>
  <c r="AW687" i="1"/>
  <c r="AW682" i="1"/>
  <c r="AW677" i="1"/>
  <c r="AW672" i="1"/>
  <c r="AW667" i="1"/>
  <c r="AW662" i="1"/>
  <c r="AW657" i="1"/>
  <c r="AW652" i="1"/>
  <c r="AW647" i="1"/>
  <c r="AW642" i="1"/>
  <c r="AW637" i="1"/>
  <c r="AW632" i="1"/>
  <c r="AW627" i="1"/>
  <c r="AW622" i="1"/>
  <c r="AV586" i="1"/>
  <c r="AW564" i="1"/>
  <c r="AU561" i="1"/>
  <c r="AV558" i="1"/>
  <c r="AU552" i="1"/>
  <c r="AW552" i="1"/>
  <c r="AW545" i="1"/>
  <c r="AW535" i="1"/>
  <c r="AW525" i="1"/>
  <c r="AV515" i="1"/>
  <c r="AV504" i="1"/>
  <c r="AW504" i="1"/>
  <c r="AU440" i="1"/>
  <c r="AV440" i="1"/>
  <c r="AW440" i="1"/>
  <c r="AW581" i="1"/>
  <c r="AV564" i="1"/>
  <c r="AU542" i="1"/>
  <c r="AV542" i="1"/>
  <c r="AW542" i="1"/>
  <c r="AU532" i="1"/>
  <c r="AV532" i="1"/>
  <c r="AW532" i="1"/>
  <c r="AU522" i="1"/>
  <c r="AV522" i="1"/>
  <c r="AW522" i="1"/>
  <c r="AU415" i="1"/>
  <c r="AU436" i="1"/>
  <c r="AU428" i="1"/>
  <c r="AW428" i="1"/>
  <c r="AW405" i="1"/>
  <c r="AU395" i="1"/>
  <c r="AU378" i="1"/>
  <c r="AV378" i="1"/>
  <c r="AW378" i="1"/>
  <c r="AU305" i="1"/>
  <c r="AV305" i="1"/>
  <c r="AW305" i="1"/>
  <c r="AU285" i="1"/>
  <c r="AU191" i="1"/>
  <c r="AV191" i="1"/>
  <c r="AW191" i="1"/>
  <c r="AU164" i="1"/>
  <c r="AV164" i="1"/>
  <c r="AW164" i="1"/>
  <c r="AU144" i="1"/>
  <c r="AU139" i="1"/>
  <c r="AV139" i="1"/>
  <c r="AW139" i="1"/>
  <c r="AU431" i="1"/>
  <c r="AU418" i="1"/>
  <c r="AV418" i="1"/>
  <c r="AW418" i="1"/>
  <c r="AU310" i="1"/>
  <c r="AV310" i="1"/>
  <c r="AW310" i="1"/>
  <c r="AU289" i="1"/>
  <c r="AU233" i="1"/>
  <c r="AU214" i="1"/>
  <c r="AU195" i="1"/>
  <c r="AU173" i="1"/>
  <c r="AU158" i="1"/>
  <c r="AU121" i="1"/>
  <c r="AU421" i="1"/>
  <c r="AU388" i="1"/>
  <c r="AV388" i="1"/>
  <c r="AW388" i="1"/>
  <c r="AU366" i="1"/>
  <c r="AU331" i="1"/>
  <c r="AU315" i="1"/>
  <c r="AV315" i="1"/>
  <c r="AW315" i="1"/>
  <c r="AU299" i="1"/>
  <c r="AU186" i="1"/>
  <c r="AV186" i="1"/>
  <c r="AW186" i="1"/>
  <c r="AU178" i="1"/>
  <c r="AU149" i="1"/>
  <c r="AU398" i="1"/>
  <c r="AV398" i="1"/>
  <c r="AW398" i="1"/>
  <c r="AU320" i="1"/>
  <c r="AV320" i="1"/>
  <c r="AW320" i="1"/>
  <c r="AU223" i="1"/>
  <c r="AU190" i="1"/>
  <c r="AU424" i="1"/>
  <c r="AW424" i="1"/>
  <c r="AU408" i="1"/>
  <c r="AV408" i="1"/>
  <c r="AW408" i="1"/>
  <c r="AU374" i="1"/>
  <c r="AW374" i="1"/>
  <c r="AU356" i="1"/>
  <c r="AU351" i="1"/>
  <c r="AU346" i="1"/>
  <c r="AU341" i="1"/>
  <c r="AU325" i="1"/>
  <c r="AV325" i="1"/>
  <c r="AW325" i="1"/>
  <c r="AU309" i="1"/>
  <c r="AU284" i="1"/>
  <c r="AU280" i="1"/>
  <c r="AU218" i="1"/>
  <c r="AU199" i="1"/>
  <c r="AU391" i="1"/>
  <c r="AU330" i="1"/>
  <c r="AV330" i="1"/>
  <c r="AW330" i="1"/>
  <c r="AU293" i="1"/>
  <c r="AU288" i="1"/>
  <c r="AV271" i="1"/>
  <c r="AW271" i="1"/>
  <c r="AU213" i="1"/>
  <c r="AW490" i="1"/>
  <c r="AW485" i="1"/>
  <c r="AW480" i="1"/>
  <c r="AW475" i="1"/>
  <c r="AW470" i="1"/>
  <c r="AW465" i="1"/>
  <c r="AW460" i="1"/>
  <c r="AW455" i="1"/>
  <c r="AW450" i="1"/>
  <c r="AU411" i="1"/>
  <c r="AU401" i="1"/>
  <c r="AW397" i="1"/>
  <c r="AU384" i="1"/>
  <c r="AW384" i="1"/>
  <c r="AU335" i="1"/>
  <c r="AV335" i="1"/>
  <c r="AW335" i="1"/>
  <c r="AU319" i="1"/>
  <c r="AU298" i="1"/>
  <c r="AU271" i="1"/>
  <c r="AU266" i="1"/>
  <c r="AU261" i="1"/>
  <c r="AU256" i="1"/>
  <c r="AU251" i="1"/>
  <c r="AV246" i="1"/>
  <c r="AW246" i="1"/>
  <c r="AU208" i="1"/>
  <c r="AU148" i="1"/>
  <c r="AV148" i="1"/>
  <c r="AW148" i="1"/>
  <c r="AU394" i="1"/>
  <c r="AW394" i="1"/>
  <c r="AU365" i="1"/>
  <c r="AW365" i="1"/>
  <c r="AU355" i="1"/>
  <c r="AV355" i="1"/>
  <c r="AW355" i="1"/>
  <c r="AU350" i="1"/>
  <c r="AV350" i="1"/>
  <c r="AW350" i="1"/>
  <c r="AU345" i="1"/>
  <c r="AV345" i="1"/>
  <c r="AW345" i="1"/>
  <c r="AU340" i="1"/>
  <c r="AV340" i="1"/>
  <c r="AW340" i="1"/>
  <c r="AV266" i="1"/>
  <c r="AW266" i="1"/>
  <c r="AV261" i="1"/>
  <c r="AW261" i="1"/>
  <c r="AV256" i="1"/>
  <c r="AW256" i="1"/>
  <c r="AV251" i="1"/>
  <c r="AW251" i="1"/>
  <c r="AU246" i="1"/>
  <c r="AV241" i="1"/>
  <c r="AW241" i="1"/>
  <c r="AU189" i="1"/>
  <c r="AV171" i="1"/>
  <c r="AW171" i="1"/>
  <c r="AU414" i="1"/>
  <c r="AW414" i="1"/>
  <c r="AU373" i="1"/>
  <c r="AV373" i="1"/>
  <c r="AW373" i="1"/>
  <c r="AU369" i="1"/>
  <c r="AV369" i="1"/>
  <c r="AW369" i="1"/>
  <c r="AU360" i="1"/>
  <c r="AV360" i="1"/>
  <c r="AW360" i="1"/>
  <c r="AU329" i="1"/>
  <c r="AU308" i="1"/>
  <c r="AU283" i="1"/>
  <c r="AU279" i="1"/>
  <c r="AU275" i="1"/>
  <c r="AU241" i="1"/>
  <c r="AU198" i="1"/>
  <c r="AU171" i="1"/>
  <c r="AU166" i="1"/>
  <c r="AU156" i="1"/>
  <c r="AW156" i="1"/>
  <c r="AU119" i="1"/>
  <c r="AV119" i="1"/>
  <c r="AW119" i="1"/>
  <c r="AU404" i="1"/>
  <c r="AW404" i="1"/>
  <c r="AU193" i="1"/>
  <c r="AU184" i="1"/>
  <c r="AU176" i="1"/>
  <c r="AV176" i="1"/>
  <c r="AW176" i="1"/>
  <c r="AV156" i="1"/>
  <c r="AW517" i="1"/>
  <c r="AW512" i="1"/>
  <c r="AW507" i="1"/>
  <c r="AW502" i="1"/>
  <c r="AW497" i="1"/>
  <c r="AW492" i="1"/>
  <c r="AW487" i="1"/>
  <c r="AW482" i="1"/>
  <c r="AW477" i="1"/>
  <c r="AW472" i="1"/>
  <c r="AW467" i="1"/>
  <c r="AW462" i="1"/>
  <c r="AW457" i="1"/>
  <c r="AW452" i="1"/>
  <c r="AW447" i="1"/>
  <c r="AW442" i="1"/>
  <c r="AW437" i="1"/>
  <c r="AW432" i="1"/>
  <c r="AU423" i="1"/>
  <c r="AW423" i="1"/>
  <c r="AU364" i="1"/>
  <c r="AV364" i="1"/>
  <c r="AW364" i="1"/>
  <c r="AU318" i="1"/>
  <c r="AV236" i="1"/>
  <c r="AW236" i="1"/>
  <c r="AU151" i="1"/>
  <c r="AV151" i="1"/>
  <c r="AW151" i="1"/>
  <c r="AV517" i="1"/>
  <c r="AV512" i="1"/>
  <c r="AV507" i="1"/>
  <c r="AV502" i="1"/>
  <c r="AV497" i="1"/>
  <c r="AV492" i="1"/>
  <c r="AV487" i="1"/>
  <c r="AV482" i="1"/>
  <c r="AV477" i="1"/>
  <c r="AV472" i="1"/>
  <c r="AV467" i="1"/>
  <c r="AV462" i="1"/>
  <c r="AV457" i="1"/>
  <c r="AV452" i="1"/>
  <c r="AV447" i="1"/>
  <c r="AV442" i="1"/>
  <c r="AV437" i="1"/>
  <c r="AU383" i="1"/>
  <c r="AV383" i="1"/>
  <c r="AW383" i="1"/>
  <c r="AU359" i="1"/>
  <c r="AU323" i="1"/>
  <c r="AV231" i="1"/>
  <c r="AW231" i="1"/>
  <c r="AU226" i="1"/>
  <c r="AU188" i="1"/>
  <c r="AU161" i="1"/>
  <c r="AU146" i="1"/>
  <c r="AU133" i="1"/>
  <c r="AV133" i="1"/>
  <c r="AW133" i="1"/>
  <c r="AW429" i="1"/>
  <c r="AU426" i="1"/>
  <c r="AW426" i="1"/>
  <c r="AU393" i="1"/>
  <c r="AV393" i="1"/>
  <c r="AW393" i="1"/>
  <c r="AU376" i="1"/>
  <c r="AU368" i="1"/>
  <c r="AV368" i="1"/>
  <c r="AW368" i="1"/>
  <c r="AV226" i="1"/>
  <c r="AW226" i="1"/>
  <c r="AU129" i="1"/>
  <c r="AV129" i="1"/>
  <c r="AW129" i="1"/>
  <c r="AU89" i="1"/>
  <c r="AV429" i="1"/>
  <c r="AU413" i="1"/>
  <c r="AV413" i="1"/>
  <c r="AW413" i="1"/>
  <c r="AU333" i="1"/>
  <c r="AU269" i="1"/>
  <c r="AU264" i="1"/>
  <c r="AU259" i="1"/>
  <c r="AU254" i="1"/>
  <c r="AU249" i="1"/>
  <c r="AU235" i="1"/>
  <c r="AV221" i="1"/>
  <c r="AW221" i="1"/>
  <c r="AU183" i="1"/>
  <c r="AU141" i="1"/>
  <c r="AU416" i="1"/>
  <c r="AU403" i="1"/>
  <c r="AV403" i="1"/>
  <c r="AW403" i="1"/>
  <c r="AU386" i="1"/>
  <c r="AU372" i="1"/>
  <c r="AU363" i="1"/>
  <c r="AU358" i="1"/>
  <c r="AU353" i="1"/>
  <c r="AU348" i="1"/>
  <c r="AU343" i="1"/>
  <c r="AU338" i="1"/>
  <c r="AU291" i="1"/>
  <c r="AU244" i="1"/>
  <c r="AU230" i="1"/>
  <c r="AV216" i="1"/>
  <c r="AW216" i="1"/>
  <c r="AU211" i="1"/>
  <c r="AW425" i="1"/>
  <c r="AW392" i="1"/>
  <c r="AU379" i="1"/>
  <c r="AW379" i="1"/>
  <c r="AW375" i="1"/>
  <c r="AV211" i="1"/>
  <c r="AW211" i="1"/>
  <c r="AU128" i="1"/>
  <c r="AV128" i="1"/>
  <c r="AW128" i="1"/>
  <c r="AV425" i="1"/>
  <c r="AU419" i="1"/>
  <c r="AW419" i="1"/>
  <c r="AW412" i="1"/>
  <c r="AV392" i="1"/>
  <c r="AV375" i="1"/>
  <c r="AU273" i="1"/>
  <c r="AU239" i="1"/>
  <c r="AU220" i="1"/>
  <c r="AU206" i="1"/>
  <c r="AV206" i="1"/>
  <c r="AW206" i="1"/>
  <c r="AV182" i="1"/>
  <c r="AW182" i="1"/>
  <c r="AU169" i="1"/>
  <c r="AU109" i="1"/>
  <c r="AV428" i="1"/>
  <c r="AW415" i="1"/>
  <c r="AV412" i="1"/>
  <c r="AU406" i="1"/>
  <c r="AW402" i="1"/>
  <c r="AU389" i="1"/>
  <c r="AW389" i="1"/>
  <c r="AW385" i="1"/>
  <c r="AU268" i="1"/>
  <c r="AU263" i="1"/>
  <c r="AU258" i="1"/>
  <c r="AU253" i="1"/>
  <c r="AU248" i="1"/>
  <c r="AU234" i="1"/>
  <c r="AU215" i="1"/>
  <c r="AU201" i="1"/>
  <c r="AV201" i="1"/>
  <c r="AW201" i="1"/>
  <c r="AU174" i="1"/>
  <c r="AW436" i="1"/>
  <c r="AW431" i="1"/>
  <c r="AV415" i="1"/>
  <c r="AV402" i="1"/>
  <c r="AU399" i="1"/>
  <c r="AW399" i="1"/>
  <c r="AW395" i="1"/>
  <c r="AV385" i="1"/>
  <c r="AU371" i="1"/>
  <c r="AU367" i="1"/>
  <c r="AU357" i="1"/>
  <c r="AW357" i="1"/>
  <c r="AU352" i="1"/>
  <c r="AW352" i="1"/>
  <c r="AU347" i="1"/>
  <c r="AW347" i="1"/>
  <c r="AU311" i="1"/>
  <c r="AU295" i="1"/>
  <c r="AU243" i="1"/>
  <c r="AU210" i="1"/>
  <c r="AU196" i="1"/>
  <c r="AV196" i="1"/>
  <c r="AW196" i="1"/>
  <c r="AU159" i="1"/>
  <c r="AV159" i="1"/>
  <c r="AW159" i="1"/>
  <c r="AV431" i="1"/>
  <c r="AU409" i="1"/>
  <c r="AW409" i="1"/>
  <c r="AU316" i="1"/>
  <c r="AU300" i="1"/>
  <c r="AU168" i="1"/>
  <c r="AV168" i="1"/>
  <c r="AW168" i="1"/>
  <c r="AW149" i="1"/>
  <c r="AU138" i="1"/>
  <c r="AV135" i="1"/>
  <c r="AU118" i="1"/>
  <c r="AU115" i="1"/>
  <c r="AU112" i="1"/>
  <c r="AV112" i="1"/>
  <c r="AW112" i="1"/>
  <c r="AU78" i="1"/>
  <c r="AU28" i="1"/>
  <c r="AV28" i="1"/>
  <c r="AW28" i="1"/>
  <c r="AV12" i="1"/>
  <c r="AW12" i="1"/>
  <c r="AW300" i="1"/>
  <c r="AW295" i="1"/>
  <c r="AW290" i="1"/>
  <c r="AW285" i="1"/>
  <c r="AW280" i="1"/>
  <c r="AW275" i="1"/>
  <c r="AW270" i="1"/>
  <c r="AW265" i="1"/>
  <c r="AW260" i="1"/>
  <c r="AW255" i="1"/>
  <c r="AW250" i="1"/>
  <c r="AW245" i="1"/>
  <c r="AW240" i="1"/>
  <c r="AW235" i="1"/>
  <c r="AW230" i="1"/>
  <c r="AW225" i="1"/>
  <c r="AW220" i="1"/>
  <c r="AW215" i="1"/>
  <c r="AW210" i="1"/>
  <c r="AW205" i="1"/>
  <c r="AW200" i="1"/>
  <c r="AW195" i="1"/>
  <c r="AW190" i="1"/>
  <c r="AW185" i="1"/>
  <c r="AU152" i="1"/>
  <c r="AV152" i="1"/>
  <c r="AW152" i="1"/>
  <c r="AU102" i="1"/>
  <c r="AV102" i="1"/>
  <c r="AW102" i="1"/>
  <c r="AU92" i="1"/>
  <c r="AV92" i="1"/>
  <c r="AW92" i="1"/>
  <c r="AU62" i="1"/>
  <c r="AV62" i="1"/>
  <c r="AW62" i="1"/>
  <c r="AU53" i="1"/>
  <c r="AV53" i="1"/>
  <c r="AW53" i="1"/>
  <c r="AU33" i="1"/>
  <c r="AV33" i="1"/>
  <c r="AW33" i="1"/>
  <c r="AV300" i="1"/>
  <c r="AV295" i="1"/>
  <c r="AV290" i="1"/>
  <c r="AV285" i="1"/>
  <c r="AV280" i="1"/>
  <c r="AV275" i="1"/>
  <c r="AV270" i="1"/>
  <c r="AV265" i="1"/>
  <c r="AV260" i="1"/>
  <c r="AV255" i="1"/>
  <c r="AV250" i="1"/>
  <c r="AV245" i="1"/>
  <c r="AV240" i="1"/>
  <c r="AV235" i="1"/>
  <c r="AV230" i="1"/>
  <c r="AV225" i="1"/>
  <c r="AV220" i="1"/>
  <c r="AV215" i="1"/>
  <c r="AV210" i="1"/>
  <c r="AV205" i="1"/>
  <c r="AV200" i="1"/>
  <c r="AV195" i="1"/>
  <c r="AV190" i="1"/>
  <c r="AV185" i="1"/>
  <c r="AV174" i="1"/>
  <c r="AV163" i="1"/>
  <c r="AW160" i="1"/>
  <c r="AV146" i="1"/>
  <c r="AV126" i="1"/>
  <c r="AV85" i="1"/>
  <c r="AW85" i="1"/>
  <c r="AU70" i="1"/>
  <c r="AV70" i="1"/>
  <c r="AW70" i="1"/>
  <c r="AU66" i="1"/>
  <c r="AV66" i="1"/>
  <c r="AU48" i="1"/>
  <c r="AV48" i="1"/>
  <c r="AW48" i="1"/>
  <c r="AU38" i="1"/>
  <c r="AV38" i="1"/>
  <c r="AW38" i="1"/>
  <c r="AU17" i="1"/>
  <c r="AV17" i="1"/>
  <c r="AW17" i="1"/>
  <c r="AV160" i="1"/>
  <c r="AW154" i="1"/>
  <c r="AU132" i="1"/>
  <c r="AV132" i="1"/>
  <c r="AW132" i="1"/>
  <c r="AU57" i="1"/>
  <c r="AV57" i="1"/>
  <c r="AW57" i="1"/>
  <c r="AU43" i="1"/>
  <c r="AV43" i="1"/>
  <c r="AW43" i="1"/>
  <c r="AU177" i="1"/>
  <c r="AV177" i="1"/>
  <c r="AW177" i="1"/>
  <c r="AV143" i="1"/>
  <c r="AW140" i="1"/>
  <c r="AV123" i="1"/>
  <c r="AW120" i="1"/>
  <c r="AW114" i="1"/>
  <c r="AV111" i="1"/>
  <c r="AW108" i="1"/>
  <c r="AW101" i="1"/>
  <c r="AW98" i="1"/>
  <c r="AW91" i="1"/>
  <c r="AW84" i="1"/>
  <c r="AW69" i="1"/>
  <c r="AU16" i="1"/>
  <c r="AV16" i="1"/>
  <c r="AW16" i="1"/>
  <c r="AU6" i="1"/>
  <c r="AV6" i="1"/>
  <c r="AW6" i="1"/>
  <c r="AW372" i="1"/>
  <c r="AW367" i="1"/>
  <c r="AW362" i="1"/>
  <c r="AW342" i="1"/>
  <c r="AW337" i="1"/>
  <c r="AW332" i="1"/>
  <c r="AW327" i="1"/>
  <c r="AW322" i="1"/>
  <c r="AW317" i="1"/>
  <c r="AW312" i="1"/>
  <c r="AW307" i="1"/>
  <c r="AW302" i="1"/>
  <c r="AW297" i="1"/>
  <c r="AW292" i="1"/>
  <c r="AW287" i="1"/>
  <c r="AW282" i="1"/>
  <c r="AW277" i="1"/>
  <c r="AW272" i="1"/>
  <c r="AW267" i="1"/>
  <c r="AW262" i="1"/>
  <c r="AW257" i="1"/>
  <c r="AW252" i="1"/>
  <c r="AW247" i="1"/>
  <c r="AW242" i="1"/>
  <c r="AW237" i="1"/>
  <c r="AW232" i="1"/>
  <c r="AW227" i="1"/>
  <c r="AW222" i="1"/>
  <c r="AW217" i="1"/>
  <c r="AW212" i="1"/>
  <c r="AW207" i="1"/>
  <c r="AW202" i="1"/>
  <c r="AW197" i="1"/>
  <c r="AW134" i="1"/>
  <c r="AV108" i="1"/>
  <c r="AV98" i="1"/>
  <c r="AU88" i="1"/>
  <c r="AV84" i="1"/>
  <c r="AU77" i="1"/>
  <c r="AV77" i="1"/>
  <c r="AW77" i="1"/>
  <c r="AV69" i="1"/>
  <c r="AU52" i="1"/>
  <c r="AV52" i="1"/>
  <c r="AW52" i="1"/>
  <c r="AU157" i="1"/>
  <c r="AV157" i="1"/>
  <c r="AW157" i="1"/>
  <c r="AU65" i="1"/>
  <c r="AV65" i="1"/>
  <c r="AW65" i="1"/>
  <c r="AU61" i="1"/>
  <c r="AV61" i="1"/>
  <c r="AU47" i="1"/>
  <c r="AV47" i="1"/>
  <c r="AW47" i="1"/>
  <c r="AU37" i="1"/>
  <c r="AU5" i="1"/>
  <c r="AV5" i="1"/>
  <c r="AW5" i="1"/>
  <c r="AU21" i="1"/>
  <c r="AU137" i="1"/>
  <c r="AV137" i="1"/>
  <c r="AW137" i="1"/>
  <c r="AU117" i="1"/>
  <c r="AV117" i="1"/>
  <c r="AW117" i="1"/>
  <c r="AU56" i="1"/>
  <c r="AU26" i="1"/>
  <c r="AU10" i="1"/>
  <c r="AW359" i="1"/>
  <c r="AW354" i="1"/>
  <c r="AW349" i="1"/>
  <c r="AW344" i="1"/>
  <c r="AW339" i="1"/>
  <c r="AW334" i="1"/>
  <c r="AW329" i="1"/>
  <c r="AW324" i="1"/>
  <c r="AW319" i="1"/>
  <c r="AW314" i="1"/>
  <c r="AW309" i="1"/>
  <c r="AW304" i="1"/>
  <c r="AW299" i="1"/>
  <c r="AW294" i="1"/>
  <c r="AW289" i="1"/>
  <c r="AW284" i="1"/>
  <c r="AW279" i="1"/>
  <c r="AW274" i="1"/>
  <c r="AW269" i="1"/>
  <c r="AW264" i="1"/>
  <c r="AW259" i="1"/>
  <c r="AW254" i="1"/>
  <c r="AW249" i="1"/>
  <c r="AW244" i="1"/>
  <c r="AW239" i="1"/>
  <c r="AW234" i="1"/>
  <c r="AW229" i="1"/>
  <c r="AW224" i="1"/>
  <c r="AW219" i="1"/>
  <c r="AU182" i="1"/>
  <c r="AU80" i="1"/>
  <c r="AV80" i="1"/>
  <c r="AW80" i="1"/>
  <c r="AU31" i="1"/>
  <c r="AU15" i="1"/>
  <c r="AV15" i="1"/>
  <c r="AW15" i="1"/>
  <c r="AV359" i="1"/>
  <c r="AV354" i="1"/>
  <c r="AV349" i="1"/>
  <c r="AV344" i="1"/>
  <c r="AV339" i="1"/>
  <c r="AV334" i="1"/>
  <c r="AV329" i="1"/>
  <c r="AV324" i="1"/>
  <c r="AV319" i="1"/>
  <c r="AV314" i="1"/>
  <c r="AV309" i="1"/>
  <c r="AV304" i="1"/>
  <c r="AV299" i="1"/>
  <c r="AV294" i="1"/>
  <c r="AV289" i="1"/>
  <c r="AV284" i="1"/>
  <c r="AV279" i="1"/>
  <c r="AV274" i="1"/>
  <c r="AV269" i="1"/>
  <c r="AV264" i="1"/>
  <c r="AV259" i="1"/>
  <c r="AV254" i="1"/>
  <c r="AV249" i="1"/>
  <c r="AV244" i="1"/>
  <c r="AV239" i="1"/>
  <c r="AV234" i="1"/>
  <c r="AV229" i="1"/>
  <c r="AV224" i="1"/>
  <c r="AV219" i="1"/>
  <c r="AV214" i="1"/>
  <c r="AV209" i="1"/>
  <c r="AV204" i="1"/>
  <c r="AV199" i="1"/>
  <c r="AV194" i="1"/>
  <c r="AV189" i="1"/>
  <c r="AV184" i="1"/>
  <c r="AV173" i="1"/>
  <c r="AW170" i="1"/>
  <c r="AU87" i="1"/>
  <c r="AV87" i="1"/>
  <c r="AW87" i="1"/>
  <c r="AU60" i="1"/>
  <c r="AV60" i="1"/>
  <c r="AW60" i="1"/>
  <c r="AU51" i="1"/>
  <c r="AU36" i="1"/>
  <c r="AU162" i="1"/>
  <c r="AV162" i="1"/>
  <c r="AW162" i="1"/>
  <c r="AU107" i="1"/>
  <c r="AV107" i="1"/>
  <c r="AW107" i="1"/>
  <c r="AU97" i="1"/>
  <c r="AV97" i="1"/>
  <c r="AW97" i="1"/>
  <c r="AW83" i="1"/>
  <c r="AW79" i="1"/>
  <c r="AU46" i="1"/>
  <c r="AU41" i="1"/>
  <c r="AU20" i="1"/>
  <c r="AV20" i="1"/>
  <c r="AW20" i="1"/>
  <c r="AV14" i="1"/>
  <c r="AV153" i="1"/>
  <c r="AV136" i="1"/>
  <c r="AV116" i="1"/>
  <c r="AU110" i="1"/>
  <c r="AU100" i="1"/>
  <c r="AV79" i="1"/>
  <c r="AU72" i="1"/>
  <c r="AV72" i="1"/>
  <c r="AW72" i="1"/>
  <c r="AU68" i="1"/>
  <c r="AW59" i="1"/>
  <c r="AU55" i="1"/>
  <c r="AV55" i="1"/>
  <c r="AW55" i="1"/>
  <c r="AU25" i="1"/>
  <c r="AV25" i="1"/>
  <c r="AW25" i="1"/>
  <c r="AW421" i="1"/>
  <c r="AW416" i="1"/>
  <c r="AW411" i="1"/>
  <c r="AW406" i="1"/>
  <c r="AW401" i="1"/>
  <c r="AW396" i="1"/>
  <c r="AW391" i="1"/>
  <c r="AW386" i="1"/>
  <c r="AW381" i="1"/>
  <c r="AW376" i="1"/>
  <c r="AW371" i="1"/>
  <c r="AW366" i="1"/>
  <c r="AW361" i="1"/>
  <c r="AW356" i="1"/>
  <c r="AW351" i="1"/>
  <c r="AW346" i="1"/>
  <c r="AW341" i="1"/>
  <c r="AW336" i="1"/>
  <c r="AW331" i="1"/>
  <c r="AW326" i="1"/>
  <c r="AW321" i="1"/>
  <c r="AW316" i="1"/>
  <c r="AW311" i="1"/>
  <c r="AW306" i="1"/>
  <c r="AW301" i="1"/>
  <c r="AW296" i="1"/>
  <c r="AW291" i="1"/>
  <c r="AW286" i="1"/>
  <c r="AW281" i="1"/>
  <c r="AU142" i="1"/>
  <c r="AV142" i="1"/>
  <c r="AW142" i="1"/>
  <c r="AU122" i="1"/>
  <c r="AV122" i="1"/>
  <c r="AW122" i="1"/>
  <c r="AV90" i="1"/>
  <c r="AW90" i="1"/>
  <c r="AU83" i="1"/>
  <c r="AV59" i="1"/>
  <c r="AU30" i="1"/>
  <c r="AV30" i="1"/>
  <c r="AW30" i="1"/>
  <c r="AU167" i="1"/>
  <c r="AV167" i="1"/>
  <c r="AW167" i="1"/>
  <c r="AU50" i="1"/>
  <c r="AV50" i="1"/>
  <c r="AW50" i="1"/>
  <c r="AU35" i="1"/>
  <c r="AV35" i="1"/>
  <c r="AW35" i="1"/>
  <c r="AU24" i="1"/>
  <c r="AV24" i="1"/>
  <c r="AW24" i="1"/>
  <c r="AV178" i="1"/>
  <c r="AW175" i="1"/>
  <c r="AV161" i="1"/>
  <c r="AW144" i="1"/>
  <c r="AW124" i="1"/>
  <c r="AW89" i="1"/>
  <c r="AU45" i="1"/>
  <c r="AV45" i="1"/>
  <c r="AW45" i="1"/>
  <c r="AU40" i="1"/>
  <c r="AV40" i="1"/>
  <c r="AW40" i="1"/>
  <c r="AU29" i="1"/>
  <c r="AV29" i="1"/>
  <c r="AW29" i="1"/>
  <c r="AV3" i="1"/>
  <c r="AW3" i="1"/>
  <c r="AV175" i="1"/>
  <c r="AW169" i="1"/>
  <c r="AW158" i="1"/>
  <c r="AV144" i="1"/>
  <c r="AW141" i="1"/>
  <c r="AV124" i="1"/>
  <c r="AW121" i="1"/>
  <c r="AW109" i="1"/>
  <c r="AU103" i="1"/>
  <c r="AW99" i="1"/>
  <c r="AU93" i="1"/>
  <c r="AV89" i="1"/>
  <c r="AU75" i="1"/>
  <c r="AV75" i="1"/>
  <c r="AW75" i="1"/>
  <c r="AU34" i="1"/>
  <c r="AV34" i="1"/>
  <c r="AW34" i="1"/>
  <c r="AV8" i="1"/>
  <c r="AW363" i="1"/>
  <c r="AW358" i="1"/>
  <c r="AW353" i="1"/>
  <c r="AW348" i="1"/>
  <c r="AW343" i="1"/>
  <c r="AW338" i="1"/>
  <c r="AW333" i="1"/>
  <c r="AW328" i="1"/>
  <c r="AW323" i="1"/>
  <c r="AW318" i="1"/>
  <c r="AW313" i="1"/>
  <c r="AW308" i="1"/>
  <c r="AW303" i="1"/>
  <c r="AW298" i="1"/>
  <c r="AW293" i="1"/>
  <c r="AW288" i="1"/>
  <c r="AW283" i="1"/>
  <c r="AW278" i="1"/>
  <c r="AW273" i="1"/>
  <c r="AW268" i="1"/>
  <c r="AW263" i="1"/>
  <c r="AW258" i="1"/>
  <c r="AW253" i="1"/>
  <c r="AW248" i="1"/>
  <c r="AW243" i="1"/>
  <c r="AW238" i="1"/>
  <c r="AW233" i="1"/>
  <c r="AW228" i="1"/>
  <c r="AW223" i="1"/>
  <c r="AW218" i="1"/>
  <c r="AW213" i="1"/>
  <c r="AW208" i="1"/>
  <c r="AW203" i="1"/>
  <c r="AW198" i="1"/>
  <c r="AW193" i="1"/>
  <c r="AW188" i="1"/>
  <c r="AW183" i="1"/>
  <c r="AV169" i="1"/>
  <c r="AW166" i="1"/>
  <c r="AV158" i="1"/>
  <c r="AW155" i="1"/>
  <c r="AV141" i="1"/>
  <c r="AV121" i="1"/>
  <c r="AV109" i="1"/>
  <c r="AV99" i="1"/>
  <c r="AU67" i="1"/>
  <c r="AV67" i="1"/>
  <c r="AW67" i="1"/>
  <c r="AU63" i="1"/>
  <c r="AW63" i="1"/>
  <c r="AU49" i="1"/>
  <c r="AW49" i="1"/>
  <c r="AU39" i="1"/>
  <c r="AV39" i="1"/>
  <c r="AW39" i="1"/>
  <c r="AV18" i="1"/>
  <c r="AW18" i="1"/>
  <c r="AV363" i="1"/>
  <c r="AV358" i="1"/>
  <c r="AV353" i="1"/>
  <c r="AV348" i="1"/>
  <c r="AV343" i="1"/>
  <c r="AV338" i="1"/>
  <c r="AV333" i="1"/>
  <c r="AV328" i="1"/>
  <c r="AV323" i="1"/>
  <c r="AV318" i="1"/>
  <c r="AV313" i="1"/>
  <c r="AV308" i="1"/>
  <c r="AV303" i="1"/>
  <c r="AV298" i="1"/>
  <c r="AV293" i="1"/>
  <c r="AV288" i="1"/>
  <c r="AV283" i="1"/>
  <c r="AV278" i="1"/>
  <c r="AV273" i="1"/>
  <c r="AV268" i="1"/>
  <c r="AV263" i="1"/>
  <c r="AV258" i="1"/>
  <c r="AV253" i="1"/>
  <c r="AV248" i="1"/>
  <c r="AV243" i="1"/>
  <c r="AV238" i="1"/>
  <c r="AV233" i="1"/>
  <c r="AV228" i="1"/>
  <c r="AV223" i="1"/>
  <c r="AV218" i="1"/>
  <c r="AV213" i="1"/>
  <c r="AV208" i="1"/>
  <c r="AV203" i="1"/>
  <c r="AV198" i="1"/>
  <c r="AV193" i="1"/>
  <c r="AV188" i="1"/>
  <c r="AV183" i="1"/>
  <c r="AV166" i="1"/>
  <c r="AV155" i="1"/>
  <c r="AU147" i="1"/>
  <c r="AV147" i="1"/>
  <c r="AW147" i="1"/>
  <c r="AW138" i="1"/>
  <c r="AU127" i="1"/>
  <c r="AV127" i="1"/>
  <c r="AW127" i="1"/>
  <c r="AW118" i="1"/>
  <c r="AU82" i="1"/>
  <c r="AV82" i="1"/>
  <c r="AW82" i="1"/>
  <c r="AW78" i="1"/>
  <c r="AW74" i="1"/>
  <c r="AU71" i="1"/>
  <c r="AU44" i="1"/>
  <c r="AW44" i="1"/>
  <c r="AU18" i="1"/>
  <c r="AU172" i="1"/>
  <c r="AV172" i="1"/>
  <c r="AW172" i="1"/>
  <c r="AV115" i="1"/>
  <c r="AU58" i="1"/>
  <c r="AV58" i="1"/>
  <c r="AW58" i="1"/>
  <c r="AU23" i="1"/>
  <c r="AV23" i="1"/>
  <c r="AW23" i="1"/>
  <c r="AU12" i="1"/>
  <c r="AW2" i="1"/>
  <c r="AU19" i="1"/>
  <c r="AW19" i="1"/>
  <c r="AV13" i="1"/>
  <c r="AV56" i="1"/>
  <c r="AV51" i="1"/>
  <c r="AV46" i="1"/>
  <c r="AV41" i="1"/>
  <c r="AV36" i="1"/>
  <c r="AV31" i="1"/>
  <c r="AV26" i="1"/>
  <c r="AV21" i="1"/>
  <c r="AV10" i="1"/>
  <c r="AW7" i="1"/>
  <c r="AV7" i="1"/>
  <c r="AU4" i="1"/>
  <c r="AW4" i="1"/>
  <c r="AU9" i="1"/>
  <c r="AW9" i="1"/>
  <c r="AW42" i="1"/>
  <c r="AW37" i="1"/>
  <c r="AW32" i="1"/>
  <c r="AW27" i="1"/>
  <c r="AW22" i="1"/>
  <c r="AW11" i="1"/>
  <c r="AV42" i="1"/>
  <c r="AV37" i="1"/>
  <c r="AV32" i="1"/>
  <c r="AV27" i="1"/>
  <c r="AV22" i="1"/>
  <c r="AV11" i="1"/>
  <c r="AW8" i="1"/>
  <c r="AU14" i="1"/>
  <c r="AW14" i="1"/>
</calcChain>
</file>

<file path=xl/sharedStrings.xml><?xml version="1.0" encoding="utf-8"?>
<sst xmlns="http://schemas.openxmlformats.org/spreadsheetml/2006/main" count="12869" uniqueCount="7286">
  <si>
    <t>undefined</t>
  </si>
  <si>
    <t>['single yagis', 'results obtained', 'puerto rico', 'power splitters', 'phase shifters', 'mobile system', 'joint experiment', 'harz mountains', 'first time', 'feeding network', 'experience obtained', 'electronic part', 'copyright 1984', 'arecibo observatory']</t>
  </si>
  <si>
    <t>On the basis of the experience obtained with the stationary SOUSY radar in the Harz mountains, a mobile VHF Doppler system was developed during the last two years. The electronic part is installed in a 20‚Äêfoot container and was tested for the first time during a joint experiment at the Arecibo Observatory (Puerto Rico) using a special log‚Äêperiodic aerial to illuminate the 300‚Äêm dish. In 1982 this system was extended by designing a mobile phased antenna array with 576 Yagi elements. The grouping of the single Yagis, the feeding network, the phase shifters, the power splitters, and the transmit receive switch are described. A summary of results obtained during the first two campaigns is presented as well as a survey of future programs demonstrating the flexibility of this mobile system. Copyright 1984 by the American Geophysical Union.</t>
  </si>
  <si>
    <t>441-450</t>
  </si>
  <si>
    <t>Journal</t>
  </si>
  <si>
    <t>1944799X</t>
  </si>
  <si>
    <t>Radio Science</t>
  </si>
  <si>
    <t>January-February 1984</t>
  </si>
  <si>
    <t>;;</t>
  </si>
  <si>
    <t>6602773292;56420305400;6603934466</t>
  </si>
  <si>
    <t>Czechowsky, P.;Schmidt, G.;R√ºster, R.</t>
  </si>
  <si>
    <t>Czechowsky P.</t>
  </si>
  <si>
    <t>Article</t>
  </si>
  <si>
    <t>ar</t>
  </si>
  <si>
    <t>The mobile SOUSY Doppler radar: Technical design and first results</t>
  </si>
  <si>
    <t>10.1029/RS019i001p00441</t>
  </si>
  <si>
    <t>2-s2.0-0000405386</t>
  </si>
  <si>
    <t>['¬© 1984', 'spatially resolved', 'selected transitions', 'range 80', 'radiative transfer', 'plausible value', 'parallel approximation', 'millimeter lines', 'longer valid', 'flux emitted', 'emission lines', 'co abundance', 'antenna temperatures', '300 ghz', '3 ghz', '1 ),', '0 ),']</t>
  </si>
  <si>
    <t>The flux emitted by Titan's disk in millimeter lines of HCN, HC3N, CH3CN, and CO is calculated by means of a radiative transfer formulation which takes into account the sphericity of the atmosphere. It is demonstrated that the plane-parallel approximation for radiative transfer is no longer valid, especially in the core of emission lines, when Titan is not spatially resolved. The antenna temperatures which would be measured by large radiotelescopes observing Titan at frequencies of (1-0) and (2-1) transitions of CO, of (1-0), (2-1), and (3-2) transitions of HCN, and of selected transitions of HC3N and CH3CN in the range 80-300 GHz are calculated. The observability of these transitions is investigated. It is concluded that there is the possibility of inferring the vertical stratospheric distribution of these species from line shape measurements to be achieved with existing or forthcoming radioastronomical instrumentation. The determination of the CO abundance by D. O. Muhleman, G. L. Berge, and R. T. Clancy (1984, (Science (Washington, D.C.), 223, 393-396) from measurements at 115.3 GHz in two 200 MHz bands, is reinterpreted by means of this radiative transfer formulation. A CO mixing ratio between 3 √ó 10-5 and 18 √ó 10-5, with a most plausible value of 7.5 √ó 10-5, is found. ¬© 1984.</t>
  </si>
  <si>
    <t>599-612</t>
  </si>
  <si>
    <t>Icarus</t>
  </si>
  <si>
    <t>60003674;60003674;60003674</t>
  </si>
  <si>
    <t>6701489710;7006346923;6603467316</t>
  </si>
  <si>
    <t>Paubert, G.;Gautier, D.;Courtin, R.</t>
  </si>
  <si>
    <t>France</t>
  </si>
  <si>
    <t>Paris</t>
  </si>
  <si>
    <t>L'Observatoire de Paris</t>
  </si>
  <si>
    <t>Paubert G.</t>
  </si>
  <si>
    <t>The millimeter spectrum of Titan: Detectability of HCN, HC&lt;inf&gt;3&lt;/inf&gt;N, and CH&lt;inf&gt;3&lt;/inf&gt;CN and the CO abundance</t>
  </si>
  <si>
    <t>10.1016/0019-1035(84)90167-2</t>
  </si>
  <si>
    <t>2-s2.0-0000413643</t>
  </si>
  <si>
    <t>['¬© 1984', 'specific staining', 'rights reserved', 'rhodospirillum rubrum', 'pigment complement', 'photosynthetic membranes', 'photoreaction center', 'heaviest subunit', 'four moles', 'family chromatiaceae', 'ectothiorhodospira sp', 'cytochromes c', 'bound cytochrome', 'associated proteins', 'approximately 25', 'antenna bacteriochlorophyll', 'also present', '4 mol', '39k polypeptide', '39 100', '35 %.', '31 300', '24 800', '2 mol', '1 mol']</t>
  </si>
  <si>
    <t>The photoreaction center of Ectothiorhodospira sp., a member of the family Chromatiaceae, was isolated from its photosynthetic membranes with a yield of approximately 25-35%. The preparation is free of antenna bacteriochlorophyll and associated proteins. Its pigment complement is 4 mol of bacteriochlorophyll, 2 mol of bacteriopheophytin, and 1 mol of spirilloxanthin. On this basis, its molar extinction coefficient was calculated. Whereas chromatophores contain both ubiquinone and menaquinone, the photoreaction center contains only menaquinone, which, therefore, probably is the primary electron acceptor. The protein is composed of three different subunits of apparent molecular weights of 39 100, 31 300, and 24 800. The sum of these weights is very close to the protein minimal molecular weight of the photoreaction center based on its molar extinction coefficient and amino acid content. This indicates a 1:1:1 molar stoichiometry. Four moles of heme c per mole of photoreaction center and cytochromes c-555 and c-552 are also present. Specific staining after polyacrylamide gel electrophoresis shows that all the heme is bound to the 39K polypeptide. A good amino acid composition homology is found between the L and M polypeptides from Ectothiorhodospira sp. and from Rhodospirillum rubrum. A membrane-bound cytochrome from Chromatium vinosum seems to be homologous to the heaviest subunit of the former two organisms. ¬© 1984, American Chemical Society. All rights reserved.</t>
  </si>
  <si>
    <t>5279-5288</t>
  </si>
  <si>
    <t>Biochemistry</t>
  </si>
  <si>
    <t>60009507;60009507;60009507;60009507</t>
  </si>
  <si>
    <t>7102725461;56259745200;56585843400;7006937587</t>
  </si>
  <si>
    <t>Lefebvre, Suzie;Picorel, Rafael;Cloutier, Yves;Gingras, Gabriel</t>
  </si>
  <si>
    <t>Canada</t>
  </si>
  <si>
    <t>Montreal</t>
  </si>
  <si>
    <t>University of Montreal</t>
  </si>
  <si>
    <t>Lefebvre S.</t>
  </si>
  <si>
    <t>Photoreaction Center of Ectothiorhodospira sp. Pigment, Herne, Quinone, and Polypeptide Composition</t>
  </si>
  <si>
    <t>10.1021/bi00317a028</t>
  </si>
  <si>
    <t>2-s2.0-0000739474</t>
  </si>
  <si>
    <t>n</t>
  </si>
  <si>
    <t>National Science Foundation</t>
  </si>
  <si>
    <t>SO7 RR07054</t>
  </si>
  <si>
    <t>NSF</t>
  </si>
  <si>
    <t>['¬© 1984', 't1 ),', 'spatial characteristics', 'sensitivity optimization', 'results indicate', 'repetition rate', 'regions adjacent', 'observed volume', 'nmr experiments', 'minimum loss', 'large region', 'immediately adjacent', 'homogeneous samples', 'high fields', 'flip angle', 'experimental conditions', 'derived three', 'conductive samples', 'coil mode', '30 mhz', '188 mhz']</t>
  </si>
  <si>
    <t>Sensitivity optimization in surface coil NMR is complicated by the inhomogeneity (or shape) of the B1 field produced by the surface coil antenna. The sensitivity and the size and location of the observed volume are dependent upon experimental conditions. Therefore, we have derived three-dimensional signal intensity maps for a single-turn, flat, circular coil operating on resonance in the single-coil mode to determine the effect of experimental conditions on the sensitivity and spatial characteristics of the observed volume. The results indicate that rapid repetition rates (T ‚â™ T1) provide optimum sensitivity and contribute significant signal intensity from regions not immediately adjacent to the coil. Intermediate repetition rates (T ‚àº T1) provide a significant sensitivity increase over slow repetition rates (T ‚â• 5T1) while localizing the volume observed primarily to regions adjacent to the coil. For homogeneous samples further separated from the coil (0.2-0.4 radii), longer pulse widths provide signal from a large region of the sample with a minimum loss in sensitivity. This analysis is verified by agreement of calculated and experimental total intensities as a function of flip angle (pulse width), relaxation time (T1), and repetition rate. Furthermore, the results from 2H (30 MHz) and 19F (188 MHz) NMR experiments with ionic and nonionic solutions indicate that rf attenuation problems associated with conductive samples are not likely to be significant in surface coil NMR experiments that utilize small diameter coils at high fields. ¬© 1984.</t>
  </si>
  <si>
    <t>110-124</t>
  </si>
  <si>
    <t>Journal of Magnetic Resonance (1969)</t>
  </si>
  <si>
    <t>60010261;60010261;60010261</t>
  </si>
  <si>
    <t>57196233026;7103054095;55945905800</t>
  </si>
  <si>
    <t>Evelhoch, Jeffrey L.;Crowley, Michael G.;Ackerman, Joseph J.H.</t>
  </si>
  <si>
    <t>United States</t>
  </si>
  <si>
    <t>St. Louis</t>
  </si>
  <si>
    <t>Washington University in St. Louis</t>
  </si>
  <si>
    <t>Evelhoch J.</t>
  </si>
  <si>
    <t>Signal-to-noise optimization and observed volume localization with circular surface coils</t>
  </si>
  <si>
    <t>10.1016/0022-2364(84)90195-1</t>
  </si>
  <si>
    <t>2-s2.0-0000969126</t>
  </si>
  <si>
    <t>National Aeronautics and Space Administration</t>
  </si>
  <si>
    <t>RTOP 196-41-67</t>
  </si>
  <si>
    <t>NASA</t>
  </si>
  <si>
    <t>['‚ âà10', '‚ âà0', '¬© 1984', 'various combinations', 'upper limit', 'uniformly distributed', 'silicate material', 'scattering albedo', 'saturn without', 'rocky material', 'rings would', 'ring particles', 'ring brightness', 'refractive indices', 'recent 3', 'previous observations', 'particle distribution', 'optical depth', 'mm observations', 'merely decreasing', 'ieee trans', 'icy material', 'icarus 54', 'icarus 41', 'form r', 'disk temperature', 'c ring', 'brightness attributed', 'b rings', 'average albedo', 'antennas propag', 'ambiguities due', '1 cm']</t>
  </si>
  <si>
    <t>Recent 3-mm observations of Saturn at low ring inclinations are combined with previous observations of E. E. Epstein, M. A. Janssen, J. N. Cuzzi, W. G. Fogarty, and J. Mottmann (Icarus 41, 103-118) to determine a much more precise brightness temperature for Saturn's rings. Allowing for uncertainties in the optical depth and uniformity of the A and B rings and for ambiguities due to the C ring, but assuming the ring brightness to remain approximately constant with inclination, a mean brightness temperature for the A and B rings of 17 ¬± 4¬∞K was determined. The portion of this brightness attributed to ring particle thermal emission is 11 ¬± 5¬∞K. The disk temperature of Saturn without the rings would be 156 ¬± 6¬∞K, relative to B. L. Ulich, J. H. Davis, P. J. Rhodes, and J. M. Hollis' (1980, IEEE Trans. Antennas Propag. AP-28, 367-376) absolutely calibrated disk temperature for Jupiter. Assuming that the ring particles are pure water ice, a simple slab emission model leads to an estimate of typical particle sizes of ‚âà0.3 m. A multiple-scattering model gives a ring particle effective isotropic single-scattering albedo of 0.85 ¬± 0.05. This albedo has been compared with theoretical Mie calculations of average albedo for various combinations of particle size distribution and refractive indices. If the maximum particle radius (‚âà5 m) deduced from Voyager bistatic radar observations (E. A. Marouf, G. L. Tyler, H. A. Zebker, V. R. Eshleman, 1983, Icarus 54, 189-211) is correct, our results indicate either (a) a particle distribution between 1 cm and several meters radius of the form r-s with 3.3 ‚â≤ s ‚â≤ 3.6, or (b) a material absorption coefficient between 3 and 10 times lower than that of pure water ice Ih at 85¬∞K, or both. Merely decreasing the density of the ice Ih particles by increasing their porosity will not produce the observed particle albedo. The low ring brightness temperature allows an upper limit on the ring particle silicate content of ‚âà10% by mass if the rocky material is uniformly distributed; however, there could be considerably more silicate material if it is segregated from the icy material. ¬© 1984.</t>
  </si>
  <si>
    <t>403-411</t>
  </si>
  <si>
    <t>60029575;60009037;60004179</t>
  </si>
  <si>
    <t>24452649700;55547120839;7003266170</t>
  </si>
  <si>
    <t>Epstein, Eugene E.;Janssen, Michael A.;Cuzzi, Jeffrey N.</t>
  </si>
  <si>
    <t>United States;United States;United States</t>
  </si>
  <si>
    <t>El Segundo;Pasadena;Moffett Field</t>
  </si>
  <si>
    <t>Aerospace Corporation, USA;Jet Propulsion Laboratory;NASA Ames Research Center</t>
  </si>
  <si>
    <t>Epstein E.E.</t>
  </si>
  <si>
    <t>Saturn's rings: 3-mm low-inclination observations and derived properties</t>
  </si>
  <si>
    <t>0019-1035(84)90086-1</t>
  </si>
  <si>
    <t>10.1016/0019-1035(84)90086-1</t>
  </si>
  <si>
    <t>2-s2.0-0001006620</t>
  </si>
  <si>
    <t>['¬© 1984', 'review concludes', 'review concentrates', 'recent studies', 'recent advances', 'radars use', 'prevailing winds', 'periods greater', 'particular emphasis', 'make use', 'ionized irregularities', 'hemispheric differences', 'gravity wave', 'future lines', 'brief discussion', '1 day']</t>
  </si>
  <si>
    <t>Recent studies of the dynamics of the mesopause region using ground based radars are reviewed. While results from a range of techniques are discussed, particular emphasis is given to measurements made using radars operating in the 2-6 MHz frequency range and which make use of signals partially reflected from ionized irregularities in the 60-100 km height range. Most MF H F partial reflection (PR) radars use the spaced antenna method and a brief discussion of recent advances in this technique is given. The review concentrates on observations of(i) prevailing winds, (ii) planetary scale oscillations with periods greater than 1 day and (iii) gravity wave and small scale motions. Where possible, hemispheric differences are stressed. The review concludes with some suggestions for future lines of research. ¬© 1984.</t>
  </si>
  <si>
    <t>961-974</t>
  </si>
  <si>
    <t>Journal of Atmospheric and Terrestrial Physics</t>
  </si>
  <si>
    <t>Vincent, R. A.</t>
  </si>
  <si>
    <t>Australia</t>
  </si>
  <si>
    <t>Adelaide</t>
  </si>
  <si>
    <t>The University of Adelaide</t>
  </si>
  <si>
    <t>Vincent R.</t>
  </si>
  <si>
    <t>MF/HF radar measurements of the dynamics of the mesopause region-A review</t>
  </si>
  <si>
    <t>10.1016/0021-9169(84)90003-5</t>
  </si>
  <si>
    <t>2-s2.0-0001411198</t>
  </si>
  <si>
    <t>['¬© 1984', 'solitarious adults', 'social facilitation', 'sensory systems', 'olfactory sensilla', 'locusta migratoria', 'investigation reveals', 'individual sensitivity', 'gregarious habit', 'differ greatly', 'contact chemoreceptors', 'associated reduction', 'antennal annuli']</t>
  </si>
  <si>
    <t>contact chemoreceptors | Locust phases | olfactory sensilla | social facilitation</t>
  </si>
  <si>
    <t>It has been assumed that differences in the behaviour of solitarious and gregarious locusts arise from differences in the central nervous processing of information, and that no essential differences occur in the sensory systems. This investigation reveals that solitarious adults and fifth instar nymphs of Locusta migratoria (Orthoptera: Acrididae) have more olfactory sensilla on the antennae than comparable gregarious phase insects. Behavioural differences could thus arise as a result of different peripheral inputs. It is suggested that social facilitation, resulting from the gregarious habit, permits a decrease in individual sensitivity with an associated reduction in the numbers of olfactory sensilla. The numbers of contact chemoreceptors are proportional to the lengths of the antennal annuli and do not differ greatly between the phases. ¬© 1984.</t>
  </si>
  <si>
    <t>295-301</t>
  </si>
  <si>
    <t>International Journal of Insect Morphology and Embryology</t>
  </si>
  <si>
    <t>60000891;100313406</t>
  </si>
  <si>
    <t>7202445760;7403128130</t>
  </si>
  <si>
    <t>Greenwood, M.;Chapman, R. F.</t>
  </si>
  <si>
    <t>United Kingdom;United Kingdom</t>
  </si>
  <si>
    <t>Loughborough;London</t>
  </si>
  <si>
    <t>Loughborough University;College House</t>
  </si>
  <si>
    <t>Greenwood M.</t>
  </si>
  <si>
    <t>Differences in numbers of sensilla on the antennae of solitarious and gregarious Locusta migratoria L. (Orthoptera: Acrididae)</t>
  </si>
  <si>
    <t>0020-7322(84)90004-7</t>
  </si>
  <si>
    <t>10.1016/0020-7322(84)90004-7</t>
  </si>
  <si>
    <t>2-s2.0-0001440025</t>
  </si>
  <si>
    <t>['temporal frequencies', 'special cases', 'spatial convolution', 'signal characteristics', 'reject regions', 'recording array', 'recent techniques', 'propagation velocity', 'processing sequence', 'potential problems', 'pass regions', 'paper records', 'p transforms', 'multidimensional filtering', 'limits generally', 'large number', 'geophysical knowledge', 'earliest days', 'dynamic range', 'digital recording', 'different transforms', 'different points', 'appropriate limits', 'apparent wave', 'antenna ),', 'analog recording']</t>
  </si>
  <si>
    <t>Multidimensional filtering has been applied during recording and processing of seismic reflection data since the earliest days of analog recording on paper records. As the state of the art has evolved to digital recording and processing, and acquisition has expanded to include dense spatial sampling over a large number of channels, more sophisticated multichannel filters have been developed. These include simple ‚Äúmixes‚Äù (spatial convolution with small operators), TwoDimensional Fourier transforms with appropriate limits in spatial and temporal frequencies, and more geometrically, as well as geophysically, meaningful Radon transform techniques. All multidimensional filtering limits the data in some fashion, be it temporal frequency bandwidth, spatial frequency bandwidth, limits in apparent horizontal phase velocity across a recording array (antenna), or limits in apparent wave-propagation velocity. These limits generally are defined to pass regions of high signal level and reject regions of high noise levels. As more recent techniques have emerged, such as Tau-p transforms (special cases of the Radon transform), filter limits may be described in terms of geophysical knowledge as well as signal characteristics. Thus additional information, derived from regional geophysical knowledge, may be added to the data processing sequence. Many new considerations and potential problems have arisen as new multidimensional filtering techniques have been developed, including spatial sampling, aliasing with different transforms, maintenance of dynamic range, and effects of multidimensional filtering at different points in the processing sequence. ¬© 1984 IEEE</t>
  </si>
  <si>
    <t>1357-1369</t>
  </si>
  <si>
    <t>Proceedings of the IEEE</t>
  </si>
  <si>
    <t>Tatham, Robert H.</t>
  </si>
  <si>
    <t>Houston</t>
  </si>
  <si>
    <t>Geosource Inc.</t>
  </si>
  <si>
    <t>Tatham R.</t>
  </si>
  <si>
    <t>Multidimensional Filtering of Seismic Data</t>
  </si>
  <si>
    <t>10.1109/PROC.1984.13023</t>
  </si>
  <si>
    <t>2-s2.0-0001585641</t>
  </si>
  <si>
    <t>['without visiblesegmentation', 'various host', 'thoracic spiracles', 'somewhat globular', 'protruding branchia', 'morphological characters', 'legs arepresent', 'kerria lacca', 'kerr ),', 'heavily sclerotizedposteriorprolongation', 'francis group', 'even demarcation', 'dorsal spine', 'different regions', 'branchial plates', 'based mainly', 'anal tubercle', 'also absent', 'almost nothing', 'adult females', 'adult female', '4 genera', '1931 ),']</t>
  </si>
  <si>
    <t>Family Tachardiidae comprises the lac producing coccids. The commonest and most widely distributed species is Kerria lacca (Kerr), which is cultured on various host-plants in different regions. Our knowledge of taxonomy ofthe lac insects is based mainly on adult females. The male lac insect or K. lacca has been described in detail by A.B. Misra (1931), but almost nothing is known about males of other species and their use in taxonomy. The morphological characters of the adult female are also greatly degenerated . The body is membranous and somewhat globular, without visiblesegmentation or even demarcation of body into head, thorax and abdomen. Wings or haltares and legs are also absent, but sometimes when legs arepresent as in some Tachardiella, Tachardina and Austrotachardia, they are merely protuberances without segmentation. A pair of branchial plates are borne on protruding branchia or are sessile. The anal tubercle is a heavily sclerotizedposteriorprolongation of body. A characteristic spine called the dorsal spine is connected with ducts. Twopairs of thoracic spiracles are present. Antennae are minute and inconspicuous. This family is represented by 4 genera in the Orient (Figs. 2‚Äì5). ¬© 1984 Taylor &amp; Francis Group, LLC.</t>
  </si>
  <si>
    <t>361-384</t>
  </si>
  <si>
    <t>Oriental Insects</t>
  </si>
  <si>
    <t>January-December 1984</t>
  </si>
  <si>
    <t>Varshney, R. K.</t>
  </si>
  <si>
    <t>India</t>
  </si>
  <si>
    <t>Boranada, Jodhpur</t>
  </si>
  <si>
    <t>Zoological Survey of</t>
  </si>
  <si>
    <t>Varshney R.</t>
  </si>
  <si>
    <t>A review of the family tachardiidae (kerridae) in the orient (homoptera: Coccoidea)</t>
  </si>
  <si>
    <t>10.1080/00305316.1984.10432212</t>
  </si>
  <si>
    <t>2-s2.0-0001751639</t>
  </si>
  <si>
    <t>Deutsche Forschungsgemeinschaft</t>
  </si>
  <si>
    <t>DFG</t>
  </si>
  <si>
    <t>['¬© 1984', 'receptor cells', 'physiological data', 'output neurone', 'mushroom body', 'mostly olfactory', 'marked multimodality', 'many cases', 'lateral lobe', 'insect antenna', 'high sensitivity', 'given especially', 'connected via', 'circumscribed units', 'certain odours', 'certain modes', 'antennal lobe']</t>
  </si>
  <si>
    <t>central coding of odour stimuli | central olfactory pathway | Insect brain</t>
  </si>
  <si>
    <t>Signals of tens up to hundreds of thousands of (mostly olfactory) receptor cells on an insect antenna are switched to a comparatively low number of neurones in the antennal lobe of the deutocerebrum in circumscribed units of neuropile, the glomeruli. Each glomerulus is connected via its output neurone to two separate neuropiles (calyces of mushroom body, and lateral lobe) of the protocerebrum. Local interneurones interconnect between the glomeruli. Certain modes of convergence between receptors and central neurones provide for a very high sensitivity of the latter to certain odours and their sensitivity for complex odour stimuli, and in many cases for a marked multimodality. Anatomical and physiological data are given especially for pheromone sensitive neurones and their projections. ¬© 1984.</t>
  </si>
  <si>
    <t>15-26</t>
  </si>
  <si>
    <t>Journal of Insect Physiology</t>
  </si>
  <si>
    <t>60030807;60030807;60030807;60030807</t>
  </si>
  <si>
    <t>6701782875;7102631545;7101808675;6507895034</t>
  </si>
  <si>
    <t>Boeckh, J.;Ernst, K. D.;Sass, H.;Waldow, U.</t>
  </si>
  <si>
    <t>Germany</t>
  </si>
  <si>
    <t>Regensburg</t>
  </si>
  <si>
    <t>Universit√§t Regensburg</t>
  </si>
  <si>
    <t>Boeckh J.</t>
  </si>
  <si>
    <t>Anatomical and physiological characteristics of individual neurones in the central antennal pathway of insects</t>
  </si>
  <si>
    <t>0022-1910(84)90105-7</t>
  </si>
  <si>
    <t>10.1016/0022-1910(84)90105-7</t>
  </si>
  <si>
    <t>2-s2.0-0002310513</t>
  </si>
  <si>
    <t>['¬© 1984', 'young embryos', 'studied embryos', 'intercalary segment', 'hyphantria cunea', 'direct observation', 'demonstrate clearly', 'classical concept', 'become masked', 'arctiidae ).', 'anurida maritima']</t>
  </si>
  <si>
    <t>2nd) | Antennary segments (1st | coelomic vesicles | crustaceans | deutocerebrum | homologies | labral rudiment(s) | neuromeres | scanning electron microscope | tritocerebrum</t>
  </si>
  <si>
    <t>Scanning electron microscopy was used to demonstrate clearly the existence of small transitory appendages on the so-called "intercalary segment" in young embryos of both Anurida maritima (Collembola : Arthropleona) and Hyphantria cunea (Lepidoptera : Arctiidae). In H. cunea, through ablation of antenna and mandible of the studied embryos, the intercalary appendages could still be demonstrated during a period when they had become masked for direct observation. The new facts reported in this paper are congruent with the classical concept that the intercalary segment of insects is homologous to the 2nd antennal segment of crustaceans, while its transient appendages represent the lost 2nd antennae. ¬© 1984.</t>
  </si>
  <si>
    <t>331-336</t>
  </si>
  <si>
    <t>Tamarelle, Mireille</t>
  </si>
  <si>
    <t>Bordeaux</t>
  </si>
  <si>
    <t>Universit√© de Bordeaux</t>
  </si>
  <si>
    <t>Tamarelle M.</t>
  </si>
  <si>
    <t>Transient rudiments of second antennae on the "intercalary" segment of embryos of Anurida maritima Guer. (Collembola : Arthropleona) and Hyphantria cunea Drury (Lepidoptera : Arctiidae)</t>
  </si>
  <si>
    <t>10.1016/0020-7322(84)90009-6</t>
  </si>
  <si>
    <t>2-s2.0-0003736836</t>
  </si>
  <si>
    <t>['‚ äê1', 'wiley blackwell', 'transferring food', 'scarce food', 'rights reserved', 'outline drawings', 'one method', 'oligotrophic conditions', 'limb movements', 'lepas pectinata', 'grooming activity', 'food gathering', 'balanid nauplii', 'antennae appeared', '4 mm']</t>
  </si>
  <si>
    <t>Cine | Cirripedia | face | grooming | Lepadomorpha | Lepas | nauplius | ocea | planktotropVnc | swimming | tography</t>
  </si>
  <si>
    <t>Limb movements of restrained stage VI nauplii of Lepas pectinata were studied by cine‚Äêphotography. Outline drawings were made of successive limb positions in both swimming and grooming activity. The antennae appeared to act as leaky paddles performing both propulsion and food gathering. Free‚Äêswimming nauplii averaged 120 limb beats min‚Äê1 and a speed of c. 4 mm s‚Äê1. Grooming occurred every 7‚Äì20 beats. It was concluded that lack of streamlining favours filtration at the expense of propulsion. The grooming sequence differs from that of balanid nauplii and is one method of transferring food to the vicinity of the mouth, where sorting and rejection take place prior to ingestion. Fine‚Äê and coarse‚Äêmesh filters presumably exploit different plankton types. The overall behaviour pattern is well‚Äêdesigned for exploitation of scarce food in the oligotrophic conditions of the ocean‚Äêsurface habitat. Copyright ¬© 1984, Wiley Blackwell. All rights reserved</t>
  </si>
  <si>
    <t>323-336</t>
  </si>
  <si>
    <t>Zoological Journal of the Linnean Society</t>
  </si>
  <si>
    <t>MOYSE, JOHN</t>
  </si>
  <si>
    <t>United Kingdom</t>
  </si>
  <si>
    <t>Swansea</t>
  </si>
  <si>
    <t>Swansea University</t>
  </si>
  <si>
    <t>MOYSE J.</t>
  </si>
  <si>
    <t>Some observations on the swimming and feeding of the nauplius larvae of Lepas pectinata (Cirripedia: Crustacea)</t>
  </si>
  <si>
    <t>10.1111/j.1096-3642.1984.tb01981.x</t>
  </si>
  <si>
    <t>2-s2.0-0005908412</t>
  </si>
  <si>
    <t>['¬© 1984', 'wild flies', 'several levels', 'mutation affects', 'characterized recently', 'calibrated concentrations', 'aliphatic n']</t>
  </si>
  <si>
    <t>Drosophila | Electro-antennogram | mutants | olfaction</t>
  </si>
  <si>
    <t>A few smell deficient mutants of Drosophila have been characterized recently. In a series of experiments, we have compared the slow electrical response of the antenna (EAG) to calibrated concentrations of butanol and aliphatic n-acetates of olf C mutants with those of wild flies. This mutation was found to affect the dose-response curves specifically. Our data can be explained by assuming that this mutation affects the peripheral olfactory membrane at several levels. ¬© 1984.</t>
  </si>
  <si>
    <t>60072948;60072956</t>
  </si>
  <si>
    <t>6603325102;7006425223</t>
  </si>
  <si>
    <t>Venard, Ren√©e;Pichon, Yves</t>
  </si>
  <si>
    <t>France;France</t>
  </si>
  <si>
    <t>Gif-sur-Yvette;Gif-sur-Yvette</t>
  </si>
  <si>
    <t>Laboratoire Neurobiologie Cellulaire et Mol√©culaire CNRS UPR 9040;Centre de G√©n√©tique Mol√©culaire</t>
  </si>
  <si>
    <t>60072956;60072948</t>
  </si>
  <si>
    <t>Venard R.</t>
  </si>
  <si>
    <t>Electrophysiological analysis of the peripheral response to odours in wild type and smell-deficient olf C mutant of Drosophila melanogaster</t>
  </si>
  <si>
    <t>0022-1910(84)90103-3</t>
  </si>
  <si>
    <t>10.1016/0022-1910(84)90103-3</t>
  </si>
  <si>
    <t>2-s2.0-0006764346</t>
  </si>
  <si>
    <t>['¬© 1984', 'seismic noise', 'important source', '10 hz']</t>
  </si>
  <si>
    <t>A random gravitational force can be generated by seismic noise, by atmospheric acoustic noise, and by moving massive bodies. An estimate of the gravitational power spectrum at a point on the Earth is given. Such a force is an important source of noise in an interferometric gravitational wave antenna below f=10 Hz. ¬© 1984 The American Physical Society.</t>
  </si>
  <si>
    <t>732-736</t>
  </si>
  <si>
    <t>Physical Review D</t>
  </si>
  <si>
    <t>Saulson, Peter R.</t>
  </si>
  <si>
    <t>Cambridge</t>
  </si>
  <si>
    <t>Massachusetts Institute of Technology</t>
  </si>
  <si>
    <t>Saulson P.R.</t>
  </si>
  <si>
    <t>Terrestrial gravitational noise on a gravitational wave antenna</t>
  </si>
  <si>
    <t>10.1103/PhysRevD.30.732</t>
  </si>
  <si>
    <t>2-s2.0-0007798666</t>
  </si>
  <si>
    <t>['¬© 1984', 'wave signal', 'resonant antenna', 'output amplifier', 'noise ratio', 'mass detector', 'mass antenna', 'impulsive gravitational', 'general way', 'fractional bandwidth', 'detector utilizing', 'current technology', 'bandwidth theorem', 'bandwidth restriction', 'applying bode', 'additional bandwidth']</t>
  </si>
  <si>
    <t>In principle, for an impulsive gravitational-wave signal, the signal-to-noise ratio for a resonant-mass antenna is independent of frequency if the limiting noise source is the antenna thermal noise. A gain-bandwidth restriction only arises when the coupling of the resonant antenna to the output amplifier is considered. Applying Bode's gain-bandwidth theorem we are able to derive in a general way the linear amplifier sensitivity limit for a resonant-mass detector. The practical bandwidth limits for a detector utilizing a superconducting inductive transducer are discussed. A fractional bandwidth of 0.17 appears feasible with current technology. Additional bandwidth and sensitivity can be achieved with an array of detectors. ¬© 1984 The American Physical Society.</t>
  </si>
  <si>
    <t>2149-2157</t>
  </si>
  <si>
    <t>60012708;100404254</t>
  </si>
  <si>
    <t>35230455000;7006744335</t>
  </si>
  <si>
    <t>Michelson, Peter F.;Taber, Robert C.</t>
  </si>
  <si>
    <t>United States;United States</t>
  </si>
  <si>
    <t>Palo Alto;Santa Clara</t>
  </si>
  <si>
    <t>Stanford University;GenRad Inc</t>
  </si>
  <si>
    <t>Michelson P.F.</t>
  </si>
  <si>
    <t>Can a resonant-mass gravitational-wave detector have wideband sensitivity?</t>
  </si>
  <si>
    <t>10.1103/PhysRevD.29.2149</t>
  </si>
  <si>
    <t>2-s2.0-0007819623</t>
  </si>
  <si>
    <t>45-53</t>
  </si>
  <si>
    <t>0305215X</t>
  </si>
  <si>
    <t>Engineering Optimization</t>
  </si>
  <si>
    <t>Shanghui, Ye</t>
  </si>
  <si>
    <t>China</t>
  </si>
  <si>
    <t>Xi'an</t>
  </si>
  <si>
    <t>Xidian University</t>
  </si>
  <si>
    <t>Shanghui Y.</t>
  </si>
  <si>
    <t>Optimum Design On Antenna Structures In China</t>
  </si>
  <si>
    <t>10.1080/03052158408902479</t>
  </si>
  <si>
    <t>2-s2.0-0009399105</t>
  </si>
  <si>
    <t>['¬© 1984', 'turn quenched', 'state lifetime', 'rights reserved', 'methyltetrahydrofuran glasses', 'ketone monomer', 'effect offsets', 'donor suggest', 'aromatic ketone', '77 k']</t>
  </si>
  <si>
    <t>The luminescence of copolymers of 2-vinylnaphthalene with phenyl vinyl ketone was studied in 2-methyltetrahydrofuran glasses at 77 K. The naphthalene singlet state is quenched by singlet energy migration and transfer to the aromatic ketone. Steady-state quenching efficiencies and the nonexponential fluorescence decays of the donor suggest that the singlet energy migrates over a maximum of 30 ¬± 5 naphthalene chromophores during the excited-state lifetime. The ketone triplet states are in turn quenched by triplet energy transfer to naphthalene, a process that leads to enhanced naphthalene phosphorescence intensity. An increase in the efficiency of creation of delayed fluorescent states with increasing ketone content is further evidence for sensitization of the naphthalene triplet state. This effect offsets the disruption of energy migration resulting from the breaking up of naphthalene monomer sequences by the ketone monomer. ¬© 1984, American Chemical Society. All rights reserved.</t>
  </si>
  <si>
    <t>1500-1504</t>
  </si>
  <si>
    <t>Macromolecules</t>
  </si>
  <si>
    <t>60014171;60026601;60016849</t>
  </si>
  <si>
    <t>7102251187;8274336600;7102379256</t>
  </si>
  <si>
    <t>Holden, David A.;Ren, Xiao Xiu;Guillet, James E.</t>
  </si>
  <si>
    <t>China;Canada;Canada</t>
  </si>
  <si>
    <t>Beijing;Toronto;Waterloo</t>
  </si>
  <si>
    <t>Institute of Chemistry Chinese Academy of Sciences;University of Toronto;University of Waterloo</t>
  </si>
  <si>
    <t>60026601;60016849;60014171</t>
  </si>
  <si>
    <t>Holden D.</t>
  </si>
  <si>
    <t>Studies of the Antenna Effect in Polymer Molecules. 7. Singlet and Triplet Energy Migration and Transfer in 2-Vinylnaphthalene-Phenyl Vinyl Ketone Copolymers</t>
  </si>
  <si>
    <t>10.1021/ma00138a014</t>
  </si>
  <si>
    <t>2-s2.0-0010936534</t>
  </si>
  <si>
    <t>['total length', 'taxonomic significance', 'suggesting control', 'segments 3', 'morphometric differences', 'homeostatic mechanism', 'functional significance', 'francis group', 'embryological origin', 'complementary antennae']</t>
  </si>
  <si>
    <t>An analysis was made of morphometric differences between complementary antennae of females of three Culicoides species: C. pulicaris, C. punctatus and C. impunctatus. Greater bilateral symmetry was found between compound lengths e.g. total length, length of segments 3-10, than between individual segment lengths, suggesting control by a homeostatic mechanism. Hypotheses are proposed for the embryological origin and functional significance of this phenomenon. The taxonomic significance of the results is discussed. ¬© 1984 Taylor &amp; Francis Group, LLC.</t>
  </si>
  <si>
    <t>651-656</t>
  </si>
  <si>
    <t>Journal of Natural History</t>
  </si>
  <si>
    <t>July-August 1984</t>
  </si>
  <si>
    <t>Lane, Richard P.</t>
  </si>
  <si>
    <t>London</t>
  </si>
  <si>
    <t>The Natural History Museum, London</t>
  </si>
  <si>
    <t>Lane R.</t>
  </si>
  <si>
    <t>Morphometric symmetry in antennae of culicoides (Diptera: Ceratopogonidae)</t>
  </si>
  <si>
    <t>10.1080/00222938400770541</t>
  </si>
  <si>
    <t>2-s2.0-0011252328</t>
  </si>
  <si>
    <t>['would facilitate', 'valid representation', 'tunable antennas', 'resonant parameters', 'resonant frequencies', 'input resistance', 'input performance', 'francis group', 'expressions developed', 'dynamic conditions', 'computations based', 'coaxial probe', 'clearly indicate', 'approximate expressions']</t>
  </si>
  <si>
    <t>The transmission line model has been utilized to determine the input performance of a rectangular patch antenna excited by a coaxial probe. Approximate expressions have been developed for the resonant propagation constant (or the resonant frequency), quality factor and input resistance of such antennas which clearly indicate the effects of the various antenna parameters including the feed on these quantities under dynamic conditions. The results of computations based on the expressions developed are compared with available measured values. The present work establishes the transmisson line model as a valid representation of rectangular patch antennas, and would facilitate the design of such antennas without elaborate numerical computation. The model has also been applied to determine the resonant parameters for a similar antenna tuned by passive metallic posts. Validity of an approximate expression derived for the resonant frequencies of such tunable antennas has also been established by comparison with available measured results. ¬© 1984 Taylor &amp; Francis Group, LLC.</t>
  </si>
  <si>
    <t>355-376</t>
  </si>
  <si>
    <t>1532527X</t>
  </si>
  <si>
    <t>Electromagnetics</t>
  </si>
  <si>
    <t>Sengupta, Dipak L.</t>
  </si>
  <si>
    <t>Ann Arbor</t>
  </si>
  <si>
    <t>University of Michigan, Ann Arbor</t>
  </si>
  <si>
    <t>Sengupta D.</t>
  </si>
  <si>
    <t>Transmission line model analysis of rectangular patch antennas</t>
  </si>
  <si>
    <t>10.1080/02726348408908126</t>
  </si>
  <si>
    <t>2-s2.0-0011856766</t>
  </si>
  <si>
    <t>['well matched', 'side lobes', 'serious implications', 'sampling identically', 'quite misleading', 'main lobes', 'copyright 1984', 'also discuss', '9 db']</t>
  </si>
  <si>
    <t>Dual‚Äêwavelength radar studies aimed at the detection of hail generally assume that the two radars used are sampling identically the same volume in space. In this paper we examine the effects of mismatched antenna beam patterns, both the main lobes and the side lobes, on dual‚Äêwavelength hail detection. Mismatched beam patterns produce erroneous hail signals which can be quite misleading. The NCAR CP‚Äê2/M33 dual‚Äêwavelength radar produced erroneous negative hail signals as large as ‚àí 20 dB in some parts of storms, while the new CP‚Äê2 dual‚Äêwavelength radar produces erroneous positive hail signals as large as + 9 dB. We discuss how well matched the antenna beam patterns must be to produce acceptably low erroneous hail signals. We also discuss the serious implications of these findings on earlier dual‚Äêwavelength studies. Copyright 1984 by the American Geophysical Union.</t>
  </si>
  <si>
    <t>123-131</t>
  </si>
  <si>
    <t>;</t>
  </si>
  <si>
    <t>7005175585;7102609291</t>
  </si>
  <si>
    <t>Rinehart, Ronald E.;Tuttle, John D.</t>
  </si>
  <si>
    <t>Rinehart R.</t>
  </si>
  <si>
    <t>Dual‚Äêwavelength processing: Some effects of mismatched antenna beam patterns</t>
  </si>
  <si>
    <t>10.1029/RS019i001p00123</t>
  </si>
  <si>
    <t>2-s2.0-0019895285</t>
  </si>
  <si>
    <t>['¬© 1984', 'various elements', 'topics discussed', 'spectral encoders', 'performance references', 'multiport nature', 'minimum definition', 'internal signals', 'essential concepts', 'differential nature', 'cosmic background', 'antenna patterns', 'absolute radiometry']</t>
  </si>
  <si>
    <t>A minimum definition, and the essential concepts, of absolute radiometry are given. The spectrometer is assumed to be a Fourier transform instrument. The topics discussed are the differential nature of a measurement, the multiport nature of spectral encoders and modulators, internal signals, calibration and antenna patterns. The performance constraints necessary for absolute radiometry of the cosmic background are used as performance references for the various elements of a radiometer. ¬© 1984.</t>
  </si>
  <si>
    <t>279-290</t>
  </si>
  <si>
    <t>Infrared Physics</t>
  </si>
  <si>
    <t>Duncan, W. D.</t>
  </si>
  <si>
    <t>Edinburgh</t>
  </si>
  <si>
    <t>Royal Observatory</t>
  </si>
  <si>
    <t>Duncan W.</t>
  </si>
  <si>
    <t>Absolute radiometry with Fourier transform spectrometers</t>
  </si>
  <si>
    <t>10.1016/0020-0891(84)90082-4</t>
  </si>
  <si>
    <t>2-s2.0-0020753015</t>
  </si>
  <si>
    <t>['target polynomial', 'synthesis methods', 'radiation patterns', 'procedure begins', '2 elements', '1 elements']</t>
  </si>
  <si>
    <t>A discrete convolution procedure is applied to the synthesis of radiation patterns with prescribed sidelobe levels. This procedure begins with a target polynomial, such as Chebyshev or Taylor, and determines the array element amplitudes by a simple, closed‚Äêform, noniterative computational method. Symmetrical hexagonal arrays of 3n2 + 3n + 1 elements, where n is the number of rings in the array, and symmetrical square arrys of (2m + 1)2 elements are analyzed. Examples are presented, and this procedure is compared with other synthesis methods. This paper is not subject to U.S. copyright. Published in 1984 by the American Geophysical Union.</t>
  </si>
  <si>
    <t>1229-1237</t>
  </si>
  <si>
    <t>September-October 1984</t>
  </si>
  <si>
    <t>7202118708;6602180118</t>
  </si>
  <si>
    <t>Shelton, J. P.;Laxpati, S. R.</t>
  </si>
  <si>
    <t>Shelton J.</t>
  </si>
  <si>
    <t>Synthesis of hexagonal and square arrays using discrete convolution</t>
  </si>
  <si>
    <t>10.1029/RS019i005p01229</t>
  </si>
  <si>
    <t>2-s2.0-0020809106</t>
  </si>
  <si>
    <t>['wave propagation', 'theoretically possible', 'separation constant', 'satisfactory agreement', 'opening angle', 'hybrid mode', 'eigenvalue problem', 'determined using', 'copyright 1984', 'aspect ratio', 'analytical solutions']</t>
  </si>
  <si>
    <t>The corrugated conical horn with elliptical cross section is investigated. Use is made of the analytical solutions of the Lam√© differential equations. In the investigations we use the anisotropic surface impedance model. The problem of wave propagation in an anisotropic elliptical cone is formulated as an eigenvalue problem. This problem is solved, and plots are given of the separation constant as a function of the opening angle of the cone with the aspect ratio of the elliptical cross section as a parameter. The radiation of an anisotropic elliptical horn excited by a hybrid mode is determined using the spheroconal wave expansion method. Satisfactory agreement between computations and measurements is obtained. It is found that with this type of horn it is theoretically possible to perfectly generate circularly polarized radiation patterns of elliptical cross section. Copyright 1984 by the American Geophysical Union.</t>
  </si>
  <si>
    <t>1219-1224</t>
  </si>
  <si>
    <t>Worm, S. C.J.</t>
  </si>
  <si>
    <t>Worm S.C.J.</t>
  </si>
  <si>
    <t>Electromagnetic fields of corrugated conical horns with elliptical cross section described by Lam√© functions</t>
  </si>
  <si>
    <t>10.1029/RS019i005p01219</t>
  </si>
  <si>
    <t>2-s2.0-0020809113</t>
  </si>
  <si>
    <t>['proposed method', 'particular problem', 'numerical results', 'monotonic convergence', 'matrix methods', 'iterative technique', 'initial guess', 'expansion functions', 'electromagnetic scattering', 'copyright 1984', 'conventionally done', 'conjugate gradient', 'computation time', 'basic difference']</t>
  </si>
  <si>
    <t>In this paper the method of conjugate gradient is presented for the solution of operator equations arising in electromagnetics. The particular problem to which the conjugate gradient method has been applied is the electromagnetic scattering from arbitrary oriented wire antennas. With this iterative technique, it is possible to solve electromagnetic problems involving electrically large structures without storing any matrices as is conventionally done in the method of moments. The basic difference between the proposed method and the matrix methods (Rayleigh‚ÄêRitz, Galerkin's, method of moments) for the same expansion functions is that for the iterative technique we are solving a least squares problem. Hence, as the order of the approximation is increased, the proposed technique guarantees a monotonic convergence for the residuals AI‚ÄêY, whereas matrix methods, in general, do not yield monotonic convergence. The conjugate gradient method converges for any initial guess; however, a good one may significantly lower the computation time. Also, explicit error formulas are given for the rate of convergence. Numerical results are presented for electromagnetic scattering from arbitrary oriented thin‚Äêwire antennas. Copyright 1984 by the American Geophysical Union.</t>
  </si>
  <si>
    <t>1156-1172</t>
  </si>
  <si>
    <t>Sarkar, Tapan K.</t>
  </si>
  <si>
    <t>Sarkar T.</t>
  </si>
  <si>
    <t>The application of the conjugate gradient method for the solution of operator equations arising in electromagnetic scattering from wire antennas</t>
  </si>
  <si>
    <t>10.1029/RS019i005p01156</t>
  </si>
  <si>
    <t>2-s2.0-0020811158</t>
  </si>
  <si>
    <t>['verified easily', 'truncation errors', 'time progresses', 'space discretizations', 'sometimes lead', 'solution cannot', 'problem may', 'previous approaches', 'prespecified degree', 'one another', 'last stage', 'initial guess', 'gaussian pulse', 'finite number', 'error estimation', 'discretization techniques', 'direct method', 'copyright 1984', 'conjugate gradient', 'conducting bodies', 'computing scattering', 'computation time']</t>
  </si>
  <si>
    <t>Previous approaches to the problem of computing scattering by conducting bodies have utilized the well‚Äêknown marching‚Äêon‚Äêin‚Äêtime solution procedures. However, these procedures are very dependent on discretization techniques and sometimes lead to instabilities as the time progresses. Moreover, the accuracy of the solution cannot be verified easily, and usually there is no error estimation. In this paper we describe the conjugate gradient method for solving transient problems. For this method, the time and space discretizations are independent of one another. The method has the advantage of a direct method as the solution is obtained in a finite number of steps and also of an iterative method since the roundoff and truncation errors are limited only to the last stage of iteration. The conjugate gradient method converges for any initial guess; however, a good initial guess may significantly reduce the computation time. Also, explicit error formulas are given for the rate of convergence of this method. Hence any problem may be solved to a prespecified degree of accuracy. The procedure is stable with respect to roundoff and truncation errors and simple to apply. As an example, we apply the method of conjugate gradient to the problem of scattering from a thin conducting wire illuminated by a Gaussian pulse. The results compare well with the marching‚Äêon‚Äêin‚Äêtime procedure. Copyright 1984 by the American Geophysical Union.</t>
  </si>
  <si>
    <t>1319-1326</t>
  </si>
  <si>
    <t>7404179013;55650323300;7003619634</t>
  </si>
  <si>
    <t>Rao, Sadasiva M.;Sarkar, Tapan K.;Dianat, Soheil A.</t>
  </si>
  <si>
    <t>Rao S.</t>
  </si>
  <si>
    <t>The application of the conjugate gradient method to the solution of transient electromagnetic scattering from thin wires</t>
  </si>
  <si>
    <t>10.1029/RS019i005p01319</t>
  </si>
  <si>
    <t>2-s2.0-0020811224</t>
  </si>
  <si>
    <t>['surface profile', 'recent measurement', 'recent investigations', 'quite possible', 'properly evaluate', 'numerically continue', 'measurement window', 'measured first', 'major contribution', 'large reflectors', 'iterative scheme', 'improved resolution', 'function related', 'first term', 'first investigated', 'far field', 'constructed using', 'accurately characterize']</t>
  </si>
  <si>
    <t>Recent investigations have shown that it is quite possible to accurately characterize the surface profile of large reflectors using microwave holographic techniques. In these techniques the complex (amplitude and phase) far‚Äêfield pattern of the antenna is measured first. The surface profile is then constructed using the Fourier transform relationship which exists between the far field and a function related to the induced surface current. In this paper the concept of the Fourier transform relationship is first investigated to demonstrate that it is, in general, a summation of many Fourier transforms. However, for large reflectors with small beam widths, only the first term of the series has the major contribution. Furthermore, an iterative scheme is described to analytically/numerically continue the far‚Äêfield pattern outside the measurement window. This, then, results in an improved resolution of the surface map data and, in particular, reduces the amplitude artifacts outside the boundary of the reflector. A novel and efficient simulation model has been developed to properly evaluate the accuracy of the technique in recovering the simulated surface errors. Finally, results of a recent measurement are summarized. This paper is not subject to U.S. copyright. Published in 1984 by the American Geophysical Union.</t>
  </si>
  <si>
    <t>1205-1217</t>
  </si>
  <si>
    <t>Rahmat‚ÄêSamii, Y.</t>
  </si>
  <si>
    <t>Rahmat‚ÄêSamii Y.</t>
  </si>
  <si>
    <t>Surface diagnosis of large reflector antennas using microwave holographic metrology: An iterative approach</t>
  </si>
  <si>
    <t>10.1029/RS019i005p01205</t>
  </si>
  <si>
    <t>2-s2.0-0020811873</t>
  </si>
  <si>
    <t>['typical example', 'simple configuration', 'numerical values', 'new structure', 'millimeter wavelengths', 'leakage constants', 'h guide', 'dispersion relation', 'copyright 1984', 'closed form', 'antenna performance', 'analysis employs']</t>
  </si>
  <si>
    <t>An almost rigorous analysis is presented for a new leaky‚Äêwave antenna of simple configuration. The new structure is based on a recent nonradiative modification of H guide and is suitable for millimeter wavelengths. The analysis employs a transverse equivalent network that yields a dispersion relation in closed form. Numerical values are presented for the phase and leakage constants and for a typical example of antenna performance. Copyright 1984 by the American Geophysical Union.</t>
  </si>
  <si>
    <t>1225-1228</t>
  </si>
  <si>
    <t>55350879700;7005564352</t>
  </si>
  <si>
    <t>Sanchez, A.;Oliner, A. A.</t>
  </si>
  <si>
    <t>Sanchez A.</t>
  </si>
  <si>
    <t>Accurate theory for a new leaky‚Äêwave antenna for millimeter waves using nonradiative dielectric waveguide</t>
  </si>
  <si>
    <t>10.1029/RS019i005p01225</t>
  </si>
  <si>
    <t>2-s2.0-0020813522</t>
  </si>
  <si>
    <t>['theories differ', 'scatterer orientations', 'results may', 'random assembly', 'particular attention', 'leading term', 'first order', 'electromagnetic waves', 'discussed briefly', 'copyright 1984']</t>
  </si>
  <si>
    <t>The propagation of electromagnetic waves through a random assembly of electric and magnetic dipole scatterers is considered. The results may be taken as the leading term of the solution for more general multipole scatterers. Multiple forward scattering and the coherent‚Äêwave approach of J. B. Keller are compared. To the first order, the theories differ only in that they predict different wave polarizations. Particular attention is given to the case in which the distribution of scatterer orientations is axisymmetric. It is found that this case can be treated as propagation through an assembly of uniformly aligned equivalent scatterers. The application of these results to propagation through rain is discussed briefly. Copyright 1984 by the American Geophysical Union.</t>
  </si>
  <si>
    <t>1376-1388</t>
  </si>
  <si>
    <t>Bennett, J. A.</t>
  </si>
  <si>
    <t>Bennett J.</t>
  </si>
  <si>
    <t>Propagation through an assembly of anisotropic electric and magnetic dipole scatterers</t>
  </si>
  <si>
    <t>10.1029/RS019i005p01376</t>
  </si>
  <si>
    <t>2-s2.0-0020813877</t>
  </si>
  <si>
    <t>['¬© 1984', 'thermal expansion', 'thermal ageing', 'testing laminate', 'test results', 'successfully optimize', 'structures employed', 'strongly sensitive', 'strong coupling', 'space environments', 'space applications', 'significant effects', 'sandwich structure', 'sandwich specimens', 'sandwich panels', 'physical relationship', 'permanent way', 'operational frequencies', 'open literature', 'moisture content', 'moisture absorption', 'mechanical stability', 'matrix micro', 'mathematical model', 'irreversible way', 'investigated separately', 'inducing micro', 'great importance', 'frequently manufactured', 'expected behaviours', 'electrical performances', 'e .).', 'cracking inside', 'composite skins', 'composite materials', 'actual value', 'accurate evaluation']</t>
  </si>
  <si>
    <t>The structures employed in the space are frequently manufactured with composite materials, which can successfully optimize the exigences of lightness, strength and stiffness, as required by the nature of the missions. On the other hand, the ground and the space environments can modify the properties of these materials in a permanent way, so that an accurate evaluation of these impacts becomes necessary, in order to minimize the risk of degradations or not expected behaviours. These considerations have great importance in the design of large antenna reflectors, for which the operational frequencies are increasing and an high dimensional stability is required. As a consequence, their in-orbit thermal distortions must be minimized, considering the actual value of their Coefficient of Thermal Expansion (C.T.E.). Most of the reflectors are made of sandwich panels with composite skins, and their electrical performances are strongly sensitive to the C.T.E. value. So that, any cause which can even weakly influence this parameter in a irreversible way, like little variations in the structural integrity due to particular environment conditions, can lead to significant effects on the global antenna behaviour. Either moisture sorption and thermal ageing are able to change the physical relationship between the fibers and the matrix in a composite: the former, degrading the properties of the matrix itself, the latter, inducing micro-cracking inside the structure. Both these effects can influence the C.T.E. and there is a strong coupling between them. The moisture content is in fact a function of this thermal ageing and furthermore has an impact on the matrix micro-cracking. In the open literature very little has been published about the influence of this environment on the thermo-mechanical stability of sandwich structure for space applications. In order to understand more clearly the influence of moisture and thermal ageing on the C.T.E. of composites, both these parameters will be investigated separately by testing laminate and sandwich specimens. A mathematical model to predict the moisture absorption/desorption of sandwiches and laminates will be developed and compared with the test results. Comparison with existing data shall be presented. ¬© 1984.</t>
  </si>
  <si>
    <t>489-508</t>
  </si>
  <si>
    <t>Acta Astronautica</t>
  </si>
  <si>
    <t>July 1984/August 1984</t>
  </si>
  <si>
    <t>60084299;60032350;60031159</t>
  </si>
  <si>
    <t>35511078400;7201839044;6602457433</t>
  </si>
  <si>
    <t>Morganti, F.;Marchetti, M.;Reibaldi, G.</t>
  </si>
  <si>
    <t>Italy;Italy;Netherlands</t>
  </si>
  <si>
    <t>Rome;Rome;Noordwijk aan Zee</t>
  </si>
  <si>
    <t>Selenia S.p.A.;Sapienza Universit√† di Roma;ESTEC - European Space Research and Technology Centre</t>
  </si>
  <si>
    <t>Morganti F.</t>
  </si>
  <si>
    <t>Effects of moisture and thermal ageing on structural stability of sandwich panels</t>
  </si>
  <si>
    <t>0094-5765(84)90089-4</t>
  </si>
  <si>
    <t>10.1016/0094-5765(84)90089-4</t>
  </si>
  <si>
    <t>2-s2.0-0020874953</t>
  </si>
  <si>
    <t>['tv broadcasting', 'transverse dimensions', 'support structure', 'sided support', 'radiation pattern', 'horizontal plane', 'bands iv', '790 mhz', '300 mm']</t>
  </si>
  <si>
    <t>Bands IV and V (470-638 and 638-790 MHz) have been allocated for further expansion of TV broadcasting. Because of the relatively short wavelength, there are a number of difficulties in designing transmitter antennas on four-sided lattice support structures having a side dimension greater than 1 m. The radiation pattern in the horizontal plane of an antenna with panels on the sides of a four-sided support of such dimensions is far from circular. An almost-circular acceptable radiation pattern, is achievable when the transverse dimensions of the support structure are approximately 300 multiplied by 300 mm.</t>
  </si>
  <si>
    <t>24-29</t>
  </si>
  <si>
    <t>38-39</t>
  </si>
  <si>
    <t>Telecommunications and Radio Engineering (English translation of Elektrosvyaz and Radiotekhnika)</t>
  </si>
  <si>
    <t>Bradach, I.</t>
  </si>
  <si>
    <t>Bradach I.</t>
  </si>
  <si>
    <t>DECIMETER-BAND TELEVISION TRANSMITTER ANTENNA USING 720 AND 1020 mm DIAMETER TUBES.</t>
  </si>
  <si>
    <t>2-s2.0-0021117765</t>
  </si>
  <si>
    <t>['different ratios', 'correlation function']</t>
  </si>
  <si>
    <t>The correlation function of a signal is considered for different ratios between the signal spectrum width and the radio channel passband, as defined by the parameters and configuration of a spatially excited antenna array.</t>
  </si>
  <si>
    <t>127-130</t>
  </si>
  <si>
    <t>Maksakov, N. F.</t>
  </si>
  <si>
    <t>Maksakov N.</t>
  </si>
  <si>
    <t>RADIO CHANNEL WITH AN ARC-TYPE ANTENNA USING SPATIAL EXCITATION.</t>
  </si>
  <si>
    <t>2-s2.0-0021118912</t>
  </si>
  <si>
    <t>['two classes', 'substantial complexity', 'resulting end', 'relatively simple', 'reduced gain', 'parasitic elements', 'last elements', 'fire beam', 'fire antenna', 'feed network', 'compromise termination', 'array consisting']</t>
  </si>
  <si>
    <t>A heuristic approach useful in the design of end-fire array antennas is described. When an array is scanned ‚Äúbeyond end fire,‚Äù the last elements of the array, in the direction of the end-fire beam, generally receive net power transmitted by other elements of the array. This received power might conceivably be recirculated and reradiated at the price of substantial complexity in the feed network. It is relatively simple to absorb this power in appropriate resistive loads at the price of reduced gain. The resulting end-fire antenna is a hybrid-array consisting of two classes of elements: elements excited directly and elements excited parasitically. A compromise termination of these parasitic elements in reactive loads especially determined to preserve desired pattern characteristics is examined. ¬© 1984 IEEE</t>
  </si>
  <si>
    <t>36-43</t>
  </si>
  <si>
    <t>0018926X</t>
  </si>
  <si>
    <t>IEEE Transactions on Antennas and Propagation</t>
  </si>
  <si>
    <t>60027271-60003088</t>
  </si>
  <si>
    <t>Kahn, Walter K.</t>
  </si>
  <si>
    <t>Washington, D.C.;Washington, D.C.</t>
  </si>
  <si>
    <t>Naval Research Laboratory;The George Washington University</t>
  </si>
  <si>
    <t>60027271;60003088</t>
  </si>
  <si>
    <t>Kahn W.</t>
  </si>
  <si>
    <t>End-Fire Hybrid Array Antennas</t>
  </si>
  <si>
    <t>10.1109/TAP.1984.1143181</t>
  </si>
  <si>
    <t>2-s2.0-0021120470</t>
  </si>
  <si>
    <t>['software modules', 'prototype receiver', 'processor unit', 'power supply', 'paper describes', 'multichannel receiver', 'military users', 'first applications', 'display unit', 'civil users', 'channel receiver', 'auxiliary sensors', 'adding hardware']</t>
  </si>
  <si>
    <t>This paper describes the design and applications of a prototype receiver which will have one of its first applications in the German Spacelab navigation experiment. The receiver for Global Positioning System (GPS) includes the antenna with preamplifier, receiver/processor unit, control/display unit, and power supply. The modular structure enables the receiver to be adapted to nearly all planned applications simply by changing or adding hardware or software modules. In addition, it can be expanded from a single-channel receiver for civil users up to a multichannel receiver with auxiliary sensors for military users.</t>
  </si>
  <si>
    <t>332-335</t>
  </si>
  <si>
    <t>Electrical communication</t>
  </si>
  <si>
    <t>57200540484;6504795568</t>
  </si>
  <si>
    <t>Bethmann, A.;Tschiesche, H.</t>
  </si>
  <si>
    <t>Bethmann A.</t>
  </si>
  <si>
    <t>RECEIVER FOR GLOBAL POSITIONING SYSTEM.</t>
  </si>
  <si>
    <t>2-s2.0-0021121370</t>
  </si>
  <si>
    <t>['plane patterns', 'modal analysis', 'element pattern', 'direct evaluation', 'dielectric windows', 'design method']</t>
  </si>
  <si>
    <t>Modal analysis is presented for the realized element gain E- and H-plane patterns for a two-dimensional circular cylindrical arrays with concentric dielectric sleeve. Numerical results indicate presence of significant surface wave effects. A design method of dielectric windows to reduce the guided wave effects is proposed. The method, validated by direct evaluation of the element pattern for the optimized window geometries, shows significant reduction of surface wave effects. ¬© 1984 IEEE</t>
  </si>
  <si>
    <t>44-53</t>
  </si>
  <si>
    <t>60108318;60108318</t>
  </si>
  <si>
    <t>7004116403;7005831705</t>
  </si>
  <si>
    <t>Fathy, Aly E.;Hessel, Alexander</t>
  </si>
  <si>
    <t>New York</t>
  </si>
  <si>
    <t>NYU Tandon School of Engineering</t>
  </si>
  <si>
    <t>Fathy A.</t>
  </si>
  <si>
    <t>Element Pattern Approach to Design of Dielectric Windows for Conformal Phased Arrays</t>
  </si>
  <si>
    <t>10.1109/TAP.1984.1143191</t>
  </si>
  <si>
    <t>2-s2.0-0021121522</t>
  </si>
  <si>
    <t>['subsurface medium', 'stratified halfspace', 'numerical examples', 'matrix method', 'magnetic dipole', 'finite obstacle', 'extended source', 'explicit expressions', 'dimensional scattering']</t>
  </si>
  <si>
    <t>This paper extends earlier works on three-dimensional scattering from a finite obstacle in a stratified halfspace, treated by means of the T-matrix method. In this paper we consider a general source configuration above the ground, that excites the subsurface medium and its inhomogeneity. Explicit expressions are given for the magnetic dipole, the circular, and rectangular antenna loops. Numerical examples, which show the effect of an extended source on the ground, are given for the circular antenna loop. ¬© 1984 IEEE.</t>
  </si>
  <si>
    <t>29-34</t>
  </si>
  <si>
    <t>GE-22</t>
  </si>
  <si>
    <t>IEEE Transactions on Geoscience and Remote Sensing</t>
  </si>
  <si>
    <t>Kristensson, Gerhard</t>
  </si>
  <si>
    <t>Sweden</t>
  </si>
  <si>
    <t>Gothenburg</t>
  </si>
  <si>
    <t>Institute of Theoretical Physics, Goteborg</t>
  </si>
  <si>
    <t>Kristensson G.</t>
  </si>
  <si>
    <t>Influence of Inhomogeneities in a Stratified Ground on the Field of a Circular Loop Antenna</t>
  </si>
  <si>
    <t>10.1109/TGRS.1984.350576</t>
  </si>
  <si>
    <t>2-s2.0-0021121731</t>
  </si>
  <si>
    <t>['synthesis method', 'subreflector portion', 'spherical wave', 'second reflection', 'presented herein', 'offset subreflectors', 'large paraboloid', 'hyperboloid combinations', 'ground stations', 'geometrical optics', 'gain comparable', 'first presented', 'excellent results', 'costly objective', 'cassegrain antenna', 'approximate synthesis', 'approximate formulation', 'antenna upgrade']</t>
  </si>
  <si>
    <t>Many existing large ground reflector antennas have been designed as Cassegrain systems‚Äîi.e., paraboloid/hyperboloid combinations. Other large ground antennas are simply paraboloid designs. Upgrading the gain of these systems to a gain comparable to that obtainable with a dual shaped reflector antenna system has been an important and costly objective of many such ground stations. A potentially economic method for such an antenna upgrade is presented herein. It involves a redesign of only the subreflector portion of a Cassegrain antenna or the introduction of a subreflector feed system for a paraboloid. A pair of offset subreflectors are synthesized which will give a controllable high gain amplitude distribution in the aperture of the large paraboloid. The synthesis method that is used is based on an approximate formulation for an offset dual shaped high gain antenna that was first presented by Galindo-Israel and Mittra in 1977. In that approximate formulation, the geometrical optics (GO) energy was scattered from a subreflector and then from a second large reflector which reflected a uniform phase distribution. In the present offset dual shaped subreflector (DSS) antenna, the second reflection is from a smaller (sub) reflector and it scatters a spherical wave that feeds a hyperboloid or feeds a large paraboloid directly. Excellent results are shown for the approximate synthesis of the DSS. ¬© 1984 IEEE</t>
  </si>
  <si>
    <t>86-92</t>
  </si>
  <si>
    <t>60009037;60000745</t>
  </si>
  <si>
    <t>7003293983;55197051100</t>
  </si>
  <si>
    <t>Galindo-Israel, Victor;Mittra, Raj</t>
  </si>
  <si>
    <t>Pasadena;Urbana</t>
  </si>
  <si>
    <t>Jet Propulsion Laboratory;University of Illinois Urbana-Champaign</t>
  </si>
  <si>
    <t>Galindo-Israel V.</t>
  </si>
  <si>
    <t>Synthesis of Offset Dual Shaped Subreflector Antennas for Control of Cassegrain Aperture Distributions</t>
  </si>
  <si>
    <t>10.1109/TAP.1984.1143194</t>
  </si>
  <si>
    <t>2-s2.0-0021121913</t>
  </si>
  <si>
    <t>['smooth curves', 'scan range', 'properly tailoring', 'preliminary study', 'peak gains', 'partially compensated', 'offset geometry', 'nodal points', 'inherent astigmatism', 'first creating', 'either fully', 'dimensional geometry', 'cassegrain design', 'body revolution', 'bifocal condition', 'axis beams', 'applications requiring']</t>
  </si>
  <si>
    <t>Preliminary study on offset shaped dual reflector antenna systems has been carried out to assess the feasibility for multibeam satellite applications. The two-dimensional offset shaped reflector antenna geometry is generated by first creating the nodal points according to a bifocal condition and then connecting the nodal points by smooth curves to form the profiles of the main and subreflectors. The three-dimensional geometry is created by body revolution. The offset geometry is obtained by properly tailoring the three-dimensional geometry. This offset shaped reflector antenna system has an inherent astigmatism which can be either fully or partially compensated. For applications requiring a scan range in azimuth more than ¬±5 beamwidths, the offset shaped dual reflector antenna systems offer better scan performance (in terms of peak gains) than offset Cassegrain geometries at the expense of the performance of the on-axis beams. In elevation with a 16 beamwidth scan range, the shaped design provides 0.3 dB less scan loss than the Cassegrain design. ¬© 1984 IEEE</t>
  </si>
  <si>
    <t>30-35</t>
  </si>
  <si>
    <t>60005304;60005304</t>
  </si>
  <si>
    <t>56291355900;7201529879</t>
  </si>
  <si>
    <t>Chang, Donald C.D.;Lang, K. C.</t>
  </si>
  <si>
    <t>Waltham</t>
  </si>
  <si>
    <t>Raytheon</t>
  </si>
  <si>
    <t>Chang D.</t>
  </si>
  <si>
    <t>Preliminary Study on Offset Scan-Corrected Reflector Antenna System</t>
  </si>
  <si>
    <t>10.1109/TAP.1984.1143185</t>
  </si>
  <si>
    <t>2-s2.0-0021121914</t>
  </si>
  <si>
    <t>['system 4000', 'subjects discussed', 'paper introduces', 'new generation', 'navigation aids', 'monitoring concept', 'microprocessor control', 'includes ils', 'full use', 'equipment design', 'dvor equipment']</t>
  </si>
  <si>
    <t>This paper introduces the system 4000 a new generation of navigation aids which includes ILS, VOR, and DVOR equipment. Full use of digital signal processing techniques and microprocessor control has produced excellent performance and reliability. Among the subjects discussed in the paper are the following: main design features, system 4000 concept, signal generation concept, monitoring concept, equipment design and operation and maintenance.</t>
  </si>
  <si>
    <t>270-276</t>
  </si>
  <si>
    <t>6603268483;6602345980;7402026846</t>
  </si>
  <si>
    <t>Kleiber, H.;Knoppik, N.;Vogel, H.</t>
  </si>
  <si>
    <t>Kleiber H.</t>
  </si>
  <si>
    <t>SYSTEM 4000 NAVIGATION AIDS.</t>
  </si>
  <si>
    <t>2-s2.0-0021122364</t>
  </si>
  <si>
    <t>['recently applied', 'numerical examples', 'like techniques', 'field transformations', 'antenna problems']</t>
  </si>
  <si>
    <t>Antenna | Electromagnetic field | Electromagnetism | Far-field | Interpolation | Near-field | Sampling | Signal theory</t>
  </si>
  <si>
    <t>Sampling and sampling-like techniques, recently applied to antenna problems, are reviewed. In particular, analysis, synthesis, and field transformations in the frame of measurement data processing are considered. A number of numerical examples are presented. ¬© 1984 Springer-Verlag.</t>
  </si>
  <si>
    <t>52-59</t>
  </si>
  <si>
    <t>Annales Des T√©l√©communications</t>
  </si>
  <si>
    <t>60017293-60021199</t>
  </si>
  <si>
    <t>Franceschetti, Giorgio</t>
  </si>
  <si>
    <t>Italy;Italy</t>
  </si>
  <si>
    <t>Rome;Naples</t>
  </si>
  <si>
    <t>Consiglio Nazionale delle Ricerche;Universit√† degli Studi di Napoli Federico II</t>
  </si>
  <si>
    <t>60021199;60017293</t>
  </si>
  <si>
    <t>Franceschetti G.</t>
  </si>
  <si>
    <t>Sampling and sampling-like techniques in field representation</t>
  </si>
  <si>
    <t>10.1007/BF02998771</t>
  </si>
  <si>
    <t>2-s2.0-0021122394</t>
  </si>
  <si>
    <t>['temperature approximation', 'short distances', 'retrograde curvature', 'resonance cones', 'main cone', 'investigated experimentally', 'interference structure', 'fine structure', 'electron density', 'dispersion relation', 'complete solution']</t>
  </si>
  <si>
    <t>The fine structure of resonance cones in the lower hybrid range is investigated experimentally. For large antenna distances the shift of the main cone and the interference structure are found to be in agreement with the low-temperature approximation. On the contrary for short distances the measured interference pattern can only be described by the complete solution for the least damped root of the dispersion relation. The retrograde curvature of this branch is demonstrated. The determination of electron density and temperature from resonance cones can now be performed in an extended parameter range. ¬© 1984 American Institute of Physics.</t>
  </si>
  <si>
    <t>273-276</t>
  </si>
  <si>
    <t>Physics of Fluids</t>
  </si>
  <si>
    <t>60005322;60005322</t>
  </si>
  <si>
    <t>7005587335;6504429772</t>
  </si>
  <si>
    <t>Piel, A.;Oelerich, G.</t>
  </si>
  <si>
    <t>Bochum</t>
  </si>
  <si>
    <t>Ruhr-Universitat Bochum</t>
  </si>
  <si>
    <t>Piel A.</t>
  </si>
  <si>
    <t>Experimental study of kinetic effects on resonance cones</t>
  </si>
  <si>
    <t>10.1063/1.864522</t>
  </si>
  <si>
    <t>2-s2.0-0021122572</t>
  </si>
  <si>
    <t>['vlf transmitter', 'primary objectives', 'presently defining', 'power transferred', 'plasma turbulence', 'measurements confirm', 'loop antenna', 'ionospheric plasma', 'impedance measurements', 'essentially identical', 'copyright 1984', 'circuit increases', 'aerospace corporation']</t>
  </si>
  <si>
    <t>The Space Sciences Laboratory of The Aerospace Corporation is presently defining an experiment to test a loop antenna configuration for a VLF transmitter in the ionosphere. The primary objectives of the experiment are to validate existing models for radiation by a loop antenna and to study the performance of the antenna in the ionospheric plasma. A one‚Äêthird scale model of the antenna has been constructed. Impedance measurements have been made on the model in a 5‚Äêm diameter space plasma simulation chamber at NASA Lewis Research Center. The measurements confirm that the reactance of the antenna in an ionospheric plasma is essentially identical to its free space self‚Äêinductance. The effective series resistance of the circuit increases with frequency. The losses are attributed to power transferred to plasma turbulence. Copyright 1984 by the American Geophysical Union.</t>
  </si>
  <si>
    <t>395-399</t>
  </si>
  <si>
    <t>6701751133;6508018205;7005320613</t>
  </si>
  <si>
    <t>Koons, H. C.;Dazey, M. H.;Edgar, B. C.</t>
  </si>
  <si>
    <t>Koons H.</t>
  </si>
  <si>
    <t>Impedance measurements on a VLF multiturn loop antenna in a space plasma simulation chamber</t>
  </si>
  <si>
    <t>10.1029/RS019i001p00395</t>
  </si>
  <si>
    <t>2-s2.0-0021140406</t>
  </si>
  <si>
    <t>['type 1', 'present simultaneously', 'paper describes', 'observed variation', 'next section', 'new york', 'narrow spectra', 'geomagnetic conditions', 'experimental data', 'even narrower', 'discussed previously', 'auroral electrojet', 'antenna pattern', '140 km']</t>
  </si>
  <si>
    <t>The paper describes some auroral radar Doppler data which show the presence of spectra not discussed previously in the literature. The data were obtained during highly disturbed magnetic conditions with a relatively small 50-MHz radar pointed northeast of Ithaca, New York. The data are characterized by strong discrete echoes and display spectral peaks which are even narrower than type 1 and are centered at a considerably smaller Doppler shift. These echoes were present simultaneously with and adjacent in range to the commonly observed auroral spectra. Taking into account the vertical lobe structure of the antenna pattern, the observed variation with range of the echo power suggests that these echoes with very narrow spectra were obtained from a height of about 140 km or higher, well above the center of the auroral electrojet. In the next section we present the experimental data and discuss the geomagnetic conditions. Finally, various plasma instabilities are discussed.</t>
  </si>
  <si>
    <t>187-194</t>
  </si>
  <si>
    <t>A1</t>
  </si>
  <si>
    <t>Journal of Geophysical Research</t>
  </si>
  <si>
    <t>;;;;</t>
  </si>
  <si>
    <t>6701477656;7401921747;7102375730;7004549933;57203051214</t>
  </si>
  <si>
    <t>Fejer, B. G.;Reed, R. W.;Farley, D. T.;Swartz, W. E.;Kelley, M. C.</t>
  </si>
  <si>
    <t>Fejer B.</t>
  </si>
  <si>
    <t>ION CYCLOTRON WAVES AS A POSSIBLE SOURCE OF RESONANT AURORAL RADAR ECHOES.</t>
  </si>
  <si>
    <t>10.1029/JA089iA01p00187</t>
  </si>
  <si>
    <t>2-s2.0-0021141855</t>
  </si>
  <si>
    <t>['ion waves', 'identification implies', 'doppler shift', 'determining limits', 'bow shock', 'antenna length', '1 wide']</t>
  </si>
  <si>
    <t>The identification and explanation of short wavelength antenna interference effects observed in spacecraft plasma wave data have provided an important new method of determining limits on the wavelength, direction of propagation, and Doppler shift of short-wavelength electrostatic waves. By using the ISEE-1 wide-band electric field data, antenna interference effects have been identified in the ion waves upstream of the earth's bow shock. This identification implies that wavelengths of the upstream ion waves are shorter than the antenna length. The interference effects also provide new measurements of the direction of propagation of the ion waves.</t>
  </si>
  <si>
    <t>91-103</t>
  </si>
  <si>
    <t>7004091335;7007153701</t>
  </si>
  <si>
    <t>Fuselier, S. A.;Gurnett, D. A.</t>
  </si>
  <si>
    <t>Fuselier S.</t>
  </si>
  <si>
    <t>SHORT WAVELENGTH ION WAVES UPSTREAM OF THE EARTH'S BOW SHOCK.</t>
  </si>
  <si>
    <t>10.1029/JA089iA01p00091</t>
  </si>
  <si>
    <t>2-s2.0-0021142096</t>
  </si>
  <si>
    <t>['single reception', 'coherent combination']</t>
  </si>
  <si>
    <t>The values of the energy gains achieved by using a compensation circuit compared with single reception and a scheme for coherent combination are determined for a two-element antenna array.</t>
  </si>
  <si>
    <t>124-126</t>
  </si>
  <si>
    <t>Gribin, V. V.</t>
  </si>
  <si>
    <t>Gribin V.</t>
  </si>
  <si>
    <t>EFFECTIVENESS OF COMPENSATION RECEPTION.</t>
  </si>
  <si>
    <t>2-s2.0-0021148643</t>
  </si>
  <si>
    <t>['two frequencies', 'sfmr data', 'several azimuths', 'noaa aircraft', 'lower altitude', 'hurricane allen', 'analysis shows']</t>
  </si>
  <si>
    <t>In August 1980 two remote sensing instruments from the NASA Langley Research Center were flown through Hurricane Allen. These were the C-band Stepped Frequency Microwave Radiometer (SFMR) and the Ku-band Airborne Microwave Scatterometer (AMSCAT), carried on a NOAA aircraft at 3000 m altitude. An SFMR sea surface wind speed is calculated from the increase in antenna brightness temperature above the estimated calm sea value, and an SFMR rain rate is calculated from the difference in antenna temperature measured at two frequencies. In the absence of severe beam attenuation caused by rain, an AMSCAT surface wind vector is determined from the sea's normalised radar cross section measured at several azimuths. Comparison wind data were provided with the INS on board the aircraft at 3000 m and on a second, lower altitude, aircraft. The analysis shows that, once the rain free periods are selected with the SFMR data, the AMSCAT produces well behaved and consistent wind vectors. (A)</t>
  </si>
  <si>
    <t>1 , Piscataway, U.S.A., Inst. Electr. &amp; Electron. Engrs. Inc. Serv. Center, 1984, Session B2, p.138-14</t>
  </si>
  <si>
    <t>IN: OCEANS '84 CONF. &amp; EXPOS., CONF. RECORD, INDUSTRY, GOVERNMENT, EDUCATION ... DESIGNS FOR THE FUTURE, (WASHINGTON, D.C., U</t>
  </si>
  <si>
    <t>;;;</t>
  </si>
  <si>
    <t>6602633480;57202724645;7003907571;16499175700</t>
  </si>
  <si>
    <t>Delnore, V. E.;Bahn, G. S.;Grantham, W.;Jones, W. L.</t>
  </si>
  <si>
    <t>Delnore V.</t>
  </si>
  <si>
    <t>Performance of airborne microwave remote sensors in Hurricane Allen.</t>
  </si>
  <si>
    <t>2-s2.0-0021150001</t>
  </si>
  <si>
    <t>['small area', 'radio communication', 'radiating connections', 'pulses generated', 'fcc rules', 'digital circuits', 'broadcasting antenna', 'also discussed']</t>
  </si>
  <si>
    <t>Jamming of radio communication by the proliferation of high-speed digital circuitry, especially small computers, and their peripherals, is reported. Radio frequency interference (RFI) created by pulses generated in the digital circuits in the same way as a transmitter sends signals to the broadcasting antenna, is studied. A variety of techniques is examined to contain or eliminate RF radiation. Shielding and compressing the high frequency portion of the circuit into a small area to shorten the radiating connections between component (acting as antennas) are considered. The compliance with FCC rules is also discussed.</t>
  </si>
  <si>
    <t>High Technology (Boston)</t>
  </si>
  <si>
    <t>Jan</t>
  </si>
  <si>
    <t>Henderson, Nancy</t>
  </si>
  <si>
    <t>Henderson N.</t>
  </si>
  <si>
    <t>STAMPING OUT COMPUTER STATIC.</t>
  </si>
  <si>
    <t>2-s2.0-0021155640</t>
  </si>
  <si>
    <t>['wave ratio', 'variable dimensions', 'traveling waves', 'results indicate', 'rectangular patches', 'radiation properties', 'radiation characteristics', 'properly designed', 'nonuniform arrays', 'microstrip lines', 'input vswr', 'antennas consisting']</t>
  </si>
  <si>
    <t>Measured voltage standing-wave ratio (VSWR) and radiation characteristics are presented for a class of antennas consisting of nonuniform arrays of rectangular patches having variable dimensions, and excited by traveling waves on microstrip lines. The results indicate that when properly designed these linearly polarized antennas are capable of providing large bandwidths with regard to input VSWR and radiation properties. ¬© 1984 IEEE</t>
  </si>
  <si>
    <t>98-100</t>
  </si>
  <si>
    <t>60025778;112506531;60025778</t>
  </si>
  <si>
    <t>57198833759;7202224468;56721541500</t>
  </si>
  <si>
    <t>Dong, Wei Ren;Dong, Wei Ren;Sengupta, Dipak L.</t>
  </si>
  <si>
    <t>United States;China</t>
  </si>
  <si>
    <t>Ann Arbor;Beijing</t>
  </si>
  <si>
    <t>University of Michigan, Ann Arbor;Beijing Uinversity of Posts and Telecommunications</t>
  </si>
  <si>
    <t>60025778;112506531</t>
  </si>
  <si>
    <t>Dong W.</t>
  </si>
  <si>
    <t>A Class of Broad-Band Patch Microstrip Traveling Wave Antennas</t>
  </si>
  <si>
    <t>10.1109/TAP.1984.1143179</t>
  </si>
  <si>
    <t>2-s2.0-0021156262</t>
  </si>
  <si>
    <t>['tropospheric field', 'following topics', 'article discusses', 'antenna parameters']</t>
  </si>
  <si>
    <t>The article discusses the following topics: harmonization of tropospheric field and antenna parameters; single-channel adaptive receiving antenna systems; and evaluation of the parameters of a single-channel adaptive antenna.</t>
  </si>
  <si>
    <t>37-40</t>
  </si>
  <si>
    <t>Frolov, O. P.</t>
  </si>
  <si>
    <t>Frolov O.</t>
  </si>
  <si>
    <t>ADAPTIVE ANTENNAS FOR TROPOSPHERIC RADIO-RELAY LINKS.</t>
  </si>
  <si>
    <t>2-s2.0-0021156302</t>
  </si>
  <si>
    <t>['statistical characteristics', 'mean variance', 'mean directivity', 'closed form']</t>
  </si>
  <si>
    <t>Expressions are obtained in closed form for the mean radiation pattern, the mean directivity and the mean variance of the power radiation pattern of a multistage phased antenna array. The statistical characteristics of an equidistant linear array are analyzed.</t>
  </si>
  <si>
    <t>74-79</t>
  </si>
  <si>
    <t>7003408048;6507610476</t>
  </si>
  <si>
    <t>Antipin, A. G.;Dozorets, L. A.</t>
  </si>
  <si>
    <t>Antipin A.</t>
  </si>
  <si>
    <t>FIELD STATISTICS OF MULTISTAGE PHASED ANTENNA ARRAY.</t>
  </si>
  <si>
    <t>2-s2.0-0021156326</t>
  </si>
  <si>
    <t>U.S. Navy</t>
  </si>
  <si>
    <t>USN</t>
  </si>
  <si>
    <t>['uplink coverage', 'unified antenna', 'rights reserved', 'receiver structure', 'power impact', 'multiple areas', 'intermediate frequency', 'coverage provided', 'cost terminals', 'beam selection', 'beam antenna']</t>
  </si>
  <si>
    <t>Uplink coverage through high-gain directive beams is a key spacecraft technology for extremely highfrequency satellite communication systems which serve users employing small, low-cost terminals. Coverage of multiple areas on the Earth is provided through multiple uplink antenna beams. A unified antenna/receiver structure is described which provides flexible uplink coverage for these multiple areas through a single antenna aperture. In this approach, a multiple-beam antenna is used with beam selection and additional beam forming done at intermediate frequency. The coverage provided by this system, the reliability, and mass and power impact of the system are discussed. ¬© American Institute of Aeronautics and Astronautics, Inc., 1984, All rights reserved.</t>
  </si>
  <si>
    <t>108-112</t>
  </si>
  <si>
    <t>Journal of Spacecraft and Rockets</t>
  </si>
  <si>
    <t>100328195;60024592</t>
  </si>
  <si>
    <t>7004331324;6602723456</t>
  </si>
  <si>
    <t>Eaves, Reuben E.;Kolba, Dean P.</t>
  </si>
  <si>
    <t>Lexington;Washington</t>
  </si>
  <si>
    <t>Lincoln Laboratory;COMSAT</t>
  </si>
  <si>
    <t>60024592;100328195</t>
  </si>
  <si>
    <t>Eaves R.E.</t>
  </si>
  <si>
    <t>Unified multiple-beam uplink configuration for EHF satellite communications</t>
  </si>
  <si>
    <t>10.2514/3.8615</t>
  </si>
  <si>
    <t>2-s2.0-0021157049</t>
  </si>
  <si>
    <t>['¬© 1984', 'wide range', 'three controller', 'surface accuracy', 'structural uncertainties', 'stability margins', 'space utilization', 'rights reserved', 'results show', 'pointing errors', 'optimized based', 'model errors', 'large space', 'inc .,', 'important role', 'imperative measures', 'hardware configurations', 'flight experiments', 'enhancing performance', 'deployable antenna', 'comparative analysis', 'coming decades', 'american institute']</t>
  </si>
  <si>
    <t>Large space antennae will play an important role in space utilization in the coming decades. In this paper, a control design study of a large space-deployable antenna is presented. For comparative analysis, three controller-estimators were designed and optimized based on requirements of focused communications missions, disturbances, and hardware configurations. One of the major issues investigated is the effect of model error sensitivity. Stability margins, surface accuracy, and pointing errors have been obtained over a wide range of model parameter variations. The results show that structural uncertainties and model errors can cause serious control deterioration. Performance can be improved by strengthening certain structural elements. Flight experiments and in-flight system identification are imperative measures for reducing mission risk and enhancing performance. ¬© 1984, American Institute of Aeronautics and Astronautics, Inc., All rights reserved.</t>
  </si>
  <si>
    <t>69-76</t>
  </si>
  <si>
    <t>Journal of Guidance, Control, and Dynamics</t>
  </si>
  <si>
    <t>60009037;60009037</t>
  </si>
  <si>
    <t>7410350076;24579127700</t>
  </si>
  <si>
    <t>Wang, Shyh Jong;Cameront, Jonathan M.</t>
  </si>
  <si>
    <t>Pasadena</t>
  </si>
  <si>
    <t>Jet Propulsion Laboratory</t>
  </si>
  <si>
    <t>Wang S.J.</t>
  </si>
  <si>
    <t>Dynamics and control of a large space antenna</t>
  </si>
  <si>
    <t>10.2514/3.8547</t>
  </si>
  <si>
    <t>2-s2.0-0021158462</t>
  </si>
  <si>
    <t>['optical designs', 'monolithic arrays', 'millimetre wavelengths', 'lenses suitable']</t>
  </si>
  <si>
    <t>arrays | millimetre wave imaging | optical design</t>
  </si>
  <si>
    <t>The factors which influence the design of lenses suitable for imaging at millimetre wavelengths are discussed. Examples are given of optical designs for a military tracking application, firstly for use with an open ended waveguide array, and secondly for use with monolithic arrays, each covering a field of view of ¬±20¬∞. ¬© 1984 Plenum Publishing Corporation.</t>
  </si>
  <si>
    <t>91-101</t>
  </si>
  <si>
    <t>International Journal of Infrared and Millimeter Waves</t>
  </si>
  <si>
    <t>60016561;60016561</t>
  </si>
  <si>
    <t>22991927300;7006064605</t>
  </si>
  <si>
    <t>Clarke, J. A.;Dewey, R. J.</t>
  </si>
  <si>
    <t>Netherlands</t>
  </si>
  <si>
    <t>Eindhoven</t>
  </si>
  <si>
    <t>Philips Research</t>
  </si>
  <si>
    <t>Clarke J.</t>
  </si>
  <si>
    <t>Millimeter wave imaging lens antenna</t>
  </si>
  <si>
    <t>10.1007/BF01014036</t>
  </si>
  <si>
    <t>2-s2.0-0021158513</t>
  </si>
  <si>
    <t>['useful tool', 'uncorrelated errors', 'subarray œéc', 'radiation pattern', 'planar arrays', 'planar array', 'phased array', 'paper examines', 'engineer designing', 'element œéœº', 'correlated errors', 'correlated error', 'better tolerance', 'array antenna', 'amplitude errors', 'allowable phase']</t>
  </si>
  <si>
    <t>This paper examines the effect of errors on the peak sidelobe level of a phased array. The sidelobe level distribution of the radiation pattern for both linear and planar arrays is seen to be Rician. A set of constant probability curves is presented which relates the allowable phase and amplitude errors with the allowable sidelobe level deterioration. Examples are presented to demonstrate how these curves can be used to design a low sidelobe array with a better tolerance of error. These curves, or extensions of them, provide a useful tool for the engineer designing an array antenna. For a planar array with correlated errors the total variance œÉ is the root‚Äêsum‚Äêsquare of the error in each element œÉŒº (including both correlated and uncorrelated errors) and the contribution of correlated error in a subarray œÉc. Both œÉŒº and œÉc are functions of the errors and the illuminations, but œÉc is also a function of the pattern of the subarray in which the errors are correlated. This paper is not subject to U.S. copyright. Published in 1984 by the American Geophysical Union.</t>
  </si>
  <si>
    <t>292-302</t>
  </si>
  <si>
    <t>Hsiao, James K.</t>
  </si>
  <si>
    <t>Hsiao J.</t>
  </si>
  <si>
    <t>Normalized relationship among errors and sidelobe levels</t>
  </si>
  <si>
    <t>10.1029/RS019i001p00292</t>
  </si>
  <si>
    <t>2-s2.0-0021159066</t>
  </si>
  <si>
    <t>['unicellular algae', 'soluble elements', 'slime moulds', 'preparation disturbs', 'insect antennae', 'easy sectioning', 'chemical inertia', 'allows one']</t>
  </si>
  <si>
    <t>Bombyx mori | Chlorella fusca | Cryoembedding | cryofixation | cryoultramicrotomy | freeze dried cryosections | freezing damage | frozen hydrated cryosections | insect antennae | Physarum polycephalum | X‚Äêray microanalysis</t>
  </si>
  <si>
    <t>A technique is described which allows one to embed small frozen specimens for easy sectioning in a cryoultramicrotome. n‚ÄêHeptane is recommended as a cryoembedding medium due to its suitable melting point (182.4 K), high vapour pressure, chemical inertia, and good sectioning properties when solid. Freeze dried cryosections of cultured muscle cells, slime moulds, insect antennae and unicellular algae are presented as examples. There is no evidence that the preparation disturbs the distribution of soluble elements in the specimen, since X‚Äêray spectra of muscle cells exposed to heptane do not differ from those of samples not exposed. 1984 Blackwell Science Ltd</t>
  </si>
  <si>
    <t>69-75</t>
  </si>
  <si>
    <t>Journal of Microscopy</t>
  </si>
  <si>
    <t>60005460;60024654</t>
  </si>
  <si>
    <t>7003953871;56234014600</t>
  </si>
  <si>
    <t>Steinbrecht, R. A.;Zierold, K.</t>
  </si>
  <si>
    <t>Germany;Germany</t>
  </si>
  <si>
    <t>Dortmund;Pocking</t>
  </si>
  <si>
    <t>Max Planck Institute of Molecular Physiology;Max Planck Institute for Ornithology</t>
  </si>
  <si>
    <t>60024654;60005460</t>
  </si>
  <si>
    <t>Steinbrecht R.</t>
  </si>
  <si>
    <t>A cryoembedding method for cutting ultrathin cryosections from small frozen specimens</t>
  </si>
  <si>
    <t>10.1111/j.1365-2818.1984.tb02546.x</t>
  </si>
  <si>
    <t>2-s2.0-0021160771</t>
  </si>
  <si>
    <t>['radiation pattern', 'radiation characteristics', 'power gain', 'input impedance', 'francis group', 'bending angles', 'bending angle', 'asymmetric feeding', 'arm bend', 'antenna arm', '90 ¬∞', '120 ¬∞.']</t>
  </si>
  <si>
    <t>A one-wavelength bent dipole antenna with asymmetric feeding is analysed in order to show the effects of the arm bend. The radiation characteristics, including the input impedance, radiation pattern, and power gain, are presented as a function of the bending angle of the antenna arm. It is found both numerically and experimentally that a power gain close to 5¬∑0 dB is obtained over a range of the bending angles of 90¬∞ to 120¬∞. ¬© 1984 Taylor &amp; Francis Group, LLC.</t>
  </si>
  <si>
    <t>121-125</t>
  </si>
  <si>
    <t>International Journal of Electronics</t>
  </si>
  <si>
    <t>60030526;60030526;60030526</t>
  </si>
  <si>
    <t>55633340100;7403255155;56944753300</t>
  </si>
  <si>
    <t>Nakano, Hisamatsu;Hirose, Kazuhide;Junji, Yamauchi</t>
  </si>
  <si>
    <t>Japan</t>
  </si>
  <si>
    <t>Tokyo</t>
  </si>
  <si>
    <t>Hosei University</t>
  </si>
  <si>
    <t>Nakano H.</t>
  </si>
  <si>
    <t>A domain variational theory approach to the design of transmission line conductors of various cross section</t>
  </si>
  <si>
    <t>10.1080/00207218408938799</t>
  </si>
  <si>
    <t>2-s2.0-0021165344</t>
  </si>
  <si>
    <t>['spatial angle', 'small number', 'satisfactory communication', 'radio systems', 'path returns', 'path interference', 'near synchronous', 'must cope', 'mmse processing', 'main beams', 'intrinsic diversity', 'intersymbol interference', 'interfering skywaves', 'interference signals', 'interference arrives', 'information transfer', 'important applications', 'general formulation', 'equalization combines', 'electronics engineers', 'diversity channels', 'delay differences', 'critical approximation', 'also reduce', 'also addressed', 'additional implicit', 'adaptive equalization']</t>
  </si>
  <si>
    <t>Adaptive equalization is used in digital transmission systems with parallel fading channels. The equalization combines the diversity channels and reduces intersymbal interference due to multi-path returns. When interference is present and correlated from channel to channel, the equalizer can also reduce its effect on the quality of information transfer. Important applications for interference cancellation occur in diversity troposcatter systems in the presence of jamming, diversity high frequency (HF) systems which must cope with interfering skywaves, and space diversity Vme-of-sight (LOS) radio systems where adjacent channel interference is a problem. In this paper we develop the general formulation for minimum mean square error (MMSE) equalization of interference in digital transmission diversity systems. The problem formulation includes the use of available receiver decisions to assist in MMSE processing. The effects of intersymbol interference are included in the analysis through a critical approximation which assumes sufficient processor capability to reduce ISI effects to levels small enough for satisfactory communication. The analysis also develops the concept of additional implicit or intrinsic diversity which results from channel multipath dispersion. It shows how the MMSE processor sacrifices diversity to suppress interference even when the interference arrives in the main beams of the receiver antenna patterns. The condition of near synchronous same-path interference is also addressed. Because the spatial angle of arrival of the interference may result in delay differences between interference signals in different antenna channels, interference delay compensation may be required. We show that this effect is compensated for with a small number of appropriately spaced equalizer taps. Copyright ¬© 1984 by The Institute of Electrical and Electronics Engineers, Inc.</t>
  </si>
  <si>
    <t>IEEE Transactions on Communications</t>
  </si>
  <si>
    <t>Monsen, Peter</t>
  </si>
  <si>
    <t>Lexington</t>
  </si>
  <si>
    <t>Signatron Inc</t>
  </si>
  <si>
    <t>Monsen P.</t>
  </si>
  <si>
    <t>MMSE Equalization of Interference on Fading Diversity Channels</t>
  </si>
  <si>
    <t>10.1109/TCOM.1984.1095956</t>
  </si>
  <si>
    <t>2-s2.0-0021166481</t>
  </si>
  <si>
    <t>['receiver arrays', 'polar diagram', 'physically identical', 'pencil beam', 'ionospheric reflections', 'hf radar', 'copyright 1984', 'central one', 'bribie island', 'automatic system', 'array elements', '20 ¬∞', '10 elements']</t>
  </si>
  <si>
    <t>The HF radar on Bribie Island, Australia, uses crossed‚Äêfan beams produced by crossed linear transmitter and receiver arrays of 10 elements each to simulate a pencil beam. The beam points vertically when all the array elements are in phase, and is steerable by up to 20¬∞ off vertical at the central one of the three operating frequencies. Phase and gain changes within the transmitters and receivers are compensated for by an automatic system of adjustment. The 10 transmitting antennae are, as nearly as possible, physically identical as are the 10 receiving antennae. Antenna calibration using high flying aircraft or satellites is not possible. A method is described for using the ionospheric reflections to measure the polar diagram and also to correct for errors in the direction of pointing. Copyright 1984 by the American Geophysical Union.</t>
  </si>
  <si>
    <t>423-428</t>
  </si>
  <si>
    <t>6506721142;23058344800</t>
  </si>
  <si>
    <t>From, W. R.;Whitehead, J. D.</t>
  </si>
  <si>
    <t>From W.</t>
  </si>
  <si>
    <t>The calibration of an HF Radar used for ionospheric research</t>
  </si>
  <si>
    <t>10.1029/RS019i001p00423</t>
  </si>
  <si>
    <t>2-s2.0-0021170597</t>
  </si>
  <si>
    <t>['technique proposed', 'reflector antenna', 'radial distances', 'proposed technique', 'predicting accurately', 'polar angles', 'pencil beam', 'observation point', 'important applications', 'greater accuracy', 'fields radiated', 'far fields', 'calculated results', 'analytical technique', 'analysis proposed', 'also highlighted']</t>
  </si>
  <si>
    <t>An analytical technique for predicting accurately the near (electric and magnetic) fields as well as the far fields of a reflector antenna with a pencil beam is presented. The technique proposed involves the near-field geometrical theory of diffraction (GTD) analysis of reflector antennas developed earlier and spherical vector mode functions. The proposed technique does not place any restriction on the range of polar angles or radial distances of the observation point. It is demonstrated that the technique proposed can predict the fields radiated by the reflector with greater accuracy by comparing the calculated results with the available measured results. A few important applications of the analysis proposed are also highlighted. ¬© 1984 IEEE</t>
  </si>
  <si>
    <t>13-19</t>
  </si>
  <si>
    <t>60025757;60025757</t>
  </si>
  <si>
    <t>7006389495;57196879945</t>
  </si>
  <si>
    <t>Narasimhan, M. S.;Christopher, S.</t>
  </si>
  <si>
    <t>Chennai</t>
  </si>
  <si>
    <t>Indian Institute of Technology Madras</t>
  </si>
  <si>
    <t>Narasimhan M.</t>
  </si>
  <si>
    <t>A New Method of Analysis of the Near and Far Fields of Paraboloidal Reflectors</t>
  </si>
  <si>
    <t>10.1109/TAP.1984.1143192</t>
  </si>
  <si>
    <t>2-s2.0-0021172762</t>
  </si>
  <si>
    <t>['single input', 'independent outputs', 'channelized receivers']</t>
  </si>
  <si>
    <t>Channelized receivers provide a number of parallel, independent outputs from a single input and spread over a band of frequencies. The paper discusses advances in surface-acoustic-wave filters used in channelized receivers which can upgrade receiver performance.</t>
  </si>
  <si>
    <t>Microwaves and RF</t>
  </si>
  <si>
    <t>McCune, Earl</t>
  </si>
  <si>
    <t>McCune E.</t>
  </si>
  <si>
    <t>SAW FILTERS IMPROVE CHANNELIZED RECEIVERS.</t>
  </si>
  <si>
    <t>2-s2.0-0021174426</t>
  </si>
  <si>
    <t>['significant increases', 'significant cooling', 'shown experimentally', 'plug midplane', 'plug density', 'large charge', 'inefficient technique', 'given density', 'gas puffing', 'fuelling high', 'experimental enhancement', 'central cell', 'cell density', 'also considered']</t>
  </si>
  <si>
    <t>The possibility of fuelling pure RF-powered tandem mirror end plugs by gas puffing is considered. It is shown experimentally that gas puffing can lead to significant increases in plug density and that the details of the plug density buildup depended on the antenna locations relative to the central cell and the plug midplane. Large charge-exchange energy loss resulting from the puff gas makes it an inefficient technique for fuelling high-temperature end plugs. The possibility of employing gas puffing for building up high-density end plugs composed of relatively cold ions is also considered as a means of achieving electrostatic confinement for an ICRF-stabilized central cell. Experimental enhancement of the central-cell density, which shows no significant cooling of the central cell by the colder plug plasmas, is demonstrated. The RF power requirements for refuelling an ICRF-powered end plug to a given density and temperature are estimated. ¬© 1984 IOP Publishing Ltd.</t>
  </si>
  <si>
    <t>103-113</t>
  </si>
  <si>
    <t>Nuclear Fusion</t>
  </si>
  <si>
    <t>60032179;60032179;60032179;60032179;60032179;60032179;60032179;60032179;60032179;60032179</t>
  </si>
  <si>
    <t>7404813738;6603739347;35555062500;7005599085;6603994341;7005081677;7006072211;7402428186;22972707700;57204229141</t>
  </si>
  <si>
    <t>Chan, C.;Breun, R.;Brouchous, D.;Ferron, J.;Golovato, S.;Goulding, R.;Hershkowitz, N.;Nelson, B.;Pew, J.;Yujiri, L.</t>
  </si>
  <si>
    <t>Madison</t>
  </si>
  <si>
    <t>University of Wisconsin-Madison</t>
  </si>
  <si>
    <t>Chan C.</t>
  </si>
  <si>
    <t>Gas fuelling of Rf-sustained tandem mirror end plugs</t>
  </si>
  <si>
    <t>10.1088/0029-5515/24/1/010</t>
  </si>
  <si>
    <t>2-s2.0-0021177550</t>
  </si>
  <si>
    <t>['subcutaneous site', 'since lectin', 'similar levels', 'sialylated poly', 'sepharose column', 'process accompanied', 'premature truncation', 'oligosaccharide alterations', 'mutant cells', 'metastatic wga', 'major class', 'major asn', 'local growth', 'linked glycopeptides', 'lesion remains', 'labeled glycopeptides', 'glycopeptide structures', 'gel p', 'fusing spontaneously', 'four fractions', 'containing glycopeptide', 'chromosome segregation', 'cellulose column', 'cell lines', 'adding galactose', '4 columns']</t>
  </si>
  <si>
    <t>MDW40, a wheat germ agglutinin-resistant (WGA(r)) mutant of the highly metastatic tumor cell line called MDAY-D2, is restricted to local growth at the subcutaneous site of inoculation. The WGA(r) tumor cells acquire metastatic ability by fusing spontaneously with a normal host cell followed by chromosome segregation, a process accompanied by reversion of the WGA(r) phenotype (i.e., WGA(s)). Since lectin-resistant mutant cell lines often have oligosaccharide alterations that may affect membrane function and consequently metastatic capacity, we compared the major Asn-linked glycopeptides in WGA(r) and WGA(s) cell lines. [2-3H]mannose-labeled glycopeptides were separated into four fractions on a DEAE-cellulose column and then further fractionated on a concanavalin A-Sepharose column. Glycopeptide structures were determined by: (a) sequential exoglycosidase digestion followed by chromatography on lectin/agarose and Bio-Gel P-4 columns and (b) proton nuclear magnetic resonance analysis. The metastatic WGA(s) cells had a sialylated poly-N-acetyllactosamine-containing glycopeptide which was absent in the nonmetastatic mutant cell line. Unique to the mutant was a neutral triantennary class of glycopeptide lacking sialic acid and galactose; the WGA(r) lesion therefore appeared to be a premature truncation of the antennae of the poly-N-acetyllactosamine-containing glycopeptide found in the WGA(s) cells. High mannose glycopeptides containing five to nine mannose residues constituted a major class in both WGA(r) and WGA(s) cells. Lysates of both wild-type and mutant cells had similar levels of galactosyltransferase activity capable of adding galactose to the N-acetylglucosamine-terminated glycopeptide isolated from mutant cells; the basis of the WGA(r) lesion remains to be determined.</t>
  </si>
  <si>
    <t>1034-1044</t>
  </si>
  <si>
    <t>Journal of Cell Biology</t>
  </si>
  <si>
    <t>60016005;60016005;60016005</t>
  </si>
  <si>
    <t>7202979823;7102839514;7005997960</t>
  </si>
  <si>
    <t>Dennis, J. W.;Carver, J. P.;Schachter, H.</t>
  </si>
  <si>
    <t>Kingston</t>
  </si>
  <si>
    <t>Queen‚Äôs University</t>
  </si>
  <si>
    <t>Dennis J.</t>
  </si>
  <si>
    <t>Asparagine-linked oligosaccharides in murine tumor cells: Comparison of a WGA-resistant (WGA(r)) nonmetastatic mutant and a related WGA-sensitive (WGA(s)) metastatic line</t>
  </si>
  <si>
    <t>10.1083/jcb.99.3.1034</t>
  </si>
  <si>
    <t>2-s2.0-0021178688</t>
  </si>
  <si>
    <t>['subjects covered', 'significant increases', 'reflector antenna', 'paper include', 'operational frequencies', 'offset reflectors', 'measurement facilities', 'major improvements', 'feed systems', 'fabrication techniques', 'design techniques', 'design capability', 'beam contouring', 'antenna performance']</t>
  </si>
  <si>
    <t>The progress in performance of antenna systems within satellite communication systems over the past 20 years is discussed. The subjects covered in this paper include the following: operational frequencies and frequency re-use, reflector antenna, offset reflectors, primary-feed systems and beam contouring. It is noted that the major improvements in antenna performance which have been realized have been the result of significant increases in design capability - invariably making major use of computer-aided-design techniques - measurement facilities, and fabrication techniques, all of which have been combined to increase the efficiency with which a single satellite antenna can be used several fold.</t>
  </si>
  <si>
    <t>51-56</t>
  </si>
  <si>
    <t>IEE Review</t>
  </si>
  <si>
    <t>7003894881;7006888309</t>
  </si>
  <si>
    <t>Brain, D. J.;Rudge, A. W.</t>
  </si>
  <si>
    <t>Brain D.</t>
  </si>
  <si>
    <t>EFFICIENT SATELLITE ANTENNAS.</t>
  </si>
  <si>
    <t>10.1049/ep.1984.0009</t>
  </si>
  <si>
    <t>2-s2.0-0021183647</t>
  </si>
  <si>
    <t>['various outputs', 'thoracic ganglia', 'termination areas', 'several regions', 'sensory cell', 'present data', 'pedicellar segment', 'neural processes', 'motor projection', 'lcc processes', 'horseradish peroxidase', 'fly antenna', 'earlier findings', 'central projection']</t>
  </si>
  <si>
    <t>In the pedicellar segment of the fly antenna there is a large campaniform sensillum. The central projection of the sensory cell (LCC) of this large campaniform sensillum is described from labeling with horseradish peroxidase (HRP) and cobalt. The LCC projects bilaterally to several regions of the brain and subesophageal and thoracic ganglia. The LCC processes in these termination areas were analyzed in relation to other neural processes, including the remaining antennal sensory and motor projection. This analysis was aided by combining HRP labeling with Golgi silver impregnation. Based on earlier findings and the present data we suggest that the LCC, with its various outputs in, e.g., antennal and leg motor centers, serves as a multifunctional sensory path involved in control functions necessary in flight. Copyright ¬© 1984 Wiley‚ÄêLiss, Inc.</t>
  </si>
  <si>
    <t>159-169</t>
  </si>
  <si>
    <t>Journal of Morphology</t>
  </si>
  <si>
    <t>60029170;60029170;60029170</t>
  </si>
  <si>
    <t>7004648516;6508225618;7006062747</t>
  </si>
  <si>
    <t>N√§ssel, Dick R.;H√∂gmo, Olle;Hallberg, Eric</t>
  </si>
  <si>
    <t>Lund</t>
  </si>
  <si>
    <t>Lunds Universitet</t>
  </si>
  <si>
    <t>N√§ssel D.</t>
  </si>
  <si>
    <t>Antennal receptors in the blowfly Calliphora erythrocephala. I. The gigantic central projection of the pedicellar campaniform sensillum</t>
  </si>
  <si>
    <t>10.1002/jmor.1051800206</t>
  </si>
  <si>
    <t>2-s2.0-0021187538</t>
  </si>
  <si>
    <t>['widely used', 'wide range', 'wave ratio', 'trimming operations', 'transmitter measurements', 'specified standing', 'several kilowatts', 'lossy lines', 'lines consisting', 'lines composed', 'decade ).', 'antenna substitutes']</t>
  </si>
  <si>
    <t>Lossy lines are used for loading rhombic antennas, and as antenna substitutes in trimming operations and transmitter measurements. Depending on the application, they are designed to dissipate powers ranging from several kilowatts to several hundred kilowatts. Fairly good matching must be ensured over a wide range of wavelengths (up to a decade). Normally, the specified standing-wave ratio is not less than 0. 7 to 0. 9. Lines consisting of sections with different attenuation constants and lines composed of two parallel lines - shorted and open-circuited are the most widely used. A method of calculating the parameters of lossy lines is discussed.</t>
  </si>
  <si>
    <t>41-45</t>
  </si>
  <si>
    <t>6603296170;7003688249;7102231733</t>
  </si>
  <si>
    <t>Glazman, Ya S.;Gurevich, R. V.;Gurevich, Ye R.</t>
  </si>
  <si>
    <t>Glazman Y.</t>
  </si>
  <si>
    <t>DESIGN OF SHORT-WAVE LOSSY LINES.</t>
  </si>
  <si>
    <t>2-s2.0-0021190239</t>
  </si>
  <si>
    <t>['video recorders', 'video cameras', 'various forms', 'part 2', 'input sources', 'block diagram', 'atv license', 'amateur tv']</t>
  </si>
  <si>
    <t>The part 2 of a series on a amateur TV (ATV) presents a basic TV station illustrated by a block diagram. A discussion of each piece of transmission equipment follows. The requirements for an ATV license are spelled out. The input sources, especially the video cameras, and video recorders are examined. The examples of circuits to be used are shown. Antennas are introduced and various forms of transmission are described. The international ATV contest is mentioned.</t>
  </si>
  <si>
    <t>0141061X</t>
  </si>
  <si>
    <t>Electronic technology London</t>
  </si>
  <si>
    <t>Pressnell, R.</t>
  </si>
  <si>
    <t>Pressnell R.</t>
  </si>
  <si>
    <t>AMATEUR TELEVISION - 2. TRANSMITTING.</t>
  </si>
  <si>
    <t>2-s2.0-0021192508</t>
  </si>
  <si>
    <t>['wiley company', 'vertical element', 'simplified kernel', 'quarter wavelength', 'outer conductor', 'numerical analysis', 'monopole antenna', 'inc .,', 'ground wires', 'conducting plane', 'coaxial feeder', 'center conductor', 'becomes maximum', 'analytical results', '3 wavelength']</t>
  </si>
  <si>
    <t>A monopole antenna with ground wires excited at the terminal between the vertical and several ground wires is analyzed by varying the length of the vertical element, the lengths and numbers of ground wires and their angles of inclination. the characteristics of the structure are analyzed for an antenna with a quarter‚Äêwavelength monopole element on a perfectly conducting ground plane. In the numerical analysis the effect of the feeder is neglected and a Hallen‚Äêtype integral equation with a simplified kernel is used. In the experiment the center conductor of the coaxial feeder is connected to the monopole and the outer conductor is connected to the ground wires. the effect of a sperrtopf, which prevents leakage current from flowing on the outer conductor, is studied. From the analytical results it is found that the gain of the monopole antenna with ground wires does not exceed that of a half‚Äêwave dipole even if the length of the monopole is made about a quarter wavelength and the ground wires are directed 60¬∞ downward. When the antenna is on a perfect ground plane, the directivity strongly depends on the distance between the feed and the conducting plane and becomes maximum when the distance is about 0.3 wavelength. When the ground wires are 0.2 wavelength long and the angle of inclination is 300 the antenna is matched with a 50‚ÄêŒ© feed line and the gain becomes 4 dB. Copyright ¬© 1984 Wiley Periodicals, Inc., A Wiley Company</t>
  </si>
  <si>
    <t>47-55</t>
  </si>
  <si>
    <t>Electronics and Communications in Japan (Part I: Communications)</t>
  </si>
  <si>
    <t>60019983;60019983;60019983</t>
  </si>
  <si>
    <t>7202459692;35608208100;6701782044</t>
  </si>
  <si>
    <t>Taguchi, Mitsuo;Egashira, Shigeru;Egashira, Ryoichi</t>
  </si>
  <si>
    <t>Saga</t>
  </si>
  <si>
    <t>Saga University</t>
  </si>
  <si>
    <t>Taguchi M.</t>
  </si>
  <si>
    <t>Analysis of monopole antenna with ground wires</t>
  </si>
  <si>
    <t>10.1002/ecja.4400670107</t>
  </si>
  <si>
    <t>2-s2.0-0021195156</t>
  </si>
  <si>
    <t>['seven beams', 'require multi', 'reflector antennas', 'power amplifier', 'multiple feeds', 'multiple beams', 'may indeed', 'future systems', 'beams may', 'anticipated density', 'acceptable levels']</t>
  </si>
  <si>
    <t>Active antenna | Adaptative antenna | Antenna array | Mobile service radio communication | Multibeam antenna | Offset feed antenna | Power amplifier | Radio wave lens | Satellite telecommunication | Space antenna</t>
  </si>
  <si>
    <t>The anticipated density of satellite communications traffic with mobiles will require multi-beam earth coverage. Multiple beams can be generated from reflector antennas with multiple feeds or from a phased array aperture. The constraints on each system are discussed, and it is concluded that for more than about seven beams the best system involves a phased array antenna, particularly if reconfigurability of the beams may be required. Active phased arrays, with a power amplifier at each radiating element offer advantages in reliability and may indeed be the only way of handling the large total radiated power of future systems at acceptable levels of intermodulation. ¬© 1984 Springer-Verlag.</t>
  </si>
  <si>
    <t>60022148-60104081</t>
  </si>
  <si>
    <t>Forrest, John R.</t>
  </si>
  <si>
    <t>France;United Kingdom</t>
  </si>
  <si>
    <t>Issy-les-Moulineaux;London</t>
  </si>
  <si>
    <t>Orange Labs;University College London</t>
  </si>
  <si>
    <t>60104081;60022148</t>
  </si>
  <si>
    <t>Forrest J.R.</t>
  </si>
  <si>
    <t>Active phased arrays for multi-beam earth coverage</t>
  </si>
  <si>
    <t>10.1007/BF02998773</t>
  </si>
  <si>
    <t>2-s2.0-0021196601</t>
  </si>
  <si>
    <t>['state dual', 'reliable three', 'rain attenuation', 'provides accurate', 'par system', 'paper describes', 'operational availability', 'maximum range', 'full coverage', 'flight path', 'detection performance', 'detected separately', 'channel design', 'beam antenna', 'approach sector', 'angular resolution', 'accepted within']</t>
  </si>
  <si>
    <t>This paper describes the PAR-80 scanning pencil beam precision approach radar which provides accurate and reliable three-dimensional radar coverage of an airfield approach sector. PAR-80 has the largest aperture antenna of any PAR system. Mainly as a result of its exceptional scanning pencil-beam antenna, the system offers several significant advantages. Full coverage of the approach sector is provided by the raster scanned pencil beam, and the wide azimuth scan capability increases siting flexibility. Resolution and accuracy surpass ICAO requirements. Detection performance, enhanced by the 46 db antenna gain, ensures a good safety margin even for detecting small aircraft at maximum range. The high antenna resolution allows targets to be detected separately from clutter, thereby enabling clutter to be eliminated from the display without degrading radar coverage along the flight path. Angular resolution and circular polarization reduce the rain backscatter energy that is accepted within a radar target resolution cell, while the high antenna gain counteracts the effects of rain attenuation. Operational availability is enhanced by the solid-state dual-channel design.</t>
  </si>
  <si>
    <t>299-304</t>
  </si>
  <si>
    <t>Johnson, R. E.</t>
  </si>
  <si>
    <t>Johnson R.</t>
  </si>
  <si>
    <t>SCANNING PENCIL BEAM PRECISION APPROACH RADAR.</t>
  </si>
  <si>
    <t>2-s2.0-0021196961</t>
  </si>
  <si>
    <t>['space stations', 'similar systems', 'service platforms', 'require technologies', 'remote objects', 'related problems', 'processing facilities', 'planned systems', 'outer space', 'machine systems', 'intelligent machines', 'human operator', 'human factors', 'future missions', 'effective location', 'effective allocation', 'artifical intelligence']</t>
  </si>
  <si>
    <t>For future missions in space, engineers must find the most effective location of functions between humans and intelligent machines. Envisioned and planned systems for outer space will require large antennas, service platforms, space stations and manufacturing and processing facilities. Their construction, operation, and maintenance will require technologies not yet in use for similar systems on Earth. The effective allocation of functions between humans and machines in remote operations requires research and developments in artifical intelligence, robotics, tele-operation, man-machine systems, and related problems in human factors. The autonomous machine comprises all the elments of an 'artificial' system, which is located between the human operator and the remote objects and environment.</t>
  </si>
  <si>
    <t>40-45</t>
  </si>
  <si>
    <t>Computers in Mechanical Engineering</t>
  </si>
  <si>
    <t>Heer, Ewald</t>
  </si>
  <si>
    <t>Heer E.</t>
  </si>
  <si>
    <t>AUTOMATION IN OUTER SPACE: CREATING HIGH-LEVEL CONTROL STRATEGIES.</t>
  </si>
  <si>
    <t>2-s2.0-0021197268</t>
  </si>
  <si>
    <t>['typical antenna', 'subreflector diameter', 'physical optics', 'design curves', 'blockage efficiencies', '7 refs']</t>
  </si>
  <si>
    <t>The diffraction and blockage efficiencies of the conventional Cassegrain antenna are calculated by using the uniform geometrical theory of diffraction and physical optics. The various subefficiency terms corresponding to different diffraction fields are tabulated for a typical antenna and the results are discussed. Design curves that provide the aperture efficiency value as a function of main reflector diameter, subreflector diameter and the feed illumination taper are presented. 7 refs.</t>
  </si>
  <si>
    <t>Canadian electrical engineering journal</t>
  </si>
  <si>
    <t>6602458086;7101988263</t>
  </si>
  <si>
    <t>Sudhakar Rao, K.;Kildal, P. S.</t>
  </si>
  <si>
    <t>Sudhakar Rao K.</t>
  </si>
  <si>
    <t>STUDY OF THE DIFFRACTION AND BLOCKAGE EFFECTS ON THE EFFICIENCY OF THE CASSEGRAIN ANTENNA.</t>
  </si>
  <si>
    <t>10.1109/ceej.1984.6591356</t>
  </si>
  <si>
    <t>2-s2.0-0021197337</t>
  </si>
  <si>
    <t>['thin wires', 'structure illuminated', 'specifically applied', 'plane wave', 'periodic pattern', 'particular method', 'one dimension', 'meander line', 'iterative methods', 'initial solution', 'induced current', 'current distribution']</t>
  </si>
  <si>
    <t>The singular integral equation of the diffraction by thin metallic wires is used to determine the current distribution on an infinite periodic structure in one dimension. The periodic pattern can be constituted by thin wires, joined or not between the cells. This method is specifically applied to a meander line. The induced current-distribution on this structure illuminated by a plane wave of any incidence, polarized either vertically or horizontally, is obtained by means of a matrix inversion algorithm deduced from a particular method of moments. This method does not need an estimation of the initial solution as in the iterative methods and finds its application in the domain of middle frequency waves and especially in the low frequency range. ¬© 1984 IEEE</t>
  </si>
  <si>
    <t>93-95</t>
  </si>
  <si>
    <t>108255984;60019269</t>
  </si>
  <si>
    <t>6602727831;6507610072</t>
  </si>
  <si>
    <t>Poey, Pierre;Guigue, Pierre Luis</t>
  </si>
  <si>
    <t>Puteaux;Rennes</t>
  </si>
  <si>
    <t>Thales Group;University of Rennes</t>
  </si>
  <si>
    <t>60019269;108255984</t>
  </si>
  <si>
    <t>Poey P.</t>
  </si>
  <si>
    <t>Determination of the Current Distribution on an Infinite Periodic Structure of Thin-Metallic Wires</t>
  </si>
  <si>
    <t>10.1109/TAP.1984.1143187</t>
  </si>
  <si>
    <t>2-s2.0-0021197876</t>
  </si>
  <si>
    <t>['various uplink', 'uplink beams', 'tdma system', 'provide connections', 'maximum traffic', 'downlink beams', 'authors consider', 'also assumed']</t>
  </si>
  <si>
    <t>In a Satellite-Switched Time Division Multiple Access (SS/TDMA) system, the satellite has a number of spot beam antennas covering geographically distributed zones and a solid-state rf switch on board to provide connections between the various uplink and downlink beams. The authors consider a SS/TDMA system with M uplink beams and N downlink beams. The maximum traffic which can be handled by the satellite (in any given time slot) is assumed to be K. Multiplexing and demultiplexing are also assumed. An optimal time slot assignment algorithm to minimize the total transmission time for any given traffic demand matrix is proposed and analyzed.</t>
  </si>
  <si>
    <t>4344-4348</t>
  </si>
  <si>
    <t>IBM technical disclosure bulletin</t>
  </si>
  <si>
    <t>7005930698;7004053820;56296285500;7404953791;57196463990</t>
  </si>
  <si>
    <t>Bongiovanni, G.;Gopal, I. S.;Tang, D. T.;Wong, C. K.;Bonuccelli, M. A.</t>
  </si>
  <si>
    <t>Bongiovanni G.</t>
  </si>
  <si>
    <t>OPTIMAL SWITCHING ALGORITHM FOR MULTIBEAM SATELLITE SYSTEMS WITH VARIABLE BANDWIDTH BEAMS.</t>
  </si>
  <si>
    <t>2-s2.0-0021198192</t>
  </si>
  <si>
    <t>['turbulent air', 'statistical solution', 'resolution volumes', 'resolution volume', 'pulse width', 'paper extends', 'integral expression', 'fresnel scattering', 'fresnel reflection', 'fresnel length', 'far field', 'experimental evidence', 'existing formulations', 'echo power', 'correlation lengths', 'correlation length', 'contrary may', 'based upon']</t>
  </si>
  <si>
    <t>Existing formulations assume that the correlation lengths of refractive index irregularities, generated by turbulence, are small in comparison to the Fresnel length. However, there is experimental evidence that the contrary may be true. This paper extends the existing formulations for the case where the Fresnel zone radius is comparable to or smaller than the correlation length and develops a statistical solution that embraces several echoing mechanisms. Conditions are specified under which Fraunhofer and Fresnel reflection and scatter from turbulent air can be distinguished. An integral expression for echo power is developed which shows that echo intensity depends not only on a resolution volume weighting function, but also on a more important Fresnel term. The spectral sampling function demonstrates that for resolution volumes in the antenna's far field this function is independent of the location of the resolution volume. The conditions under which the echo power is proportional to the square of the pulse width are based upon the statistical approach herein adopted for Fresnel scattering. This paper not subject to U.S. copyright. Published in 1984 by the American Geophysical Union.</t>
  </si>
  <si>
    <t>325-336</t>
  </si>
  <si>
    <t>56914807700;6602431219</t>
  </si>
  <si>
    <t>Doviak, R. J.;Zrnic', D. S.</t>
  </si>
  <si>
    <t>Doviak R.</t>
  </si>
  <si>
    <t>Reflection and scatter formula for anisotropically turbulent air</t>
  </si>
  <si>
    <t>10.1029/RS019i001p00325</t>
  </si>
  <si>
    <t>2-s2.0-0021201770</t>
  </si>
  <si>
    <t>['superior economy', 'proven dme', 'payload penalties', 'paper describes', 'extensive use', '7 refs']</t>
  </si>
  <si>
    <t>This paper describes a DME-based positioning system (DPS) being developed for all-weather helicopter operations in oil-rig terminal areas. The system combines proven DME techniques with advanced angle determination based on array signal processing. DPS offers considerably improved performance for helicopter navigation without imposing new cost and payload penalties. Following an evolutionary approach based on the proven DME, DPS offers safety and superior economy, with reasonable development risks. Extensive use of modern computer technology, combined with latest antenna array signal processing techniques places DPS at the forefront of radio navigation systems design. 7 refs.</t>
  </si>
  <si>
    <t>319-325</t>
  </si>
  <si>
    <t>Boehm, M.</t>
  </si>
  <si>
    <t>Boehm M.</t>
  </si>
  <si>
    <t>OFF-SHORE HELICOPTER RADIO NAVIGATION USING DME-BASED POSITIONING SYSTEM.</t>
  </si>
  <si>
    <t>2-s2.0-0021205021</t>
  </si>
  <si>
    <t>['statistical nature', 'statistical averages', 'reflection co', 'radiating elements', 'easily applied', 'aperture type', 'aperture fields']</t>
  </si>
  <si>
    <t>Theory and analysis of random periodic arrays are presented in this paper. An expression for the complex power radiated by an element in an infinite planar array is derived in terms of the cross correlation functions of the element and aperture fields. The statistical averages of the element input admittance and the active transmission co-efficient or the reflection co-efficient are deduced for triangular and rectangular grid arrangements using open-ended rectangular waveguides as radiating elements. The flexibility of this formulation is that it can be very easily applied to even extreme cases such as a single radiating element or a completely-filled periodic array. The method is applicable to all arrays having aperture type of elements, particularly those with statistical nature.</t>
  </si>
  <si>
    <t>15-21</t>
  </si>
  <si>
    <t>IETE Journal of Research</t>
  </si>
  <si>
    <t>55465025200;6504121652</t>
  </si>
  <si>
    <t>Rao, P. V.D.S.;Utukuri, R. R.N.</t>
  </si>
  <si>
    <t>Rao P.</t>
  </si>
  <si>
    <t>CROSS-CORRELATION METHODS APPLIED TO RANDOM PERIODIC PHASED ARRAYS.</t>
  </si>
  <si>
    <t>10.1080/03772063.1984.11453220</t>
  </si>
  <si>
    <t>2-s2.0-0021206072</t>
  </si>
  <si>
    <t>['repeatable results', 'paper describes', 'measurement technique']</t>
  </si>
  <si>
    <t>Stripline-fed slot radiators can be characterized and designed with repeatable results by establishing the slot discontinuity plane and evaluating the complex slot impedance at this plane. The paper describes this measurement technique.</t>
  </si>
  <si>
    <t>57198201351;6504208218</t>
  </si>
  <si>
    <t>Pandey, K. N.;Mukhopadyay, B. K.</t>
  </si>
  <si>
    <t>Pandey K.</t>
  </si>
  <si>
    <t>USE DISCONTINUITY PLANE TO MEASURE STRIPLINE-FED SLOTS.</t>
  </si>
  <si>
    <t>2-s2.0-0021212510</t>
  </si>
  <si>
    <t>['stability analyzer', 'saw delay', 'receiver circuitry', 'measurement sequence', 'locked loop', 'harmonic mode', 'grade signal', 'general details', 'frequency drift', 'digital phase', 'also given', '15 hz']</t>
  </si>
  <si>
    <t>Voice-grade signal-noise-distortion (SINAD) tests have been made on a 422 MHz mobile radio receiver incorporating a SAW delay-line local oscillator controlled by a digital phase-locked loop. Details are given of in-channel tests showing required 12 dB SINAD performance with -109 dBm RF input into the antenna, as well as adjacent channel selectivity tests yielding required 70 dB SINAD selectivity at 25 kHz frequency spacing. General details of the receiver circuitry are also given, including the SAW local oscillator with stepped-finger delay line operating in the fifth-harmonic mode. Stability performance tests made with an automated frequency stability analyzer and Hadamard variance techniques, yielded a phase noise &lt;-115 dBc/ Hz at 10 kHz Fourier frequency offset, in accordance with expectations. Frequency drift in the IF stage of the stability analyzer was typically in the order of 0.15 Hz over the measurement sequence. ¬© 1984 IEEE</t>
  </si>
  <si>
    <t>IEEE Transactions on Sonics and Ultrasonics</t>
  </si>
  <si>
    <t>60031828;60031828;60229941</t>
  </si>
  <si>
    <t>7403367750;7004725337;6604071751</t>
  </si>
  <si>
    <t>Campbell, C. K.;Papa, Joseph J.Sferrazza;Edmonson, Peter J.</t>
  </si>
  <si>
    <t>Canada;Canada</t>
  </si>
  <si>
    <t>Hamilton;Hamilton</t>
  </si>
  <si>
    <t>Mohawk College;McMaster University</t>
  </si>
  <si>
    <t>60229941;60031828</t>
  </si>
  <si>
    <t>Campbell C.K.</t>
  </si>
  <si>
    <t>Study of a UHF Mobile Radio Receiver Using a Voltage-Controlled SAW Local Oscillator</t>
  </si>
  <si>
    <t>10.1109/T-SU.1984.31459</t>
  </si>
  <si>
    <t>2-s2.0-0021214572</t>
  </si>
  <si>
    <t>['transmitter harmonics', 'transmitted signal', 'spurious outputs', 'receiver intermodulation', 'receiver crossmodulation', 'opposite antenna', 'future ground', 'end overload', 'cross coupled', 'channel equipment', 'air traffic']</t>
  </si>
  <si>
    <t>This paper discusses intermodulation of two transmitters caused by the intensity of air traffic. When two transmitters radiate simultaneously using closely spaced antennas, some signal from each is cross coupled into the opposite antenna. The transmitted signal and the cross-coupled signal interact in the nonlinearities of the transmitter output stages and produce many spurious products. Discussed are: receiver desensitization caused by front-end overload or by transmitter wideband noise and receiver local oscillator noise, receiver crossmodulation, receiver intermodulation, transmitter harmonics and spurious outputs, receiver spurious responses. The paper also describes some current operational systems: transmitters, receivers and multi-channel equipment, and discusses the future ground-air communication requirements.</t>
  </si>
  <si>
    <t>263-269</t>
  </si>
  <si>
    <t>Walters, D. W.</t>
  </si>
  <si>
    <t>Walters D.</t>
  </si>
  <si>
    <t>GROUND-BASED AIR TRAFFIC CONTROL COMMUNICATION EQUIPMENT.</t>
  </si>
  <si>
    <t>2-s2.0-0021217146</t>
  </si>
  <si>
    <t>['tilt angle', 'right hand', 'reflected waves', 'receiving elements', 'polarization state', 'formulations introduced', 'energy spreading', 'direct rays', 'determine accurately', 'curved surface', 'also introduced', 'air communication']</t>
  </si>
  <si>
    <t>Formulations are presented to predict the pattern of interference (multipath) between direct rays and those reflected from the surface of the earth. These formulations can be used to assess the performance of ground-to-air, air-to-ground, ground-to-ground, and air-to-air communication and antenna measuring systems. Methods are also introduced to determine accurately the point of reflection and the path phase difference between the direct and reflected waves. Various divergence factors, used to account for energy spreading from a curved surface, are presented and compared. The formulations introduced can account for any polarization state (linear, circular, elliptical), sense of rotation (right hand, left hand), and tilt angle of the transmitting and receiving elements, and for polarization changes due to reflection. ¬© 1984 IEEE</t>
  </si>
  <si>
    <t>100-104</t>
  </si>
  <si>
    <t>60003892;106912004;106912004</t>
  </si>
  <si>
    <t>35583458100;7005812751;7004606702</t>
  </si>
  <si>
    <t>Balanis, Constantine A.;Hartenstein, Richard;Decarlo, Dennis</t>
  </si>
  <si>
    <t>Tempe;Patuxent River</t>
  </si>
  <si>
    <t>Arizona State University;Naval Air Test Center</t>
  </si>
  <si>
    <t>60003892;106912004</t>
  </si>
  <si>
    <t>Balanis C.</t>
  </si>
  <si>
    <t>Multipath Interference for In-Flight Antenna Measurements</t>
  </si>
  <si>
    <t>10.1109/TAP.1984.1143183</t>
  </si>
  <si>
    <t>2-s2.0-0021230573</t>
  </si>
  <si>
    <t>['wide range', 'wave field', 'wave equation', 'vacuum region', 'two mechanisms', 'tokamak plasma', 'species plasma', 'solved numerically', 'simple model', 'side excitations', 'shielded poloidal', 'power absorption', 'poloidal directions', 'plasma parameters', 'plasma losses', 'plasma approximation', 'minority hydrogen', 'majority deuterium', 'fluid approximation', 'finite extent', 'efficient coupling', 'dimensional structure', 'density profiles', 'current antenna', 'coupling efficiency', 'conducting wall', 'cavity resonance', 'also discussed', 'also calculated']</t>
  </si>
  <si>
    <t>The three-dimensional structure of ICRF (Ion Cyclotron Range of Frequency) waves in a tokamak plasma is investigated. In a two-ion-species plasma (majority deuterium and minority hydrogen) with radial density inhomogeneity, the wave equation is solved numerically by employing a cold-plasma approximation. The plasma is immersed in a toroidal magnetic field with a gradient and is surrounded by the vacuum region and the conducting wall. Waves are launched by a Faraday-shielded poloidal-current antenna of finite extent in toroidal and poloidal directions. The wave field and the energy deposition profile are obtained by introducing a simple model for the collision. The wave accessibility condition is examined for plasma parameters and density profiles. In a cold-fluid approximation, two mechanisms of power absorption, i.e. two-ion hybrid resonance and cavity resonance, are found, and the differences between them are studied. The antenna loading impedance is also calculated for each case. High-and low-field-side excitations are compared. Non-plasma losses at the wall are considered in obtaining the coupling efficiency. Good coupling conditions and desirable antenna designs are also discussed. It is found that efficient coupling is expected in a wide range of plasma parameters. ¬© 1984 IOP Publishing Ltd.</t>
  </si>
  <si>
    <t>13-31</t>
  </si>
  <si>
    <t>60015658;60030788;60023147</t>
  </si>
  <si>
    <t>13306390500;35352798500;7005509402</t>
  </si>
  <si>
    <t>Itoh, K.;Itoh, Sanae I.;Fukuyama, A.</t>
  </si>
  <si>
    <t>Japan;Japan;Japan</t>
  </si>
  <si>
    <t>Higashihiroshima;Okayama;Kashiwa</t>
  </si>
  <si>
    <t>Hiroshima University;Okayama University;Japan Atomic Energy Agency</t>
  </si>
  <si>
    <t>60030788;60023147;60015658</t>
  </si>
  <si>
    <t>Itoh K.</t>
  </si>
  <si>
    <t>Three-dimensional structures of ICRF waves in tokamak plasmas</t>
  </si>
  <si>
    <t>10.1088/0029-5515/24/1/002</t>
  </si>
  <si>
    <t>2-s2.0-0021230787</t>
  </si>
  <si>
    <t>['viscoelastic properties', 'tubular body', 'tubular bodies', 'tublar body', 'tapered hairs', 'tapered hair', 'tactile function', 'small variations', 'seven trichobothrium', 'serrated distally', 'relative positions', 'projects laterally', 'projecting laterally', 'probably functions', 'presumably innervated', 'parallel arrangement', 'outer segment', 'numerous type', 'microtubules associated', 'located distally', 'highly convoluted', 'flagellar segment', 'external grooves', 'extends inwardly', 'distally contains', 'distal margin', 'dendritic sheath', 'cuticular tube', 'cuticular mechanosensilla', 'curved toward', 'campaniform sensillum', 'campaniform sensilla', 'bristles occur', 'bristle sensilla', 'antennal shaft', 'antennal segments', 'air currents', '452 occur']</t>
  </si>
  <si>
    <t>Each antenna of both sexes of adult Rhodnius prolixus has approximately 570 mechanosensitive neurons that innervate five morphologic types of cuticular mechanosensilla: campaniform sensilla, tapered hairs, trichobothria, and type I and type II bristle sensilla. Each campaniform sensillum and tapered hair is presumably innervated by one mechanosensitive bipolar neuron and probably functions in proprioception. The campaniform sensilla being located at the base of the scape could monitor the position of the antenna. Tapered hairs are found at the distal margin of flagellar segment I and projecting laterally from the bases of the pedicel and scape. They probably provide information about the relative positions of the antennal segments. Seven trichobothrium are located on the pedicel and three on flagellar segment I. Each trichobothrium has a long filamentous hair inserted into the base of a socket that extends inwardly as a cuticular tube and is innervated by one bipolar neuron with a tublar body, a parallel arrangement of microtubules associated with electron‚Äêdense material. The trichobothria may respond to small variations in air currents. Type I bristles occur at the base of the antenna and are the most numerous type of mechanosensillum; an average of 452 occur on each antenna of females and 440 on males. The bristle is curved toward the antennal shaft and is serrated distally. Type II bristles are located distally and are the second most numerous type of mechanosensillum; an average of 88 were counted on each antenna of females and 94 on males. The type II bristle is straight with small, longitudinal, external grooves and projects laterally from the antennal shaft. Each type I and II bristle sensillum is innervated by a bipolar neuron whose dendrite is divided into an inner and outer segment. The outer segment is encased by a dendritic sheath which may be highly convoluted and distally contains a tubular body. Two sheath cells are associated with each sensillum. Both types of bristle sensilla have a tactile function. The tubular bodies of both types of bristle sensilla have a complex structure indicating that they are very sensitive. Variations in the amount and arrangement of the electron‚Äêdense material at the tip of the tubular bodies may reflect differences in viscoelastic properties that underlie functional characteristics. Copyright ¬© 1984 Wiley‚ÄêLiss, Inc.</t>
  </si>
  <si>
    <t>19-28</t>
  </si>
  <si>
    <t>60016849;60016849</t>
  </si>
  <si>
    <t>7004055931;24497665200</t>
  </si>
  <si>
    <t>McIver, Susan;Siemicki, Roman</t>
  </si>
  <si>
    <t>Toronto</t>
  </si>
  <si>
    <t>University of Toronto</t>
  </si>
  <si>
    <t>McIver S.</t>
  </si>
  <si>
    <t>Fine structure of antennal mechanosensilla of adult Rhodnius prolixus st√•l (Hemiptera: Reduviidae)</t>
  </si>
  <si>
    <t>10.1002/jmor.1051800104</t>
  </si>
  <si>
    <t>2-s2.0-0021268227</t>
  </si>
  <si>
    <t>['theoretical predictions', 'power beamwidth', 'planes ranging', 'measured patterns', 'human tissues', 'high attenuation', 'focusing characteristics', 'focal point', 'feed network', 'deionized water', 'close agreement', 'approximately 1', '4 cm', '3 cm', '2450 mhz', '2 cm']</t>
  </si>
  <si>
    <t>The design and analysis of a focused linear array at 2450 MHz for microwave hyperthermia research is described. The array, which was submerged in deionized water to reduce its size and to provide a better impedance match to a high dielectric medium representative of human tissues, consisted of four titanium dioxide loaded horn antennas with apertures of 2.0 √ó 1.4 cm and a feed network with weighted phase shifts. Power radiation pattern measurements were made in planes ranging from 7.6 to 10.2 cm from the array to determine the focusing characteristics and beam spot size. Due to high attenuation in the medium, planes beyond 10.2 cm were not considered. The half-power beamwidth (HPBW) measured at the focal point was approximately 1.3 cm. The measured patterns were found to be in close agreement with theoretical predictions. ¬© 1984 IEEE</t>
  </si>
  <si>
    <t>38-46</t>
  </si>
  <si>
    <t>BME-31</t>
  </si>
  <si>
    <t>IEEE Transactions on Biomedical Engineering</t>
  </si>
  <si>
    <t>60000745-60022774;60000745;60000745;60000745;60000745;60000745</t>
  </si>
  <si>
    <t>7005079510;7601396617;6508172563;7103033158;55197051100;7005342618</t>
  </si>
  <si>
    <t>Gee, Walter;Lee, Shung Wu;Bong, Nelson K.;Cain, Charles A.;Mittra, Raj;Magin, Richard L.</t>
  </si>
  <si>
    <t>Boulevard;Urbana</t>
  </si>
  <si>
    <t>Lockheed Martin Space Systems Company;University of Illinois Urbana-Champaign</t>
  </si>
  <si>
    <t>60022774;60000745</t>
  </si>
  <si>
    <t>Gee W.</t>
  </si>
  <si>
    <t>Focused Array Hyperthermia Applicator: Theory and Experiment</t>
  </si>
  <si>
    <t>10.1109/TBME.1984.325368</t>
  </si>
  <si>
    <t>2-s2.0-0021285968</t>
  </si>
  <si>
    <t>National Cancer Institute</t>
  </si>
  <si>
    <t>R01CA023594</t>
  </si>
  <si>
    <t>NCI</t>
  </si>
  <si>
    <t>['white matter', 'temperatures greater', 'power levels', 'normal adult', 'myelin tracts', 'maximum diameter', 'heating greater', 'edema formation', 'cortical neurons', 'acute experiments', '3 cm']</t>
  </si>
  <si>
    <t>An interstitial microwave antenna array hyperthermia (IMAAH) system was evaluated in a series of acute experiments for its ability to generate localized hyperthermic fields in the normal adult and developing dog brain. Using a single microwave antenna, the maximum diameter of heating greater than or equal to 42¬∞C was 1.3 cm. Using four microwave antennas, temperatures greater than or equal to 42¬∞C were obtained over a 2.5 cm cross‚Äìsectional diameter. Normal gray matter cannot be heated above 42.2¬∞C for 60 min without causing acute damage to cortical neurons. Edema formation can occur at temperatures as low as 42¬∞C in both gray and white matter. Disruption of myelin tracts in white matter is apparent at temperatures of 43.0‚Äì43.5¬∞C. The IMAAH system generates significantly higher and more variable temperature distributions in virally induced experimental brain tumors than in the developing dog brain at the same power levels. ¬© 1984 IEEE</t>
  </si>
  <si>
    <t>53-62</t>
  </si>
  <si>
    <t>60032838;60032838;60030443</t>
  </si>
  <si>
    <t>7102777830;7005622646;7005534211</t>
  </si>
  <si>
    <t>Lyons, Bernard E.;Britt, Richard H.;Strohbehn, John W.</t>
  </si>
  <si>
    <t>Stanford;Hanover</t>
  </si>
  <si>
    <t>Stanford University School of Medicine;Thayer School of Engineering at Dartmouth</t>
  </si>
  <si>
    <t>60032838;60030443</t>
  </si>
  <si>
    <t>Lyons B.</t>
  </si>
  <si>
    <t>Localized Hyperthermia in the Treatment of Malignant Brain Tumors Using an Interstitial Microwave Antenna Array</t>
  </si>
  <si>
    <t>10.1109/TBME.1984.325370</t>
  </si>
  <si>
    <t>2-s2.0-0021285974</t>
  </si>
  <si>
    <t>P01CA029578</t>
  </si>
  <si>
    <t>['treatment results', 'significant problem', 'significant complications', 'prototype instrument', 'present configuration', 'power distributions', 'pelvic cancer', 'normal tissues', 'may need', 'future studies', 'feasibility study', 'delivering power', 'december 1982', 'data pertaining', 'considered encouraging', 'april 1982', 'advanced abdominal', '46 patients']</t>
  </si>
  <si>
    <t>The annular phased aray (APA)1 has been under study at the University of Utah since late 1980. The prototype instrument was upgraded to its present configuration by April 1982. Its clinical engineering features and application are described. As of December 1982, 46 patients have been treated in a feasibility study to evaluate the use of the APA in inducing experimental regional hyperthermia for the treatment of advanced abdominal and pelvic cancer. Extensive temperature measurements from tumors and normal tissues were performed. With a few exceptions, the APA appeared capable of delivering power to deep-seated tumor volumes, but data pertaining to power distributions were scanty. Adjustment of the patient position within the aperture to achieve uniform heating is a significant problem. Treatment results are considered encouraging and there were no significant complications, but firm conclusions regarding tumor responses cannot be drawn from a study of this kind. Further studies of methods to predict power deposition patterns are needed if complications are to continue to be avoided in the more aggressive potentially curative treatments that may need to be employed in future studies. ¬© 1984 IEEE</t>
  </si>
  <si>
    <t>115-119</t>
  </si>
  <si>
    <t>60019012-60016827;60019012-60016827;60019012-60016827;60019012-60016827</t>
  </si>
  <si>
    <t>57220382046;7003599942;7004957188;55469816000</t>
  </si>
  <si>
    <t>Gibbs, Frederic A.;Sapozink, Michael D.;Gates, Kathy S.;Stewart, J. Robert</t>
  </si>
  <si>
    <t>Salt Lake City;Salt Lake City</t>
  </si>
  <si>
    <t>University of Utah Health Sciences;BSD Medical Corporation</t>
  </si>
  <si>
    <t>60019012;60016827</t>
  </si>
  <si>
    <t>Gibbs F.A.</t>
  </si>
  <si>
    <t>Regional Hyperthermia with an Annular Phased Array in the Experimental Treatment of Cancer: Report of Work in Progress with a Technical Emphasis</t>
  </si>
  <si>
    <t>10.1109/TBME.1984.325377</t>
  </si>
  <si>
    <t>2-s2.0-0021285975</t>
  </si>
  <si>
    <t>['subvolumes outside', 'selected region', 'properly exciting', 'power level', 'ohmic power', 'moment method', 'height equivalent', 'given threshold', 'focal region', 'field penetration', 'chest section', 'caudal axis', 'calculated using', '235 subvolumes']</t>
  </si>
  <si>
    <t>The distribution of ohmic power in a CAT scan section of a human chest irradiated with 915 MHz peripheral sources is calculated using the moment method. In the simulation, the chest section (assumed to be uniformally developed along the cranio-caudal axis for a height equivalent to the field penetration) is subdivided in 235 subvolumes of known electric constants. The focusing of power on a selected region of the chest is obtained by properly exciting the sources. An optimization method allows selecting the amplitudes and phases in such a way that the power level in all subvolumes outside the focal region is kept below a given threshold. ¬© 1984 IEEE</t>
  </si>
  <si>
    <t>47-52</t>
  </si>
  <si>
    <t>105884371;60021199;105884371-60019637;115882626;115882626</t>
  </si>
  <si>
    <t>26425419900;6603453908;6604049162;6508088905;7007010864</t>
  </si>
  <si>
    <t>Arcangeli, Giorgio;Lombardini, Pietro P.;Lovisolo, Giorgio A.;Marsiglia, Guglielmo;Piattelli, Maurizio</t>
  </si>
  <si>
    <t>Italy;Italy;Italy;Italy</t>
  </si>
  <si>
    <t>Rome;Rome;Florence;Rome</t>
  </si>
  <si>
    <t>Consiglio Nazionale delle Ricerche;Ente Per Le Nuove Tecnologie, l'Energia e l'Ambiente;S.M.A., S.P.A.;Istituto Medico e di Ricerca Scientifica</t>
  </si>
  <si>
    <t>60021199;60019637;115882626;105884371</t>
  </si>
  <si>
    <t>Arcangeli G.</t>
  </si>
  <si>
    <t>Focusing of 915 MHz Electromagnetic Power on Deep Human Tissues: A Mathematical Model Study</t>
  </si>
  <si>
    <t>10.1109/TBME.1984.325369</t>
  </si>
  <si>
    <t>2-s2.0-0021285976</t>
  </si>
  <si>
    <t>['wide range', 'well matched', 'water bolus', 'suitable choice', 'specific sites', 'similar material', 'relative permeability', 'profile concept', 'profile applicator', 'penetration depths', 'operating frequencies', 'new type', 'maximum dimensions', 'low leakage', 'loss material', 'ground plane', 'frequency type', 'electrical characteristics', 'direct contact', 'compact low', 'clinical assessment', 'anesthetised pigs']</t>
  </si>
  <si>
    <t>A new type of low-profile applicator is described giving efficient power transfer to tissue with low leakage. It consists of a resonant element spaced from a ground plane by low-loss material having high relative permittivity and some relative permeability. This combination is covered by similar material which can be placed in direct contact with the tissue to be heated, or separated from it by a water bolus as required. Laboratory measurements using phantom materials show that these applicators are well matched and produce well defined and relatively uniform heating profiles. Applicators having maximum dimensions of 3‚Äì15 cm covering the frequency range 1000‚Äì100 MHz, respectively, are described. Penetration depths of at least 4 cm at 100‚Äì200 MHz are achieved. Tests on anesthetised pigs and some clinical assessment have confirmed the usefulness of this compact low-frequency type of applicator and have shown that performance compares favorably with that of other recently reported types. The design can be optimized for treatment of specific sites, and suitable choice of dimensions and electrical characteristics of the layer material allow the low-profile concept to be extended over a wide range of operating frequencies. ¬© 1984 IEEE</t>
  </si>
  <si>
    <t>28-37</t>
  </si>
  <si>
    <t>60009658;60009658;60020416;60021328;60020416;60020416</t>
  </si>
  <si>
    <t>55718412600;7403018268;7102820326;7102615087;7005406525;7202155358</t>
  </si>
  <si>
    <t>Johnson, Reg H.;James, J. R.;Hand, J. W.;Hopewell, J. W.;Dunlop, Peter R.C.;Dickinson, Robert J.</t>
  </si>
  <si>
    <t>United Kingdom;United Kingdom;United Kingdom</t>
  </si>
  <si>
    <t>Oxford;London;Swindon</t>
  </si>
  <si>
    <t>Churchill Hospital;Hammersmith Hospital;Defence College of Management and Technology</t>
  </si>
  <si>
    <t>60021328;60020416;60009658</t>
  </si>
  <si>
    <t>Johnson R.H.</t>
  </si>
  <si>
    <t>New Low-Profile Applicators for Local Heating of Tissues</t>
  </si>
  <si>
    <t>10.1109/TBME.1984.325367</t>
  </si>
  <si>
    <t>2-s2.0-0021285977</t>
  </si>
  <si>
    <t>['temperature measurements', 'temperature gradients', 'system includes', 'penetration depth', 'new type', 'muscle tissue', 'like distribution']</t>
  </si>
  <si>
    <t>A hyperthermia system working at frequencies around 150 MHz is described. It is useful for a penetration depth of 3‚Äì4 cm in tumor and muscle tissue. The system includes a new type of inductive applicator giving a beam-like distribution in the tissue, a controllable surface cooling system, and multipoint temperature measurements. A phase I clinical study shows the efficacy of the system, but also the importance of temperature measurements at many points since, in general, the temperature gradients are large. ¬© 1984 IEEE</t>
  </si>
  <si>
    <t>21-27</t>
  </si>
  <si>
    <t>60022134;60022134;60022134;60022134;60022134;60023882</t>
  </si>
  <si>
    <t>7403571081;6603547101;7801499822;6508288426;6603045998;57205482189</t>
  </si>
  <si>
    <t>Andersen, J. Bach;Baun, Aage;Harmark, Kristian;Heinzl, Leif;Raskmark, Povl;Overgaard, Jens</t>
  </si>
  <si>
    <t>Denmark;Denmark</t>
  </si>
  <si>
    <t>Aarhus;Aalborg</t>
  </si>
  <si>
    <t>Aarhus Universitetshospital;Aalborg University</t>
  </si>
  <si>
    <t>60023882;60022134</t>
  </si>
  <si>
    <t>Andersen J.B.</t>
  </si>
  <si>
    <t>A Hyperthermia System Using a New Type of Inductive Applicator</t>
  </si>
  <si>
    <t>10.1109/TBME.1984.325366</t>
  </si>
  <si>
    <t>2-s2.0-0021285980</t>
  </si>
  <si>
    <t>['treatment region', 'temperature distribution', 'surround regions', 'radiating device', 'monitoring devices', 'invasive temperature', 'high power', 'focus energy', 'established prior', 'body placed']</t>
  </si>
  <si>
    <t>An annular phased array electromagnetic (EM) radiating device has been developed to surround regions of the body with penetrating EM fields. This instrument uses synchronous fields to focus energy at the center of a body placed in the aperture. Methods for steering the deep heating patterns have also been demonstrated and evaluated, as well as a minimally perturbing electric field (E-field) sensor to monitor the strength of the EM fields outside the body. Good correlation exists between the internal EM fields and those external to the body, suggesting that the deep heating field patterns can be estimated from the external field distribution, even at sub-hyperthermia power levels; thus, the desired heating pattern can be established prior to the time of significant temperature rise in tissue. This information also enhances interpretation of data from invasive temperature-monitoring devices. As temperatures reach clinical hyperthermia levels at high power, previously made adjustments in the heat pattern would improve the temperature distribution in the treatment region. ¬© 1984 IEEE</t>
  </si>
  <si>
    <t>106-114</t>
  </si>
  <si>
    <t>Turner, Paul F.</t>
  </si>
  <si>
    <t>Salt Lake City</t>
  </si>
  <si>
    <t>BSD Medical Corporation</t>
  </si>
  <si>
    <t>Turner P.F.</t>
  </si>
  <si>
    <t>Regional Hyperthermia with an Annular Phased Array</t>
  </si>
  <si>
    <t>10.1109/TBME.1984.325376</t>
  </si>
  <si>
    <t>2-s2.0-0021285981</t>
  </si>
  <si>
    <t>['scanning array', 'phase synthesis', 'given direction', 'form nulls', 'deep dips', 'concomitant nulling', 'beam pattern']</t>
  </si>
  <si>
    <t>We discuss three ways to form nulls (deep dips) in the beam pattern of an equally spaced linear array. The first two approaches give the fastest computer run time. The third can be applied in phase or amplitude-phase synthesis of a scanning array with concomitant nulling in a given direction. ¬© 1984 Plenum Publishing Corporation.</t>
  </si>
  <si>
    <t>73-78</t>
  </si>
  <si>
    <t>Radiophysics and Quantum Electronics</t>
  </si>
  <si>
    <t>60021331;60021331;60021331</t>
  </si>
  <si>
    <t>6507415394;7006076645;55973232200</t>
  </si>
  <si>
    <t>Vasil'kiv, Ya V.;Koval'chuk, A. M.;Savenko, P. A.</t>
  </si>
  <si>
    <t>Russian Federation</t>
  </si>
  <si>
    <t>Moscow</t>
  </si>
  <si>
    <t>Russian Academy of Sciences</t>
  </si>
  <si>
    <t>Vasil'kiv Y.</t>
  </si>
  <si>
    <t>Synthesis of nulls in the beam pattern of a linear array</t>
  </si>
  <si>
    <t>10.1007/BF02120947</t>
  </si>
  <si>
    <t>2-s2.0-0021292036</t>
  </si>
  <si>
    <t>['system factors', 'discussion attempts', 'authors review', 'antenna performance', 'affordable solutions', '45 ghz']</t>
  </si>
  <si>
    <t>The authors review the system factors of antenna performance and discuss some of the more pertinent tradeoffs leading to affordable solutions. The discussion attempts to distinguish between mobile and fixed platform applications, and concludes with a mobile antenna example at 20/45 GHz which has been designed, built, and tested.</t>
  </si>
  <si>
    <t>109-113</t>
  </si>
  <si>
    <t>Microwave journal</t>
  </si>
  <si>
    <t>56261668100;7101673533</t>
  </si>
  <si>
    <t>Varley, R. F.;Conn, J. K.</t>
  </si>
  <si>
    <t>Varley R.</t>
  </si>
  <si>
    <t>EHF SATCOM TERMINAL ANTENNAS: PART I.</t>
  </si>
  <si>
    <t>2-s2.0-0021293414</t>
  </si>
  <si>
    <t>70-74</t>
  </si>
  <si>
    <t>Frontiers of radiation therapy and oncology</t>
  </si>
  <si>
    <t>7005534211;7003894176;7007000893</t>
  </si>
  <si>
    <t>Strohbehn, J. W.;Douple, E. B.;Coughlin, C. T.</t>
  </si>
  <si>
    <t>Strohbehn J.</t>
  </si>
  <si>
    <t>Interstitial microwave antenna array systems for hyperthermia.</t>
  </si>
  <si>
    <t>2-s2.0-0021301424</t>
  </si>
  <si>
    <t>['us industry', 'selected high', 'risk technology', 'new thrust', 'government agencies', 'development forms']</t>
  </si>
  <si>
    <t>The NASA Communications Program was restructured in 1979 to concentrate on development of selected high-risk technology. More recently the program has been broadened to focus on advanced communications satellite technology R&amp;D which encompasses future communications system applications required by NASA, other government agencies and US industry. The multibeam communications technology currently under development forms the foundation for this new thrust; its progress and status are described in this paper.</t>
  </si>
  <si>
    <t>6508072035;6701848556</t>
  </si>
  <si>
    <t>Santarpia, Dominick;Bagwell, James</t>
  </si>
  <si>
    <t>Santarpia D.</t>
  </si>
  <si>
    <t>NASA's MULTIBEAM COMMUNICATIONS TECHNOLOGY PROGRAM.</t>
  </si>
  <si>
    <t>2-s2.0-0021302045</t>
  </si>
  <si>
    <t>['radiation wavelength', 'longitudinal antennas', 'longitudinal antenna', 'fraunhofer zone', 'far fields']</t>
  </si>
  <si>
    <t>The structure of the near and far fields of longitudinal antennas is analyzed. It is shown that the Fraunhofer zone of a longitudinal antenna is at a distance of two-three antenna lengths and is independent of the radiation wavelength.</t>
  </si>
  <si>
    <t>29-33</t>
  </si>
  <si>
    <t>Radio Engineering and Electronic Physics (English translation of Radiotekhnika i Elektronika)</t>
  </si>
  <si>
    <t>6603710799;57197652022;57198186279;7003276916</t>
  </si>
  <si>
    <t>Kinber, B. E.;Baranova, N. B.;Romanova, V. I.;Stroganov, V. N.</t>
  </si>
  <si>
    <t>Kinber B.</t>
  </si>
  <si>
    <t>NEAR FIELD OF LONGITUDINAL ANTENNAS.</t>
  </si>
  <si>
    <t>2-s2.0-0021305105</t>
  </si>
  <si>
    <t>['waveguide structures', 'vector potentials', 'various problems', 'tracking calculations', 'solenoid design', 'possible homogeneous', 'nonlinear magnetostatics', 'mode investigations', 'magnetic field', 'magnet design', 'instability studies', 'inhomogeneous problems', 'hertz potentials', 'frequency domains', 'force computations', 'enables treatment', 'discretization ansatz', 'artificial functions', 'antenna problems', 'accelerating rf']</t>
  </si>
  <si>
    <t>A discretization ansatz for Maxwell's equations is described that enables treatment of all possible homogeneous and inhomogeneous problems from nonlinear magnetostatics and electrostatics to time-dependent field problems that include charges moving freely at any speed. The same method can be used for magnet design, for cavity-mode investigations and wake-force computations in time and frequency domains, antenna problems, and waveguide structures. The method makes direct use of the electric and magnetic field as unknowns, thus yielding uniquely defined vectors in combination with a suitable grid definition. This 'natural' ansatz avoids problems arising from the use of artificial functions such as vector potentials or Hertz potentials. Using this ansatz, many computer codes have been developed and applied to various problems. Applications in the field of accelerator physics include magnet and solenoid design; design of accelerating rf-cavities and beam-tracking calculations for instability studies.</t>
  </si>
  <si>
    <t>245-292</t>
  </si>
  <si>
    <t>Particle accelerators Print</t>
  </si>
  <si>
    <t>Weiland, Thomas</t>
  </si>
  <si>
    <t>Weiland T.</t>
  </si>
  <si>
    <t>ON THE NUMERICAL SOLUTION OF MAXWELL'S EQUATIONS AND APPLICATIONS IN THE FIELD OF ACCELERATOR PHYSICS.</t>
  </si>
  <si>
    <t>2-s2.0-0021310564</t>
  </si>
  <si>
    <t>['useful signal', 'results obtained', 'resulting signal', 'reduction factor', 'receiving system', 'optimal detection', 'noise ratio', 'noise background']</t>
  </si>
  <si>
    <t>The efficiency of optimal detection of the useful signal against a noise background in a multichannel receiving system is estimated. An expression is obtained for the reduction factor of the resulting signal-to-noise ratio in the receiving system with an antenna array due to the presence of intense Gaussian noise, having a regular spatial distribution. The results obtained are analyzed.</t>
  </si>
  <si>
    <t>70-77</t>
  </si>
  <si>
    <t>Cheremisin, O. P.</t>
  </si>
  <si>
    <t>Cheremisin O.</t>
  </si>
  <si>
    <t>EFFICIENCY OF OPTIMUM DETECTION OF A SIGNAL AGAINST A NOISE BACKGROUND IN A RECEIVING SYSTEM WITH AN ANTENNA ARRAY.</t>
  </si>
  <si>
    <t>2-s2.0-0021312092</t>
  </si>
  <si>
    <t>['submicron single', 'satellite broadcasts', 'noise figures', 'matching circuitry', 'lumped elements', 'home reception', 'halfmicron mesfet', 'gate mesfets', 'converter module', 'chip measurements', 'airbridge crossovers', '7 db', '5 ghz', '5 db', '2 db', '12 ghz']</t>
  </si>
  <si>
    <t>GaAs microwave devices for receiver front ends, especially for the home reception of satellite broadcasts in the region of 12 GHz, are reported. The basic devices used are micron and submicron single- and dual-gate MESFETs as amplifiers, oscillators, mixers and lumped elements for impedance-matching circuitry and filters. The results of chip measurements and modeling are reported. In particular, noise figures below 2 db have been realized for the halfmicron MESFET at 12 GHz, below 2. 5 db for a single-stage monolithic broadband amplifier at 1. 5 GHz, and 2. 7 db for a complete hybrid ECS down-converter module. The process technology includes direct selective ion implantation, submicron gate definition and airbridge crossovers.</t>
  </si>
  <si>
    <t>163-170</t>
  </si>
  <si>
    <t>Siemens Forschungs- und Entwicklungsberichte/Siemens Research and Development Reports</t>
  </si>
  <si>
    <t>6602859342;57197419719;7401786816;7801448943;7006471982</t>
  </si>
  <si>
    <t>Pettenpaul, E.;Langer, E.;Huber, J.;Mampe, H.;Zimmerman, W.</t>
  </si>
  <si>
    <t>Pettenpaul E.</t>
  </si>
  <si>
    <t>DISCRETE GaAs MICROWAVE DEVICES FOR SATELLITE TV CONVERTER FRONT ENDS.</t>
  </si>
  <si>
    <t>2-s2.0-0021313722</t>
  </si>
  <si>
    <t>['thylakoids connected', 'thus revealing', 'several thylakoids', 'results suggest', 'relative extent', 'relative amounts', 'range 1', 'plants growing', 'photosystem core', 'peripheral chlorophyll', 'long intergrana', 'light environment', 'higher psii', 'functional properties', 'functional adaptation']</t>
  </si>
  <si>
    <t>chloroplast function | chloroplast structure | gene expression | photosynthetic unit | photosystem development | regulation</t>
  </si>
  <si>
    <t>The light environment during plant growth determines the structural and functional properties of higher plant chloroplasts, thus revealing a dynamically regulated developmental system. Pisum sativum plants growing under intermittent illumination showed chloroplasts with fully functional photosystem (PS) II and PSI reaction centers that lacked the peripheral chlorophyll (Chi) a/b and Chl a light‚Äêharvesting complexes (LHC), respectively. The results suggest a light flux differential threshold regulation in the biosynthesis of the photosystem core and peripheral antenna complexes. Sun‚Äêadapted species and plants growing under far‚Äêred‚Äêdepleted illumination showed grana stacks composed of few (3‚Äì5) thylakoids connected with long intergrana (stroma) thylakoids. They had a PSII/PSI reaction center ratio in the range 1.3‚Äì1.9. Shade‚Äêadapted species and plants growing under far‚Äêred‚Äêenrichcd illumination showed large grana stacks composed of several thylakoids, often extending across the entire chloroplast body, and short intergrana stroma thylakoids. They had a higher PSII/PSI reaction center ratio, in the range of 2.2‚Äì4.0. Thus, the relative extent of grana and stroma thylakoid formation corresponds with the relative amounts of PSII and PSI in the chloroplast, respectively. The structural and functional adaptation of the photosynthetic membrane system in response to the quality of illumination involves mainly a control on the rate of PSII and PSI complex biosynthesis. Copyright ¬© 1984 Alan R. Liss, Inc.</t>
  </si>
  <si>
    <t>271-285</t>
  </si>
  <si>
    <t>Journal of Cellular Biochemistry</t>
  </si>
  <si>
    <t>Melis, Anastasios</t>
  </si>
  <si>
    <t>Berkeley</t>
  </si>
  <si>
    <t>University of California, Berkeley</t>
  </si>
  <si>
    <t>Melis A.</t>
  </si>
  <si>
    <t>Light regulation of photosynthetic membrane structure, organization, and function</t>
  </si>
  <si>
    <t>10.1002/jcb.240240308</t>
  </si>
  <si>
    <t>2-s2.0-0021315389</t>
  </si>
  <si>
    <t>['usual solution', 'terminal equipment', 'system based', 'switching center', 'satellite performs', 'satellite payload', 'rate conversion', 'paper describes', 'onboard bit', 'isdn ).', 'intermediate frequency', 'increased complexity', 'frame efficiency', 'earth stations', 'dramatic reduction', 'demand assignment', 'beam antennas', 'advanced concept']</t>
  </si>
  <si>
    <t>To maintain sufficient connectivity in a Time-Division Multiple Access (TDMA) network using satellites with multiple-beam antennas, it is essential to introduce a switching function onboard the spacecraft. The usual solution is a switching matrix either at intermediate frequency or at baseband. An SS-TDMA is in effect a Time-Space-Time (TST) switching center in which the satellite performs the space switching function only. This paper describes a system based on a more advanced concept in which the satellite performs the entire TST switching function. The increased complexity of the satellite payload is countered by a dramatic reduction in the complexity of the Traffic-Terminal equipment at the earth stations. Furthermore, it is shown that this concept has a number of advantages in the areas of frame efficiency, onboard bit-rate conversion, demand assignment and for incorporation with an Integrated Services Digital Network (ISDN).</t>
  </si>
  <si>
    <t>151-162</t>
  </si>
  <si>
    <t>ESA Journal (European Space Agency)</t>
  </si>
  <si>
    <t>Pennoni, G.</t>
  </si>
  <si>
    <t>Pennoni G.</t>
  </si>
  <si>
    <t>TST/SS-TDMA TELECOMMUNICATIONS SYSTEM: FROM CABLE TO SWITCHBOARD IN THE SKY.</t>
  </si>
  <si>
    <t>2-s2.0-0021317395</t>
  </si>
  <si>
    <t>['valuable tool', 'tactile hairs', 'small moth', 'noninnervated outgrowths', 'neuronal endings', 'lamellated exoskeleton', 'insect exoskeleton', 'five types', 'fibrous endocuticle', 'external skeleton', 'ductuli connecting', 'cuticular features', 'cuticular constituents', '45 ¬∞']</t>
  </si>
  <si>
    <t>The freeze‚Äêfracture technique has been used to obtain detailed information about cuticular constituents and outgrowths of the external skeleton of labella and antennae in the bluebottle fly Calliphora vicina and the antennae of the small moth (Yponomeuta spp.). The lamellated exoskeleton has a fibrous endocuticle and an exocuticle lacking fibers. Ductuli connecting the inside of the animal with the outside run perpendicularly through the endocutile and at angles of up to 45¬∞ in the exocuticle. Skeletal outgrowths lack fibers and display fracture features similar to those of the exocuticle. Among those having neuronal endings, gustatory, olfactory, and tactile hairs can be recognized. Noninnervated outgrowths can be subdivided into scales and pseudotrichia. Criteria such as shape, length/width‚Äêratio of hairs, texture, presence and place of pores, shape of pores, and form of the socket or base are presented for further classification. Cuticular features of single‚Äêwalled olfactory hairs of Calliphora are compared with those of several other species. Based on the shape of the pores, five types of hairs can be distinguished using literature data. It is concluded that the freeze‚Äêfracture technique is a valuable tool with which to describe the microarchitecture of the insect exoskeleton and supplements scanning electron microscopy, which is useful for describing the overall skeletal features. Copyright ¬© 1984 Wiley‚ÄêLiss, Inc.</t>
  </si>
  <si>
    <t>305-321</t>
  </si>
  <si>
    <t>60070193;60007989-60007363;60070193</t>
  </si>
  <si>
    <t>6506277775;7003443407;36966113800</t>
  </si>
  <si>
    <t>van der Wolk, Fran M.;Menco, B. Ph M.;Van Der Starre, H.</t>
  </si>
  <si>
    <t>Netherlands;Netherlands;United States</t>
  </si>
  <si>
    <t>Leiden;Utrecht;Evanston</t>
  </si>
  <si>
    <t>Gorlaeus Laboratory;Utrecht University;Northwestern University</t>
  </si>
  <si>
    <t>60070193;60007989;60007363</t>
  </si>
  <si>
    <t>van der Wolk F.</t>
  </si>
  <si>
    <t>Freeze‚Äêfracture characteristics of insect gustatory and olfactory sensilla. II. Cuticular features</t>
  </si>
  <si>
    <t>10.1002/jmor.1051790308</t>
  </si>
  <si>
    <t>2-s2.0-0021332078</t>
  </si>
  <si>
    <t>['transcripts hybridizing', 'transcripts corresponding', 'rhodopseudomonas capsulata', 'results showed', 'photosynthetic apparatus', 'oxygen tension', 'genes involved', 'genes coding', 'dna probes', 'certain pigment', 'carotenoid biosynthesis']</t>
  </si>
  <si>
    <t>The effect of oxygen tension on the transcription of genes coding for the photosynthetic apparatus of Rhodopseudomonas capsulata was determined by the Southern hybridization technique. Restriction endonuclease digests of the R-prime plasmid pRPS404 and a subcloned fragment thereof served as DNA probes for genetically defined regions. The results showed that transcripts corresponding to the genes for certain pigment-binding polypeptides increase in amount by about 40-fold after a drop in oxygen tension. Transcripts hybridizing to genes involved in bacteriochlorophyll biosynthesis increase to a much lesser extent, and several genes involved in carotenoid biosynthesis are not affected by pO2.</t>
  </si>
  <si>
    <t>945-948</t>
  </si>
  <si>
    <t>Journal of Bacteriology</t>
  </si>
  <si>
    <t>60000945;60000945;60000945</t>
  </si>
  <si>
    <t>57216239739;7402237739;7004519553</t>
  </si>
  <si>
    <t>Clark, W. G.;Davidson, E.;Marrs, B. L.</t>
  </si>
  <si>
    <t>St. Louis University School of Medicine</t>
  </si>
  <si>
    <t>Clark W.G.</t>
  </si>
  <si>
    <t>Variation of levels of mRNA coding for antenna and reaction center polypeptides in Rhodopseudomonas capsulata in response to changes in oxygen concentration</t>
  </si>
  <si>
    <t>2-s2.0-0021369355</t>
  </si>
  <si>
    <t>['slope along', 'perpendicular direction', 'nonlinear phase', 'meridian plane', 'expressions giving', 'directions along', 'dimensional pattern', 'dimensional aperture', 'analysis reveals']</t>
  </si>
  <si>
    <t>A method of determination of phase function required for scanning a one-dimensional pattern is presented. Analysis reveals that the one-dimensional pattern is produced in the meridian plane of a two-dimensional aperture by application of nonlinear phase in the directions along and parallel to this plane. Scanning is produced by application of a linear phase progression in the perpendicular direction. The slope of the linear phase progression is different for different positions along the direction of nonlinear phase distribution. Expressions giving the variation of this slope along the length of the array for various amplitude distributions and desired radiation patterns are derived. ¬© 1984 IEEE</t>
  </si>
  <si>
    <t>189-192</t>
  </si>
  <si>
    <t>60004750;60004750</t>
  </si>
  <si>
    <t>57202662632;35753097600</t>
  </si>
  <si>
    <t>Chakraborty, Ajoy;Das, B. N.</t>
  </si>
  <si>
    <t>Kharagpur</t>
  </si>
  <si>
    <t>Indian Institute of Technology Kharagpur</t>
  </si>
  <si>
    <t>Chakraborty A.</t>
  </si>
  <si>
    <t>Phase Scanning of One-Dimensional Pattern</t>
  </si>
  <si>
    <t>10.1109/TAP.1984.1143276</t>
  </si>
  <si>
    <t>2-s2.0-0021371050</t>
  </si>
  <si>
    <t>['wall admittance', 'visible region', 'surface impedance', 'resonant modes', 'real part', 'radiating edges', 'plane waves', 'patch radiator', 'number plane', 'imaginary part', 'exciting current', 'dielectric losses', 'conducting boundary', 'angular spectrum']</t>
  </si>
  <si>
    <t>An expression for the input impedance seen by the coaxial line feeding a rectangular patch radiator is derived, taking the effect of wall admittance, conductor and dielectric losses into account. The real part of wall admittance of the patch radiator is determined from the angular spectrum of plane waves in the visible region of the wave-number plane, and its imaginary part is determined from the electric and magnetic energy stored in the region of the fringe field close to the radiating edges of the patch radiator. The electric field inside the patch radiator required for the analysis is expressed as a superposition of its resonant modes, the coefficients of which are determined in terms of wall admittance, surface impedance of the conducting boundary and amplitude of the exciting current.</t>
  </si>
  <si>
    <t>31-34</t>
  </si>
  <si>
    <t>1 Pt H</t>
  </si>
  <si>
    <t>IEE Proceedings H: Microwaves Optics and Antennas</t>
  </si>
  <si>
    <t>Feb</t>
  </si>
  <si>
    <t>7202403109;57214094067</t>
  </si>
  <si>
    <t>De, Asok;Das, B. N.</t>
  </si>
  <si>
    <t>De A.</t>
  </si>
  <si>
    <t>INPUT IMPEDANCE OF PROBE-EXCITED RECTANGULAR MICROSTRIP PATCH RADIATOR.</t>
  </si>
  <si>
    <t>10.1049/ip-h-1.1984.0006</t>
  </si>
  <si>
    <t>2-s2.0-0021371092</t>
  </si>
  <si>
    <t>['test volume', 'spherical near', 'reflections obtained', 'probe correction', 'numerical instabilities', 'near field', 'investigated theoretically', 'geometric relation', 'field measurements', 'field computation', 'directive probe']</t>
  </si>
  <si>
    <t>The influence of probe correction in spherical near-field measurements on signals from outside the test volume is investigated theoretically and experimentally. It is found that the suppression of reflections obtained by a directive probe is not disturbed by the probe correction. A geometric relation between the antenna ‚Äúminimum sphere‚Äù and the probe pattern beamwidth is established, whose satisfaction guarantees the absence of numerical instabilities in the far-field computation. The condition is sufficient, but not necessary if the ‚Äúminimum sphere‚Äù of the antenna is in the near field of the probe. ¬© 1984 IEEE</t>
  </si>
  <si>
    <t>119-125</t>
  </si>
  <si>
    <t>60011373;60011373</t>
  </si>
  <si>
    <t>55430402700;35966329600</t>
  </si>
  <si>
    <t>Hansen, Per C.;Larsen, Flemming H.</t>
  </si>
  <si>
    <t>Denmark</t>
  </si>
  <si>
    <t>Lyngby</t>
  </si>
  <si>
    <t>Danmarks Tekniske Universitet</t>
  </si>
  <si>
    <t>Hansen P.</t>
  </si>
  <si>
    <t>Suppression of Reflections by Directive Probes in Spherical Near-Field Measurements</t>
  </si>
  <si>
    <t>10.1109/TAP.1984.1143286</t>
  </si>
  <si>
    <t>2-s2.0-0021371320</t>
  </si>
  <si>
    <t>['¬© 1984', 'simultaneous operation', 'remains less', 'paper describes', 'measured reflection', 'matching transformer', 'frequencies œâ0', 'eight teeth', 'e .,', 'corrugated waveguides', 'corrugated feed', 'broadband technique', '63 œâ1', '60 œâ1', '04 œâ1']</t>
  </si>
  <si>
    <t>This paper describes a broadband technique for obtaining the transformation TE11 ‚Üí HE11 at the input of a corrugated feed. Usually, this transformation is obtained by operating the feed in the vicinity of a frequency, œâ1, corresponding to one of the zeroes of the input surface reactance since the feed input reflection, œÅt, vanishes at œâ1. Here we use a matching transformer to produce œÅt ‚âÖ 0 at two frequencies simultaneously, i.e., at œâ1 and a much lower frequency, œâ0. Using two sections of corrugated waveguides, with a total of eight teeth and œâ0 ‚âÖ 0.63 œâ1, the measured reflection, œÅt, is about ‚àí40 dB in the vicinity of both frequencies œâ0 and œâ1, and it remains less than ‚àí30 dB over the entire frequency range 0.60 œâ1&lt; œâ &lt; 1.04 œâ1. This makes the corrugated feed suitable for simultaneous operation at the 4‚Äê and 6‚ÄêGHz terrestrial microwave radio bands. ¬© 1984 AT&amp;T Bell Laboratories Technical Journal</t>
  </si>
  <si>
    <t>207-215</t>
  </si>
  <si>
    <t>0748612X</t>
  </si>
  <si>
    <t>AT&amp;T Bell Laboratories Technical Journal</t>
  </si>
  <si>
    <t>7005699797;6602527005</t>
  </si>
  <si>
    <t>Dragone, C.;Legg, W. E.</t>
  </si>
  <si>
    <t>Dragone C.</t>
  </si>
  <si>
    <t>Quarter‚ÄêWave Corrugated Transformer for Broadband Matching of a Corrugated Feed</t>
  </si>
  <si>
    <t>10.1002/j.1538-7305.1984.tb00090.x</t>
  </si>
  <si>
    <t>2-s2.0-0021371352</t>
  </si>
  <si>
    <t>['source antenna', 'reflectivity level', 'ray optics', 'quiet zone', 'practical measurements', 'paper highlights']</t>
  </si>
  <si>
    <t>This paper highlights the influence of the source antenna on the reflectivity level in the quiet zone of a rectangular anechoic chamber employing the method of ray optics. These results have been compared with those obtained from practical measurements.</t>
  </si>
  <si>
    <t>60-62</t>
  </si>
  <si>
    <t>Journal of the Institution of Engineers. India. Electronics and telecommunication engineering division</t>
  </si>
  <si>
    <t>6603665624;7402898599</t>
  </si>
  <si>
    <t>Chandra Mouly, M. C.;Rao, V. Ranganadha</t>
  </si>
  <si>
    <t>Chandra Mouly M.</t>
  </si>
  <si>
    <t>EFFECT OF SOURCE ANTENNA DIRECTIVITY ON THE PERFORMANCE OF AN ANECHOIC CHAMBER.</t>
  </si>
  <si>
    <t>2-s2.0-0021371434</t>
  </si>
  <si>
    <t>['theoretical modeling', 'simple way', 'provided also', 'properly calibrated', 'plasma frequency', 'mutual impedance', 'measurements made', 'magnetic field', 'impedance probe', 'electron temperature', 'electron density', 'auroral ionosphere']</t>
  </si>
  <si>
    <t>In a magnetoplasma, the amplitude of the lower oblique resonance in the mutual impedance of two electric antennas is very sensitive to the plasma frequency. This property can be used to measure the electron density in a simple way when the electron temperature and the magnetic field are known, provided also that the probe has been properly calibrated. As an application, densities are deduced from measurements made by a mutual-impedance probe on a rocket in the auroral ionosphere. In the future, better practical design and theoretical modeling of the probe should make calibration unnecessary. ¬© 1984 American Institute of Physics.</t>
  </si>
  <si>
    <t>506-510</t>
  </si>
  <si>
    <t>60008134-60029689;60008134-60091252;60031159</t>
  </si>
  <si>
    <t>57190101935;7003436610;7102957082</t>
  </si>
  <si>
    <t>Thiel, J.;Storey, L. R.O.;Lebreton, J. P.</t>
  </si>
  <si>
    <t>United States;Netherlands;France;France</t>
  </si>
  <si>
    <t>Stanford;Noordwijk aan Zee;Orleans;Paris</t>
  </si>
  <si>
    <t>STAR Lab;ESTEC - European Space Research and Technology Centre;Universite d'Orleans;CNRS Centre National de la Recherche Scientifique</t>
  </si>
  <si>
    <t>60091252;60031159;60029689;60008134</t>
  </si>
  <si>
    <t>Thiel J.</t>
  </si>
  <si>
    <t>Electron plasma density deduced from lower oblique resonance measurements</t>
  </si>
  <si>
    <t>10.1063/1.864614</t>
  </si>
  <si>
    <t>2-s2.0-0021371536</t>
  </si>
  <si>
    <t>['various shapes', 'two kinds', 'oma ),', 'microstrip antennas', 'magnetic walls', 'hma ),', 'extensively studied', 'electric walls']</t>
  </si>
  <si>
    <t>Microstrip antennas have been extensively studied, most of them being patches of various shapes. Two kinds of microstrip antennas are presented: the open microstrip antenna (OMA), with four magnetic walls at the periphery, and the hybrid microstrip antenna (HMA), with magnetic walls and electric walls in the same structure.</t>
  </si>
  <si>
    <t>38-44</t>
  </si>
  <si>
    <t>57207430298;7202044329</t>
  </si>
  <si>
    <t>Penard, E.;Daniel, J. P.</t>
  </si>
  <si>
    <t>Penard E.</t>
  </si>
  <si>
    <t>OPEN AND HYBRID MICROSTRIP ANTENNAS.</t>
  </si>
  <si>
    <t>10.1049/ip-h-1.1984.0008</t>
  </si>
  <si>
    <t>2-s2.0-0021371860</t>
  </si>
  <si>
    <t>['whistler range', 'power lost', 'perspectives opened', 'magnetized plasma', 'frequency lower', 'discussed together']</t>
  </si>
  <si>
    <t>The possibility of using a modulated electron beam injected in a magnetized plasma as a low frequency antenna (frequency lower than the gyrofrequency) is explored. The physical mechanism proposed to insure this property is spontaneous coherent emission. Derivation of the power lost by the beam is done with emphasis on the particular conditions named ‚Äúfocalization condition‚Äù encountered in the whistler range of frequency. In conclusion the limits of the model are discussed together with the perspectives opened by this work. ¬© 1984 IEEE</t>
  </si>
  <si>
    <t>177-181</t>
  </si>
  <si>
    <t>60104081;60104081</t>
  </si>
  <si>
    <t>7003424811;7102788256</t>
  </si>
  <si>
    <t>Lavergnat, J.;Lehner, T.</t>
  </si>
  <si>
    <t>Issy-les-Moulineaux</t>
  </si>
  <si>
    <t>Orange Labs</t>
  </si>
  <si>
    <t>Lavergnat J.</t>
  </si>
  <si>
    <t>Low Frequency Radiation Characteristics of a Modulated Electron Beam Immersed in a Magnetized Plasma</t>
  </si>
  <si>
    <t>10.1109/TAP.1984.1143284</t>
  </si>
  <si>
    <t>2-s2.0-0021371985</t>
  </si>
  <si>
    <t>['results obtained', 'parametric evaluation', 'generalized hallen', 'close agreement', 'antenna composed']</t>
  </si>
  <si>
    <t>A technique of analyzing an antenna composed of arbitrarily oriented thin wires and slots in a planar conducting screen is presented. The analysis is based on the generalized Hallen's type integral equation with closed form kernel. A parametric evaluation is done for a configuration of slot and two bending wires (Clavin element). The results obtained are shown to be in close agreement with the experimental ones obtained by Clavin et al. ¬© 1984 IEEE</t>
  </si>
  <si>
    <t>154-158</t>
  </si>
  <si>
    <t>60008107;60008107</t>
  </si>
  <si>
    <t>7003938202;6701865440</t>
  </si>
  <si>
    <t>Kominami, Masanobu;Rokushima, Katsu</t>
  </si>
  <si>
    <t>Sakai</t>
  </si>
  <si>
    <t>Osaka Prefecture University</t>
  </si>
  <si>
    <t>Kominami M.</t>
  </si>
  <si>
    <t>Analysis of an Antenna Composed of Arbitrarily Located Slots and Wires</t>
  </si>
  <si>
    <t>10.1109/TAP.1984.1143293</t>
  </si>
  <si>
    <t>2-s2.0-0021371986</t>
  </si>
  <si>
    <t>['radius antennas', 'line feed', 'input admittances', 'ground plane', 'electric field', 'differential equations', 'current distributions', 'current distribution', 'coupled integro', 'available measurements', 'antenna surface', 'annular aperture']</t>
  </si>
  <si>
    <t>A coaxial-line-driven monopole mounted on top of an electrically thick conducting cylinder over a ground plane is studied. Coupled integro-differential equations are formulated for the evaluation of the current distribution on the antenna surface and the electric field in the annular aperture of the coaxial-line feed. Current distributions and input admittances of representative monopole cylinders are presented and agreement with available measurements is observed. The present method yields good results for large-radius antennas.</t>
  </si>
  <si>
    <t>54-60</t>
  </si>
  <si>
    <t>7101878862;7201550943</t>
  </si>
  <si>
    <t>Yung, E. K.;Butler, C. M.</t>
  </si>
  <si>
    <t>Yung E.K.</t>
  </si>
  <si>
    <t>COAXIAL-LINE DRIVEN MONOPOLE ON AN ELECTRICALLY THICK CONDUCTING CYLINDER OVER A GROUND PLANE.</t>
  </si>
  <si>
    <t>10.1049/ip-h-1.1984.0011</t>
  </si>
  <si>
    <t>2-s2.0-0021373070</t>
  </si>
  <si>
    <t>['input impedance', 'grow rapidly', 'fourier coefficients', 'exact solution', 'asymptotic behavior', 'approximate solutions', 'approximate kernel', 'also given']</t>
  </si>
  <si>
    <t>The concept of an equivalent line source for representing the current on a cylindrical dipole antenna is introduced. It is shown that the Fourier series coefficients of this equivalent line source are related to those of the actual antenna current by exponentially growing factors that grow rapidly for the higher order harmonics. This is used to explain why Hallen's integral equation using an approximate kernel does not have an exact solution. The asymptotic behavior of the Fourier coefficients is established. An explanation of why approximate solutions to the approximate integral equation often provide good results for the current and input impedance is also given. ¬© 1984 IEEE</t>
  </si>
  <si>
    <t>200-204</t>
  </si>
  <si>
    <t>Collin, R. E.</t>
  </si>
  <si>
    <t>Cleveland</t>
  </si>
  <si>
    <t>Case Western Reserve University</t>
  </si>
  <si>
    <t>Collin R.</t>
  </si>
  <si>
    <t>Equivalent Line Current for Cylindrical Dipole Antennas and its Asymptotic Behavior</t>
  </si>
  <si>
    <t>10.1109/TAP.1984.1143288</t>
  </si>
  <si>
    <t>2-s2.0-0021373252</t>
  </si>
  <si>
    <t>['surface modes', 'surface mode', 'plasma interior', 'plasma coupling', 'nonuniform plasmas', 'magnetosonic wave', 'located well', 'global eigenmodes', 'conversion layer', 'best candidate']</t>
  </si>
  <si>
    <t>The spectrum of low-frequency, m = ¬± 1 oscillations in a cold, collisionless, cylindrical plasma comprises the frequencies of the lowest radial eigenmodes and the surface modes of the fast magnetosonic wave, all the global eigenmodes of the Alfv√©n wave (ion-cyclotron wave), and the Alfv√©n continuum. The spectrum of a homogeneous, currentless plasma cylinder is obtained from an analytical dispersion relation. This spectrum is compared with numerically obtained spectra of nonuniform plasmas with and without axial current. The connection of the magnetohydrodynamic (MHD) kink and internal kink instabilities with the global eigenmodes of the Alfv√©n wave is evidenced. Among all the modes of the magnetosonic wave which have frequencies in the Alfv√©n continuum, the (m = -1, k &lt; 0) -surface mode is the best candidate for antenna-plasma coupling because its conversion layer is located well into the plasma interior. ¬© 1984 American Institute of Physics.</t>
  </si>
  <si>
    <t>432-437</t>
  </si>
  <si>
    <t>60028186;60028186;60028186</t>
  </si>
  <si>
    <t>7003823426;7004037457;56277076300</t>
  </si>
  <si>
    <t>Appert, K.;Vaclavik, J.;Villard, L.</t>
  </si>
  <si>
    <t>Switzerland</t>
  </si>
  <si>
    <t>Lausanne</t>
  </si>
  <si>
    <t>Swiss Federal Institute of Technology Lausanne</t>
  </si>
  <si>
    <t>Appert K.</t>
  </si>
  <si>
    <t>Spectrum of low-frequency, nonaxisymmetric oscillations in a cold, current-carrying plasma column</t>
  </si>
  <si>
    <t>10.1063/1.864638</t>
  </si>
  <si>
    <t>2-s2.0-0021373799</t>
  </si>
  <si>
    <t>['subreflector system', 'spherical wave', 'source aperture', 'single reflector', 'reflector synthesis', 'previous treatments', 'go synthesis', 'general source', 'general conditions', 'feed array', 'existing work', 'existing methodology', 'cylindrical wave', 'central role', 'arbitrarily specified']</t>
  </si>
  <si>
    <t>Previous treatments of reflector synthesis have assumed that the feed is a point source producing a spherical wave, or a line source producing a cylindrical wave. To cater for a more general source, such as a feed array or a feed/subreflector system, within the existing methodology of GO synthesis, it is convenient to define a source aperture over which the field can be arbitrarily specified. The basic equations necessary to synthesize a single reflector to meet a prespecified output aperture field distribution are derived under general conditions, and the relationship with existing work is indicated. The Monge-Ampere partial differential equation occupies a central role in the discussion.</t>
  </si>
  <si>
    <t>7004261323;6602206040</t>
  </si>
  <si>
    <t>Westcott, B. S.;Brickell, F.</t>
  </si>
  <si>
    <t>Westcott B.S.</t>
  </si>
  <si>
    <t>GEOMETRIC-OPTIC SYNTHESIS OF SINGLE-REFLECTOR ANTENNAS WITH DISTRIBUTED SOURCES.</t>
  </si>
  <si>
    <t>10.1049/ip-h-1.1984.0002</t>
  </si>
  <si>
    <t>2-s2.0-0021373871</t>
  </si>
  <si>
    <t>['well behaved', 'space problem', 'space parameters', 'present theory', 'multivalued green', 'laplace transform', 'image current', 'function arising', 'field approximation', 'dipole source', 'complex space', 'complex depth', 'coefficient method', 'also studied']</t>
  </si>
  <si>
    <t>Applying the Laplace transform, the exact distributed image current function is obtained for the classical Sommerfeld half-space problem with vertical magnetic current source. The resulting field integral is well behaved when the image current is situated in complex space. Unlike previous approximate images, the present theory is valid for any distance, height of the source, frequency, and half-space parameters. It is demonstrated that the present image theory reduces to the well-known dipole image at complex depth for large dielectric parameters of the half-space. Also, the reflection-coefficient method is obtained as a far-field approximation. Calculation of fields through exact image integration is seen to be simple and accurate and require modest computer capacity and time. In an appendix, some properties of the multivalued Green's function arising from a dipole source in complex space are also studied. ¬© 1984 IEEE</t>
  </si>
  <si>
    <t>126-133</t>
  </si>
  <si>
    <t>60103653;60103653</t>
  </si>
  <si>
    <t>7102492958;7004143659</t>
  </si>
  <si>
    <t>Lindell, Ismo V.;Alanen, Esko</t>
  </si>
  <si>
    <t>Finland</t>
  </si>
  <si>
    <t>Espoo</t>
  </si>
  <si>
    <t>Aalto University</t>
  </si>
  <si>
    <t>Lindell I.</t>
  </si>
  <si>
    <t>Exact Image Theory for the Sommerfeld Half-Space Problem, Part I: Vertical Magnetic Dipole</t>
  </si>
  <si>
    <t>10.1109/TAP.1984.1143278</t>
  </si>
  <si>
    <t>2-s2.0-0021374198</t>
  </si>
  <si>
    <t>['two occasions', 'turbulence theory', 'spectral parameters', 'small antenna', 'sight path', 'refractive bending', 'measured simultaneously', 'large antenna', 'good agreement', 'f dependence', 'data taken', 'data reveals', 'arrival variations', 'approximate 1', 'amplitude variations', '2 db', '16 ghz', '1400 œª', '025 ¬∞.']</t>
  </si>
  <si>
    <t>Amplitude variations over a 12.9 km terrestrial line-of-sight path were measured simultaneously on a 1400 Œª and a 29 Œª antenna at 86.16 GHz. Clear atmosphere data from two occasions with considerably different meteorological conditions are presented. Both sets have statistical and spectral parameters in good agreement with turbulence theory. Some of the data taken after a thunderstorm front passage show a slow gain reduction of the large antenna of up to 2 dB and an increase in variance to a level above that of the small antenna. The power spectral density of these data reveals that the excess fluctuation power is in the region of the spectrum which turbulence theory predicts to be flat. It shows an approximate 1/f dependence. It is attributed to refractive bending of up to 0.025¬∞. Gain reductions due to turbulence or turbulence induced angle-of-arrival variations were estimated to be negligible. ¬© 1984 IEEE</t>
  </si>
  <si>
    <t>113-118</t>
  </si>
  <si>
    <t>60013372;60013372;60013372</t>
  </si>
  <si>
    <t>35613152700;55740874900;7202232494</t>
  </si>
  <si>
    <t>Vogel, Wolfhard J.;Davis, John H.;Mayer, Charles E.</t>
  </si>
  <si>
    <t>Austin</t>
  </si>
  <si>
    <t>The University of Texas at Austin</t>
  </si>
  <si>
    <t>Vogel W.</t>
  </si>
  <si>
    <t>Line-of-Sight Observations at 86 GHz with a Very Large and a Small Antenna</t>
  </si>
  <si>
    <t>10.1109/TAP.1984.1143274</t>
  </si>
  <si>
    <t>2-s2.0-0021374199</t>
  </si>
  <si>
    <t>['ulf signal', 'ulf magnetic', 'ulf data', 'thus allowing', 'substorm events', 'substorm activity', 'routine analysis', 'results show', 'paper presents', 'magnetic waveform', 'localized field', 'large velocity', 'large velocities', 'gross characteristics', 'current sheets']</t>
  </si>
  <si>
    <t>The ULF magnetic and the dc electric antennas operating onboard GEOS have been used to study the origin and characteristics of short irregular pulsations (SIP's) during substorm events. This paper presents the gross characteristics of SIP's as deduced from the routine analysis of GEOS-ULF data in conjunction with substorm activity. Then, pursuing data analysis the complex data processing that has been applied in order to deconvolute the ULF signal is then discussed, thus allowing to obtain the magnetic waveform. The obtained magnetic signatures are then compared with those that would be produced by current sheets (single or double) or current tubes passing by the spacecraft at a large velocity. The results show that at least short duration SIP's can be interpreted in terms of localized field-aligned current tubes (FACT's) passing by the spacecraft at large velocities.</t>
  </si>
  <si>
    <t>819-840</t>
  </si>
  <si>
    <t>A2</t>
  </si>
  <si>
    <t>8349315900;6602094622;56616020600;7101858037</t>
  </si>
  <si>
    <t>Robert, Patrick;Gendrin, Roger;Perraut, Sylvaine;Roux, Alain</t>
  </si>
  <si>
    <t>Robert P.</t>
  </si>
  <si>
    <t>GEOS 2 IDENTIFICATION OF RAPIDLY MOVING CURRENT STRUCTURES IN THE EQUATORIAL OUTER MAGNETOSPHERE DURING SUBSTORMS.</t>
  </si>
  <si>
    <t>10.1029/JA089iA02p00819</t>
  </si>
  <si>
    <t>2-s2.0-0021374346</t>
  </si>
  <si>
    <t>['¬© 1984', 'use c', 'tested using', 'terminal experiment', 'ssma ).', 'small k', 'sky conditions', 'single point', 'satellite link', 'rights reserved', 'rain attenuation', 'electrical engineers', 'earth station', 'data signals', 'computer centre', 'communication satellite', 'capacity omni', '64 kbit', '4 kbit', '4 ghz', '3 mbit', '20 ghz', '02 degrees']</t>
  </si>
  <si>
    <t>Antennas | Satellite links and space communication</t>
  </si>
  <si>
    <t>The characteristics of advanced digital transmission systems were measured using newly developed small earth stations and a K-band (30/20 GHz) and C-band (6/4 GHz) communication satellite. Satellite link performance for data, facsimile, video and packet switching information transmission at bit rates ranging from 6.4 kbit/s to 6.3 Mbit/s have been confirmed, using a small K-band (30/20 GHz) earth station and a demandassignment time division multiple access (DA-TDMA) system. A low-capacity omni-use C-band (6/4 GHz) terminal experiment has verified a telephone channel transmission performance by spread-spectrum multiple access (SSMA). Single point to multipoint transmission characteristics of the 64 kbit/s data signals from the computer centre were tested using a receive-only 4 GHz earth terminal. Basic satellite link performance was confirmed under clear-sky conditions; however, evaluation of the satellite link is also described based on rain attenuation and sun-transit interference data. Precise satellite orbit and attitude keeping experiments were carried out to obtain precise satellite antenna pointing accuracy for development of K-band earth stations that do not require satellite tracking equipment. Precise station keeping accuracy of 0.02 degrees was obtained. ¬© 1984, The Institution of Electrical Engineers. All rights reserved.</t>
  </si>
  <si>
    <t>92-98</t>
  </si>
  <si>
    <t>IEE Proceedings F: Communications Radar and Signal Processing</t>
  </si>
  <si>
    <t>60025555;60025555;60025555</t>
  </si>
  <si>
    <t>7003864682;6507646822;7202339631</t>
  </si>
  <si>
    <t>Iso, Akio;Izumisawa, Tomoyuki;Ishida, Noriaki</t>
  </si>
  <si>
    <t>Nippon Telegraph and Telephone Corporation</t>
  </si>
  <si>
    <t>Iso A.</t>
  </si>
  <si>
    <t>Advanced domestic digital satellite communications systems experiments</t>
  </si>
  <si>
    <t>10.1049/ip-f-1.1984.0016</t>
  </si>
  <si>
    <t>2-s2.0-0021375435</t>
  </si>
  <si>
    <t>['useful lifetime', 'signal transmitted', 'receive signals', 'plasma produced', 'plasma columns', 'plasma antenna', 'much larger', 'electric discharge', 'developed using', 'copper antenna', 'characteristic frequency', '112 mhz']</t>
  </si>
  <si>
    <t>The plasma produced by a laser-guided, electric discharge in the atmosphere has been formed in the shape of a folded monopole antenna with a characteristic frequency of 112 MHz. This plasma antenna has been used to transmit and receive signals at 112 MHz. While the plasma remained conducting, the signal transmitted from, and received on, the plasma antenna was within ‚Äì1¬±1 dB of that transmitted from and received on a ‚Äústandard‚Äù copper folded monopole antenna of the same size. During this time the signal transmitted from, and received on, the plasma antenna also remained approximately constant in amplitude (fluctuations ~ ¬±1 dB). This useful lifetime of the plasma antenna was varied from ~ 200 ¬µs to ‚â• 2000 ¬µs by changing the duration of the electric discharge sustaining the plasma columns. In these experiments, the noise from the plasma antenna was not distinguishable from that developed using a copper antenna, but in both cases the noise was much larger than the true thermal noise background. ¬© 1984 IEEE</t>
  </si>
  <si>
    <t>141-146</t>
  </si>
  <si>
    <t>60027271;60027271;60027271;60027271;115498225-60027271;60032291</t>
  </si>
  <si>
    <t>7102691077;7005390917;7004032763;36972694700;7404061857;7003557433</t>
  </si>
  <si>
    <t>Dwyer, Timothy J.;Greig, Joseph R.;Pechacek, Robert E.;Raleigh, Michael;Murphy, Donald P.;Perin, Jeffrey M.</t>
  </si>
  <si>
    <t>United States;United States;Egypt</t>
  </si>
  <si>
    <t>Annapolis;Washington, D.C.;</t>
  </si>
  <si>
    <t>US Naval Academy;Naval Research Laboratory;JAYCOR</t>
  </si>
  <si>
    <t>60032291;60027271;115498225</t>
  </si>
  <si>
    <t>Dwyer T.</t>
  </si>
  <si>
    <t>On the Feasibility of Using an Atmospheric Discharge Plasma as an RF Antenna</t>
  </si>
  <si>
    <t>10.1109/TAP.1984.1143275</t>
  </si>
  <si>
    <t>2-s2.0-0021375948</t>
  </si>
  <si>
    <t>['thus established', 'special case', 'sidelobe taper', 'second kind', 'parameter family', 'parameter controls', 'main lobewidth', 'main lobe', 'limiting case', 'implicitly based', 'gegenbauer weights', 'dramatic decrease', 'derived first', 'derive analytically', 'chebyshev polynomials', 'bessel function', 'appropriate limit']</t>
  </si>
  <si>
    <t>We derive analytically a two-parameter family of weights for use in finite duration nonrecursive digital filters and in finite aperture antennas. This family of weights is based on the Gegenbauer orthogonal polynomials, which are a generalization of both Legendre and Chebyshev polynomials. It is shown that one parameter controls the main lobewidth and the other parameter controls the sidelobe taper. For a fixed main lobewidth, it is observed that the Gegenbauer weights can achieve a dramatic decrease in sidelobes ‚Äúfar removed‚Äù from the main lobe in exchange for a ‚Äúsmall‚Äù increase in the first sidelobe adjacent to the main lobe. The Gegenbauer weights are derived first for discretely sampled apertures and filters. An appropriate limit is then taken to produce the Gegenbauer weighting function for continuously sampled apertures and filters. The continuous Gegenbauer weighting function contains the Kaiser-Bessel function as a special case. It is thus established that the Kaiser-Bessel function is implicitly based on Chebyshev polynomials of the second kind. Furthermore, the Dolph-Chebyshev/van der Maas weights are a limiting case of the discrete/continuous Gegenbauer weights. ¬© 1984 IEEE</t>
  </si>
  <si>
    <t>108-118</t>
  </si>
  <si>
    <t>IEEE Transactions on Acoustics, Speech, and Signal Processing</t>
  </si>
  <si>
    <t>Streit, Roy L.</t>
  </si>
  <si>
    <t>University of Rhode Island</t>
  </si>
  <si>
    <t>Streit R.L.</t>
  </si>
  <si>
    <t>A Two-Parameter Family of Weights for Nonrecursive Digital Filters and Antennas</t>
  </si>
  <si>
    <t>10.1109/TASSP.1984.1164275</t>
  </si>
  <si>
    <t>2-s2.0-0021375978</t>
  </si>
  <si>
    <t>['source region', 'printed dipoles', 'pattern synthesis', 'line source', 'including constraints', 'free space', 'dipole array', 'continuous structures', 'array optimization', 'arbitrary discrete']</t>
  </si>
  <si>
    <t>Inagaki modes represent a new modal formalism for problems of radiation and scattering from arbitrary discrete and continuous structures. These modes can be generalized to be orthogonal over any sector of the sphere at infinity, as well as the source region itself. Theory and application of these modes to problems of pattern synthesis and array optimization, including constraints, are presented. Examples are given for a line source, an array of printed dipoles, and a dipole array in free space. ¬© 1984 IEEE</t>
  </si>
  <si>
    <t>159-165</t>
  </si>
  <si>
    <t>Pozar, David M.</t>
  </si>
  <si>
    <t>Amherst MA</t>
  </si>
  <si>
    <t>University of Massachusetts Amherst</t>
  </si>
  <si>
    <t>Pozar D.</t>
  </si>
  <si>
    <t>Antenna Synthesis and Optimization Using Weighted Inagaki Modes</t>
  </si>
  <si>
    <t>10.1109/TAP.1984.1143292</t>
  </si>
  <si>
    <t>2-s2.0-0021376461</t>
  </si>
  <si>
    <t>['œ ¶|', 'œ ¶', 'œ ©', 'whole study', 'varies according', 'total potential', 'range 1', 'propagation plane', 'presented concerning', 'monochromatic frequency', 'mode h', 'mainly governs', 'main mode', 'general discussion', 'fluids 26', 'expected ).', 'electron gyrofrequency', 'e .,', 'dispersion curve', 'contribute essentially', 'complicated pattern', '1983 )];']</t>
  </si>
  <si>
    <t>The electrostatic potential distribution Œ¶ of a point source antenna is studied numerically within the range 1 &lt; Œ© &lt; 2 under low-density plasma conditions, i.e., where Œ©p &lt; 2; Œ© and Œ©p are, respectively, the monochromatic frequency of the source and the plasma frequency normalized to the electron gyrofrequency. The whole study is performed for the direction of radiation R‚ä• perpendicular to the magnetostatic field B0. Two electrostatic modes, respectively, the cyclotron harmonic mode h and the main mode m, are shown to contribute essentially to the total potential Œ¶ so that Œ¶ = Œ¶h + Œ¶m. The results obtained within the range 1 &lt; Œ© &lt; Œ©p are similar to those under dense plasma conditions [B. Lemb√®ge, Phys. Fluids 26, 1780 ( 1983)]; in particular only the mode h has a low damped part in its dispersion curve and mainly governs the behavior of the total potential Œ¶. However, both modes have a low damped part in their respective dispersion curves for Œ©p &lt; Œ© &lt; Œ©uh; Œ©uh is the upper hybrid frequency normalized to the electron gyrofrequency. As a consequence, the amplitude of |Œ¶| exhibits a complicated pattern which varies according to the value of R‚ä•. Additionally, it appears that both modes are continuously defined within the propagation plane, when Œ© passes through the frequency Œ©uh. Within the range Œ©uh &lt; Œ© &lt; 2 the amplitude of the total potential has a no-null finite value (the opposite of what would be expected). A more general discussion is presented concerning the behavior of |Œ¶| when Œ©p varies. ¬© 1984 American Institute of Physics.</t>
  </si>
  <si>
    <t>412-426</t>
  </si>
  <si>
    <t>60027550-60104081</t>
  </si>
  <si>
    <t>Lemb√®ge, B.</t>
  </si>
  <si>
    <t>France;United States</t>
  </si>
  <si>
    <t>Issy-les-Moulineaux;Los Angeles</t>
  </si>
  <si>
    <t>Orange Labs;University of California, Los Angeles</t>
  </si>
  <si>
    <t>60104081;60027550</t>
  </si>
  <si>
    <t>Lemb√®ge B.</t>
  </si>
  <si>
    <t>Perpendicular distribution of electrostatic electron cyclotron radiation under low-density plasma conditions</t>
  </si>
  <si>
    <t>10.1063/1.864636</t>
  </si>
  <si>
    <t>2-s2.0-0021376772</t>
  </si>
  <si>
    <t>['structurally similar', 'results show', 'reflector surfaces', 'different angles', 'bicollimated configuration']</t>
  </si>
  <si>
    <t>A bicollimated Gregorian reflector is structurally similar to a classical confocal Gregorian reflector, but its surfaces are shaped to have better scan capability. A geometrical optics procedure is used in designing the reflector surfaces. A three-dimensional ray tracing procedure is used in analyzing the aperture phase errors as the beam is scanned to different angles. The results show that the bicollimated configuration has about 45 percent greater angular scanning range than the equivalent confocal Gregorian reflector antenna. ¬© 1984 IEEE</t>
  </si>
  <si>
    <t>147-154</t>
  </si>
  <si>
    <t>Rao, Jaganmohan B.L.</t>
  </si>
  <si>
    <t>Washington, D.C.</t>
  </si>
  <si>
    <t>Naval Research Laboratory</t>
  </si>
  <si>
    <t>Rao J.</t>
  </si>
  <si>
    <t>Bicollimated Gregorian Reflector Antenna</t>
  </si>
  <si>
    <t>10.1109/TAP.1984.1143290</t>
  </si>
  <si>
    <t>2-s2.0-0021376885</t>
  </si>
  <si>
    <t>['transient responses', 'time domain', 'simple formula', 'significant role', 'short pulse', 'measured data', 'impulse responses', 'impulse response', 'feed points', 'electromagnetic coupling', 'basic understanding']</t>
  </si>
  <si>
    <t>Transient responses of coupled linear dipole antennas are measured for a basic understanding of coupling in the time domain. A very short pulse for excitation is used and it is shown that the measured data represent the quasi-impulse responses. For further investigation and comparison with the measured data, a simple formula of the impulse response of this configuration is derived by using the transmission line approximation. They suggest that the tips and feed points of each antenna have a significant role in the electromagnetic coupling. ¬© 1984 IEEE</t>
  </si>
  <si>
    <t>133-140</t>
  </si>
  <si>
    <t>60008435;60008435;60008435</t>
  </si>
  <si>
    <t>7405726997;7403248989;56264075000</t>
  </si>
  <si>
    <t>Sato, Motoyuki;Sato, Risaburo;Iguchi, Masaaki</t>
  </si>
  <si>
    <t>Sendai</t>
  </si>
  <si>
    <t>Tohoku University</t>
  </si>
  <si>
    <t>Sato M.</t>
  </si>
  <si>
    <t>Transient Response of Coupled Linear Dipole Antennas</t>
  </si>
  <si>
    <t>10.1109/TAP.1984.1143277</t>
  </si>
  <si>
    <t>2-s2.0-0021376886</t>
  </si>
  <si>
    <t>['wide range', 'microwave energy', 'input power', 'c energy', 'barrier diodes', '5 w']</t>
  </si>
  <si>
    <t>The losses that arise during the transformation of microwave energy into d-c energy in Schottky-barrier diodes are analyzed. Results are obtained that make it possible to optimize the diode parameters within a wide range of variation of the input power (0. 1-5 w) and to improve the energy conversion efficiency considerably.</t>
  </si>
  <si>
    <t>131-135</t>
  </si>
  <si>
    <t>6603418988;7004652700;6603472575</t>
  </si>
  <si>
    <t>Boyakhchyan, G. P.;Vanke, V. A.;Lesota, S. K.</t>
  </si>
  <si>
    <t>Boyakhchyan G.</t>
  </si>
  <si>
    <t>PROBLEMS IN THE OPTIMIZATION OF PARAMETERS OF A SCHOTTKY-BARRIER DIODE IN A RECTENNA ELEMENT.</t>
  </si>
  <si>
    <t>2-s2.0-0021378097</t>
  </si>
  <si>
    <t>['three thin', 'magnetic coupling', 'comparative analysis']</t>
  </si>
  <si>
    <t>Three thin-film SQUID constructions are described that incorporate a two-contact quantum interferometer and an element for magnetic coupling of the interferometer to the antenna of a superconducting magnetic flux meter. The basic electrophysical characteristics of SQUIDS are given and a comparative analysis of them is made.</t>
  </si>
  <si>
    <t>109-115</t>
  </si>
  <si>
    <t>;;;;;</t>
  </si>
  <si>
    <t>7102249622;7202194624;6603658048;6701651921;6507482648;6507629949</t>
  </si>
  <si>
    <t>Bondarenko, S. I.;Kravchenko, V. V.;Golovanev, Ye A.;Lemeshko, N. M.;Krivobok, V. V.;Dushechkina, Ye S.</t>
  </si>
  <si>
    <t>Bondarenko S.</t>
  </si>
  <si>
    <t>THIN-FILM SQUIDS FOR SUPERCONDUCTING MAGNETIC FLUX MEASURING DEVICES.</t>
  </si>
  <si>
    <t>2-s2.0-0021380129</t>
  </si>
  <si>
    <t>['value problem', 'term method', 'method used', 'intrinsic resistances', 'induced emf', 'exponential variation', 'current distribution', 'carleman boundary', 'analytical functions']</t>
  </si>
  <si>
    <t>Theory is presented of infinite linear arrays with an exponential variation of the intrinsic emitter resistances. The magnitude of the variation can have any value. The method used to solve the problem is that used to solve the Carleman boundary-value problem in the theory of analytical functions. An infinite rectilinear equidistant array, composed of emitters is considered in which one spatial harmonic of the current distribution is taken into account (the one-term method of induced EMF's). The intrinsic resistances of the emitters vary exponentially along the array.</t>
  </si>
  <si>
    <t>148-151</t>
  </si>
  <si>
    <t>Chaplin, A. F.</t>
  </si>
  <si>
    <t>Chaplin A.</t>
  </si>
  <si>
    <t>EXCITATION OF AN ARRAY OF EMITTERS WITH EXPONENTIALLY VARYING LOADS.</t>
  </si>
  <si>
    <t>2-s2.0-0021380814</t>
  </si>
  <si>
    <t>['unique features', 'transmitting systems', 'time signals', 'time processing', 'sounding space', 'noncoherent signals', 'multichannel receiving', 'likelihood ratio']</t>
  </si>
  <si>
    <t>The unique features of the optimum (in the sense of the likelihood ratio) space-time processing of coherent and noncoherent signals in multichannel receiving and transmitting systems are examined. The parameters of sounding space-time signals are optimized.</t>
  </si>
  <si>
    <t>69-74</t>
  </si>
  <si>
    <t>6603342337;6602806973</t>
  </si>
  <si>
    <t>Pon'kin, V. A.;Radziyevskiy, V. G.</t>
  </si>
  <si>
    <t>Pon'kin V.</t>
  </si>
  <si>
    <t>SPACE-TIME SIGNAL PROCESSING IN MULTICHANNEL RECEIVING AND TRANSMITTING SYSTEMS.</t>
  </si>
  <si>
    <t>2-s2.0-0021380862</t>
  </si>
  <si>
    <t>['receiver system', 'range estimation', 'priori region', 'position discrete', 'maximum likelihood', 'joint estimate', 'found taking', 'continuous antenna', 'arbitrary dimensions', 'anomalous error', 'angular position']</t>
  </si>
  <si>
    <t>The characteristics of a joint estimate of the maximum likelihood of the range and angular position of a target are found taking into account the anomalous error in the a priori region of arbitrary dimensions. The non-constancy of the resolution of the receiver system in terms of the parameters being estimated as the target changes position is taken into account. Optimization of the two-position discrete-continuous antenna is considered with respect to the range estimation.</t>
  </si>
  <si>
    <t>38-45</t>
  </si>
  <si>
    <t>7102280274;7006945159</t>
  </si>
  <si>
    <t>Trifonov, A. P.;Sharapov, S. I.</t>
  </si>
  <si>
    <t>Trifonov A.</t>
  </si>
  <si>
    <t>ESTIMATION OF THE LOCATION OF A POINT TARGET IN THE FRESNEL ZONE OF A RECEIVER ANTENNA.</t>
  </si>
  <si>
    <t>2-s2.0-0021382447</t>
  </si>
  <si>
    <t>['rotary stands', 'previous generation', 'outdoor operation', 'oriented variant', 'modern application', 'frequency components']</t>
  </si>
  <si>
    <t>A description is given of rotary stands for horn-parabolic antennas integrated into a radio monitoring system. The rotary stand newly designed by Siemens is a modern application-oriented variant of the previous generation. It has been designed for outdoor operation and permits optimum utilization of the high-frequency components.</t>
  </si>
  <si>
    <t>98-101</t>
  </si>
  <si>
    <t>0170950X</t>
  </si>
  <si>
    <t>Siemens power engineering</t>
  </si>
  <si>
    <t>Mar-Apr</t>
  </si>
  <si>
    <t>6507905127;6503893253</t>
  </si>
  <si>
    <t>Duell, Hans Juergen;Kohlhas, Wilhelm</t>
  </si>
  <si>
    <t>Duell H.</t>
  </si>
  <si>
    <t>NEW ANTENNA DRIVES.</t>
  </si>
  <si>
    <t>2-s2.0-0021385561</t>
  </si>
  <si>
    <t>['several examples', 'randomly positioned', 'radar antenna', 'located arbitrarily', 'illuminating radar', 'general results', 'chaff cloud', 'arbitrary polarization']</t>
  </si>
  <si>
    <t>Bistatic cross sections applicable to scattering from a cloud of randomly positioned and randomly oriented resonant dipoles, or chaff, are found. The chaff cloud can have an arbitrary location relative to an illuminating radar and the radar antenna can have an arbitrarily specified polarization. The receiver can be located arbitrarily in relation to the radar and chaff cloud and can also have arbitrary polarization (different from the transmitter antenna). Average cross sections are found for a preferred receiver polarization and the corresponding orthogonal polarization. Results are reduced to simple, easily applied expressions, and several examples are developed to illustrate the ease with which the general results can be applied in practice. ¬© 1984 IEEE</t>
  </si>
  <si>
    <t>128-140</t>
  </si>
  <si>
    <t>AES-20</t>
  </si>
  <si>
    <t>IEEE Transactions on Aerospace and Electronic Systems</t>
  </si>
  <si>
    <t>Peebles, Peyton Z.</t>
  </si>
  <si>
    <t>Gainesville</t>
  </si>
  <si>
    <t>University of Florida</t>
  </si>
  <si>
    <t>Peebles P.</t>
  </si>
  <si>
    <t>Bistatic Radar Cross Sections of Chaff</t>
  </si>
  <si>
    <t>10.1109/TAES.1984.310435</t>
  </si>
  <si>
    <t>2-s2.0-0021385589</t>
  </si>
  <si>
    <t>['usually shifted', 'underlying distributions', 'underlying distribution', 'true mean', 'subsequent unwrapping', 'phasemeter hardware', 'phase distribution', 'original distribution', 'never verified', 'modulo 2œä', 'mean associated', 'gaussian mean', 'gaussian behavior', 'gaussian assumption', 'frequently constructed', 'folded measurements', 'folded data', 'estimation procedure']</t>
  </si>
  <si>
    <t>Phasemeters are frequently constructed to alter phase data by folding it into a specified angular interval. As a result, the mean associated with folded measurements is usually shifted from that of the original distribution. When the underlying distribution is Gaussian, efficient unbiased estimators can be used to recover the true mean and variance (modulo 2œÄ) from folded data. The subsequent unwrapping of the folded measurements about this estimator will provide modulo 2œÄ reconstruction of the original Gaussian distribution. Even if the original distribution is not Gaussian, determination of the Gaussian mean and variance, together with unwrapping, allows an analysis of how close to normal the original distribution is. The estimation procedure was used to reconstruct the phase distributions reported from several specific antenna elements. Gaussian behavior had been anticipated for the underlying distributions, but never verified. The results of this study provided support for the Gaussian assumption. In one surprising case, unwrapping of the phase distribution about its estimated mean allowed discovery of defects in the phasemeter hardware. ¬© 1984 IEEE</t>
  </si>
  <si>
    <t>112-118</t>
  </si>
  <si>
    <t>Nelson, William</t>
  </si>
  <si>
    <t>Nelson W.</t>
  </si>
  <si>
    <t>Reconstruction of a Gaussian Mean from Folded Data</t>
  </si>
  <si>
    <t>10.1109/TAES.1984.310433</t>
  </si>
  <si>
    <t>2-s2.0-0021385590</t>
  </si>
  <si>
    <t>['valid measurement', 'unit described', 'past years', 'linear polarization', 'innovative design', 'indicating meter', 'also independent']</t>
  </si>
  <si>
    <t>Many inexpensive microwave oven leakage monitors have been marketed in the past years. To date all have been incapable of making a valid measurement of oven leakage energy. The unit described here overcomes the prior instrument shortcomings with an innovative design. An inexpensive leakage monitor operating at 2450 MHz provides detected square-law signals sufficient to drive an indicating meter, through high resistance transmission line, without the assistance of an amplifier. The probe is also independent of linear polarization.</t>
  </si>
  <si>
    <t>77-82</t>
  </si>
  <si>
    <t>Journal of Microwave Power</t>
  </si>
  <si>
    <t>Mar</t>
  </si>
  <si>
    <t>Aslan, Edward</t>
  </si>
  <si>
    <t>Aslan E.</t>
  </si>
  <si>
    <t>INEXPENSIVE LEAKAGE MONITOR.</t>
  </si>
  <si>
    <t>10.1080/16070658.1984.11689353</t>
  </si>
  <si>
    <t>2-s2.0-0021385672</t>
  </si>
  <si>
    <t>['¬© 1984', 'uniform regions', 'uniform region', 'test point', 'rights reserved', 'receiving loop', 'radio receivers', 'radiating loops', 'radiating loop', 'parallel planes', 'parallel plane', 'magnetic field', 'intensity meters', 'four loops', 'coplanar alignment', 'certain deviation', 'average magnetic']</t>
  </si>
  <si>
    <t>In the calibration of radio receivers and field-intensity meters, a radiating loop and a receiving loop under test are mainly located either in a coaxial or coplane to each other. A formula to obtain the average magnetic-field strength incident on a receiving loop is derived for the case where the radiating and receiving loop antennas have a certain deviation on a parallel plane from the coaxial or coplanar alignment of the loops. In order to expand the uniform region of the magnetic field around the test point, the distribution of the magnetic field is investigated by using this formula for some alignments where the four (or less) radiating loops and a receiving loop lie on parallel planes to each other. It is obvious that the uniform regions are improved by factors of about 10 or 16 by increasing a radiating loop to two or four loops, respectively. ¬© 1984, IEEE. All rights reserved.</t>
  </si>
  <si>
    <t>IEEE Transactions on Instrumentation and Measurement</t>
  </si>
  <si>
    <t>Nakane, Hiroshi</t>
  </si>
  <si>
    <t>Tokyo University of Science</t>
  </si>
  <si>
    <t>Nakane H.</t>
  </si>
  <si>
    <t>Magnetic Field for Radiating and Receiving Loops Placed on Parallel Planes</t>
  </si>
  <si>
    <t>10.1109/TIM.1984.4315149</t>
  </si>
  <si>
    <t>2-s2.0-0021385702</t>
  </si>
  <si>
    <t>['wide variety', 'wide range', 'system degraded', 'study conducted', 'strehl ratio', 'less severe', 'domain approach', 'diameter dependence']</t>
  </si>
  <si>
    <t>A time-domain approach has been developed that is capable of evaluating the performance of an adaptive-optics system degraded by a wide variety of effects acting together or alone. In the study conducted here the normalized antenna gain (or Strehl ratio) is evaluated for a system degraded by turbulence, anisoplanatism, a finite servo bandwidth, and a combination of anisoplanatism and a finite servo bandwidth. A diameter dependence of these effects is established, illustrating that the degrading influence associated with a finite servo bandwidth is less severe than the degrading influence associated with anisoplanatism over a wide range of diameters. For the case of a small-diameter system degraded by anisoplanatism, system performance improves slightly when a finite servo bandwidth is introduced. ¬© 1984 Optical Society of America.</t>
  </si>
  <si>
    <t>251-262</t>
  </si>
  <si>
    <t>Journal of the Optical Society of America A: Optics and Image Science, and Vision</t>
  </si>
  <si>
    <t>Tyler, Glenn A.</t>
  </si>
  <si>
    <t>Placentia</t>
  </si>
  <si>
    <t>Optical Sciences Company</t>
  </si>
  <si>
    <t>Tyler G.</t>
  </si>
  <si>
    <t>Turbulence-induced adaptive-optics performance degradation: Evaluation in the time domain</t>
  </si>
  <si>
    <t>10.1364/JOSAA.1.000251</t>
  </si>
  <si>
    <t>2-s2.0-0021385726</t>
  </si>
  <si>
    <t>['various parts', 'trunk networks', 'satellite equipment', 'retrieval systems', 'equipment used', 'cable tv', 'associated equipment', 'also described']</t>
  </si>
  <si>
    <t>Types of cable, antennas, and other equipment used in cable TV, CATV, and satellite broadcast TV in the Netherlands are described. Their manufacturers are listed and their facilities are introduced. The applications of the equipment in various parts of the country are presented. The trunk networks, subscriber feed cables, coaxial bamboo CATV cables, optical fiber cables, various connecting devices, satellite equipment, aerials, disks and other associated equipment are considered. Available services including information services and retrieval systems are also described.</t>
  </si>
  <si>
    <t>312-320</t>
  </si>
  <si>
    <t>Cable television engineering</t>
  </si>
  <si>
    <t>Hall, Tom</t>
  </si>
  <si>
    <t>Hall T.</t>
  </si>
  <si>
    <t>CABLE TV IN THE NETHERLANDS.</t>
  </si>
  <si>
    <t>2-s2.0-0021385752</t>
  </si>
  <si>
    <t>['various countries', 'special regard', 'solutions reported', 'results obtained', 'resulting errors', 'radiation measurements', 'mutual impedance', 'meter method', 'measured values', 'field conditions']</t>
  </si>
  <si>
    <t>Procedures to assess the test site suitability for radiation measurements are considered with special regard to the IEC standard 3-meter method. This method has shown poor agreement between calculated and measured values: this drawback, the resulting errors and their causes are considered. In order to reduce or remove these errors, the IEC Publication 106 was recently revised according to the solutions reported in the paper. The amendments are supported by recent experimental results of various countries: the results obtained in Italy are shown and compared with the theoretical site attenuation curves, derived from the theory of mutual impedance between antennas and from the simpler calculation valid in far-field conditions.</t>
  </si>
  <si>
    <t>84-90</t>
  </si>
  <si>
    <t>Alta frequenza</t>
  </si>
  <si>
    <t>6602471195;6602453650</t>
  </si>
  <si>
    <t>Borsero, Michele;Nano, Ermanno</t>
  </si>
  <si>
    <t>Borsero M.</t>
  </si>
  <si>
    <t>TEST SITE FOR RADIO-INTERFERENCE MEASUREMENTS: ERRORS IN PERFORMING THE SITE CALIBRATION.</t>
  </si>
  <si>
    <t>2-s2.0-0021386038</t>
  </si>
  <si>
    <t>['rapid determination', 'computer modeling']</t>
  </si>
  <si>
    <t>The concepts of ‚Äúequivalent linear arrays‚Äù and ‚Äúminimum effective spacing‚Äù can be used to simplify the analysis of planar adaptive arrays. The resulting design rules permit the rapid determination of array configurations without the need for computer modeling. ¬© 1984 IEEE</t>
  </si>
  <si>
    <t>199-202</t>
  </si>
  <si>
    <t>Flam, R. P.</t>
  </si>
  <si>
    <t>Horsham</t>
  </si>
  <si>
    <t>Flam &amp; Russell Inc</t>
  </si>
  <si>
    <t>Flam R.</t>
  </si>
  <si>
    <t>Design Rules for Adaptive Arrays</t>
  </si>
  <si>
    <t>10.1109/TAES.1984.310440</t>
  </si>
  <si>
    <t>2-s2.0-0021386196</t>
  </si>
  <si>
    <t>['tower leg', 'scale measurements', 'power line', 'one tower', 'method computations', 'ground effects', 'good agreement', 'field strengths', 'detuning stubs', 'beneficial effect']</t>
  </si>
  <si>
    <t>Measurements and computations of field strengths and tower base currents are presented for a power line section consisting of 5 towers strung with skywires and illuminated by a nearby monopole antenna. This is done first without detuning stubs, and then with detuning stubs on one tower to reduce the re-radiation. Good agreement is obtained between moment-method computations and full-scale measurements. Computational modelling techniques to represent the power line, the detuning stubs and ground effects are given and validated. The beneficial effect of increased stub spacing from the tower leg is identified. ¬© 1984 IEEE</t>
  </si>
  <si>
    <t>17-26</t>
  </si>
  <si>
    <t>BC-30</t>
  </si>
  <si>
    <t>IEEE Transactions on Broadcasting</t>
  </si>
  <si>
    <t>6602307518;7003913442</t>
  </si>
  <si>
    <t>Tilston, M. A.;Balmain, K. G.</t>
  </si>
  <si>
    <t>Tilston M.</t>
  </si>
  <si>
    <t>Medium frequency reradiation from a steel tower power line with and without a detuner</t>
  </si>
  <si>
    <t>10.1109/TBC.1984.266512</t>
  </si>
  <si>
    <t>2-s2.0-0021386620</t>
  </si>
  <si>
    <t>['small size', 'scanning cone', 'radiation aperture', 'optimum design', 'minus 15', 'grating lobes', 'db sidelobes', 'db gain', 'bonding skins', 'band array', 'array grid']</t>
  </si>
  <si>
    <t>The design of an S-band receive array is outlined. This new receive array consists of the radiation aperture, substrate, feed, and bonding skins. A circular microstrip patch was selected for the lightweight radiation element because of its small size and well-known performance characteristics. Optimum design of the array grid is accomplished by considering the effects of grating lobes, sidelobes, and the expected scanning performance. The S-band array was optimized for a 28-dB gain, a 60-deg. scanning cone, and minus 15-dB sidelobes.</t>
  </si>
  <si>
    <t>7201495215;57196726511;57200927553</t>
  </si>
  <si>
    <t>Chuang, C. A.;Martin, D. J.;Moldovan, N.</t>
  </si>
  <si>
    <t>Chuang C.</t>
  </si>
  <si>
    <t>MINIATURIZATION TECHNIQUES BENEFIT CONFORMAL ARRAYS.</t>
  </si>
  <si>
    <t>2-s2.0-0021386701</t>
  </si>
  <si>
    <t>['spatially filters', 'satellite cross', 'pointing null', 'physically incompatible', 'mode spirals', 'mode helixes', 'interfering signals', 'impedance bandwidth', 'ground plane', 'either limited', 'deep null', 'broadband pattern', 'axial null']</t>
  </si>
  <si>
    <t>A satellite cross-link communications system needs an antenna with an earth-pointing null that spatially filters out interfering signals from ground-based sources within the satellite's field of view. Second-mode helixes, a turnstile above a ground plane, second-mode spirals, and higher-order-mode coaxial cavities provide an axial null, but are either limited in pattern/impedance bandwidth, or physically incompatible with the spacecraft. An eight-element UHF circularly polarized array has been developed that satisfies these requirements, providing a broadband pattern and a deep null.</t>
  </si>
  <si>
    <t>7404435969;7201415361</t>
  </si>
  <si>
    <t>Wong, J. L.;King, H. E.</t>
  </si>
  <si>
    <t>Wong J.</t>
  </si>
  <si>
    <t>UHF SATELLITE ARRAY NULLS ADJACENT SIGNALS.</t>
  </si>
  <si>
    <t>2-s2.0-0021386792</t>
  </si>
  <si>
    <t>['upper surface', 'transducer separation', 'transducer length', 'significantly different', 'redirected towards', 'important electrical', 'idt located', 'frequency response', 'form expressions', 'finger spacing', 'experimental measurements', 'delay line', 'crystal thickness', 'crystal bulk', 'crystal bottom', 'conventional pair', 'collimated beam', 'array antenna', 'analyzed characteristics', 'acoustic equivalent']</t>
  </si>
  <si>
    <t>The performance of a conventional pair of surface acoustic wave interdigital transducers (IDT‚Äôs) used to generate bulk acoustic waves is analyzed. An IDT located on the upper surface of a thick, rotated Y-cut quartz crystal acts as the acoustic equivalent of an array antenna, launching a collimated beam into the crystal bulk. The beam is reflected off the crystal bottom and redirected towards the upper crystal surface where it is intercepted by a second receiving IDT. Closed-form expressions are derived for the important electrical and acoustical delay line characteristics and comparison is made with experimental measurements. The analyzed characteristics of the reflected bulk wave (RBW) delay line are significantly different from either the SAW or SSBW and include a) a frequency bandwidth directly proportional to transducer length, b) a center frequency determined not by finger-to-finger spacing but rather by the ratio of transducer separation to crystal thickness, c) a nonresonant radiation resistance, d) the capability to synthesize filter designs in which the frequency response is proportional to the correlation of the individual transducer finger weightings, and e) the capability to modify temperature stability by change of transducer separation and crystal thickness. ¬© 1984 IEEE</t>
  </si>
  <si>
    <t>67-76</t>
  </si>
  <si>
    <t>60008279;60005304</t>
  </si>
  <si>
    <t>6603575691;7406668361</t>
  </si>
  <si>
    <t>Goodberlet, Mark A.;Lee, Donald L.</t>
  </si>
  <si>
    <t>Orono;Waltham</t>
  </si>
  <si>
    <t>University of Maine;Raytheon</t>
  </si>
  <si>
    <t>Goodberlet M.A.</t>
  </si>
  <si>
    <t>The Excitation and Detection of Surface-Generated Bulk Waves</t>
  </si>
  <si>
    <t>10.1109/T-SU.1984.31478</t>
  </si>
  <si>
    <t>2-s2.0-0021386838</t>
  </si>
  <si>
    <t>['wave plate', 'thin copper', 'susceptive loading', 'radiated field', 'polarization plate', 'paper discusses', 'grids etched', 'csiro division', '5 ghz']</t>
  </si>
  <si>
    <t>A device to rotate the plane of polarization of a linearly polarized wave has been developed at the CSIRO Division of Radiophysics for use with the Interscan microwave landing system, which operates at 5 GHz. The rotation is obtained by introducing a half-wave plate (a 180 degree differential phase shift between the components of the incident wave parallel to the two principal axes of the polarization plate) in the path of the radiated field. Susceptive loading by three cascaded grids of thin metallic strips produces the required differential phase shift. The grids etched on thin copper-clad fiberglass boards use strips having a 'monorail' structure which is very convenient in practice. The paper discusses the design, construction and performance of the rotator.</t>
  </si>
  <si>
    <t>43-48</t>
  </si>
  <si>
    <t>Journal of Electrical and Electronics Engineering, Australia</t>
  </si>
  <si>
    <t>Kachwalla, S.</t>
  </si>
  <si>
    <t>Kachwalla S.</t>
  </si>
  <si>
    <t>POLARISATION ROTATOR USING 'MONORAIL' STRIPS.</t>
  </si>
  <si>
    <t>2-s2.0-0021387067</t>
  </si>
  <si>
    <t>['simulation experiments', 'optimum step', 'endfire subarrays', 'dec 1090']</t>
  </si>
  <si>
    <t>Optimum step-size random search and random pattern search methods are applied to power optimization problem of adaptive antenna system. Both full and partial adaptive systems have been considered. Simulation experiments have been conducted in DEC 1090, to prove the capabilities of such a system. Broadside and endfire subarrays for partial adaptive system have been simulated. It has been shown that m-subarray partial adaptive system gives better signal-to-noise ratio compared to m-element full adaptive system.</t>
  </si>
  <si>
    <t>49-51</t>
  </si>
  <si>
    <t>Palanivelu, T. G.</t>
  </si>
  <si>
    <t>Palanivelu T.G.</t>
  </si>
  <si>
    <t>POWER OPTIMIZING ADAPTIVE ANTENNA ARRAYS.</t>
  </si>
  <si>
    <t>10.1080/03772063.1984.11453231</t>
  </si>
  <si>
    <t>2-s2.0-0021388484</t>
  </si>
  <si>
    <t>['tube antennas', 'paper shows']</t>
  </si>
  <si>
    <t>The paper shows how the VSWR of dielectric-tube antennas can be lowered by improving their monopole feed parameters.</t>
  </si>
  <si>
    <t>112-113</t>
  </si>
  <si>
    <t>57217520209;56721541500</t>
  </si>
  <si>
    <t>Dong, W. R.;Sengupta, D. L.</t>
  </si>
  <si>
    <t>Dong W.R.</t>
  </si>
  <si>
    <t>OPTIMIZE PERFORMANCE OF DIELECTRIC TUBE ANTENNAS.</t>
  </si>
  <si>
    <t>2-s2.0-0021388516</t>
  </si>
  <si>
    <t>['within plus', 'urban districts', 'power density', 'omnidirectional antenna', 'minus 3', 'minus 2', 'frequency range', 'electromagnetic compatibility', 'correction factors', '80 mhz', '350 mhz', '3 db', '1000 mhz', '0 db']</t>
  </si>
  <si>
    <t>A description is presented of an omnidirectional antenna developed for measuring the power density of radio waves radiated in urban districts, from the standpoint of electromagnetic compatibility. Its principle and concept for development as well as the details of the construction are described. It was designed to be used in the frequency range from 80 MHz to 1000 MHz. Characteristics of the omnidirectional antenna, that is, the pattern and correction factors are shown, and its deviations from the ideal omnidirectional pattern are within plus or minus 2. 0 db in the frequency range from 80 MHz to 350 MHz, and plus or minus 3. 3 db from 350 MHz to 1000 MHz.</t>
  </si>
  <si>
    <t>19-30</t>
  </si>
  <si>
    <t>Journal of the Radio Research Laboratory</t>
  </si>
  <si>
    <t>7005910499;6601962268;36176445900;57206128728;7203038166</t>
  </si>
  <si>
    <t>Kawana, Tatsuichi;Tsuzuku, Aiichiro;Sugiura, Akira;Tokushige, Kango;Yamanaka, Yukio</t>
  </si>
  <si>
    <t>Kawana T.</t>
  </si>
  <si>
    <t>OMNIDIRECTIONAL ANTENNA FOR MEASURING POWER DENSITY OF RADIO WAVES RADIATED IN URBAN DISTRICTS.</t>
  </si>
  <si>
    <t>2-s2.0-0021388547</t>
  </si>
  <si>
    <t>['rf amplifier', 'radar systems', 'polarization configuration', 'passive reflectors', 'major advantages', 'conducting high', 'calibrating radars', 'broad pattern']</t>
  </si>
  <si>
    <t>An active radar calibrator (ARC), consisting of a receive-antenna and a transmit-antenna, with an RF amplifier in between, is proposed as a tool for conducting high-precision calibration measurements of radar systems. The ARC can be designed to have a large radar cross section and a broad pattern. Its major advantages over passive reflectors are its small physical size and its suitability for calibrating radars that operate in any polarization configuration. ¬© 1984 IEEE.</t>
  </si>
  <si>
    <t>165-169</t>
  </si>
  <si>
    <t>60032121;60032121</t>
  </si>
  <si>
    <t>6603387840;7103159953</t>
  </si>
  <si>
    <t>Brunfeldt, David R.;Ulaby, Fawwaz T.</t>
  </si>
  <si>
    <t>Lawrence</t>
  </si>
  <si>
    <t>University of Kansas Center for Research</t>
  </si>
  <si>
    <t>Brunfeldt D.R.</t>
  </si>
  <si>
    <t>Active Reflector for Radar Calibration</t>
  </si>
  <si>
    <t>10.1109/TGRS.1984.350610</t>
  </si>
  <si>
    <t>2-s2.0-0021389061</t>
  </si>
  <si>
    <t>['windows requiring', 'visitor rooms', 'paper describes', 'neighboring populace', 'located underground', 'dining rooms', 'diameter holes', 'circular hollow', 'central austria']</t>
  </si>
  <si>
    <t>The paper describes a ground relay station for receiving and transmitting satellite telecommunication in the midst of fields and meadows in central Austria. As a result of action by the neighboring populace, all buildings were located underground, with the final slope elevations almost unchanged from the original. Ninety-foot-diameter holes were hollowed out for each of the ninety-foot-wide parabolic antennas and the central operations building. The operations building uses the circular hollow as a court, lodging electrical supply rooms into the hill on the north, control rooms facing the court on the south, and on the outer southern circumference, lounges, dining rooms, and visitor rooms, with windows requiring the minimum slit cut into the earth.</t>
  </si>
  <si>
    <t>72-77</t>
  </si>
  <si>
    <t>Progressive architecture</t>
  </si>
  <si>
    <t>Doubilet, Susan</t>
  </si>
  <si>
    <t>Doubilet S.</t>
  </si>
  <si>
    <t>TREAD SOFTLY, CARRY A BIG DISH.</t>
  </si>
  <si>
    <t>2-s2.0-0021389333</t>
  </si>
  <si>
    <t>['tut ).', 'quiet zone', 'plane wave', 'performance alternative', 'paper describes', 'minimum encompasses', 'measurement facility', 'diagonal horn', 'broad bandwidth', 'associated transmit', 'anechoic chamber']</t>
  </si>
  <si>
    <t>The goal of a high-quality indoor radar cross section (RCS) measurement facility is to determine the RCS of a target as a function of the angle of incidence of a plane wave. This must be achieved over a wide RCS dynamic range and broad bandwidth. To achieve uncorrupted RCS measurements, an anechoic chamber with its associated transmit and receive antennas must be designed in such a way that a 'quiet zone' is obtained, which at a minimum encompasses the target under test (TUT). The paper describes the use of the diagonal horn which offers a high-performance alternative that particularly helps RCS measurements.</t>
  </si>
  <si>
    <t>9942600400;6505945937</t>
  </si>
  <si>
    <t>Foti, Stephen J.;McGahey, Daniel D.</t>
  </si>
  <si>
    <t>Foti S.J.</t>
  </si>
  <si>
    <t>DIAGONAL HORN IMPROVES ANECHOIC CHAMBER TESTS.</t>
  </si>
  <si>
    <t>2-s2.0-0021389955</t>
  </si>
  <si>
    <t>['spiral configuration', 'sheath model', 'planar equi', 'originally proposed', 'impulse response', 'finite duration', 'explicit inversion', 'current response', 'closed form', 'called method', 'angle parameter']</t>
  </si>
  <si>
    <t>The impulse response of a planar equi-angular spiral antenna is studied on the basis of the sheath model. An expression for the current in the spirally conducting sheath due to an impulsive electric dipole in the center is found in closed form, applying the so-called method of explicit inversion, originally proposed by L. Cagniard. It appears that the current response has a finite duration which is governed by the angle parameter of the spiral configuration.</t>
  </si>
  <si>
    <t>89-92</t>
  </si>
  <si>
    <t>AEU. Archiv fur Elektronik und Ubertragungstechnik</t>
  </si>
  <si>
    <t>Kooy, Cornelis</t>
  </si>
  <si>
    <t>Kooy C.</t>
  </si>
  <si>
    <t>IMPULSE RESPONSE OF A PLANAR SHEATH EQUI-ANGULAR SPIRAL ANTENNA.</t>
  </si>
  <si>
    <t>2-s2.0-0021392142</t>
  </si>
  <si>
    <t>['tvro characteristics', 'transmission parameters', 'system presented', 'system noise', 'required performance', 'path losses', 'one type', 'geostationary orbit', 'fairly simple', 'calculations involved', 'antenna gain']</t>
  </si>
  <si>
    <t>The benefits of the geostationary earth orbiting satellite are considered as the means of distribution of TV and other services, and the pros and cons are given of one type of receiving system versus another. The system presented is called Television Receive Only (TVRO) and the calculations involved in selecting the equipment are given in fairly simple and easily understood terms. The geostationary orbit, elevation, azimuth and distance of the communication satellite involved are calculated. The path losses, antenna gain, system noise and other transmission parameters are established, and the required performance of TVRO is determined. A computer program written for Sinclair ZX81 microcomputer is furnished to perform all the calculations of TVRO characteristics.</t>
  </si>
  <si>
    <t>303-309</t>
  </si>
  <si>
    <t>Seacombe, Ray J.</t>
  </si>
  <si>
    <t>Seacombe R.</t>
  </si>
  <si>
    <t>BASICS OF CABLE TV ENGINEERING. 9. RECEIVING FROM SATELLITES.</t>
  </si>
  <si>
    <t>2-s2.0-0021392204</t>
  </si>
  <si>
    <t>['wave receivers', 'uses hot', 'storage normalizer', 'spectrum analyzer', 'simple method', 'power meter', 'inherent inaccuracies', 'frequency response']</t>
  </si>
  <si>
    <t>A simple method has been developed to measure the frequency response of millimeter-wave receivers. The technique, which uses hot and cold loads alternately placed in front of the receiver, needs no corrections for the inherent inaccuracies of other common measurement procedures. The new technique requires only a spectrum analyzer, a power meter, and a storage normalizer.</t>
  </si>
  <si>
    <t>Vowinkel, Bernd</t>
  </si>
  <si>
    <t>Vowinkel B.</t>
  </si>
  <si>
    <t>SIMPLIFIED RECEIVER RESPONSE MEASUREMENTS.</t>
  </si>
  <si>
    <t>2-s2.0-0021392232</t>
  </si>
  <si>
    <t>['transmitting antenna', 'techniques ensure', 'paper describes', 'null fill', 'beam tilt']</t>
  </si>
  <si>
    <t>The paper describes the techniques of beam tilt and null fill for land-mobile communication systems. The techniques ensure the maximum area coverage by a transmitting antenna.</t>
  </si>
  <si>
    <t>Weinstein, Steven</t>
  </si>
  <si>
    <t>Weinstein S.</t>
  </si>
  <si>
    <t>OPTIMIZE VERTICAL PATTERN FOR MORE EFFICIENT COVERAGE.</t>
  </si>
  <si>
    <t>2-s2.0-0021392722</t>
  </si>
  <si>
    <t>['spatial wavetrain', 'magnetic field', 'linear antenna', 'fluid model', 'electric potential', 'cone angle', 'cone amplitude']</t>
  </si>
  <si>
    <t>It is found that the antenna‚Äôs finite length is sufficient to remove the singularity of the electric potential on the cone without introducing collisions and temperature. This can be understood by recognizing the relationship of the Fourier conjugates Ax Œîk &gt; 1/2 for a spatial wavetrain. The cone amplitude, as well as the cone angle, can be used as a means to diagnose plasma density and magnetic field. A fluid model is used to analyze the case of a linear antenna with gate function charge distribution. ¬© 1984 IEEE</t>
  </si>
  <si>
    <t>IEEE Transactions on Plasma Science</t>
  </si>
  <si>
    <t>60013372;60001865;60001865</t>
  </si>
  <si>
    <t>7004532598;55441061100;6603668798</t>
  </si>
  <si>
    <t>Oakes, M. E.;Tsui, K. H.;Serbeto, A. P.B.</t>
  </si>
  <si>
    <t>United States;Brazil</t>
  </si>
  <si>
    <t>Austin;Niteroi</t>
  </si>
  <si>
    <t>The University of Texas at Austin;Universidade Federal Fluminense</t>
  </si>
  <si>
    <t>60013372;60001865</t>
  </si>
  <si>
    <t>Oakes M.E.</t>
  </si>
  <si>
    <t>Effects of Finite Length Antenna on Cold Plasma Resonance Cone Potential</t>
  </si>
  <si>
    <t>10.1109/TPS.1984.4316284</t>
  </si>
  <si>
    <t>2-s2.0-0021392862</t>
  </si>
  <si>
    <t>['various kinds', 'ultrasonic diagnosis', 'tutorial paper', 'spaced targets', 'signal source', 'seismic exploration', 'resolve closely', 'receiving arrays', 'mathematical basis', 'many fields', 'first presented', 'covered briefly', 'brief review', 'array processing']</t>
  </si>
  <si>
    <t>Arrays of receivers are used in many fields - in radio, radar, sonar, seismic exploration, ultrasonic diagnosis, and so forth - to detect weak signals, to resolve closely-spaced targets and to estimate the bearing and other properties of a signal source. This tutorial paper is concerned with the theory of receiving arrays, which is common across several fields. A limited theoretical development is first presented to introduce the mathematical basis and the terminology of the topic. Then a brief review is made of several array processing techniques with some discussion of theory and performance. Beamformers of various kinds are considered. The application of some important spectral analysis techniques to array processing is outlined. Adaptive processing techniques are covered briefly.</t>
  </si>
  <si>
    <t>6507958829;6603331551</t>
  </si>
  <si>
    <t>d'Assumpcao, H. A.;Mountford, G. E.</t>
  </si>
  <si>
    <t>d'Assumpcao H.</t>
  </si>
  <si>
    <t>OVERVIEW OF SIGNAL PROCESSING FOR ARRAYS OF RECEIVERS.</t>
  </si>
  <si>
    <t>2-s2.0-0021392887</t>
  </si>
  <si>
    <t>['using circular', 'simple calculations', 'optimum phases', 'obtained directly', 'experiments show', 'experiments carried', 'desired directions', 'deep null', 'arc antennas']</t>
  </si>
  <si>
    <t>Methods for forming a null by only phase control based on search algorithm require complex calculations. A method is presented that is based on beam superposition without search algorithm. Due to this method, optimum phases are obtained directly by simple calculations. To confirm the usefulness of this method, experiments carried out by using circular-arc antennas have been done. Results of experiments show that a deep null can be formed at desired directions.</t>
  </si>
  <si>
    <t>E67</t>
  </si>
  <si>
    <t>0387236X</t>
  </si>
  <si>
    <t>Transactions of the Institute of Electronics and Communication Engineers of Japan. Section E</t>
  </si>
  <si>
    <t>7004961264;6505819309;7006380481;7004304668</t>
  </si>
  <si>
    <t>Chiba, Isamu;Numazaki, Tadashi;Mano, Seiji;Katagi, Takashi</t>
  </si>
  <si>
    <t>Chiba I.</t>
  </si>
  <si>
    <t>NULL FORMING BY PHASE CONTROL IN ARRAY ANTENNAS.</t>
  </si>
  <si>
    <t>2-s2.0-0021392910</t>
  </si>
  <si>
    <t>['surface tissues', 'lower frequencies', 'field absorption', 'cancerous tumors', 'applicator systems', '40 mhz']</t>
  </si>
  <si>
    <t>Hyperthermia at temperatures of 43-45 degree C has been used in conjunction with radiation and chemotherapy for treatment of cancerous tumors. The purpose of this paper is to present some calculated power absorption characteristics for low-frequency (13-40 MHz) applicator systems that explain the nature of near-field absorption at lower frequencies, and to indicate the feasibility of some low-frequency dipole arrays for producing deep regional heating without overheating the surface tissues.</t>
  </si>
  <si>
    <t>7404968535;7006062328;7201640781</t>
  </si>
  <si>
    <t>Tsai, C. T.;Durney, C. H.;Christensen, D. A.</t>
  </si>
  <si>
    <t>Tsai C.</t>
  </si>
  <si>
    <t>CALCULATED POWER ABSORPTION PATTERNS FOR HYPERTHERMIA APPLICATORS CONSISTING OF ELECTRIC DIPOLE ARRAYS.</t>
  </si>
  <si>
    <t>10.1080/16070658.1984.11689345</t>
  </si>
  <si>
    <t>2-s2.0-0021394061</t>
  </si>
  <si>
    <t>['pyramidal horn', 'first application', 'electronics engineers', '4 ghz', '120k lna']</t>
  </si>
  <si>
    <t>A metal plate Fresnel lens antenna with aperture dimensions 12 ft X 12 ft, and fed by a pyramidal horn has been built for satellite TV reception at 4 GHz. When used with a commercial receiver equipped with a 120K LNA it produced good video pictures from the geostationary satellite Satcom F3. We believe this to be the first application of a Fresnel lens antenna for ground-based satellite TV reception. Copyright ¬© 1984 by The Institute of Electrical and Electronics Engineers, Inc.</t>
  </si>
  <si>
    <t>306-307</t>
  </si>
  <si>
    <t>60010365;60010365;60010365;60010365</t>
  </si>
  <si>
    <t>7801683640;7404813482;7201410298;7102390312</t>
  </si>
  <si>
    <t>Shuter, W. L.H.;Chan, C. P.;Li, E. W.P.;Yeung, A. K.C.</t>
  </si>
  <si>
    <t>Vancouver</t>
  </si>
  <si>
    <t>The University of British Columbia</t>
  </si>
  <si>
    <t>Shuter W.</t>
  </si>
  <si>
    <t>A Metal Plate Fresnel Lens for 4 GHz Satellite TV Reception</t>
  </si>
  <si>
    <t>10.1109/TAP.1984.1143301</t>
  </si>
  <si>
    <t>2-s2.0-0021395151</t>
  </si>
  <si>
    <t>['time taken', 'scanning time', 'resolution capability', 'new concept', 'measurement time', 'fundamental limitation', 'electronics engineers', 'e .,', 'discussed quantitatively', 'desired angle', 'defined according']</t>
  </si>
  <si>
    <t>A fundamental limitation in an adaptive superresolution array, due to reciprocity between the angular resolution capability and the measurement time required, is discussed. For this purpose, a new concept for the measurement time, a scanning time concept, is introduced by considering a superresolution array consisting of an Applebaum-Howells adaptive processor with steering signal changing periodically with time. The measurement time is defined as the amount of time taken to perform one observation over the range of desired angle. Superresolution array output is defined according to the adapted angular response formulation. It is shown that the relationship between the resolution capability and the scanning time is reciprocal, i.e., the increased angular resolution is obtained at the expense of the scanning time. The relationship is discussed quantitatively for a narrow-band signal model. Copyright ¬© 1984 by The Institute of Electrical and Electronics Engineers, Inc.</t>
  </si>
  <si>
    <t>213-218</t>
  </si>
  <si>
    <t>60018735;60018735;60003500;60018735</t>
  </si>
  <si>
    <t>7402452132;7005899861;57197579007;7201640352</t>
  </si>
  <si>
    <t>Ueno, Motoharu;Morooka, Tasuku;Kawabata, Kazuaki;Kawabata, Kazuaki</t>
  </si>
  <si>
    <t>Japan;United States</t>
  </si>
  <si>
    <t>Tokyo;Columbus</t>
  </si>
  <si>
    <t>Toshiba Corporation;The Ohio State University</t>
  </si>
  <si>
    <t>60018735;60003500</t>
  </si>
  <si>
    <t>Ueno M.</t>
  </si>
  <si>
    <t>Scanning Limitation in Adaptive Superresolution Array</t>
  </si>
  <si>
    <t>10.1109/TAP.1984.1143302</t>
  </si>
  <si>
    <t>2-s2.0-0021395999</t>
  </si>
  <si>
    <t>['system capacity', 'multipath fading', 'increasing interest', 'coverage lmss', '600 mhz']</t>
  </si>
  <si>
    <t>In view of the increasing interest in initiating a Land-Mobile Satellite System (LMSS) to complement cellular terrestrial-mobile communication systems, the relationships between space segment mass, mobile terminal characteristics, and system capacity are presented for a 'start-up' (or experimental) contiguous United States (CONUS) coverage LMSS. Multipath fading, mobile terminal antennas, and voice modulation alternatives have been studied. Models for multipath fading vs mobile terminal antenna gain, for mobile terminal costs vs mobile terminal antenna gain, and for space payload mass are developed for LMSS's operating in the bands near 800 and 1,600 MHz.</t>
  </si>
  <si>
    <t>137-164</t>
  </si>
  <si>
    <t>COMSAT Technical Review</t>
  </si>
  <si>
    <t>Spring</t>
  </si>
  <si>
    <t>Sandrin, William A.</t>
  </si>
  <si>
    <t>Sandrin W.</t>
  </si>
  <si>
    <t>LAND-MOBILE SATELLITE START-UP SYSTEMS.</t>
  </si>
  <si>
    <t>2-s2.0-0021396789</t>
  </si>
  <si>
    <t>['system considerations', 'state transmitters', 'significant advances', 'sidelobe antennas', 'reasonable complexity', 'radar signals', 'profound effect', 'previously cumbersome', 'performance characteristics', 'many techniques', 'digital technology', 'conversion process']</t>
  </si>
  <si>
    <t>The progress in digital technology has had a profound effect on radar signal processing. As a result, many techniques, previously cumbersome or impractical to implement, can now be included at reasonable complexity and cost. Along with low-sidelobe antennas and solid-state transmitters, modern digital technology is responsible for some of the most significant advances in current radar design. In this paper some of the key processing features of a modern pulsed search radar are reviewed. System considerations and performance characteristics are emphasized and the only hardware aspect addressed is the A/D conversion process. This operation is the key to the transformation of analog IF radar signals into an accurate equivalent complex digital representation.</t>
  </si>
  <si>
    <t>Hansen, Gregers V.</t>
  </si>
  <si>
    <t>Hansen G.</t>
  </si>
  <si>
    <t>TOPICS IN RADAR SIGNAL PROCESSING. PART 1: OVERVIEW AND COHERENT PROCESSING TECHNIQUES.</t>
  </si>
  <si>
    <t>2-s2.0-0021398454</t>
  </si>
  <si>
    <t>['obtained results', 'experimental data', 'discussed containing']</t>
  </si>
  <si>
    <t>A problem of the stability of a system is discussed containing a set of identical parametric amplifiers that are loaded by a system of identical interacting radiators. Owing to the fact that the system is symmetrical, the solution of this problem can be represented in a comparatively simple form permitting a clear physical interpretation. An example of using the obtained results and experimental data are given.</t>
  </si>
  <si>
    <t>20-25</t>
  </si>
  <si>
    <t>55412285800;7004102181</t>
  </si>
  <si>
    <t>Zaitsev, E. F.;Komarov, Yu A.</t>
  </si>
  <si>
    <t>Zaitsev E.</t>
  </si>
  <si>
    <t>EFFECT OF THE INTERACTION BETWEEN ELEMENTS ON THE STABILITY OF AN ACTIVE PHASED ANTENNA ARRAY WITH PARAMETRIC AMPLIFIERS.</t>
  </si>
  <si>
    <t>2-s2.0-0021398508</t>
  </si>
  <si>
    <t>['resonant circular', 'region 2', 'region 1', 'practical situation', 'plane waves', 'permittivities 2', 'pattern function', 'numerical results', 'material half', 'loop antenna', 'integrals representing', 'infinitesimal electric', 'good agreement', 'general antenna', 'fresh water', 'evaluated asymptotically', 'electronics engineers', 'directivity ).', 'directive transmission', 'directive properties', 'dielectric half', 'define quantities', 'antennas might', '1 greater']</t>
  </si>
  <si>
    <t>The directive properties of antennas for transmission into a material half-space are investigated. In a practical situation, the antennas might be located in air with the directive transmission into the earth. The field of a general antenna over the half-space is expressed as a spectrum of plane waves. The integrals representing the field are evaluated asymptotically to obtain the ‚Äúgeometrical optics‚Äù field of the antenna, and this field is used to define quantities that describe the directive properties of the antenna (pattern function, gain, and directivity). Numerical results are presented for infinitesimal electric and magnetic horizontal dipole antennas in a dielectric half-space, region 1, with directive transmission into the adjacent dielectric half-space, region 2, and the ratio of permittivities 2/ 1 greater than one. The theory for the infinitesimal dipoles completely explains the directive properties previously obtained for the resonant circular-loop antenna over a material half-space. Measured field patterns and gains for dipole and loop antennas near an interface between air and fresh water are in good agreement with the theory. Copyright ¬© 1984 by The Institute of Electrical and Electronics Engineers, Inc.</t>
  </si>
  <si>
    <t>232-246</t>
  </si>
  <si>
    <t>Smith, Glenn S.</t>
  </si>
  <si>
    <t>Atlanta</t>
  </si>
  <si>
    <t>Georgia Institute of Technology</t>
  </si>
  <si>
    <t>Smith G.</t>
  </si>
  <si>
    <t>Directive Properties of Antennas for Transmission into a Material Half-Space</t>
  </si>
  <si>
    <t>10.1109/TAP.1984.1143307</t>
  </si>
  <si>
    <t>2-s2.0-0021398570</t>
  </si>
  <si>
    <t>['weight vector', 'normal noise', 'noise criterion', 'correlation matrix', 'antenna array', 'adder combining']</t>
  </si>
  <si>
    <t>A method of estimating the optimum (according to the signal-to-noise criterion) weight vector of an adder combining the elements of an antenna array is discussed. The method is intended for a case when the set of the eigenvalues of the correlation matrix of noise can be divided into subsets of 'large' and 'small' values and the number of elements in these subsets is known. Asymptotic expressions characterizing the effectiveness of the method in the case of normal noise are given.</t>
  </si>
  <si>
    <t>16-19</t>
  </si>
  <si>
    <t>Leksachenko, V. A.</t>
  </si>
  <si>
    <t>Leksachenko V.</t>
  </si>
  <si>
    <t>METHOD OF ANTENNA ARRAY ADAPTATION.</t>
  </si>
  <si>
    <t>2-s2.0-0021398586</t>
  </si>
  <si>
    <t>['various couplers', 'shift behavior', 'phase shifters', 'next follows', 'millican circuit', 'microwave frequencies', 'general coupling', 'forming process', 'filament spirals', 'brief section', 'beam formers', 'another section', 'actual systems', 'actual design']</t>
  </si>
  <si>
    <t>The second of a two-part paper discusses mode formers for multi-filament spirals. First the asymmetric, and then the symmetric, circuits after Millican and Shelton are reviewed. The Millican circuit is analyzed in detail, showing circuit performance for very general coupling and phase-shift behavior. Next follows an explanation of the beam-forming process. A very brief section on the synthesis and design of the various couplers, phase shifters, and power dividers lists what are considered useful references for the actual design of both mode and beam formers at microwave frequencies. Next, another section on practical design considerations provides a few hints on materials and the layout of actual systems. Part Two concludes with experimental M2 antenna patterns measured over a 50:1 bandwidth ratio.</t>
  </si>
  <si>
    <t>Mosko, Joseph A.</t>
  </si>
  <si>
    <t>Mosko J.</t>
  </si>
  <si>
    <t>INTRODUCTION TO WIDEBAND, TWO-CHANNEL, DIRECTION-FINDING SYSTEMS: PART II.</t>
  </si>
  <si>
    <t>2-s2.0-0021401439</t>
  </si>
  <si>
    <t>['polarization diversity', 'odd modes', 'odd excitations', 'narrow wall', 'limited analytical', 'geodesic antennas', 'experimental data', 'electronics engineers', 'amplitude control']</t>
  </si>
  <si>
    <t>Descriptions and limited analytical and experimental data on various slot radiators in the narrow wall of septated rectangular waveguides operating in even and odd modes are presented. Some of the advantages over conventional waveguide slot radiators are 1) polarization diversity, 2) arbitrary prescribed phase and amplitude control at each slot, 3) they can have the advantages of directionally coupled radiators, 4) the concepts can be applied to septated or two-layer parallel plate antennas such as pillboxes and other geodesic antennas with even and odd excitations. Copyright ¬© 1984 by The Institute of Electrical and Electronics Engineers, Inc.</t>
  </si>
  <si>
    <t>247-251</t>
  </si>
  <si>
    <t>60005304;60005304;60005304</t>
  </si>
  <si>
    <t>56969274400;6603189024;7103027332</t>
  </si>
  <si>
    <t>Ajioka, Mjames S.;Joe, Dick M.;McFarland, Jerry L.</t>
  </si>
  <si>
    <t>Ajioka M.</t>
  </si>
  <si>
    <t>Slot Radiators in Septated Waveguide</t>
  </si>
  <si>
    <t>10.1109/TAP.1984.1143295</t>
  </si>
  <si>
    <t>2-s2.0-0021401497</t>
  </si>
  <si>
    <t>['terminal voltage', 'electronics engineers', 'computed results']</t>
  </si>
  <si>
    <t>The terminal voltage of a receiving dipole antenna is dependent on the antenna current distribution which in turn is dependent on its feed-point load impedance. Computed results of the terminal voltage are presented for dipole antenna half-lengths up to 1.0Œª. Copyright ¬© 1984 by The Institute of Electrical and Electronics Engineers, Inc.</t>
  </si>
  <si>
    <t>307-309</t>
  </si>
  <si>
    <t>60031004;60031004</t>
  </si>
  <si>
    <t>54934557900;24579838100</t>
  </si>
  <si>
    <t>Tang, T.;Gunn, M. W.</t>
  </si>
  <si>
    <t>Brisbane</t>
  </si>
  <si>
    <t>The University of Queensland</t>
  </si>
  <si>
    <t>Tang T.</t>
  </si>
  <si>
    <t>The Terminal Voltage of a Receiving Dipole Antenna</t>
  </si>
  <si>
    <t>10.1109/TAP.1984.1143313</t>
  </si>
  <si>
    <t>2-s2.0-0021401618</t>
  </si>
  <si>
    <t>['scattering process', 'hemisphere pattern', 'electronics engineers', 'blockage effect']</t>
  </si>
  <si>
    <t>The aperture blockage effects on both the copolarized and the cross polarized components of the front-hemisphere pattern of a typical quadrupod supported primary-feed paraboloidal reflector antenna are evaluated. A detailed numerical model of the scattering process which involves the feed, the feed supporting struts, and the reflector itself is employed to compute the blockage effect. Copyright ¬© 1984 by The Institute of Electrical and Electronics Engineers, Inc.</t>
  </si>
  <si>
    <t>282-287</t>
  </si>
  <si>
    <t>60000745;60000745;60000745</t>
  </si>
  <si>
    <t>7202288025;55197051100;7601396617</t>
  </si>
  <si>
    <t>Ko, Wai L.;Mittra, Raj;Lee, Shung Wu</t>
  </si>
  <si>
    <t>Urbana</t>
  </si>
  <si>
    <t>University of Illinois Urbana-Champaign</t>
  </si>
  <si>
    <t>Ko W.L.</t>
  </si>
  <si>
    <t>Aperture Blockage in Reflector Antennas</t>
  </si>
  <si>
    <t>10.1109/TAP.1984.1143309</t>
  </si>
  <si>
    <t>2-s2.0-0021401745</t>
  </si>
  <si>
    <t>['superresolution performance', 'spatial resolution', 'simple expressions', 'scalar operations', 'measured beampatterns', 'maximum likelihood', 'look direction', 'excellent match', 'enough time', 'electronics engineers', 'computer simulations', 'band line', 'approximation computations', 'analysis applies', 'allow close', 'adaptive weights', 'adaptive antennas']</t>
  </si>
  <si>
    <t>The superresolution performance of maximum likelihood (Frost) adaptive antennas is analyzed. Assuming that the adaptive weights have had enough time to converge to the optimal (Wiener) solution, the beampattern and spatial resolution of the array are computed. Simple expressions are derived which allow close-approximation computations of converged adaptive beampatterns using only scalar operations. The analysis applies to narrow-band line-array adaptive beamformers. Computer simulations are presented to verity the excellent match between theoretical and measured beampatterns for small angle deviations from the look direction. Copyright ¬© 1984 by The Institute of Electrical and Electronics Engineers, Inc.</t>
  </si>
  <si>
    <t>259-263</t>
  </si>
  <si>
    <t>Walach, Eugene</t>
  </si>
  <si>
    <t>Palo Alto</t>
  </si>
  <si>
    <t>Stanford University</t>
  </si>
  <si>
    <t>Walach E.</t>
  </si>
  <si>
    <t>On Superresolution Effects in Maximum Likelihood Adaptive Antenna Arrays</t>
  </si>
  <si>
    <t>10.1109/TAP.1984.1143296</t>
  </si>
  <si>
    <t>2-s2.0-0021401956</t>
  </si>
  <si>
    <t>['used extensively', 'symmetric even', 'predicted far', 'optics method', 'offset plane', 'offset parabolic', 'null positions', 'geometrical optics', 'general case', 'focal point', 'field patterns', 'field method', 'feeds located', 'electronics engineers', 'dual reflectors', 'diffraction analysis', 'asymmetric patterns', 'accurately predicting']</t>
  </si>
  <si>
    <t>Both geometrical optics (GO)/aperture-field and physical-optics (PO) methods are used extensively in the diffraction analysis of offset parabolic and dual reflectors. An analytical/numerical comparative study is performed to demonstrate the limitations of the GO/aperture-field method for accurately predicting the sidelobe and null positions and levels. In particular, it is shown that for offset parabolic reflectors and for feeds located at the focal point, the predicted far-field patterns (amplitude) by the GO/aperture-field method will always be symmetric even in the offset plane. This, of course, is inaccurate for the general case and it is shown that the physical-optics method can result in asymmetric patterns for cases in which the feed is located at the focal point. Representative numerical data are presented and a comparison is made with available measured data. Copyright ¬© 1984 by The Institute of Electrical and Electronics Engineers, Inc.</t>
  </si>
  <si>
    <t>301-306</t>
  </si>
  <si>
    <t>Rahmat-Samii, Yahya</t>
  </si>
  <si>
    <t>Rahmat-Samii Y.</t>
  </si>
  <si>
    <t>A Comparison Between GO/Aperture-Field and Physical-Optics Methods for Offset Reflectors</t>
  </si>
  <si>
    <t>10.1109/TAP.1984.1143300</t>
  </si>
  <si>
    <t>2-s2.0-0021402256</t>
  </si>
  <si>
    <t>['stations represent', 'rain climates', 'propagation medium', 'paper presents', 'interference ratios', 'important factors', 'elevation angles', 'effects observed', 'division multiple', 'determining carrier', 'depolarizing effects', 'aor ).', '6 ghz']</t>
  </si>
  <si>
    <t>In satellite systems employing frequency reuse by dual orthogonal polarizations, the depolarizing effects of antennas and the propagation medium are important factors in determining carrier-to-interference ratios. This paper presents the results of cross-polarization measurements conducted at 4 and 6 GHz in the dual-polarized INTELSAT V system on requency-division-multiplexed/frequency-modulated/frequency-division multiple-access (FDM/FM/FDMA) communications carriers transmitted from seven earth stations in the Atlantic Ocean region (AOR). The stations represent a variety of rain climates, elevation angles, and antenna feed types. The measured data provide examples of the effects of depolarization in the actual operating environment of the INTELSAT V system. Cross polarization discrimination statistics for each station are presented, as well as examples of recorded data illustrating some of the effects observed.</t>
  </si>
  <si>
    <t>83-111</t>
  </si>
  <si>
    <t>Struharik, Stephen J.</t>
  </si>
  <si>
    <t>Struharik S.</t>
  </si>
  <si>
    <t>CROSS-POLARIZATION MEASUREMENTS AT 4 AND 6 GHz IN THE INTELSAT V SYSTEM.</t>
  </si>
  <si>
    <t>2-s2.0-0021402261</t>
  </si>
  <si>
    <t>['transmitting telescope', 'transmission distance', 'survivability question', 'shorter wavelengths', 'rf system', 'microwave communications', 'magnitude smaller', 'inherent problems', 'include speed', 'full order', 'comparable performance']</t>
  </si>
  <si>
    <t>The advantage of using lasers instead of microwave communications are pointed out. These include speed, security and transmission distance. Because of their tightly focused communications beam, lasercom systems provide inherent protection against jamming and eavesdropping. Since laser light consists of shorter wavelengths than microwaves, a tightly focused beam can be produced by a transmitting telescope, a unit a full order of magnitude smaller than the microwave antenna needed for an rf system with comparable performance. Inherent problems, such as costs and the survivability question, are discussed.</t>
  </si>
  <si>
    <t>78-81</t>
  </si>
  <si>
    <t>Photonics Spectra</t>
  </si>
  <si>
    <t>Apr</t>
  </si>
  <si>
    <t>6507909288;6506546891</t>
  </si>
  <si>
    <t>Svorec, Raymond W.;Gerardi, Frank R.</t>
  </si>
  <si>
    <t>Svorec R.</t>
  </si>
  <si>
    <t>SPACE LASER COMMUNICATIONS.</t>
  </si>
  <si>
    <t>2-s2.0-0021405491</t>
  </si>
  <si>
    <t>['¬© 1984', 'triple open', 'strong main', 'rights reserved', 'prf high', 'paper describes', 'main antenna', 'jamming power', 'electrical engineers', 'beam jamming']</t>
  </si>
  <si>
    <t>Radar and radionavigation</t>
  </si>
  <si>
    <t>This paper describes the construction and operation of a triple open-loop interference canceller for a high-PRF high-rotation-rate search radar. Experimental results show that up to 25 dB reduction in jamming power can be achieved when countering the effects of one, two or three jammers present in the sidelobes of the main antenna, without significantly affecting target detection. Results also show substantial benefits even with strong main-beam jamming. ¬© 1984, The Institution of Electrical Engineers. All rights reserved.</t>
  </si>
  <si>
    <t>203-207</t>
  </si>
  <si>
    <t>Old, J. C.</t>
  </si>
  <si>
    <t>Chelmsford</t>
  </si>
  <si>
    <t>GEC Research Lab</t>
  </si>
  <si>
    <t>Old J.</t>
  </si>
  <si>
    <t>Multiple open-loop interference canceller for a rotating search radar</t>
  </si>
  <si>
    <t>10.1049/ip-f-1.1984.0033</t>
  </si>
  <si>
    <t>2-s2.0-0021405689</t>
  </si>
  <si>
    <t>['¬© 1984', 'visible aperture', 'transversely polarized', 'simultaneously increase', 'sidelobe reductions', 'sidelobe energy', 'microwave absorber', 'marked reduction', 'main beam', 'experimental investigation', 'distinctly modify', 'diffracting edges', 'data reported', '10 db']</t>
  </si>
  <si>
    <t>An experimental investigation into the suppression of wide‚Äêangle radiation from a pyramidal horn‚Äêreflector antenna is reported in this study. We show that lining the sidewalls or diffracting edges of this antenna with microwave absorber in the region of the visible aperture can lead to a marked reduction in sidelobe energy when the antenna is transversely polarized. Specifically, sidelobe reductions of as much as 10 dB are attainable over angular regions 40 degrees or more from the main beam. Though the described absorber treatment reduces wide‚Äêangle radiation, it can simultaneously increase and distinctly modify the character of near‚Äêin sidelobe structure. Data reported in this study are related to those of a recently published paper on selective near‚Äêin sidelobe reduction for a pyramidal horn‚Äêreflector antenna. ¬© 1984 AT&amp;T Bell Laboratories Technical Journal</t>
  </si>
  <si>
    <t>531-544</t>
  </si>
  <si>
    <t>Siller, C. A.</t>
  </si>
  <si>
    <t>Siller C.</t>
  </si>
  <si>
    <t>An Experimental Investigation of Wide‚ÄêAngle Sidelobe Suppression in a Pyramidal Horn‚ÄêReflector Antenna</t>
  </si>
  <si>
    <t>10.1002/j.1538-7305.1984.tb00019.x</t>
  </si>
  <si>
    <t>2-s2.0-0021405848</t>
  </si>
  <si>
    <t>['tests performed', 'test must', 'power testing', 'file discusses', 'cw power', 'circuits operate', 'ambient temperatures', '12 ghz', '100 w', '000 ft']</t>
  </si>
  <si>
    <t>Power testing of antennas at microwave frequencies requires elaborate facilities and involves significant costs. Thus each test must be set up to provide the maximum useful information. This Designer's File discusses the procedures and results of a series of tests performed to determine the safe upper limits for operation of stripline antenna circuits. The circuits operate under CW power up to 100 W at 12 GHz, at altitudes from 1000 to 70,000 ft and ambient temperatures from 25 to 125 degree C.</t>
  </si>
  <si>
    <t>107-110</t>
  </si>
  <si>
    <t>Monser, George J.</t>
  </si>
  <si>
    <t>Monser G.</t>
  </si>
  <si>
    <t>ALTITUDE TESTS REVEAL STRIPLINE ANTENNA FAULTS.</t>
  </si>
  <si>
    <t>2-s2.0-0021405890</t>
  </si>
  <si>
    <t>['wiley company', 'wideband agc', 'two targets', 'tracking radar', 'quite complex', 'present within', 'practical application', 'pll systems', 'phase synchronization', 'narrowband agc', 'main target', 'interfering target', 'inc .,', 'doppler frequencies']</t>
  </si>
  <si>
    <t>This paper examines angular tracking performance in an amplitude‚Äêcomparison non‚Äêpulse tracking radar employing both AGC and phase synchronization (PLL) for the case where an interfering target as well as the main target are present within the beam of the tracking radar. the interfering target causes generation of an incorrect error output signal and the antenna boresight cannot be held on the main target. the effects of the interfering target are quite complex as they are dependent on the difference in Doppler frequencies of the two targets and on the bandwidths of the AGC and PLL systems. In this paper we calculate the error output using both the harmonic balance method and Galerkin's method for an arbitrary PLL bandwidth in combination with a narrowband AGC and a wideband AGC. From these results, we find that when the PLL has a comparatively narrow bandwidth the approximate analysis using the harmonic balance method gives sufficiently accurate results for practical application. Copyright ¬© 1984 Wiley Periodicals, Inc., A Wiley Company</t>
  </si>
  <si>
    <t>66-75</t>
  </si>
  <si>
    <t>60004176;60004176</t>
  </si>
  <si>
    <t>35566349400;57199100767</t>
  </si>
  <si>
    <t>Endo, Tetsuro;Suzuki, Toshiaki</t>
  </si>
  <si>
    <t>Yokosuka</t>
  </si>
  <si>
    <t>National Defense Academy of Japan</t>
  </si>
  <si>
    <t>Endo T.</t>
  </si>
  <si>
    <t>Influence of an interfering second target on a certain amplitude‚Äêcomparison monopulse radar system</t>
  </si>
  <si>
    <t>10.1002/ecja.4400670409</t>
  </si>
  <si>
    <t>2-s2.0-0021405977</t>
  </si>
  <si>
    <t>['station antenna', 'small earth', 'simple feed', 'parameter study', 'geometric optics', 'compact dual', 'antenna makes', 'analyzed using']</t>
  </si>
  <si>
    <t>A study of a compact dual-offset reflector antenna with a low-permittivity dielectric cone between a simple feed and the subreflector is reported. The antenna is analyzed using a combination of modal field analysis and geometric optics. A parameter study of the antenna is described. The performance of the antenna makes it suitable for use as a small earth-station antenna.</t>
  </si>
  <si>
    <t>7006827241;7006192058;6507040737</t>
  </si>
  <si>
    <t>Olver, A. D.;Clarricoats, P. J.B.;Voglis, E. E.</t>
  </si>
  <si>
    <t>Olver A.</t>
  </si>
  <si>
    <t>STUDY OF DUAL-OFFSET REFLECTOR ANTENNA WITH DIELECTRIC CONE FEED.</t>
  </si>
  <si>
    <t>10.1049/ip-h-1.1984.0014</t>
  </si>
  <si>
    <t>2-s2.0-0021406161</t>
  </si>
  <si>
    <t>['receiving analysis', '4 refs']</t>
  </si>
  <si>
    <t>The receiving analysis of the shaped cylindrical reflector antenna is extended to cover the case where the reflector feed consists of a linear antenna array. Use of the theory is illustrated by considering the effects of finite reflector width on the secondary radiation characteristics of a planar reflector fed by a scanning linear array. 4 refs.</t>
  </si>
  <si>
    <t>123-125</t>
  </si>
  <si>
    <t>Morris, G.</t>
  </si>
  <si>
    <t>Morris G.</t>
  </si>
  <si>
    <t>RECEIVING ANALYSIS OF THE SHAPED CYLINDRICAL REFLECTOR ANTENNA WITH AN ARRAY FEED.</t>
  </si>
  <si>
    <t>10.1049/ip-h-1.1984.0026</t>
  </si>
  <si>
    <t>2-s2.0-0021406185</t>
  </si>
  <si>
    <t>['values predicted', 'theoretical model', 'gain measurements', 'formula suggested', 'current along', 'constant amplitude', 'calculated values', 'axial mode']</t>
  </si>
  <si>
    <t>Based on a theoretical model, assuming the current along the helix to be a single outward travelling wave of constant amplitude, the directivities of helical antennas radiating in the axial mode are computed and compared with the gain measurements of H. E. King and J. L. Wong and the values predicted by the formula suggested by J. D. Kraus. The calculated values are closer to the former than the latter.</t>
  </si>
  <si>
    <t>121-122</t>
  </si>
  <si>
    <t>7501501369;7403980210</t>
  </si>
  <si>
    <t>Lee, K. F.;Wong, P. F.</t>
  </si>
  <si>
    <t>Lee K.F.</t>
  </si>
  <si>
    <t>DIRECTIVITIES OF HELICAL ANTENNAS RADIATING IN THE AXIAL MODE.</t>
  </si>
  <si>
    <t>10.1049/ip-h-1.1984.0025</t>
  </si>
  <si>
    <t>2-s2.0-0021406209</t>
  </si>
  <si>
    <t>['wire antennas', 'solution obtained', 'proposed method', 'prespecified degree', 'numerical results', 'monotonic decrease', 'minimumno rm', 'minimum norm', 'method converges', 'iterative technique', 'initial guess', 'finitneu number', 'finitneu mber', 'finite number', 'final solution', 'expansion functions', 'even though', 'electronics engineers', 'direct solution', 'conventionally done', 'conjugate gradients', 'basic difference', 'also suitable']</t>
  </si>
  <si>
    <t>The method of conjugate gradients is applied to the analysis of radiation from thin-wire antennas. With this iterative technique, it is possible to solve electrically large arbitrarily oriented wire structures without storing any matrices as is conventionally done in the method of moments. The basic difference between the proposed method and Galerkin's method, for the same expansion functions, is that for the iterative technique we are solving a least squares problem. Hence, as the order of the approximation is increased, the proposed technique guarantees a monotonic decrease of the least squared error (||AI‚ÄìY]|2), whereas Galerkin's method does not. Even though the method converges for any initial guess, a good one may significantly reduce the time of computation. Also, explicit error formulas are given for the rate of convergence of this method. Hence, any problem can be solvetdo ap respecified degree of accuracy. It is shown that the method has the advantage of a direct solution as the final solution is obtained in a finitneu number of steps. The methodis also suitable for solving singular operator equations in which case the method monotonically converges to the least squares solution with minimum norm. Numerical results are presented for the thin-wire antennas and are compared with the solution obtained by the method of moments. problem can be solved to a prespecified degree of accuracy. It is shown that the method has the advantage of a direct solution as the final solution is obtained in a finite number of steps. The method is also suitable for solving singular operator equations in which case the method monotonically converges to the least squares solution with minimum norm. Numerical results are presented for the thin-wire antennas and are compared with the solution obtained by the method of momentsproblem can be solvetdo ap respecified degree of accuracy. It is shown that the method has the advantage of a direct solution as the final solution is obtained in a finitneu mber of steps. The methodis also suitable for solving singular operator equations in which case the method monotonically converges to the least squares solution with minimumno rm. Numerical results are presented for the thin-wire antennasa nd arec ompared with the solution obtained by the method of moments. Copyright ¬© 1984 by The Institute of Electrical and Electronics Engineers, Inc.</t>
  </si>
  <si>
    <t>398-403</t>
  </si>
  <si>
    <t>60001777;60001777</t>
  </si>
  <si>
    <t>55650323300;7404179013</t>
  </si>
  <si>
    <t>Sarkar, Tapan K.;Rao, Sadasiva M.</t>
  </si>
  <si>
    <t>Rochester</t>
  </si>
  <si>
    <t>Rochester Institute of Technology</t>
  </si>
  <si>
    <t>The Application of the Conjugate Gradient Method for the Solution of Electromagnetic Scattering from Arbitrarily Oriented Wire Antennas</t>
  </si>
  <si>
    <t>10.1109/TAP.1984.1143331</t>
  </si>
  <si>
    <t>2-s2.0-0021406227</t>
  </si>
  <si>
    <t>['problem correctly', 'previously studied', 'folded monopole', 'electronics engineers', 'different diameters']</t>
  </si>
  <si>
    <t>The theory of a terminated folded monopole was previously studied by Josephson. The equivalent circuit used by that author was incorrect for a folded monopole when its arms are of different diameters. By using the decomposition scheme suggested by Uda and Mushiake we have solved the problem correctly. The circuit parameters involved in the theory are discussed in detail to supplement the work of Uda and Mushiake. Copyright ¬© 1984 by The Institute of Electrical and Electronics Engineers, Inc.</t>
  </si>
  <si>
    <t>408-410</t>
  </si>
  <si>
    <t>Tai, Chen To</t>
  </si>
  <si>
    <t>Tai C.</t>
  </si>
  <si>
    <t>Theory of Terminated Monopole</t>
  </si>
  <si>
    <t>10.1109/TAP.1984.1143326</t>
  </si>
  <si>
    <t>2-s2.0-0021406308</t>
  </si>
  <si>
    <t>['wire length', 'two types', 'shortening ratios', 'shortening ratio', 'resonant resistance', 'radiation patterns', 'radiation pattern', 'line types', 'electronics engineers', 'conventional half', '70 wavelengths', '58 wavelengths', '46œ ©.', '43œ ©.', '30 percent', '24 percent']</t>
  </si>
  <si>
    <t>Two types of modified dipole antennas, zigzag and meander-line types, are analyzed and the shortening ratios are calculated. A zigzag dipole antenna with a wire length of 0.58 wavelengths has a shortening ratio of 24 percent with a resonant resistance of 46Œ©. A meander-line dipole antenna with a wire length of 0.70 wavelengths has a shortening ratio of 30 percent with a resonant resistance of 43Œ©. It is found that the radiation patterns of these two types of antennas are similar to the radiation pattern of a conventional half-wave linear dipole antenna. Copyright ¬© 1984 by The Institute of Electrical and Electronics Engineers, Inc.</t>
  </si>
  <si>
    <t>385-386</t>
  </si>
  <si>
    <t>60030526;60030526;60030526;60030526</t>
  </si>
  <si>
    <t>55633340100;36743673600;7103051323;56405174700</t>
  </si>
  <si>
    <t>Nakano, Hisamatsu;Tagami, Hitoyuki;Yoshizawa, Akihiro;Yamauchi, Junji</t>
  </si>
  <si>
    <t>Communications. Shortening Ratios of Modified Dipole Antennas</t>
  </si>
  <si>
    <t>10.1109/TAP.1984.1143321</t>
  </si>
  <si>
    <t>2-s2.0-0021406381</t>
  </si>
  <si>
    <t>['transient response', 'impedance operator', 'electronics engineers']</t>
  </si>
  <si>
    <t>An eigenmode expansion forrnulation of the singularity expansion method based on the electric field integral equation is developed for the transient response of conducting rinite open cylyinders. The eigenvalues and eigenfunctions of the impedance operator are calculated by the Galerkin method using entire domain expansion functions. The transient surface current density and backscattered far field in response to an incident electromagnetic pulse are calculated for cylinders of various aspect ratios. Copyright ¬© 1984 by The Institute of Electrical and Electronics Engineers, Inc.</t>
  </si>
  <si>
    <t>356-363</t>
  </si>
  <si>
    <t>60030821;60030821</t>
  </si>
  <si>
    <t>6603949635;6603683809</t>
  </si>
  <si>
    <t>Eftimiu, Cornel;Huddleston, P. L.</t>
  </si>
  <si>
    <t>Chicago</t>
  </si>
  <si>
    <t>Boeing Corporation</t>
  </si>
  <si>
    <t>Eftimiu C.</t>
  </si>
  <si>
    <t>The Transient Response of Finite Open Circular Cylinders</t>
  </si>
  <si>
    <t>10.1109/TAP.1984.1143335</t>
  </si>
  <si>
    <t>2-s2.0-0021406382</t>
  </si>
  <si>
    <t>['water within', 'water surface', 'tank water', 'source gap', 'results obtained', 'reflection coefficient', 'partially within', 'oriented normal', 'numerical solution', 'nonmetallic tank', 'monopole length', 'monopole antennas', 'measured data', 'lossy half', 'investigated experimentally', 'integral equation', 'good reflector', 'good agreement', 'gap height', 'electronics engineers', 'electromagnetic properties', 'driving point', 'determined theoretically', 'current distribution', 'conducting structures', 'common salt', 'antenna radius']</t>
  </si>
  <si>
    <t>Conducting structures residing partially within air and partially within a lossy half-space are investigated experimentally. The conducting structures are modeled by monopole antennas, and the lossy half-space is modeled by the water within a nonmetallic tank. A sleeve monopole antenna is oriented normal to the water surface with driving point near the bottom of the tank and source gap (aperture) in air. Gap height above the water surface, antenna radius and monopole length are varied. Electromagnetic properties of the water are changed by variation of its common salt (NaCI) content. Reflection coefficient at the driving point is measured for the 0.5-1.0 GHz octave by means of swept-frequency network analysis with automated data collection. Measured data are compared to results obtained from a numerical solution of an integral equation. Good agreement is obtained in all cases between the aperture admittance determined experimentally and that determined theoretically from knowledge of the current distribution on the structure. The water surface is shown to act as a good reflector with aperture admittance differing only slightly from that measured for the same antenna above an aluminum ground plane. The electromagnetic constitutive properties of the tank water are measured by guided wave techniques. Copyright ¬© 1984 by The Institute of Electrical and Electronics Engineers, Inc.</t>
  </si>
  <si>
    <t>387-390</t>
  </si>
  <si>
    <t>60007027;60005837</t>
  </si>
  <si>
    <t>57224764736;7201550943</t>
  </si>
  <si>
    <t>Harrison, Cecil A.;Butler, Chalmers M.</t>
  </si>
  <si>
    <t>Hattiesburg;Houston</t>
  </si>
  <si>
    <t>University of Southern Mississippi;University of Houston</t>
  </si>
  <si>
    <t>Harrison C.A.</t>
  </si>
  <si>
    <t>An Experimental Study of a Cylindrical Antenna in Two Half-Spaces</t>
  </si>
  <si>
    <t>10.1109/TAP.1984.1143339</t>
  </si>
  <si>
    <t>2-s2.0-0021406470</t>
  </si>
  <si>
    <t>['term interference', 'spatial orientation', 'polarization basis', 'antenna system']</t>
  </si>
  <si>
    <t>The loss in effectiveness of spatial-polarization processing due to the effect of short-term interference is determined. Recommendations are made on the choice of polarization basis and the spatial orientation of the antenna system in order to minimize the loss.</t>
  </si>
  <si>
    <t>115-118</t>
  </si>
  <si>
    <t>37-38</t>
  </si>
  <si>
    <t>6701693763;7103408579;36961592200</t>
  </si>
  <si>
    <t>Rodimov, A. P.;Nikitin, S. V.;Nikitchenko, V. V.</t>
  </si>
  <si>
    <t>Rodimov A.</t>
  </si>
  <si>
    <t>ANALYSIS OF THE EFFECT OF FLUCTUATIONS OF THE PARAMETERS OF SHORT-TERM INTERFERENCE ON THE EFFECTIVENESS OF SPATIAL-POLARIZATION PROCESSING.</t>
  </si>
  <si>
    <t>2-s2.0-0021406630</t>
  </si>
  <si>
    <t>['whisker structures', 'proper choice', 'potential improvement', 'long time', 'infrared frequencies', 'gaussian beam', 'focusing angle', 'electromagnetic coupling', 'corner reflectors', 'calculations show']</t>
  </si>
  <si>
    <t>infrared antennas | point-contact non-linear devices...</t>
  </si>
  <si>
    <t>The electromagnetic coupling between a gaussian beam and whisker structures such as those found in some kinds of non-linear devices used at infrared frequencies is investigated. Calculations show the potential improvement of the electromagnetic coupling coefficient by the proper choice of the focusing angle of the beam and the use of corner reflectors, giving quantitative support to these techniques which have been used for long time. ¬© 1984 Plenum Publishing Corporation.</t>
  </si>
  <si>
    <t>585-604</t>
  </si>
  <si>
    <t>60101845;60101845;60007136</t>
  </si>
  <si>
    <t>35568326100;7402489117;56796502600</t>
  </si>
  <si>
    <t>Comer√≥n, A.;Jim√©nez, J. J.;Bolomey, J. Ch</t>
  </si>
  <si>
    <t>Orsay;Gif-sur-Yvette</t>
  </si>
  <si>
    <t>Institut d'√âlectronique Fondamentale, Orsay;Laboratoire des Signaux et Syst√®mes</t>
  </si>
  <si>
    <t>60101845;60007136</t>
  </si>
  <si>
    <t>Comer√≥n A.</t>
  </si>
  <si>
    <t>On the improvement of the electromagnetic coupling between infrared point-contact detectors and laser beams</t>
  </si>
  <si>
    <t>10.1007/BF01010153</t>
  </si>
  <si>
    <t>2-s2.0-0021406861</t>
  </si>
  <si>
    <t>['surface tolerance', 'surface metrology', 'scanning reflectors', 'review article', 'promising areas', 'paraboloidal antennas', 'new developments', 'intended primarily', 'ground stations', 'field probing', 'feed defocusing', 'fed paraboloids', 'electronics engineers', 'dual reflectors', 'dichroic surfaces', 'current state', 'borne reflectors', 'beam systems', 'aperture efficiency', 'aperture blocking']</t>
  </si>
  <si>
    <t>The current state of the reflector antenna art is presented in the form of a review article, intended primarily for engineers who are new in the field. The properties of paraboloidal antennas are related to aperture efficiency, surface tolerance, feed defocusing, and aperture blocking. Other reflector shapes considered are offset-fed paraboloids, classical and offset Cassegrain systems, shaped-dual reflectors, and scanning reflectors. Properties of contoured-beam systems are reviewed. Structures and materials are reviewed for ground stations and satellite-borne reflectors. Emphasis is placed on specific hardware examples for each principle or concept. Near-field probing, dichroic surfaces, and techniques of surface metrology are as examples of promising areas for new developments. Copyright ¬© 1984 by The Institute of Electrical and Electronics Engineers, Inc.</t>
  </si>
  <si>
    <t>313-329</t>
  </si>
  <si>
    <t>Rusch, Willard V.T.</t>
  </si>
  <si>
    <t>Los Angeles</t>
  </si>
  <si>
    <t>University of Southern California</t>
  </si>
  <si>
    <t>Rusch W.</t>
  </si>
  <si>
    <t>Invited Review Paper The Current State of the Reflector Antenna Art</t>
  </si>
  <si>
    <t>10.1109/TAP.1984.1143333</t>
  </si>
  <si>
    <t>2-s2.0-0021407472</t>
  </si>
  <si>
    <t>['surface currents', 'electronics engineers', 'dipole antenna']</t>
  </si>
  <si>
    <t>It is shown that if the surface currents on a dipole antenna of revolution generate zero axial E-field on the interior symmetry axis of the antenna, then the entire interior E-field is zero and the conventional boundary condition is satisfied. Copyright ¬© 1984 by The Institute of Electrical and Electronics Engineers, Inc.</t>
  </si>
  <si>
    <t>403-404</t>
  </si>
  <si>
    <t>Redlich, Robert</t>
  </si>
  <si>
    <t>Athens</t>
  </si>
  <si>
    <t>Ohio University</t>
  </si>
  <si>
    <t>Redlich R.</t>
  </si>
  <si>
    <t>On the Extended Boundary Condition as Applied to the Dipole Antenna Problem</t>
  </si>
  <si>
    <t>10.1109/TAP.1984.1143322</t>
  </si>
  <si>
    <t>2-s2.0-0021407673</t>
  </si>
  <si>
    <t>['wien regime', 'unknown area', 'time domain', 'temperature distribution', 'recently hamid', 'ragbeb solution', 'ragbeb derived', 'problem claimed', 'output voltages', 'output terminals', 'line yields', 'leading term', 'jeans regime', 'jeans approximation', 'inverse rayleigh', 'electronics engineers', 'black body', 'arbitrary point']</t>
  </si>
  <si>
    <t>The inverse black body radiation problem is the problem of determining the unknown area-temperature distribution of a black body from its radiated electromagnetic power spectrum. An exact iterative solution to this problem (the inverse Planck problem) was derived by this author in 1982. Recently Hamid and Ragbeb derived a closed form approximation to this problem claimed to be valid for the Rayleigh-Jeans regime (the inverse Rayleigh-Jeans problems). It is shown that this Hamid-Ragbeb solution is actually far superior to an inverse Rayleigh-Jeans approximation. A closed form approximation to the inverse black body radiation problem valid for the Wien regime (the inverse Wien problem) is presented, and shown to be equivalent to the leading term of the exact iterative solution of this author of the line yields the input and output voltages and currents on the line. Finally the exact analytical relations in time domain of the voltage and current at an arbitrary point on the line (and the voltages and currents at the input and output terminals) are derived. In all parts, the problem has been formulated in such a way as to impose the causality condition explicitly. Copyright ¬© 1984 by The Institute of Electrical and Electronics Engineers, Inc.</t>
  </si>
  <si>
    <t>415-418</t>
  </si>
  <si>
    <t>Bojarski, Norbert N.</t>
  </si>
  <si>
    <t>Bojarski N.</t>
  </si>
  <si>
    <t>Closed Form Approximations to the Inverse Black Body Radiation Problem</t>
  </si>
  <si>
    <t>10.1109/TAP.1984.1143330</t>
  </si>
  <si>
    <t>2-s2.0-0021407724</t>
  </si>
  <si>
    <t>['traffic control', 'present antennas', 'mounting antenna', 'military identification', 'experimental model', 'electronics engineers']</t>
  </si>
  <si>
    <t>A flush-mounting antenna is described which could be used, in lieu of present antennas, to provide direction finding and steerable directional pattern capability in airborne beacon transponder systems. The antenna is comparable in size to the existing, omni-directional antennas presently used for air-traffic control and military identification, friend or foe (IFF) functions. The design and performance of an experimental model of the antenna are discussed. Copyright ¬© 1984 by The Institute of Electrical and Electronics Engineers, Inc.</t>
  </si>
  <si>
    <t>412-414</t>
  </si>
  <si>
    <t>60027271;60027271</t>
  </si>
  <si>
    <t>7102220634;7402346944</t>
  </si>
  <si>
    <t>Coleman, H. Paris;Wright, Billy D.</t>
  </si>
  <si>
    <t>Coleman H.</t>
  </si>
  <si>
    <t>A Compact Flush-Mounting Antenna with Direction, Finding and Steerable Cardioid Pattern Capability</t>
  </si>
  <si>
    <t>10.1109/TAP.1984.1143319</t>
  </si>
  <si>
    <t>2-s2.0-0021408114</t>
  </si>
  <si>
    <t>['wave elevations', 'gaussian collection']</t>
  </si>
  <si>
    <t>A derivation of the rough-surface reflection coefficient for the coherent reflected field is given. The result obtained assumes a plane wavefront incident on a Gaussian collection of sinusoidal surface waves with uniform phase distribution. The probability density function of sea-wave elevations is obtained.</t>
  </si>
  <si>
    <t>114-116</t>
  </si>
  <si>
    <t>7406232998;57197193701;24586195400</t>
  </si>
  <si>
    <t>Miller, A. R.;Brown, R. M.;Vegh, E.</t>
  </si>
  <si>
    <t>Miller A.</t>
  </si>
  <si>
    <t>NEW DERIVATION FOR THE ROUGH-SURFACE REFLECTION COEFFICIENT AND FOR THE DISTRIBUTION OF SEA-WAVE ELEVATIONS.</t>
  </si>
  <si>
    <t>10.1049/ip-h-1.1984.0022</t>
  </si>
  <si>
    <t>2-s2.0-0021408248</t>
  </si>
  <si>
    <t>['wave ratio', 'ultrahigh frequency', 'planar array', 'optimized dipole', 'first resonance', 'electronics engineers', 'antenna could']</t>
  </si>
  <si>
    <t>An ultrahigh frequency (UHF) fan-dipole is optimized for wide-band operation near the first resonance in order that the antenna could be used in a planar array of half-wavelength spaced elements operating over a conducting ground plane. The resultant voltage standing-wave ratio (VSWR) of the optimized dipole (with a 50 Œ©coax input) is less than 2:1 over a 37 percent bandwidth. Copyright ¬© 1984 by The Institute of Electrical and Electronics Engineers, Inc.</t>
  </si>
  <si>
    <t>410-412</t>
  </si>
  <si>
    <t>Bailey, M. C.</t>
  </si>
  <si>
    <t>Hampton</t>
  </si>
  <si>
    <t>NASA Langley Research Center</t>
  </si>
  <si>
    <t>Bailey M.</t>
  </si>
  <si>
    <t>Broad-Band Half-Wave Dipole</t>
  </si>
  <si>
    <t>10.1109/TAP.1984.1143318</t>
  </si>
  <si>
    <t>2-s2.0-0021408452</t>
  </si>
  <si>
    <t>['transverse electric', 'traditional stratton', 'shorter edges', 'purely e', 'plane pattern', 'methods predict', 'measurements indicate', 'making near', 'line sources', 'fringe currents', 'free space', 'far field', 'electronics engineers', 'commonly used', 'chu integration', 'axis gain', 'approximate formulas']</t>
  </si>
  <si>
    <t>Approximate formulas are derived for the far field and gain of standard, open-ended, rectangular waveguide probes operating within their recommended usable bandwidth. (Such probes are commonly used in making near-field antenna measurements.) The derivation assumes firstorder azimuthal dependence for the fields, and an E-plan pattern given by the traditional Stratton-Chu integration of the transverse electric (TE10) mode. The H-plane pattern is estimated by two different methods. The first method uses a purely E-field integration across the end of the waveguide. The second, more accurate method approximates the fringe currents at the shorter edges of the guide by isotropically radiating line sources. The amplitude of the line sources is determined by equating the total power radiated into free space to the net input power to the waveguide. Comparisons with measurements indicate that for X-band and larger waveguide probes, both methods predict on-axis gain to about 0.2 dB accuracy. The second method predicts far-field power patterns to about 2 dB accuracy in the region 90¬∞ off boresight and with rapidly increasing accuracy toward boresight. Copyright ¬© 1984 by The Institute of Electrical and Electronics Engineers, Inc.</t>
  </si>
  <si>
    <t>378-384</t>
  </si>
  <si>
    <t>Yaghjian, Arthur D.</t>
  </si>
  <si>
    <t>Hanscom AFB</t>
  </si>
  <si>
    <t>Yaghjian A.</t>
  </si>
  <si>
    <t>Approximate Formulas for the Far Field and Gain of Open-Ended Rectangular Waveguide</t>
  </si>
  <si>
    <t>10.1109/TAP.1984.1143332</t>
  </si>
  <si>
    <t>2-s2.0-0021408697</t>
  </si>
  <si>
    <t>['wave diffracted', 'utd ).', 'uniform theory', 'transverse magnetic', 'transverse electric', 'propagating along', 'perfectly conducting', 'infinitely long', 'good agreement', 'electronics engineers', 'effective source', 'effective curvature', 'circular cylinder', 'calculated results']</t>
  </si>
  <si>
    <t>The far backscattered field from a perfectly conducting, infinitely long, circular cylinder with a fin is calculated for the transverse electric (TE) and transverse magnetic (TM) cases, using the uniform theory of diffraction (UTD). The calculated results are compared to appropriate experimental measurements and good agreement is obtained. A derivation of the effective curvature of the wave diffracted by the edge of the fin and propagating along the fin to the cylinder is presented. A limitation on the method of effective source is discussed. Copyright ¬© 1984 by The Institute of Electrical and Electronics Engineers, Inc.</t>
  </si>
  <si>
    <t>422-425</t>
  </si>
  <si>
    <t>60026340;60026340;60026340</t>
  </si>
  <si>
    <t>7003895972;57216067894;7004420779</t>
  </si>
  <si>
    <t>Michaeli, A.;Kaye, M.;Geva, A.</t>
  </si>
  <si>
    <t>Israel</t>
  </si>
  <si>
    <t>Haifa</t>
  </si>
  <si>
    <t>RAFAEL Armament Development Authority Ltd.</t>
  </si>
  <si>
    <t>Michaeli A.</t>
  </si>
  <si>
    <t>High-Frequency Backscatter from a Finned Cylinder‚ÄîComparison of UTD Results with Experiment</t>
  </si>
  <si>
    <t>10.1109/TAP.1984.1143334</t>
  </si>
  <si>
    <t>2-s2.0-0021408862</t>
  </si>
  <si>
    <t>['typical example', 'significantly minimizes', 'reflector antennas', 'radiation integrals', 'planar nf', 'optimum use', 'new techniqne', 'fourier transforms', 'far field', 'electronics engineers', 'efficient evaluation', 'conventional use', 'computer memory', 'also described']</t>
  </si>
  <si>
    <t>A new techniqne that significantly minimizes the aliasing error encountered in the conventional use of the fast Fourier transform (FFT) algorithms for the efficient evaluation of Fourier transforms of spatially limited functions (such as those that occur in the radiation pattern analysis of reflector antennas and planar near field to far field (NF-FF) transformation) is presented and illustrated through a typical example. Employing this techniqne and a discrete Fourier series (DFS) expansion for the integrand, a method for computing the radiation integrals of reflector antennas and planar NF-FF transformation integrals at arbitrary observation angles with optimum use of computer memory and time is also described. Copyright ¬© 1984 by The Institute of Electrical and Electronics Engineers, Inc.</t>
  </si>
  <si>
    <t>404-408</t>
  </si>
  <si>
    <t>7006389495;6603663180</t>
  </si>
  <si>
    <t>Narasimhan, M. S.;Karthikeyan, M.</t>
  </si>
  <si>
    <t>Evaluation of Fourier Transform Integrals Using FFT with Improved Accuracy and its Applications</t>
  </si>
  <si>
    <t>10.1109/TAP.1984.1143325</t>
  </si>
  <si>
    <t>2-s2.0-0021408908</t>
  </si>
  <si>
    <t>['testing functions', 'surface falls', 'previous e', 'new e', 'moment solution', 'maximum dimension', 'magnetostatic current', 'functions suitable', 'field solution', 'expansion functions', 'electrostatic charge', 'electronics engineers', 'electric current', 'conducting sphere']</t>
  </si>
  <si>
    <t>A new E-field solution is presented for the electric current and electric charge induced on a perfectly conducting snrface illuminated by an incident electromagnetic field. This solution is a moment solution to the electric field integral equation on the surface. The expansion functions consist of a set of functions suitable for expanding the magnetostatic current and a set of functions whose surface divergences are suitable for expanding the electrostatic charge. The testing functions are similar to the expansion functions. With these expansion and testing functions, the new E-field solution works well with surfaces whose maximum dimension may be as small as 10‚Äì15 wavelengths or as large as a few wavelengths. Previous E-field solutions begin to deteriorate when the maximum dimension of the surface falls below a few hundredths of a wavelength. The new E-field solution is applied to a conducting circular disk and a conducting sphere. Copyright ¬© 1984 by The Institute of Electrical and Electronics Engineers, Inc.</t>
  </si>
  <si>
    <t>330-339</t>
  </si>
  <si>
    <t>60030551;60030551</t>
  </si>
  <si>
    <t>7003887991;7201653432</t>
  </si>
  <si>
    <t>Mautz, Joseph R.;Harrington, Roger F.</t>
  </si>
  <si>
    <t>Syracuse</t>
  </si>
  <si>
    <t>Syracuse University</t>
  </si>
  <si>
    <t>Mautz J.</t>
  </si>
  <si>
    <t>An E-Field Solution for a Conducting Surface Small or Comparable to the Wavelength</t>
  </si>
  <si>
    <t>10.1109/TAP.1984.1143316</t>
  </si>
  <si>
    <t>2-s2.0-0021409906</t>
  </si>
  <si>
    <t>['used instead', 'two antennas', 'spectrum shapes', 'simulation calculation', 'qam signal', 'performance evaluations', 'new minimum', 'mid combiner', 'maximum power', 'field experiments', 'combining phase', 'combiner currently', 'band dispersion', '200 mbit']</t>
  </si>
  <si>
    <t>A new minimum-dispersion (MID) combiner, which reduces multipath degradation in a high capacity digital microwave radio, is proposed. A high capacity digital microwave radio is inherently very sensitive to waveform distortion caused by multipath in-band delay dispersion and in-band amplitude dispersion. To minimize the in-band dispersion, the combined-signal spectrum shape from the two antennas is monitored before and after a small change takes place in the combining phase. The phase shifter rotates in the direction of the flatter of the spectrum shapes, either the one before or the one after monitoring. Performance evaluations through simulation calculation and theoretical estimation using in-band amplitude dispersion probability density are given. More improvement can be obtained when the MID combiner is used instead of the maximum power (MAP) combiner currently in use. Laboratory and field experiments, using a 200 Mbit/s 16-QAM signal, verify these analyses and show an additional outage reduction factor of more than 5. ¬© 1984 IEEE.</t>
  </si>
  <si>
    <t>419-428</t>
  </si>
  <si>
    <t>57223445319;7403103007;24335469100</t>
  </si>
  <si>
    <t>Komaki, Shozo;Tajima, Kojiro;Okamoto, Yoshiharu</t>
  </si>
  <si>
    <t>Komaki S.</t>
  </si>
  <si>
    <t>A Minimum Dispersion Combiner for High Capacity Digital Microwave Radio</t>
  </si>
  <si>
    <t>10.1109/TCOM.1984.1096077</t>
  </si>
  <si>
    <t>2-s2.0-0021410592</t>
  </si>
  <si>
    <t>['¬© 1984', 'type germanium', 'pinhole fabricated', 'japan society', 'focused ion', 'devices consisted', 'device exhibited', 'contacted p', 'beam techniques', 'applied physics']</t>
  </si>
  <si>
    <t>Thin film warm carrier devices have been fabricated by electron beam lithographic methods and demonstrated at 10.6 ŒºŒπŒ∑. The devices consisted of a narrow gold antenna, the top of which contacted p-type germanium through a 0.1 ŒºŒπŒ∑-diam. pinhole fabricated by focused ion-beam techniques. The device exhibited a distinguished antenna pattern for 10.6 ŒºŒπŒ∑ wave length radiation. ¬© 1984 The Japan Society of Applied Physics.</t>
  </si>
  <si>
    <t>203-205</t>
  </si>
  <si>
    <t>Japanese Journal of Applied Physics</t>
  </si>
  <si>
    <t>60004176;60004176;60004176-60024322;60004176-60024322</t>
  </si>
  <si>
    <t>35476116400;7004555963;35449597700;36042342800</t>
  </si>
  <si>
    <t>Harakawa, Kenichi;Yasuoka, Yoshizumi;Gamo, Kenji;Namba, Susumu</t>
  </si>
  <si>
    <t>Japan;Japan</t>
  </si>
  <si>
    <t>Suita;Yokosuka</t>
  </si>
  <si>
    <t>Osaka University;National Defense Academy of Japan</t>
  </si>
  <si>
    <t>60024322;60004176</t>
  </si>
  <si>
    <t>Harakawa K.</t>
  </si>
  <si>
    <t>Co&lt;sup&gt;2&lt;/sup&gt; laser detection using a warm carrier de vice with a thin film antenna</t>
  </si>
  <si>
    <t>10.1143/JJAP.23.L203</t>
  </si>
  <si>
    <t>2-s2.0-0021410770</t>
  </si>
  <si>
    <t>['ground plane', 'electronics engineers', 'circular polarization']</t>
  </si>
  <si>
    <t>A helical antenna element, fed at both ends and situated above a ground plane, is used to generate both senses of circular polarization. Copyright ¬© 1984 by The Institute of Electrical and Electronics Engineers, Inc.</t>
  </si>
  <si>
    <t>414-415</t>
  </si>
  <si>
    <t>Coleman H.P.</t>
  </si>
  <si>
    <t>An Orthogonal Mode (Dual-Sense) Helical Antenna</t>
  </si>
  <si>
    <t>10.1109/TAP.1984.1143338</t>
  </si>
  <si>
    <t>2-s2.0-0021410860</t>
  </si>
  <si>
    <t>['wave array', 'structure consists', 'radiation characteristics', 'prototype model', 'loss characteristics', 'insular guide', 'frequency scanning', 'dipoles printed', 'dielectric substrate', 'basically slow']</t>
  </si>
  <si>
    <t>A novel, basically slow-wave periodically modulated type of millimeter-wave array is presented which exploits the low-loss characteristics of the insular dielectric waveguide. The structure consists of an array of dipoles printed on a dielectric substrate of relatively low dielectric constant and fed by an insular guide. The methods of effective dielectric constants and simple array theory are used in determining the radiation characteristics of the array. The results of measurements on a prototype model are presented, which establish the feasibility of the approach and demonstrate the potential for frequency scanning.</t>
  </si>
  <si>
    <t>107-113</t>
  </si>
  <si>
    <t>6603139434;7402772019</t>
  </si>
  <si>
    <t>Birand, M. T.;Williams, N.</t>
  </si>
  <si>
    <t>Birand M.</t>
  </si>
  <si>
    <t>PRINTED DIPOLE MILLIMETRE-WAVE ARRAY USING AN INSULAR GUIDE FEEDER.</t>
  </si>
  <si>
    <t>10.1049/ip-h-1.1984.0021</t>
  </si>
  <si>
    <t>2-s2.0-0021411523</t>
  </si>
  <si>
    <t>['wave ratio', 'voltage standing', 'plane patterns', 'nearly cardioid', 'high frequency', 'electronics engineers', 'directional pattern', 'band vhf']</t>
  </si>
  <si>
    <t>A very high frequency (VHF) full channel room TV receiving antenna, with a voltage standing-wave ratio (VSWR)&lt;2 in the full-band VHF is described. The E- and H-plane patterns are nearly cardioid in shape, hence it has the advantage of eliminating the TV ghost interference caused by backward reflecting waves in a strong signal environment. The directional pattern and impedance of the loaded circular loop antenna are calculated. The theoretical and experimental data coincide with each other. Copyright ¬© 1984 by The Institute of Electrical and Electronics Engineers, Inc.</t>
  </si>
  <si>
    <t>425-428</t>
  </si>
  <si>
    <t>60025578;60025578;60025578</t>
  </si>
  <si>
    <t>7006676615;36881751200;7006313700</t>
  </si>
  <si>
    <t>Ju, Xin De;Fu, De Ming;Mao, Nai Hong</t>
  </si>
  <si>
    <t>Ju X.</t>
  </si>
  <si>
    <t>VHF TV Full Channel Loaded Circular Loop Antenna</t>
  </si>
  <si>
    <t>10.1109/TAP.1984.1143327</t>
  </si>
  <si>
    <t>2-s2.0-0021411538</t>
  </si>
  <si>
    <t>['¬© 1984', 'young theorem', 'rights reserved', 'noise performance', 'calibration curve', 'adaptive antenna']</t>
  </si>
  <si>
    <t>The least squares formulation of an adaptive antenna is presented, which (with the aid of a calibration curve) may be used to estimate the angle of arrival in the presence of multipath as encountered in a low-angle tracking radar environment. A procedure (based on the Eckart-Young theorem) is proposed for improving the noise performance of the estimator. ¬© 1984, IEEE. All rights reserved.</t>
  </si>
  <si>
    <t>528-530</t>
  </si>
  <si>
    <t>Haykin, Simon</t>
  </si>
  <si>
    <t>Hamilton</t>
  </si>
  <si>
    <t>McMaster University</t>
  </si>
  <si>
    <t>Haykin S.</t>
  </si>
  <si>
    <t>Least Squares Adaptive Antenna for Angle of Arrival Estimation</t>
  </si>
  <si>
    <t>10.1109/PROC.1984.12884</t>
  </si>
  <si>
    <t>2-s2.0-0021411550</t>
  </si>
  <si>
    <t>['system needs', 'small investment', 'significantly reduced', 'satellites used', 'potential users', 'overall system', 'large vessel', 'geostationary orbit', 'current 1']</t>
  </si>
  <si>
    <t>Maritime satellites must be part of an overall system in order to operate. The system needs to be global, with the satellites communicating via small mobile terminals on the vessels, and a network of large fixed Earth stations located on land. Although the mobile terminals located on the vessels must maintain pointing accuracy despite the vessels' motion, their design is nevertheless much simplified when the satellites used are placed in geostationary orbit. This is the case for existing maritime satellites. Even so, current terminals cost about 40,000 each which, although a small investment for a large vessel, is still too high for some potential users. The costs of future terminal types will be significantly reduced by using higher power satellites and other technological advances making possible a much smaller device than the current 1. 2 m antenna.</t>
  </si>
  <si>
    <t>148-150</t>
  </si>
  <si>
    <t>Spaceflight</t>
  </si>
  <si>
    <t>Webber, Derek</t>
  </si>
  <si>
    <t>Webber D.</t>
  </si>
  <si>
    <t>SATELLITES FOR THE SEA.</t>
  </si>
  <si>
    <t>2-s2.0-0021411623</t>
  </si>
  <si>
    <t>['verified theoretically', 'straight feedlines', 'straight dipoles', 'radiating element', 'plane waves', 'including feedline', 'feedline scattering', 'electronics engineers', 'dipole arms', 'current distributions', 'bent feedlines', 'array planes', 'array lattices', 'array blindness', 'arms inclined']</t>
  </si>
  <si>
    <t>A plane wave expansion moment method is presented for computing active impedances and current distributions of infinite planar arrays of thin wire radiating elements. The array lattices can be rectangular or triangular. The excitations can be plane waves or progressively phased voltage sources. Each radiating element, including feedline, can be any collection of bent thin wires. Results are given for arrays of straight dipoles with straight feedlines, straight dipoles with bent feedlines, and swept back dipoles (arms inclined with respect to the array planes) with straight feedlines. The experimentally observed phenomenon of array blindness as a consequence of feedline scattering is verified theoretically. The absence of this effect when the dipole arms are inclined with respect to the array plane also is verified. Copyright ¬© 1984 by The Institute of Electrical and Electronics Engineers, Inc.</t>
  </si>
  <si>
    <t>364-377</t>
  </si>
  <si>
    <t>115498118;115498118;115498118-60023201</t>
  </si>
  <si>
    <t>7003966481;6701808624;55419095200</t>
  </si>
  <si>
    <t>Schuman, Harvey K.;Pflug, Donald R.;Thompson, Larry D.</t>
  </si>
  <si>
    <t>Ann Arbor;Rome</t>
  </si>
  <si>
    <t>Altarum Institute;Atlantic Research Corporation</t>
  </si>
  <si>
    <t>60023201;115498118</t>
  </si>
  <si>
    <t>Schuman H.</t>
  </si>
  <si>
    <t>Infinite Planar Arrays of Arbitrarily Bent Thin Wire Radiators</t>
  </si>
  <si>
    <t>10.1109/TAP.1984.1143329</t>
  </si>
  <si>
    <t>2-s2.0-0021411662</t>
  </si>
  <si>
    <t>['properly choosing', 'polar properties', 'greatly affected', 'experimentally found', 'choke position', 'beam circularity']</t>
  </si>
  <si>
    <t>It has been experimentally found that in a single-choke circular waveguide antenna, the beam circularity and cross-polar properties are greatly affected by the choke position. By properly choosing the choke position, better beam circularity and cross-polar properties can be obtained.</t>
  </si>
  <si>
    <t>236-237</t>
  </si>
  <si>
    <t>E 67</t>
  </si>
  <si>
    <t>Miyata, Katsumasa</t>
  </si>
  <si>
    <t>Miyata K.</t>
  </si>
  <si>
    <t>RADIATION PROPERTIES OF A CHOKE-LOADED CIRCULAR WAVEGUIDE ANTENNA - CHOKE POSITION EFFECTS.</t>
  </si>
  <si>
    <t>2-s2.0-0021411927</t>
  </si>
  <si>
    <t>['theoretical patterns', 'theoretical analysis', 'radiation patterns', 'radiation characteristics', 'outer peripheries', 'modal fields', 'fringing fields', 'experimental results', 'equals 2', 'equals 1', 'different modes', 'analyses show', '8 ghz', '6 ,.', '3 ,.']</t>
  </si>
  <si>
    <t>Results of the theoretical analysis of modal fields and radiation characteristics of the microstrip ring antenna are presented. Radiation patterns for the different modes are derived from the fringing fields at the inner and outer peripheries of the ring. Theoretical patterns are compared with experimental results at 1. 8 GHz. The analyses show that the TM//1//m-modes (m equals 2, 4, 6,. . . ) are suitable for broadband boresight antennas while TM//1//m-modes (m equals 1, 3,. . . ) may be used for narrowband boresight antennas.</t>
  </si>
  <si>
    <t>102-106</t>
  </si>
  <si>
    <t>7403597567;57213453141;57188557257</t>
  </si>
  <si>
    <t>Das, A.;Mathur, S. P.;Das, S. K.</t>
  </si>
  <si>
    <t>Das A.</t>
  </si>
  <si>
    <t>RADIATION CHARACTERISTICS OF HIGHER-ORDER MODES IN MICROSTRIP RING ANTENNA.</t>
  </si>
  <si>
    <t>10.1049/ip-h-1.1984.0020</t>
  </si>
  <si>
    <t>2-s2.0-0021411957</t>
  </si>
  <si>
    <t>['sw channels', 'special features', 'phase shifter', 'experimental investigations', 'effective means', 'combating fading']</t>
  </si>
  <si>
    <t>Experimental investigations have shown that polarization diversity using two mutually perpendicular antennas offers an effective means for combating fading in SW channels. The special features of SW signal reception by two receiving antennas with a phase shifter and adder are discussed. Formulas are derived for the signal at the output.</t>
  </si>
  <si>
    <t>104-106</t>
  </si>
  <si>
    <t>Nguyen, T. L.</t>
  </si>
  <si>
    <t>Nguyen T.</t>
  </si>
  <si>
    <t>RECEPTION OF SW SIGNALS BY TWO MUTUALLY PERPENDICULAR ANTENNAS.</t>
  </si>
  <si>
    <t>2-s2.0-0021412451</t>
  </si>
  <si>
    <t>['unwanted emissions', 'test results', 'sidelobes within', 'satellites sharing', 'offset configuration', 'increased number', 'frequency bands', 'foreseeable specifications', 'feed spillover', 'envelope defined', 'effective use', 'detailed design']</t>
  </si>
  <si>
    <t>More effective use of the geosynchronous orbit via an increased number of satellites sharing the same frequency bands is eventually to be expected and this will require small earth station antennas to control their unwanted emissions to prevent intersystem interference. To contain the sidelobes within an envelope defined by 29-25log theta dBi it is shown that small earth station antennas will probably have to adopt the offset configuration. The contributions of antenna aperture energy distribution, feed spillover, blockage, and reflector surface inaccuracy are discussed. The detailed design of a test model antenna tailored to the needs of the small earth station operator is described, and test results are presented showing ample margin for compliance with foreseeable specifications.</t>
  </si>
  <si>
    <t>51-61</t>
  </si>
  <si>
    <t>BT Technology Journal</t>
  </si>
  <si>
    <t>Butcher, M. E.</t>
  </si>
  <si>
    <t>Butcher M.</t>
  </si>
  <si>
    <t>OFFSET GREGORIAN SMALL EARTH STATION ANTENNA WITH LOW SIDELOBES.</t>
  </si>
  <si>
    <t>2-s2.0-0021413445</t>
  </si>
  <si>
    <t>['radiating element', 'potential accuracy', 'measuring range', 'antenna array', 'angular coordinates']</t>
  </si>
  <si>
    <t>The concept of the spatial-frequency ambiguity function (SFAF) characterizing antenna selectivity in measurements of range and angular coordinates is introduced. The effect of the SFAF on resolution and potential accuracy of measuring range and angular coordinates in radio system comprising an antenna array with equal-length of the radiating element is analyzed.</t>
  </si>
  <si>
    <t>84-94</t>
  </si>
  <si>
    <t>6506527513;6506266776</t>
  </si>
  <si>
    <t>Serbrennikov, V. I.;Shtekhman, G. Ya</t>
  </si>
  <si>
    <t>Serbrennikov V.</t>
  </si>
  <si>
    <t>RESOLUTION AND ACCURACY OF RADAR MEASUREMENTS.</t>
  </si>
  <si>
    <t>2-s2.0-0021413584</t>
  </si>
  <si>
    <t>['type grating', 'scanning sector', 'energy characteristics', 'basic factors']</t>
  </si>
  <si>
    <t>The basic factors, influencing the behavior of the polarization and energy characteristics of waveguide-type grating for scanning in a hemisphere, are established. The constructions of gratings that are close to optimum in terms of the size of the scanning sector are determined.</t>
  </si>
  <si>
    <t>27-32</t>
  </si>
  <si>
    <t>Rud', L. A.</t>
  </si>
  <si>
    <t>Rud' L.</t>
  </si>
  <si>
    <t>CHARACTERISTICS OF POLARIZATION GRATINGS OF PARALLEL METALLIC STRIPS FOR SCANNING IN A HEMISPHERE.</t>
  </si>
  <si>
    <t>2-s2.0-0021413636</t>
  </si>
  <si>
    <t>['results show', 'paper shows', 'magnitude better', 'first opportunity', 'developing strategies', 'conventional doppler']</t>
  </si>
  <si>
    <t>This paper shows the feasibility of using Very Long Baseline Interferometric data acquired by the Deep Space Network to navigate highly elliptical Earth orbiting satellites. The planned mission orbit of the Ion Release Module of the Active Magnetospheric Particle Tracer Explorers is used as a reference for developing strategies and provides the first opportunity for a possible flight demonstration with a spacecraft in a highly elliptical orbit. The navigation accuracy improvements achievable with VLBI and DELTA VLBI data types are determined for comparison with the capabilities of a reference Doppler strategy. The results show that strategies using wideband DELTA VLBI measurements taken near periapse perform best, determining apoapse position to an order of magnitude better than conventional Doppler, while also substantially reducing the required antenna support.</t>
  </si>
  <si>
    <t>159-174</t>
  </si>
  <si>
    <t>Journal of the Astronautical Sciences</t>
  </si>
  <si>
    <t>Apr-Jun</t>
  </si>
  <si>
    <t>6603711695;8696387800</t>
  </si>
  <si>
    <t>Frauenholz, Raymond B.;Ellis, Jordan</t>
  </si>
  <si>
    <t>Frauenholz R.</t>
  </si>
  <si>
    <t>DETERMINING HIGHLY ELLIPTICAL EARTH ORBITS WITH VLBI AND DELTA VLBI.</t>
  </si>
  <si>
    <t>2-s2.0-0021413773</t>
  </si>
  <si>
    <t>['likelihood function', 'computer modeling', 'angular coordinates']</t>
  </si>
  <si>
    <t>The accuracies of the estimates of the angular coordinates of two signal sources using 'statistical' and 'deterministic' algorithms are compared by a computer modeling. The concept of the likelihood function, modified for estimating angular coordinates, is introduced.</t>
  </si>
  <si>
    <t>48-53</t>
  </si>
  <si>
    <t>7003385586;6701629503;7003877009</t>
  </si>
  <si>
    <t>Varyukhin, V. A.;Pokrovskiy, V. I.;Sakhno, V. F.</t>
  </si>
  <si>
    <t>Varyukhin V.</t>
  </si>
  <si>
    <t>ACCURACY OF THE ANGULAR COORDINATE MEASUREMENTS OF SEVERAL SOURCES BY MEANS OF AN ANTENNA ARRAY.</t>
  </si>
  <si>
    <t>2-s2.0-0021415719</t>
  </si>
  <si>
    <t>['vlf signal', 'upper ionosphere', 'resonant cone', 'polar ionosphere', 'observed simultaneously', 'mainly registered', 'low frequency', 'ionospheric turbulence', 'frequency spectra', 'electric antenna', 'copyright 1984', '1 khz']</t>
  </si>
  <si>
    <t>The effects of broadening of frequency spectra of quasi‚Äêmonochromatic very low frequency (VLF) signals were observed in the polar ionosphere when VLF transmitter signals were registered on the satellite "Intercosmos‚Äê19". Broadening of the spectrum was mainly registered on the electric antenna to the extent of Œîf ‚â§ ¬± 1 kHz. Broadening of the VLF signal and intensive extra low frequency (ELF) noise with f &lt; 1 kHz were observed simultaneously. Such effects can be explained by a transformation of the initial whistler‚Äêwave, into whistler‚Äêmode waves with wave‚Äênormals very near the resonant cone, by small‚Äêscale ionospheric irregularities. These irregularities can be caused by ion‚Äêacoustic or ion‚Äêcyclotron waves. The effect of the broadening of the VLF signal spectrum can be used as a diagnostic of ionospheric turbulence and field‚Äêaligned electric currents in the upper ionosphere. Copyright 1984 by the American Geophysical Union.</t>
  </si>
  <si>
    <t>323-326</t>
  </si>
  <si>
    <t>Geophysical Research Letters</t>
  </si>
  <si>
    <t>;;;;;;</t>
  </si>
  <si>
    <t>7006329110;6508292089;7003373386;6701723617;6504686285;56633972000;6701762982</t>
  </si>
  <si>
    <t>Titova, E. E.;Di, V. I.;Yurov, V. E.;Raspopov, O. M.;Trakhtengertz, V. Yu;Jiricek, F.;Triska, P.</t>
  </si>
  <si>
    <t>Titova E.E.</t>
  </si>
  <si>
    <t>Interaction between VLF waves and the turbulent ionosphere</t>
  </si>
  <si>
    <t>10.1029/GL011i004p00323</t>
  </si>
  <si>
    <t>2-s2.0-0021416846</t>
  </si>
  <si>
    <t>['uhf antenna', 'telemetry channel', 'scintillation measurements', 'scientific instruments', 'phase reference', 'hilat beacon', 'dual functions']</t>
  </si>
  <si>
    <t>The HILAT beacon, L-band/UHF antenna, and ground receiver system allow us to make efficient phase scintillation measurements. The L-band signal also accepts bi-phase modulated telemetry data from other scientific instruments by means of the Science Data Formatter. Thus, the L-band signal serves the dual functions of telemetry channel and phase reference for the scintillation measurements.</t>
  </si>
  <si>
    <t>Johns Hopkins APL Technical Digest (Applied Physics Laboratory)</t>
  </si>
  <si>
    <t>7103143596;7202345493;7003508702;6602859254</t>
  </si>
  <si>
    <t>Cousins, Michael D.;Livingston, Robert C.;Rino, Charles L.;Vickrey, James F.</t>
  </si>
  <si>
    <t>Cousins M.</t>
  </si>
  <si>
    <t>HILAT SATELLITE MULTIFREQUENCY RADIO BEACON.</t>
  </si>
  <si>
    <t>2-s2.0-0021417363</t>
  </si>
  <si>
    <t>['simulated using', 'rms error', 'results taken', 'prototype eight', 'phase shifters', 'output ports', 'feasibility studies', 'dissipation loss', 'component imperfections', 'butler matrix', 'arbitrary complexity', 'antenna beam', '64 elements', '6 degree', '45 db', '4 db', '3 degree']</t>
  </si>
  <si>
    <t>A butler matrix or array is an antenna beam-forming network using a combination of hybrids and fixed phase shifters. Feasibility studies of waveguide high power Butler matrices of arbitrary complexity have been completed. Component imperfections were simulated using a specially developed computer analysis program. This is capable of analyzing Butler matrices of up to 64 elements, far in excess of the capacity of general purpose programs. Computer results indicated that good performance could be expected over a five percent frequency band using practical hybrids and phase shifters. This was confirmed from results taken on a prototype eight-element Butler matrix constructed in WR112. The maximum phase error between any pair of input and output ports is 6 degree , with an RMS error of less than 3 degree . The coupling to the output ports showed a variation of 0. 45 db, and the dissipation loss of the unplated aluminum unit is 0. 4 db.</t>
  </si>
  <si>
    <t>Levy, Ralph</t>
  </si>
  <si>
    <t>Levy R.</t>
  </si>
  <si>
    <t>HIGH-POWER X-BAND BUTLER MATRIX.</t>
  </si>
  <si>
    <t>2-s2.0-0021417955</t>
  </si>
  <si>
    <t>['statistical calculation', 'special case', 'random array', 'random arrangement', 'radiation patterns', 'optical modeling', 'general case', 'formulas obtained']</t>
  </si>
  <si>
    <t>A statistical calculation of the radiation patterns of concave highly directional antenna arrays with a random arrangement of elements is described. The formulas obtained in the general case are used to design annular antenna arrays with a random array of elements, considered as a special case of convex random antennas. The results of experiments on an optical modeling of the radiation patterns of annular random antennas are given.</t>
  </si>
  <si>
    <t>39-48</t>
  </si>
  <si>
    <t>6701827520;6507948643;7004559141</t>
  </si>
  <si>
    <t>Vodovatov, I. A.;Vysotskiy, M. G.;Rogov, S. A.</t>
  </si>
  <si>
    <t>Vodovatov I.</t>
  </si>
  <si>
    <t>INVESTIGATION OF THE RADIATION PATTERNS OF ANNULAR ANTENNA ARRAYS WITH A RANDOM ARRANGEMENT OF ELEMENTS.</t>
  </si>
  <si>
    <t>2-s2.0-0021418048</t>
  </si>
  <si>
    <t>['theoretical calculations', 'rectenna system', 'microwave matching', 'laboratory mockup', 'experimental measurements', 'dipole array', 'diode rectifier', 'appropriate geometry']</t>
  </si>
  <si>
    <t>Questions of the microwave matching of the dipole with the diode rectifier by selecting an appropriate geometry for the dipole array are investigated for a rectenna system. The results of theoretical calculations and experimental measurements of a laboratory mockup of the rectenna system are presented.</t>
  </si>
  <si>
    <t>139-144</t>
  </si>
  <si>
    <t>7004652700;6603472575;6603789357;6506015478;6506683672;6506594959</t>
  </si>
  <si>
    <t>Vanke, V. A.;Lesota, S. K.;Savvin, V. L.;Maslovskiy, F. N.;Novitskiy, V. A.;Sambur, I. G.</t>
  </si>
  <si>
    <t>Vanke V.</t>
  </si>
  <si>
    <t>INVESTIGATION OF MATCHING IN RECTENNA SYSTEMS.</t>
  </si>
  <si>
    <t>2-s2.0-0021418155</t>
  </si>
  <si>
    <t>['small protuberances', 'sharp points', 'rf conditions', 'mechanisms responsible', 'environmental conditions', 'electrical discharges', 'electric fields', 'effects observed', 'corona shields', 'antenna arrays']</t>
  </si>
  <si>
    <t>The mechanisms responsible for the development of electrical discharges at high-power antenna arrays under rf conditions have been investigated in the laboratory using pulsed discharge techniques. Both uniform and nonuniform electric field conditions have been studied, the former to investigate the influence of such parameters as humidity and environmental conditions, the latter to establish more precisely the role of sharp points and the consequent localized distortion of electric fields. The effects observed under operating conditions could be explained in terms of the influence of small protuberances at the corona shields, and highlights the possibly important environmental consequence of large insect populations in the vicinity of such antenna arrays.</t>
  </si>
  <si>
    <t>145-152</t>
  </si>
  <si>
    <t>0143702X</t>
  </si>
  <si>
    <t>IEE Proceedings A: Physical Science. Measurement and Instrumentation. Management and Education. Reviews</t>
  </si>
  <si>
    <t>May</t>
  </si>
  <si>
    <t>60017837;60017837;60017837</t>
  </si>
  <si>
    <t>57190420888;7403472803;7003657592</t>
  </si>
  <si>
    <t>Plumb, I. C.;Cook, D. C.;Haydon, S. C.</t>
  </si>
  <si>
    <t>Armidale</t>
  </si>
  <si>
    <t>University of New England Australia</t>
  </si>
  <si>
    <t>Plumb I.</t>
  </si>
  <si>
    <t>LABORATORY INVESTIGATIONS OF PULSED rf PLASMAS RELEVANT TO CW ARC PLUMING AT HIGH-POWER AERIALS. PT. 1: CRITICAL BREAKDOWN UNDER PULSED rf CONDITIONS.</t>
  </si>
  <si>
    <t>10.1049/ip-a-1.1984.0025</t>
  </si>
  <si>
    <t>2-s2.0-0021420077</t>
  </si>
  <si>
    <t>['scaled toroid', 'scaled sphere', 'point geometries', 'plane geometries', 'phenomenon occurring', 'part 1', 'laboratory observations', 'cw conditions']</t>
  </si>
  <si>
    <t>The paper describes experiments which extend the observations of rf breakdown events in nonuniform fields reported in Part 1. Emphasis is given to examining the relevance of laboratory observations on pulsed rf discharges to the understanding of the 'pluming' phenomenon occurring under cw conditions at high-power antenna arrays. This is achieved by examining the effects of various scaling factors on the breakdown characteristics using both scaled sphere-to-plane and scaled toroid-to-plane geometries. It is shown how the intrusion of objects with needle-point geometries can lead to reductions in the critical electric fields needed to initiate the unwanted 'pluming' phenomenon.</t>
  </si>
  <si>
    <t>153-158</t>
  </si>
  <si>
    <t>60017837;60017837</t>
  </si>
  <si>
    <t>7403472803;7003657592</t>
  </si>
  <si>
    <t>Cook, D. C.;Haydon, S. C.</t>
  </si>
  <si>
    <t>Cook D.</t>
  </si>
  <si>
    <t>LABORATORY INVESTIGATIONS OF rf PLASMAS RELEVANT TO CW ARC PLUMING AT HIGH-POWER AERIALS. PT. 2: RELEVANCE OF SCALE-MODEL STUDIES BASED ON PULSED rf TECHNIQUES.</t>
  </si>
  <si>
    <t>10.1049/ip-a-1.1984.0026</t>
  </si>
  <si>
    <t>2-s2.0-0021420345</t>
  </si>
  <si>
    <t>['rotating target', 'recording arrangement', 'receiving antenna', 'perpendicular polarizations', 'microwave circuit', 'iit kharagpur', 'communication center', 'automatically measuring', 'arbitrary shape', 'airconditioned rooms', '70 cm', '4 ghz']</t>
  </si>
  <si>
    <t>A monostatic cw radar cross-section measurement facility in the X-band (8. 2-12. 4 GHz) at the Radar and Communication Center, IIT Kharagpur, is described. This set-up is capable of automatically measuring the cw monostatic radar cross-section over the range of aspect angle 0 degree to plus or minus 180 degree for both parallel and perpendicular polarizations. The transmitting/receiving antenna and the rotating target is housed on the roof-top of the center and the microwave circuit with the recording arrangement is in one of the airconditioned rooms. The set-up is capable of handling a target of arbitrary shape of maximum size equal to 70 cm and uses the two-stage background cancellation technique.</t>
  </si>
  <si>
    <t>59-64</t>
  </si>
  <si>
    <t>IETE Technical Review (Institution of Electronics and Telecommunication Engineers, India)</t>
  </si>
  <si>
    <t>60004750;60004750;60004750;60004750</t>
  </si>
  <si>
    <t>7402672382;7201551267;56048579300;57206206707</t>
  </si>
  <si>
    <t>Bhattacharyya, Asoke K.;Tandon, S. K.;Sanyal, Subrata;Sarkar, D. R.</t>
  </si>
  <si>
    <t>Bhattacharyya A.</t>
  </si>
  <si>
    <t>CW RADAR CROSS-SECTION MEASUREMENT FACILITY IN X-BAND.</t>
  </si>
  <si>
    <t>10.1080/02564602.1984.11437555</t>
  </si>
  <si>
    <t>2-s2.0-0021420414</t>
  </si>
  <si>
    <t>['¬© 1984', 'side lobes', 'rights reserved', 'radiation pattern', 'nonsmooth optimization', 'approach suggested', 'antenna array']</t>
  </si>
  <si>
    <t>It is considered, how a well-known mathematical modell of nonsmooth optimization can be used for designing an antenna array in such a way that the side lobes of its radiation pattern are minimized. Some numerical results show the efficiency of the approach suggested by the author. ¬© 1984, Walter de Gruyter. All rights reserved.</t>
  </si>
  <si>
    <t>Frequenz</t>
  </si>
  <si>
    <t>60072501;60072501</t>
  </si>
  <si>
    <t>6506847360;36854171800</t>
  </si>
  <si>
    <t>Wolfenstetter, Klaus Dieter;Hornung, Roland</t>
  </si>
  <si>
    <t>Darmstadt</t>
  </si>
  <si>
    <t>Forschungsinstitut der Deutschen Bundespost</t>
  </si>
  <si>
    <t>Wolfenstetter K.</t>
  </si>
  <si>
    <t>Relations between Line Spectrums and Density Spectrums: Optimal Design of an Antenna Array</t>
  </si>
  <si>
    <t>10.1515/FREQ.1984.38.5.102</t>
  </si>
  <si>
    <t>2-s2.0-0021420680</t>
  </si>
  <si>
    <t>['series expansions', 'ra ),', 'plasma column', 'plasma centre', 'maxima near', 'large enough', 'helical antenna', 'axial current', 'analytical expressions']</t>
  </si>
  <si>
    <t>The problem of RF field excitation and absorption in an inhomogeneous plasma cylinder with axial uniform direct current is investigated. The RF power absorption is connected with the conversion of the incident wave generated by a helical antenna in the slow Alfv√©n (kinetic) mode in the vicinity of the point of ‚Äúlocal Alfv√©n resonance‚Äù r = rA. Effects of the plasma gyrotropic properties are included. Analytical expressions for RF field amplitudes and absorbed RF power, W, are obtained in terms of series expansions. If the axial current is large enough, sharp resonance curves, W(rA), are possible, with the maxima near the plasma centre. These maxima virtually coincide with the kink mode frequencies of the plasma column. ¬© 1984 IOP Publishing Ltd.</t>
  </si>
  <si>
    <t>609-613</t>
  </si>
  <si>
    <t>116316468;116316468;116316468</t>
  </si>
  <si>
    <t>7005987181;7801634894;7005900823</t>
  </si>
  <si>
    <t>Elfimov, A. G.;Lozovskij, S. N.;Dorokhov, V. V.</t>
  </si>
  <si>
    <t>Vekua Institute of Physics and Technology</t>
  </si>
  <si>
    <t>Elfimov A.</t>
  </si>
  <si>
    <t>Alfv√®n heating of a plasma with an axial homogeneous current</t>
  </si>
  <si>
    <t>10.1088/0029-5515/24/5/007</t>
  </si>
  <si>
    <t>2-s2.0-0021421933</t>
  </si>
  <si>
    <t>['various periods', 'square waves', 'square wave', 'special case', 'situation opens', 'sinusoidal waves', 'propagate dispersion', 'ongoing effort', 'nonsinusoidal waves', 'general solution', 'free waveguides', 'cavity resonators', 'associated circuits']</t>
  </si>
  <si>
    <t>cavity resonators | I16c | I16d | Nonsinusoidal electromagnetic waves | P99d | sequency theory | Walsh functions</t>
  </si>
  <si>
    <t>It has been shown that nonsinusoidal waves can propagate dispersion-free in loss-free waveguides. This situation opens the a possibility of nonsinusoidal waves existing distortion-free in cavity resonators. A general solution of Maxwell's equations for nonsinusoidal waves in rectangular cavity resonators is derived. For the special case of a square wave, the electric and magnetic field strengths as functions of time and space are analyzed in detail. The implication of this analysis is that square waves or other periodic nonsinusoidal waves with various periods T can be separated by cavity resonators just as sinusoidal waves with various periods T can be separated. This paper is part of an ongoing effort to advance the technology of antennas and associated circuits for nonsinusoidal electromagnetic waves. ¬© 1984 IEEE</t>
  </si>
  <si>
    <t>84-89</t>
  </si>
  <si>
    <t>EMC-26</t>
  </si>
  <si>
    <t>1558187X</t>
  </si>
  <si>
    <t>IEEE Transactions on Electromagnetic Compatibility</t>
  </si>
  <si>
    <t>Harmuth, Henning F.</t>
  </si>
  <si>
    <t>Catholic University of America</t>
  </si>
  <si>
    <t>Harmuth H.F.</t>
  </si>
  <si>
    <t>Nonsinusoidal Waves in Cavity Resonators</t>
  </si>
  <si>
    <t>10.1109/TEMC.1984.304191</t>
  </si>
  <si>
    <t>2-s2.0-0021421949</t>
  </si>
  <si>
    <t>['∆ íhe', '∆ í', 'wave excitation', 'strong radiation', 'space experiments', 'predicted theoretically', 'paper discusses', 'electromagnetic waves', 'copyright 1984']</t>
  </si>
  <si>
    <t>Wave excitation by using electron beam antennas is planned in the Space Experiments With Particle Accelerators project. This paper discusses the radiation of electromagnetic waves from a density‚Äêmodulated electron beam antenna injected along the earth magnetic field into the ionosphere. Strong radiation at the lower hybrid frequency ∆íLHR and the higher frequency band (∆íLHR &lt;∆í ‚â§ ∆íHe/2, where ∆í and ∆íHe are frequency and electron cyclotron frequency, respectively) is predicted theoretically for an appropriate beam velocity. Copyright 1984 by the American Geophysical Union.</t>
  </si>
  <si>
    <t>925-929</t>
  </si>
  <si>
    <t>May-June 1984</t>
  </si>
  <si>
    <t>7006605111;56779495700</t>
  </si>
  <si>
    <t>Ohnuki, Shigeo;Adachi, Saburo</t>
  </si>
  <si>
    <t>Ohnuki S.</t>
  </si>
  <si>
    <t>Radiation of electromagnetic waves from an electron beam antenna in an ionosphere</t>
  </si>
  <si>
    <t>10.1029/RS019i003p00925</t>
  </si>
  <si>
    <t>2-s2.0-0021422004</t>
  </si>
  <si>
    <t>['radiation field', 'possible application', 'periodic excitation', 'original problem', 'modal equation', 'copyright 1984']</t>
  </si>
  <si>
    <t>The excitation by an aperiodic magnetic line source of a periodic strip grating backed by a perfectly conducting plane is studied. The original problem is transformed into a problem of periodic excitation and then solved by reduction to a modified Riemann‚ÄêHilbert problem. The radiation field is calculated and interpreted in terms of the solutions of the modal equation of the structure. The numerical results confirm the possible application of this structure in the design of a leaky‚Äêwave antenna. Copyright 1984 by the American Geophysical Union.</t>
  </si>
  <si>
    <t>829-839</t>
  </si>
  <si>
    <t>35614447100;57208766235;6506746730</t>
  </si>
  <si>
    <t>Barbosa, A. M.;dos Santos, A. F.;Figanier, J.</t>
  </si>
  <si>
    <t>Barbosa A.</t>
  </si>
  <si>
    <t>Radiation field of a periodic strip grating excited by an aperiodic line source</t>
  </si>
  <si>
    <t>10.1029/RS019i003p00829</t>
  </si>
  <si>
    <t>2-s2.0-0021422005</t>
  </si>
  <si>
    <t>['¬© 1984', 'small users', 'satellite parameters', 'rights reserved', 'radio engineers', 'present systems', 'operational considerations', 'existing satellites', 'economic tariffs', 'communication satellites', 'antenna gain']</t>
  </si>
  <si>
    <t>Communications satellites | Earth stations | Mobile installatio</t>
  </si>
  <si>
    <t>The potential market presented by small users is considered and the characteristics of the present systems of communication satellites are reviewed. The satellite parameters of antenna gain and directivity and of bandwidth are then discussed and the operational considerations of the existing satellites are examined with reference to the requirements of the proposed small mobile users. The implications of economic tariffs are briefly touched upon. ¬© 1984, The Institution of Electronic and Radio Engineers. All rights reserved.</t>
  </si>
  <si>
    <t>215-218</t>
  </si>
  <si>
    <t>Radio and Electronic Engineer</t>
  </si>
  <si>
    <t>101489645;101489645</t>
  </si>
  <si>
    <t>6602357517;6506303646</t>
  </si>
  <si>
    <t>Anson, Peter;Crompton, E. K.</t>
  </si>
  <si>
    <t>Portsmouth</t>
  </si>
  <si>
    <t>Marconi Space and Defence Systems</t>
  </si>
  <si>
    <t>Anson P.</t>
  </si>
  <si>
    <t>The technical and economic considerations of bringing satellite communications to small mobile users</t>
  </si>
  <si>
    <t>10.1049/ree.1984.0053</t>
  </si>
  <si>
    <t>2-s2.0-0021422117</t>
  </si>
  <si>
    <t>['wave diffraction', 'mutual coupling', 'hybrid technique', 'geometrical theory', 'electromagnetic interference', 'difficult one', 'curved surface', 'computer programs', 'close agreement', 'aircraft antennas']</t>
  </si>
  <si>
    <t>aircraft | cylindrical surface | Electromagnetic coupling | geometrical theory of diffraction | H24K | hybrid MOM-GTD technique | I15d | I15e | IEMCAP | J1d | J6D | K3K | l1d | method of moments | monopole antennas</t>
  </si>
  <si>
    <t>The problem of analyzing the electromagnetic interference (EMI) between two electronic systems when their antennas are located on or near large scattering objects is a difficult one. In this paper, a hybrid technique for combining the method of moments with the geometrical theory of diffraction (GTD) is extended to account for the mutual coupling between two monopole antennas on a large circular cylinder by means of curved surface-wave diffraction. The results of this technique are compared to those of an analysis program used by the United States Air Force which predicts electromagnetic coupling between aircraft antennas. The close agreement between the results of these two different analysis techniques serves to validate both computer programs. ¬© 1984 IEEE</t>
  </si>
  <si>
    <t>90-97</t>
  </si>
  <si>
    <t>60025576;60008609</t>
  </si>
  <si>
    <t>7202859170;7102201391</t>
  </si>
  <si>
    <t>Davidson, Steven A.;Thiele, Gary A.</t>
  </si>
  <si>
    <t>Dayton;Dayton</t>
  </si>
  <si>
    <t>Wright-Patterson AFB;University of Dayton</t>
  </si>
  <si>
    <t>Davidson S.</t>
  </si>
  <si>
    <t>A Hybrid Method of Moments‚ÄîGTD Technique for Computing Electromagnetic Coupling Between Two Monopole Antennas on a Large Cylindrical Surface</t>
  </si>
  <si>
    <t>10.1109/TEMC.1984.304192</t>
  </si>
  <si>
    <t>2-s2.0-0021422129</t>
  </si>
  <si>
    <t>['parametric excitation', 'important features', 'decay process', '4œ ©']</t>
  </si>
  <si>
    <t>Parametric excitation of ion Bernstein waves is observed with an ICRF fast wave induction loop antenna in the ion cyclotron frequency range (œâ0‚àº2Œ©i - 4Œ©i). Important features of the decay process are investigated and discussed. ¬© 1984 American Institute of Physics.</t>
  </si>
  <si>
    <t>1051-1054</t>
  </si>
  <si>
    <t>60018020;60018020;60018020</t>
  </si>
  <si>
    <t>7003454886;56144605100;7404759730</t>
  </si>
  <si>
    <t>Skiff, F.;Ono, M.;Wong, K. L.</t>
  </si>
  <si>
    <t>Princeton</t>
  </si>
  <si>
    <t>Princeton Plasma Physics Laboratory</t>
  </si>
  <si>
    <t>Skiff F.</t>
  </si>
  <si>
    <t>Parametric excitation of ion Bernstein waves by a fast wave antenna in the ion cyclotron frequency range</t>
  </si>
  <si>
    <t>10.1063/1.864732</t>
  </si>
  <si>
    <t>2-s2.0-0021422598</t>
  </si>
  <si>
    <t>['well matched', 'urban land', 'upper portion', 'uhf band', 'two signals', 'therefore possible', 'single two', 'signal gain', 'receiver output', 'propagation path', 'port antenna', 'one way', 'one another', 'omnidirectional antenna', 'multipath propagation', 'many obstructions', 'independent signals', 'fade independently', 'diversity combiner', 'directive pattern', 'direct wave', 'described herein']</t>
  </si>
  <si>
    <t>Urban land-mobile communication systems designed to operate over the upper portion of the UHF band are very susceptible to frequent wide signal variations. Deep fades arise due to the presence of many obstructions in the propagation path between the transmitter and receiver. One way to combat the effects of Rayleigh fading due to multipath propagation is to provide a diversity combiner in the mobile receiving system with two signals, each containing the same information, which fade independently of one another. Such a system can virtually eliminate deep fades from the receiver output. Described herein is a method of obtaining two diversity branches, with independent signals if so desired, from a single two-port antenna which is both well matched to the transponder and efficient over the land-mobile frequency band from 820‚Äì890 MHz. A directive pattern is associated with each port. When operating with a direct wave, signal gain over an omnidirectional antenna is therefore possible. ¬© 1984 IEEE</t>
  </si>
  <si>
    <t>76-83</t>
  </si>
  <si>
    <t>IEEE Transactions on Vehicular Technology</t>
  </si>
  <si>
    <t>60000745;60000745</t>
  </si>
  <si>
    <t>7103099446;7006767012</t>
  </si>
  <si>
    <t>Halpern, Benjamin M.;Mayes, Paul E.</t>
  </si>
  <si>
    <t>Halpern B.</t>
  </si>
  <si>
    <t>The Monopole Slot as a Two-Port Diversity Antenna for UHF Land-Mobile Radio Systems</t>
  </si>
  <si>
    <t>10.1109/T-VT.1984.23990</t>
  </si>
  <si>
    <t>2-s2.0-0021423033</t>
  </si>
  <si>
    <t>['¬© 1984', 'room temperature', 'relaxation periods', 'maximum size', 'low temperature', 'gravitational experiments', 'dynamic character', 'decay characteristic', 'antenna shows', '310 mm']</t>
  </si>
  <si>
    <t>cryogenics | gravitation | torsional antenna</t>
  </si>
  <si>
    <t>A torsional type antenna with a diameter of 310 mm, which is the maximum size of an extruded aluminium alloy bar commercially available, is developed for gravitational experiments at low temperature. The antenna shows a very long relaxation time of an externally excited oscillation; œÑ = 1.78 √ó 105 s corresponding to Q = 3.30 √ó 107 at liquid helium temperature. The decay characteristic is studied over a few relaxation periods to confirm a single exponential decay at small oscillation amplitude. An amplitude dependent loss is observed above a certain oscillation level at low temperature. The dynamic character of the antenna is studied between room temperature and liquid helium temperature. ¬© 1984.</t>
  </si>
  <si>
    <t>227-230</t>
  </si>
  <si>
    <t>Cryogenics</t>
  </si>
  <si>
    <t>60003218;60003218;60003218;60003218;60003218;60025272</t>
  </si>
  <si>
    <t>16414277700;35402155100;35740802700;57197287858;57221017105;57225663189</t>
  </si>
  <si>
    <t>Morimoto, K.;Kato, H.;Kudo, N.;Sugawara, S.;Suzuki, K.;Kimura, S.</t>
  </si>
  <si>
    <t>Tokyo;Tsukuba</t>
  </si>
  <si>
    <t>The University of Tokyo;High Energy Accelerator Research Organization, Tsukuba</t>
  </si>
  <si>
    <t>60025272;60003218</t>
  </si>
  <si>
    <t>Morimoto K.</t>
  </si>
  <si>
    <t>A 310 mmœÜ torsional type antenna for gravitational experiments at low temperature</t>
  </si>
  <si>
    <t>10.1016/0011-2275(84)90147-4</t>
  </si>
  <si>
    <t>2-s2.0-0021424781</t>
  </si>
  <si>
    <t>Ministry of Education, Culture, Sports, Science and Technology</t>
  </si>
  <si>
    <t>Monbusho</t>
  </si>
  <si>
    <t>['test frequency', 'te11 mode', 'reflector focus', 'reflector aperture', 'properly chosen', 'principal polarization', 'principal beam', 'polarization within', 'polarization reduction', 'polarization near', 'measurements obtained', 'maximum cross', 'francis group', 'experimental reflector', 'described numerically', 'aperture distribution', '10db reduction']</t>
  </si>
  <si>
    <t>An investigation of cross-polarization reduction in parabolic reflector antennas is described numerically and experimentally. The test reflector used in this paper is a 500mm diameter parabolic antenna fed by an open-ended circular waveguide horn (TE11 mode) at the reflector focus. Partial polarization control of the aperture distribution in the experimental reflector was achieved by placing metallic strips on a radome at the reflector aperture. Numerical results show that the maximum cross-polarization near-axis (within the ‚Äî 10dB-angle of the principal beam) can be suppressed below ‚Äî 40dB (about 10dB reduction) if the shaping is properly chosen. Measurements obtained at the test frequency of 12 15GHz also show that maximum cross-polarization within the ‚Äî 10 dB-angle is suppressed below ‚Äî 40dB with little side lobe variations in the principal polarization. ¬© Taylor 1984 &amp; Francis Group, LLC.</t>
  </si>
  <si>
    <t>681-695</t>
  </si>
  <si>
    <t>60194543;60014652</t>
  </si>
  <si>
    <t>7201750560;55709894900</t>
  </si>
  <si>
    <t>Miyata, Katsumasa;Suzuki, Michio</t>
  </si>
  <si>
    <t>Akita;Sapporo</t>
  </si>
  <si>
    <t>National Institute of Technology, Akita College;Hokkaido University</t>
  </si>
  <si>
    <t>Effects of aperture polarization control on cross-polarization characteristics in front-fed parabolic reflector antennas</t>
  </si>
  <si>
    <t>10.1080/00207218408938863</t>
  </si>
  <si>
    <t>2-s2.0-0021425084</t>
  </si>
  <si>
    <t>['weather abates', 'stable platform', 'something even', 'ships within', 'satcom equivalent', 'ironic superiority', 'important going', 'immediate area', 'human link', 'hostile environment', 'helpful distance', 'emerging failure', 'common struggle', 'classic example', 'breaks lock', 'basic flaws', 'auto tracking', '500 khz']</t>
  </si>
  <si>
    <t>Perhaps the most classic example of high technology impotence is the emerging failure of Satcom as a viable high seas distress mode. As superb a piece of equipment as it is, Satcom has some very basic flaws that create serious consequences. For one, the shipboard Satcom terminal has no emergency power supply. This is unlike the ship's emergency telegraph transmitter which incorporates its own dedicated battery bank. When the ship's main power fails, the Satcom fails completely. Secondly, Satcom has no direct access mode to ships in the immediate area. That is, there is no Satcom equivalent of the universal SOS signal on 500 kHz that can be picked up directly by all ships within a helpful distance. The third and equally serious flaw in Satcom is the shipboard antenna requirement for a stable platform in order to track the satellite. When rough or severe sea conditions are encountered (as in the Marine Electric tragedy) the antenna cannot maintain its auto tracking of the satellite and breaks lock. This results in a totally inoperative satellite communications link until the weather abates and the terminal can be reinitialized. Maritime history shows one recurring fact of life. It is men who make the difference, not technology. The 500 kHz distress system, despite its ironic superiority in this age of satellites, has something even more important going for it, a human-to-human link between two men sharing a common struggle for survival in a hostile environment.</t>
  </si>
  <si>
    <t>Sea Technology</t>
  </si>
  <si>
    <t>Schalestock, John</t>
  </si>
  <si>
    <t>Schalestock J.</t>
  </si>
  <si>
    <t>AT THE HUMAN INTERFACE IN THE AGE OF SATCOM.</t>
  </si>
  <si>
    <t>2-s2.0-0021425113</t>
  </si>
  <si>
    <t>['transmission line', 'suppress eigenmodes', 'slab plasma', 'poloidal direction', 'numerical computations', 'modified resonance', 'large currents', 'jet antenna', 'generator terminals', 'frequencies far', 'disperse far', 'antenna impedance', 'also assumes']</t>
  </si>
  <si>
    <t>A general variational principle for an ICRF antenna radiating into a slab plasma is presented. The model is three-dimensional and includes the effect of connections to a transmission line. It also assumes an extent of absorption in the plasma that is sufficient to suppress eigenmodes. The variational principle gives the self-consistent currents flowing in the antenna, the fields excited inside the plasma and the antenna impedance at the generator terminals. Numerical computations are made for a TFR and a JET antenna. A study of power coupling shows that the optimum operating frequency lies near the plasma-modified resonance. The fields excited inside the plasma are found to disperse far more in the toroidal than in the poloidal direction. Also, at frequencies far from resonance, the large currents in the connections excite fields of considerably larger spatial extent than at resonance. ¬© 1984 IOP Publishing Ltd.</t>
  </si>
  <si>
    <t>541-554</t>
  </si>
  <si>
    <t>60009386;60009386</t>
  </si>
  <si>
    <t>6603458324;7005524697</t>
  </si>
  <si>
    <t>Theilhaber, K.;Jacquinot, J.</t>
  </si>
  <si>
    <t>Fontenay-aux-Roses</t>
  </si>
  <si>
    <t>CEA Fontenay aux Roses</t>
  </si>
  <si>
    <t>Theilhaber K.</t>
  </si>
  <si>
    <t>Variational theory of the ICRH antenna</t>
  </si>
  <si>
    <t>10.1088/0029-5515/24/5/002</t>
  </si>
  <si>
    <t>2-s2.0-0021425511</t>
  </si>
  <si>
    <t>['small e', 'sheet located', 'open edges', 'loop radius', 'known current', 'h fields', 'government work', 'distance equal', 'antenna images', 'antenna factor', '1000 mhz']</t>
  </si>
  <si>
    <t>A2f | A3j | Antenna factor | calibration | E-H fields</t>
  </si>
  <si>
    <t>The loop cell used for calibration is fabricated using two intersecting metal sheets joined at the intersection and forming a 36¬∞ angle. A section of a loop is mounted between two coaxial panel jacks, one on each sheet located at a distance equal to the loop radius from the intersection. A known current through this section of electrically small loop produces calculable E and H fields between the sheets in the plane of the loop. These known fields may be used to determine the antenna factor of small E and H antennas placed in the field if the mutual impedance due to the antenna images in the sheets is negligible and the antenna is not close to the open edges of the cell. Measured and calculated antenna factors agree within ¬± 2 dB between 0.25 and 1000 MHz. U.S. Government work not protected by U.S. copyright</t>
  </si>
  <si>
    <t>58-65</t>
  </si>
  <si>
    <t>Fitzgerrell, R. G.</t>
  </si>
  <si>
    <t>Gaithersburg</t>
  </si>
  <si>
    <t>National Institute of Standards and Technology</t>
  </si>
  <si>
    <t>Fitzgerrell R.</t>
  </si>
  <si>
    <t>A Source of E and H Fields for Antenna-Factor Calibration</t>
  </si>
  <si>
    <t>10.1109/TEMC.1984.304187</t>
  </si>
  <si>
    <t>2-s2.0-0021427029</t>
  </si>
  <si>
    <t>['well known', 'secondary integrals', 'radiation integral', 'many applications', 'integration boundaries', 'explicit expression', 'evaluated explicitly', 'endpoint diffraction', 'edge diffraction', 'copyright 1984', 'asymptotic approximation', 'aperture efficiencies', 'another surface', 'alternative formulation']</t>
  </si>
  <si>
    <t>The asymptotic approximation of a radiation integral, in which the integrand has a stationary phase point near one of the integration boundaries, is well known (endpoint diffraction). An alternative formulation of endpoint diffraction is given which is similar to the formulation of edge diffraction in the uniform geometrical theory of diffraction. In many applications the endpoint diffraction solution is the integrand of a new secondary radiation integral over another surface. An asymptotic approximation to one such class of secondary integrals, which represent double‚Äêendpoint diffraction in the direction of a stationary phase caustic, is evaluated explicitly. This explicit expression can be used to obtain simple analytic diffraction corrections to geometric optics solutions, for example, calculations of the aperture efficiencies of dual‚Äêreflector antennas and cylindrical reflector antennas. Copyright 1984 by the American Geophysical Union.</t>
  </si>
  <si>
    <t>805-811</t>
  </si>
  <si>
    <t>Kildal, Per‚ÄêSimon ‚ÄêS</t>
  </si>
  <si>
    <t>Kildal P.</t>
  </si>
  <si>
    <t>Asymptotic approximations of radiation integrals: Endpoint and double endpoint diffraction</t>
  </si>
  <si>
    <t>10.1029/RS019i003p00805</t>
  </si>
  <si>
    <t>2-s2.0-0021427859</t>
  </si>
  <si>
    <t>['relative importance', 'radiation mechanism', 'radiation field', 'modal equation', 'improper solutions', 'horizontal wire', 'ground excited', 'good approximation', 'first time', 'field tranforms', 'far field', 'error functions', 'copyright 1984', 'asymptotic expression', 'analytic continuation']</t>
  </si>
  <si>
    <t>A representation in error functions for the current and field of a horizontal wire above ground excited by a delta function voltage generator is studied. This representation involves contributions from both proper and improper solutions of the modal equation and makes it possible to assess the relative importance of proper and improper solutions in the radiation mechanism. The new representation requires the analytic continuation of the field tranforms into the whole complex plane of the transverse wave number which is studied for the first time as far as the improper half plane is concerned. An asymptotic expression for the radiation field is obtained, and it is shown that the principal improper mode provides a good approximation to the far field. Copyright 1984 by the American Geophysical Union.</t>
  </si>
  <si>
    <t>812-828</t>
  </si>
  <si>
    <t>7004950330;57208766235</t>
  </si>
  <si>
    <t>Carpentier, M. P.;dos Santos, A. F.</t>
  </si>
  <si>
    <t>Carpentier M.</t>
  </si>
  <si>
    <t>Nonspectral representation for the field of a horizontal wire above ground</t>
  </si>
  <si>
    <t>10.1029/RS019i003p00812</t>
  </si>
  <si>
    <t>2-s2.0-0021428327</t>
  </si>
  <si>
    <t>['relative precision', 'measured polarization', 'limited resolution', 'different polarizations', 'array consists', 'absolute accuracy', '800 œºm', '8 ¬∞']</t>
  </si>
  <si>
    <t>An integrated-circuit antenna array has been developed that images both polarization and intensity. The array consists of a row of antennas that lean alternately left and right, creating two interlaced sub-arrays that respond to different polarizations. The arrays and the bismuth bolometer detectors are made by a photoresist shadowing technique that requires only one photolithographic mask. The array has measured polarization at a wavelength of 800 Œºm with an absolute accuracy of 0.8¬∞ and a relative precision Of 7 arc min, and has demonstrated nearly diffraction-limited resolution of a 20¬∞ step in polarization. ¬© 1984 IEEE</t>
  </si>
  <si>
    <t>507-512</t>
  </si>
  <si>
    <t>IEEE Transactions on Microwave Theory and Techniques</t>
  </si>
  <si>
    <t>60031581;60031581;60027550;60027550;60027550;60013372</t>
  </si>
  <si>
    <t>7102333102;7102803490;57198839279;7005354897;56478417600;57205523216</t>
  </si>
  <si>
    <t>Tong, Peter P.;Rutledge, David B.;Young, Peter E.;Peebles, W. A.;Luhmann, Neville C.;Neikirk, Dean P.</t>
  </si>
  <si>
    <t>Pasadena;Los Angeles;Austin</t>
  </si>
  <si>
    <t>California Institute of Technology;University of California, Los Angeles;The University of Texas at Austin</t>
  </si>
  <si>
    <t>60031581;60027550;60013372</t>
  </si>
  <si>
    <t>Tong P.P.</t>
  </si>
  <si>
    <t>Imaging Polarimeter Arrays for Near-Millimeter Waves</t>
  </si>
  <si>
    <t>10.1109/TMTT.1984.1132714</t>
  </si>
  <si>
    <t>2-s2.0-0021428401</t>
  </si>
  <si>
    <t>['tumor volumes', 'treatment modality', 'tissue surrounding', 'radiofrequency antennae', 'physiologic phenomena', 'medical community', 'local hyperthermia', 'interstitial therapies', 'implanted volume', 'implanted seeds', 'heating tumors', 'heat away', 'gain popularity', 'ferromagnetic implant', 'external source', 'disappointing findings', 'cancer continues']</t>
  </si>
  <si>
    <t>The effectiveness of hyperthermia as a treatment modality for cancer continues to gain popularity in the medical community. One of the disappointing findings has been the inability to deliver uniform thermal doses to tumor volumes. This inability to heat certain tumors is due to a variety of physical and physiologic phenomena. To increase the ability of heating tumors, local interstitial techniques have been developed that are proving to be safe and effective. These techniques employ implanted microwave or radiofrequency antennae for the delivery of local thermal doses. Recently, investigations into the placement of interstitially located ferromagnetic seeds for local hyperthermia have also been conducted. The seeds can be heated by delivery of a high-wattage rf magnetic field to the implanted volume by an external source after implantation. The tissue surrounding the ferromagnetic implant is heated by conduction of heat away from the implanted seeds. While these techniques have been effective, further development of the instrumentation for interstitial therapies is continuing. These developments will include the application of specific control circuitry for delivery of accurate thermal doses.</t>
  </si>
  <si>
    <t>175-180</t>
  </si>
  <si>
    <t>Medical Instrumentation</t>
  </si>
  <si>
    <t>May-Jun</t>
  </si>
  <si>
    <t>7004314260;7003996461</t>
  </si>
  <si>
    <t>Milligan, Andrew J.;Dobelbower, Ralph R.</t>
  </si>
  <si>
    <t>Milligan A.</t>
  </si>
  <si>
    <t>INTERSTITIAL HYPERTHERMIA.</t>
  </si>
  <si>
    <t>2-s2.0-0021429016</t>
  </si>
  <si>
    <t>['weight control', 'symmetric locations', 'sidelobe nulling', 'several examples', 'required phases', 'phase perturbations', 'electronics engineers']</t>
  </si>
  <si>
    <t>Sidelobe nulling at symmetric locations in linear array patterns can be accomplished with phase-only weight control if no restriction is placed on the magnitude of the phase perturbations. Nonlinear programming techniques can be used to calculate the required phases. Several examples are presented. Copyright ¬© 1984 by The Institute of Electrical and Electronics Engineers, Inc.</t>
  </si>
  <si>
    <t>530-533</t>
  </si>
  <si>
    <t>Shore, Robert A.</t>
  </si>
  <si>
    <t>Shore R.</t>
  </si>
  <si>
    <t>Nulling at Symmetric Pattern Location with Phase-Only Weight Control</t>
  </si>
  <si>
    <t>10.1109/TAP.1984.1143360</t>
  </si>
  <si>
    <t>2-s2.0-0021429824</t>
  </si>
  <si>
    <t>['comparison shows']</t>
  </si>
  <si>
    <t>The second and third harmonic radar cross-section of a bistatic diode loaded nonlinear responder have been measured and compared with theoretical results obtained by the Volterra series formalism. The comparison shows a farily good agreement.</t>
  </si>
  <si>
    <t>172-176</t>
  </si>
  <si>
    <t>7006499276;6602482776;35223700800</t>
  </si>
  <si>
    <t>Bucci, Ovidio M.;De Bonitatibus, Antonio;Pinto, Innocenzo</t>
  </si>
  <si>
    <t>Bucci O.</t>
  </si>
  <si>
    <t>HARMONIC RADAR CROSS-SECTION OF BISTATIC NONLINEAR RESPONDER.</t>
  </si>
  <si>
    <t>2-s2.0-0021429976</t>
  </si>
  <si>
    <t>['small fractions', 'performed anywhere', 'measure deformations', 'electronics engineers', 'detect deformations', 'deformation measurements', 'additional sensor']</t>
  </si>
  <si>
    <t>A method to measure deformations in large, planar phased array antennas used in spaceborne synthetic aperture radars (SAR) is described. This method has the advantages that the deformation measurements can be performed anywhere in orbit and that no additional sensor is required. Indirect test results using the SEASAT SAR data indicate that this technique can detect deformations of small fractions of a wavelength. Copyright ¬© 1984 by The Institute of Electrical and Electronics Engineers, Inc.</t>
  </si>
  <si>
    <t>512-517</t>
  </si>
  <si>
    <t>Li, F. K.</t>
  </si>
  <si>
    <t>Li F.</t>
  </si>
  <si>
    <t>A Method for Detection of Deformations in Large Phased Array Antennas for Spaceborne Synthetic Aperture Radars</t>
  </si>
  <si>
    <t>10.1109/TAP.1984.1143343</t>
  </si>
  <si>
    <t>2-s2.0-0021430022</t>
  </si>
  <si>
    <t>['sight ranges', 'fix provides', '80 kilometers']</t>
  </si>
  <si>
    <t>Racal Positioning Systems' Micro-Fix provides an accuracy of around one meter over line-of-sight ranges to 80 kilometers. Like other microwave positioning systems, it consists of a control measuring unit, transmitter/receivers and antennas.</t>
  </si>
  <si>
    <t>14-15</t>
  </si>
  <si>
    <t>World dredging &amp; marine construction</t>
  </si>
  <si>
    <t xml:space="preserve">Anon, </t>
  </si>
  <si>
    <t>Anon</t>
  </si>
  <si>
    <t>MICROWAVE POSITIONING SYSTEM PRECISE.</t>
  </si>
  <si>
    <t>2-s2.0-0021430178</t>
  </si>
  <si>
    <t>['succesive projection', 'simple program', 'several illustrations', 'save time', 'phase arrays', 'nonuniform space', 'new techniques', 'main scope', 'main concept', 'linear arrays', 'electronics engineers', 'different regions', 'desired pattern', 'computerized techniques', 'common point', 'century motivated', 'best solution', 'adding one', '180 ¬∞']</t>
  </si>
  <si>
    <t>The study of linear arrays has been developed in different regions. The computerized techniques that appeared in this century motivated the researchers to find a new techniques that save time. In this work the method of succesive projection is used in solving the nonuniform space and phase arrays. This technique was used before to solve the nonuniform current arrays. The main concept of this method is to find a common point of many different sets. This point will have the best solution to satisfy all conditions. In this technique the solution of the set of inequalities is the main scope. The addition of one or more constraints to the array is only as adding one more set to the group of sets we have. This means that the solution of constrained arrays also is available. Several illustrations are discussed and compared with different other techniques. A simple program is available and easy to establish. In this work, the broadside direction pattern is divided into 180¬∞ that represent 180 sets. At each set the synthesized pattern must satisfy the desired pattern. Copyright ¬© 1984 by The Institute of Electrical and Electronics Engineers, Inc.</t>
  </si>
  <si>
    <t>60012022;115727564</t>
  </si>
  <si>
    <t>55789629200;6506867066</t>
  </si>
  <si>
    <t>Elmikati, H.;Elsohly, A. A.</t>
  </si>
  <si>
    <t>Egypt;Egypt</t>
  </si>
  <si>
    <t>Mansoura;</t>
  </si>
  <si>
    <t>Mansoura University;Elamnsoura</t>
  </si>
  <si>
    <t>Elmikati H.</t>
  </si>
  <si>
    <t>Extension of Projection Method to Nonuniformly Linear Antenna Arrays</t>
  </si>
  <si>
    <t>10.1109/TAP.1984.1143359</t>
  </si>
  <si>
    <t>2-s2.0-0021430193</t>
  </si>
  <si>
    <t>['¬© 1984', 'two times', 'rights reserved', 'physical society', 'ohmic power', 'loading resistance', 'ion hybrid', 'input power', 'icrf wave', 'good agreements', 'calculated results', 'antenna surface', 'absorbed power', '20 %,', '15 %).', '10 %,']</t>
  </si>
  <si>
    <t>Antenna loading resistance and electron heating effects of ICRF wave were investigated in TNT-A tokamak. Lodaing resistance increased with the mean plasma density and decreased with the input power. The effect of the distance between the plasma and antenna surface on loading resistance was studied and had good agreements with the calculated results. The increase in the soft Xray emis-sivity was larger in the presence of ion-ion hybrid and/or ion cyclotron resonance layer in the plasma than that in the absence of them. With the absorbed power up to two times of the ohmic power, the central electron temperature increased by 20%, the soft Xray emissivity increased by 80% and the mean plasma density decreased by 10%, while the total radiation loss increased slightly (by 15%). ¬© 1984, THE PHYSICAL SOCIETY OF JAPAN. All rights reserved.</t>
  </si>
  <si>
    <t>1746-1752</t>
  </si>
  <si>
    <t>Journal of the Physical Society of Japan</t>
  </si>
  <si>
    <t>60025272;60025272;60025272;60025272</t>
  </si>
  <si>
    <t>7102082310;57200347143;55833195800;7402106635</t>
  </si>
  <si>
    <t>Shinohara, Shunjiro;Asakura, Nobuyuki;Naito, Masahiro;Miyamoto, Kenro</t>
  </si>
  <si>
    <t>The University of Tokyo</t>
  </si>
  <si>
    <t>Shinohara S.</t>
  </si>
  <si>
    <t>Antenna Loading and Electron Heating Experiments of ICRF Wave in TNT-A Tokamak</t>
  </si>
  <si>
    <t>10.1143/JPSJ.53.1746</t>
  </si>
  <si>
    <t>2-s2.0-0021432642</t>
  </si>
  <si>
    <t>['results show', 'plane problem', 'may thus', 'line sources', 'explicit expression', 'electronics engineers', 'edge diffraction', 'currents excited', 'complicated situations', 'classical half']</t>
  </si>
  <si>
    <t>An explicit expression for the surface current induced by line sources on a perfectly conducting cylindrical reflector is obtained by taking into account the locality of the high-frequency diffraction phenomenon. The results show that the component previously conjectured by Ufimtsev involves several components having different propagation behaviors that can be separated into three main groups. When the reflector becomes infinitely large, the currents excited by edge diffraction are shown to reduce to those for the classical half-plane problem. The results are independent of the actual source configuration and may thus be useful in more complicated situations. Copyright ¬© 1984 by The Institute of Electrical and Electronics Engineers, Inc.</t>
  </si>
  <si>
    <t>501-507</t>
  </si>
  <si>
    <t>60022002;60022002</t>
  </si>
  <si>
    <t>7004740682;7006099581</t>
  </si>
  <si>
    <t>Idemen, Mithat;B√ºy√ºkaksoy, Alinur</t>
  </si>
  <si>
    <t>Turkey</t>
  </si>
  <si>
    <t>Istanbul</t>
  </si>
  <si>
    <t>ƒ∞stanbul Teknik √úniversitesi</t>
  </si>
  <si>
    <t>Idemen M.</t>
  </si>
  <si>
    <t>High-Frequency Surface Currents Induced on a Perfectly Conducting Cylindrical Reflector</t>
  </si>
  <si>
    <t>10.1109/TAP.1984.1143358</t>
  </si>
  <si>
    <t>2-s2.0-0021432772</t>
  </si>
  <si>
    <t>['wave lengths', 'transmitting speed', 'technical possibilities', 'stations operated', 'radio engineers', 'radio communication', 'placed upon', 'new means', 'multiple antenna', 'modulating system', 'magnetic amplifier', 'large scale', 'intelligently used', 'general theory', 'frequency alternator', 'first time', 'directive reception', 'different messages', 'closer spacing', 'become associated', 'author predicts', 'also predicted', '000 meters']</t>
  </si>
  <si>
    <t>This classic paper defines the state of the art of 1919 which is the result of developments during the war. Transatlantic radio communication was maintained by five first class stations, two in America and three in Europe. These stations operated at wave lengths between 12,500 and 17,000 meters. The range of wave lengths suited for such traffic rather limited, the desirable wave length being included between the limits of 10,000 to 20,000 meters. New developments indicated three methods for increasing the radio traffic without interference between the different messages. These methods are increase of the transmitting speed, closer spacing of wave lengths and directive reception. If these technical possibilities are intelligently used, the author predicts that radio communication will be equal to all demands that will be placed upon it. The radio transmitting system for the development of which author was responsible is described. New means for generating, modulating, and radiating the continuous wave energy are introduced. The generator is the high-frequency alternator with which the author's name has become associated. The modulating system is the 'magnetic amplifier' which is described in a paper by the author before the Institute of Radio Engineers. The 'multiple antenna' system of radiation is described for the first time. The general theory and figures for the increased radiation efficiency are given. It is also predicted that the multiple antenna will make possible directive radiation on a large scale.</t>
  </si>
  <si>
    <t>625-633</t>
  </si>
  <si>
    <t>Alexanderson, E. F.W.</t>
  </si>
  <si>
    <t>Alexanderson E.</t>
  </si>
  <si>
    <t>TRANSOCEANIC RADIO COMMUNICATION.</t>
  </si>
  <si>
    <t>10.1109/PROC.1984.12901</t>
  </si>
  <si>
    <t>2-s2.0-0021432807</t>
  </si>
  <si>
    <t>['used arrays', 'short termination', 'resonant array', 'paper discusses', 'feed network', 'environmental requirements', 'different aspects']</t>
  </si>
  <si>
    <t>This paper discusses such a problem where the solution in the form of a non-resonant array of resonant shunt slots on a dielectric-filled rectangular waveguide at S-band of microwave frequencies deviates from the normally-used arrays in its short termination and feed network. Different aspects of the design in terms of choice of waveguide, design of the array, type of feed network has been elaborated in the perspective of the mechanical, electrical and environmental requirements.</t>
  </si>
  <si>
    <t>58-61</t>
  </si>
  <si>
    <t>57196774911;7103297877</t>
  </si>
  <si>
    <t>Mukhopadhyay, B. K.;Pandey, K. N.</t>
  </si>
  <si>
    <t>Mukhopadhyay B.</t>
  </si>
  <si>
    <t>SHORT-TERMINATED NON-RESONANT SLOTTED DIELECTRIC-FILLED WAVEGUIDE ARRAY.</t>
  </si>
  <si>
    <t>10.1080/03772063.1984.11453235</t>
  </si>
  <si>
    <t>2-s2.0-0021432923</t>
  </si>
  <si>
    <t>['rotman lens', 'phase error', 'electronics engineers', 'design small', 'design parameters', 'design method', 'conventional method', 'band use']</t>
  </si>
  <si>
    <t>A Rotman lens is used to feed a linear array antenna for wide-band use. A relationship between design parameters for realizing a Rotman lens has been derived by introducing a new design variable. The design method which minimizes the phase error on the aperture of the linear array antenna has been shown. For large array length, the above phase error due to this method becomes considerably smaller than that due to a conventional method. This improved method makes it possible to design small and low-loss Rotman lens antennas. Copyright ¬© 1984 by The Institute of Electrical and Electronics Engineers, Inc.</t>
  </si>
  <si>
    <t>524-527</t>
  </si>
  <si>
    <t>60101699;60101699;60101699</t>
  </si>
  <si>
    <t>7004304668;7006380481;55725563300</t>
  </si>
  <si>
    <t>Katagi, Takashi;Mano, Sedi;Sato, Shin Ichi</t>
  </si>
  <si>
    <t>Mitsubishi Electric Corporation</t>
  </si>
  <si>
    <t>Katagi T.</t>
  </si>
  <si>
    <t>An Improved Design Method of Rotman Lens Antennas</t>
  </si>
  <si>
    <t>10.1109/TAP.1984.1143353</t>
  </si>
  <si>
    <t>2-s2.0-0021432944</t>
  </si>
  <si>
    <t>['wave analysis', 'spectral domain', 'solved using', 'procedure applied', 'periodic arrays', 'jerusalem crosses', 'integral equation', 'induced current', 'electronics engineers', 'discontinuous nature', 'cross dipoles', 'convolution form', 'computationally efficient', 'algebraic one', 'account correctly']</t>
  </si>
  <si>
    <t>A full-wave analysis for the problem of scattering frequency selective surfaces from (FSS) comprised of periodic arrays of cross dipoles and Jerusalem crosses is presented. The formulation is carried out in the spectral domain where the convolution form of the integral equation for the induced current is reduced to an algebraic one. The equation is then solved using the Galerkin's procedure applied in the spectral domain. A set of entire-domain type ‚Äújunction basis functions,‚Äù which is demonstrated in this paper to be essential to account correctly for the discontinuous nature of the induced current at the junction of the cross, is included in the expansion for the unknown induced current. This analysis is computationally efficient, and its accuracy is verified by the agreement between the computed theoretical data and the experimental results reported by other authors. Copyright ¬© 1984 by The Institute of Electrical and Electronics Engineers, Inc.</t>
  </si>
  <si>
    <t>478-486</t>
  </si>
  <si>
    <t>7101839857;55197051100</t>
  </si>
  <si>
    <t>Tsao, Chich Hsing;Mittra, Raj</t>
  </si>
  <si>
    <t>Tsao C.</t>
  </si>
  <si>
    <t>Spectral-Domain Analysis of Frequency Selective Surfaces Comprised of Periodic Arrays of Cross Dipoles and Jerusalem Crosses</t>
  </si>
  <si>
    <t>10.1109/TAP.1984.1143348</t>
  </si>
  <si>
    <t>2-s2.0-0021432945</t>
  </si>
  <si>
    <t>['vector sum', 'two types', 'tapered configurations', 'tapered configuration', 'reflectivity level', 'reflections away', 'reflected ray', 'ray optics', 'quiet zone', 'performance comparison', 'paper presents', 'direct ray', 'computed results', 'better due', 'analytical procedure', 'amplitude uniformity', '9 ghz', '3 refs']</t>
  </si>
  <si>
    <t>This paper presents an analytical procedure, based on the method of ray optics, for evaluation of the performance of both the rectangular and the tapered configurations of microwave anechoic chambers. The amplitude and phase of the vector sum of signal and reflectivity level in the quiet zone form the basis for performance comparison of the two types of chambers. Computed results for a frequency of operation of 9 GHz are included. The tapered configuration is superior to the rectangular variety due to directing the reflections away from the quiet zone. This is corroborated by the results. The amplitude uniformity is better due to reduced path difference between the direct ray and reflected ray. 3 refs.</t>
  </si>
  <si>
    <t>89-94</t>
  </si>
  <si>
    <t>6603665624;7403017109</t>
  </si>
  <si>
    <t>Chandra Mouly, M. C.;Rao, C. Raja</t>
  </si>
  <si>
    <t>RECTANGULAR AND TAPERED MICROWAVE ANECHOIC CHAMBERS - A COMPARATIVE PERFORMANCE ANALYSIS.</t>
  </si>
  <si>
    <t>2-s2.0-0021432996</t>
  </si>
  <si>
    <t>['theoretical results', 'observed experimentally', 'good agreement', 'experimental results']</t>
  </si>
  <si>
    <t>The paper present radiation characteristics of a square corrugated horn. It has been observed experimentally that the horn with four side corrugations gives considerable improvement over two side corrugation and provides a good pattern symmetry. Experimental results have been compared with theoretical results and found to be in good agreement.</t>
  </si>
  <si>
    <t>86-88</t>
  </si>
  <si>
    <t>57193682516;57214313260</t>
  </si>
  <si>
    <t>Bhatnagar, P. S.;Singh, M. S.</t>
  </si>
  <si>
    <t>Bhatnagar P.</t>
  </si>
  <si>
    <t>EXPERIMENTAL STUDY OF A SQUARE CORRUGATED HORN ANTENNA.</t>
  </si>
  <si>
    <t>2-s2.0-0021432997</t>
  </si>
  <si>
    <t>['zenneck wave', 'wave propagation', 'wave antennas', 'transmitters consisting', 'submerged submarines', 'specific problem', 'sea water', 'salt water', 'restricted formulas', 'related graphically', 'plane boundary', 'measured fields', 'horizontal traveling', 'homogeneous half', 'fresh water', 'etc .)', 'electronics engineers', 'directional arrays', 'asymptotic fields', '80 ).', '5 5', '1 khz']</t>
  </si>
  <si>
    <t>Lateral electromagnetic waves along a plane boundary between homogeneous half-spaces are reviewed. The electromagnetic fields generated by vertical and horizontal electric dipoles near the boundary between air and the earth (salt or fresh water, soil, ice, etc.) are summarized in terms of a new unified theory of lateral-wave propagation. Complete theoretically determined fields are displayed and compared with measured fields at f 600 MHz relative to the boundary between air and salt water (œÉ = 3.5 5/m, œµr= 80). Near, intermediate, and asymptotic fields are related graphically to the new general theory and to the approximate and restricted formulas of Norton and Ba√±os as well as to the Zenneck wave. Application is made to the specific problem of communication with submerged submarines by means of transmitters consisting of electrically short monopoles in air and horizontal traveling-wave antennas and directional arrays in sea water. The properties of the antennas are evaluated in the frequency range 10 ‚©Ω f ‚©Ω 30 kHz which is optimum for receiver depths near 10 m, and at f = 1 kHz which is optimum for depths up to 50 m. The effects of reflections from the ionosphere and of the earth's curvature are not included. Copyright ¬© 1984 by The Institute of Electrical and Electronics Engineers, Inc.</t>
  </si>
  <si>
    <t>595-611</t>
  </si>
  <si>
    <t>60009982;60009982</t>
  </si>
  <si>
    <t>35586046100;55722061600</t>
  </si>
  <si>
    <t>King, Ronold W.P.;Brown, Michael Franklin</t>
  </si>
  <si>
    <t>Harvard University</t>
  </si>
  <si>
    <t>King R.</t>
  </si>
  <si>
    <t>Lateral Electromagnetic Waves Along Plane Boundaries: A Summarizing Approach</t>
  </si>
  <si>
    <t>10.1109/PROC.1984.12898</t>
  </si>
  <si>
    <t>2-s2.0-0021433435</t>
  </si>
  <si>
    <t>['weight control', 'real pattern', 'phase reference', 'phase perturbations', 'perturbed pattern', 'linear array', 'impose nulls', 'electronics engineers', 'array center']</t>
  </si>
  <si>
    <t>It is proved that if phase-only weight control is used to impose nulls in a real pattern of a linear array of isotropic equispaced elements while minimizing the sum of the squares of the absolute weight perturbations, then the phase perturbations are odd-symmetric with respect to a phase reference at the array center. Equivalently, the perturbed pattern is real. Copyright ¬© 1984 by The Institute of Electrical and Electronics Engineers, Inc.</t>
  </si>
  <si>
    <t>A Proof of the Odd-Symmetry of the Phases for Minimum Weight Perturbation Phase-Only Null Synthesis</t>
  </si>
  <si>
    <t>10.1109/TAP.1984.1143351</t>
  </si>
  <si>
    <t>2-s2.0-0021435017</t>
  </si>
  <si>
    <t>['translational set', 'substitution technique', 'standard antenna', 'seldom available', 'reasonable carefulness', 'precise knowledge', 'minus 0', 'extrapolation technique', 'consequently plus', 'art accuracy', '2 db', '1 db']</t>
  </si>
  <si>
    <t>For antenna gain measurements by the substitution technique, a precise knowledge of the gain of a standard antenna is required. It is shown that a good ( plus or minus 0. 2 db) accuracy can be reached by means of a usual two antennas calibration method, on condition of reasonable carefulness. This accuracy can be increased up to values consistently better than plus or minus 0. 1 db only through extrapolation technique, which requires a dedicated (and seldom available) translational set-up. Consequently plus or minus 0. 2 db can be regarded as a state of the art accuracy for not dedicated, but good quality set-ups.</t>
  </si>
  <si>
    <t>164-168</t>
  </si>
  <si>
    <t>7006318221;6602482776</t>
  </si>
  <si>
    <t>Corona, Paolo;De Bonitatibus, Antonio</t>
  </si>
  <si>
    <t>Corona P.</t>
  </si>
  <si>
    <t>CALIBRATION OF STANDARD HORNS IN X BAND.</t>
  </si>
  <si>
    <t>2-s2.0-0021435032</t>
  </si>
  <si>
    <t>['various excitation', 'synthesized circuits', 'sem data', 'physical realizability', 'particular attention', 'loop computed', 'loading conditions', 'homogeneous medium', 'element values', 'electronics engineers', 'circuits consist']</t>
  </si>
  <si>
    <t>The singularity expansion method (SEM) is used to derive active equivalent cirtcuits for a plane-wave-excited loop antenna immersed in a lossless and homogeneous medium. The circuits consist of simple modules associated with the dominant pole pairs of the loop and their element values are expressed in terms of the SEM data. Particular attention is paid to the issue of physical realizability. The synthesized circuits have been analyzed under various excitation and loading conditions by a general-purpose circuit analysis code. The results agree favorably with the responses of the loop computed by other means. Copyright ¬© 1984 by The Institute of Electrical and Electronics Engineers, Inc.</t>
  </si>
  <si>
    <t>433-441</t>
  </si>
  <si>
    <t>60010491;60010491</t>
  </si>
  <si>
    <t>7004961387;7103019064</t>
  </si>
  <si>
    <t>Michalski, Krzysztof A.;Pearson, L. Wilson</t>
  </si>
  <si>
    <t>University</t>
  </si>
  <si>
    <t>University of Mississippi</t>
  </si>
  <si>
    <t>Michalski K.</t>
  </si>
  <si>
    <t>Equivalent Circuit Synthesis for a Loop Antenna Based on the Singularity Expansion Method</t>
  </si>
  <si>
    <t>10.1109/TAP.1984.1143349</t>
  </si>
  <si>
    <t>2-s2.0-0021435150</t>
  </si>
  <si>
    <t>['theoretical results', 'sparse array', 'shell arrays', 'sample functions', 'salient properties', 'frequency responses', 'electronics engineers', 'basic idea']</t>
  </si>
  <si>
    <t>The concept of a random array relay, in terms of a sparse array, is introduced. The basic idea is to replace the relatively compact radiating structures encountered in conventional communication systems with widely and randomly dispersed radiating systems. The frequency and focal region properties of such random sparse arrays are treated. A methodology for obtaining the expected frequency response, focal region contours and depth of field for any random sparse array is given. The technique is exemplified with results for spherical and spherical-shell arrays. In addition, computer simulation results for sample functions of frequency responses and focal region contours are presented, both to verify the theoretical results and to illustrate some of the salient properties of random sparse arrays. Copyright ¬© 1984 by The Institute of Electrical and Electronics Engineers, Inc.</t>
  </si>
  <si>
    <t>456-465</t>
  </si>
  <si>
    <t>Yavuz, Davras</t>
  </si>
  <si>
    <t>Philadelphia</t>
  </si>
  <si>
    <t>School of Engineering and Applied Science</t>
  </si>
  <si>
    <t>Yavuz D.</t>
  </si>
  <si>
    <t>Frequency and Focal Region Properties of Random Sparse Arrays</t>
  </si>
  <si>
    <t>10.1109/TAP.1984.1143347</t>
  </si>
  <si>
    <t>2-s2.0-0021435197</t>
  </si>
  <si>
    <t>['wave directors', 'various types', 'short wavelengths', 'plate voltage', 'magnetron tubes', 'great importance', 'frequency output', 'external connections', 'considered used', '200 cm', '12 cm']</t>
  </si>
  <si>
    <t>This classic is devoted to a description of various experiments performed at wavelengths below 200 cm. Curves are given to show the effect of the earth and various types of inductivitely excited antennas called 'wave directors. ' Magnetron tubes are considered used for the production of very short wavelengths (as low as 12 cm. ) and the circuit arrangements employed is illustrated. It is shown that the geometry of the tube and its external connections are of great importance. The effect of variation of plate voltage, magnetic field strength and other factors on the high-frequency output, is described.</t>
  </si>
  <si>
    <t>634-645</t>
  </si>
  <si>
    <t>Yagi, Hidetsugu</t>
  </si>
  <si>
    <t>Yagi H.</t>
  </si>
  <si>
    <t>BEAM TRANSMISSION OF ULTRA SHORT WAVES.</t>
  </si>
  <si>
    <t>10.1109/PROC.1984.12903</t>
  </si>
  <si>
    <t>2-s2.0-0021435718</t>
  </si>
  <si>
    <t>['vice versa', 'variable weights', 'two patterns', 'theoretically demonstrated', 'simultaneously null', 'simultaneous nulling', 'phase nulling', 'one set', 'one antenna', 'nulls may', 'monopulse antenna', 'electronics engineers', 'directly addressed', 'difference pattern', 'difference channels', 'automatically place', 'adaptive hardware']</t>
  </si>
  <si>
    <t>Most adaptive array research has not directly addressed the problem of nulling in a monopulse antenna. Placing a null in the sum does not automatically place a null in the difference pattern and vice versa. Nulls may be placed in the two patterns with the use of separate adaptive weights and controls for the sum and difference channels. However, this requires two sets of adaptive hardware for one antenna. A technique for simultaneous nulling in the sum and difference channels of a monopulse phased array using one set of adaptive weights shared by both channels is described. First, the technique is described for amplitude and phase nulling, then for phase only nulling. In each case, the ability to simultaneously null in both channels with one set of variable weights is theoretically demonstrated. Copyright ¬© 1984 by The Institute of Electrical and Electronics Engineers, Inc.</t>
  </si>
  <si>
    <t>486-493</t>
  </si>
  <si>
    <t>Haupt, Randy L.</t>
  </si>
  <si>
    <t>Haupt R.</t>
  </si>
  <si>
    <t>Simultaneous Nulling in the Sum and Difference Patterns of a Monopulse Antenna</t>
  </si>
  <si>
    <t>10.1109/TAP.1984.1143352</t>
  </si>
  <si>
    <t>2-s2.0-0021436217</t>
  </si>
  <si>
    <t>['realization process', 'mechanical testing', 'mechanical design', 'mechanical constraints', 'launcher fairing', 'electrical testing', 'electrical design', 'conveniently divided', 'antenna performance', 'antenna may']</t>
  </si>
  <si>
    <t>The requirement on antenna performance is defined, and the mechanical constraints in terms of accommodation on the spacecraft and available space within the launcher fairing are discussed. The realization process of the antenna may be conveniently divided into four main stages: (1) electrical design (2) mechanical design and configuration, (3) manufacture and mechanical testing, (4) electrical testing. These stages are described.</t>
  </si>
  <si>
    <t>Computer-aided engineering journal</t>
  </si>
  <si>
    <t>Jun</t>
  </si>
  <si>
    <t>60018829;60018829</t>
  </si>
  <si>
    <t>7201507980;7003630112</t>
  </si>
  <si>
    <t>Craig, A. D.;Valentine, H.</t>
  </si>
  <si>
    <t>Farnborough</t>
  </si>
  <si>
    <t>BAE Systems plc</t>
  </si>
  <si>
    <t>Craig A.</t>
  </si>
  <si>
    <t>APPLICATION OF CAE TO THE DESIGN AND DEVELOPMENT OF THE UNISAT TELEVISION ANTENNA.</t>
  </si>
  <si>
    <t>10.1049/cae.1984.0017</t>
  </si>
  <si>
    <t>2-s2.0-0021438319</t>
  </si>
  <si>
    <t>['type dieletric', 'strip antennas', 'results obtained', 'proposed theory', 'metallic antennas', 'magnetic materials', 'magnetic cover', 'large number', 'illustrative examples', 'equivalent radius', 'equivalent problem', 'dielectric substrate', 'cylindrical antenna', 'complicated problems', 'circular cross', 'appropriate single']</t>
  </si>
  <si>
    <t>The concept of equivalent radius of electrically thin cylindrical antennas is known for metallic antennas in homogeneous dielectric media. It is possible, however, to define equivalent radius also in cases of thin cylindrical antennas in the presence of arbitrarily cylindrically shaped dielectric and/or magnetic materials. The approach is essentially a quasistatic energy approach. It enables a large number of complicated problems of such antennas to be reduced to the equivalent problem of a cylindrical antenna of circular cross-section with an appropriate single-type dieletric or (preferably) magnetic cover, which can be solved with ease. Illustrative examples, including those of strip antennas on a dielectric substrate, indicate high accuracy of the results obtained by the proposed theory.</t>
  </si>
  <si>
    <t>3 pt H</t>
  </si>
  <si>
    <t>7006225695;7003325954</t>
  </si>
  <si>
    <t>Popovic, B. D.;Nesic, A.</t>
  </si>
  <si>
    <t>Popovic B.D.</t>
  </si>
  <si>
    <t>GENERALISATION OF THE CONCEPT OF EQUIVALENT RADIUS OF THIN CYLINDRICAL ANTENNAS.</t>
  </si>
  <si>
    <t>10.1049/ip-h-1.1984.0033</t>
  </si>
  <si>
    <t>2-s2.0-0021439151</t>
  </si>
  <si>
    <t>['variational method', 'uniform plasma', 'therefore suggests', 'slightly less', 'reflection coefficient', 'frequencies equal', 'cyclotron frequency', 'corrugated wall', 'bumpy cylinder']</t>
  </si>
  <si>
    <t>The propagation of waves with frequencies equal to or slightly less than the ion-cyclotron frequency is studied in absorptionless, uniform plasma in a bumpy cylinder. The corrugated wall is found to inhibit free propagation of the waves. The reflection coefficient is obtained by the variational method. The dispersion curve exhibits nonpropagating regions, and therefore suggests that ion-cyclotron resonance heating in bumpy tori may require many antennas for uniform toroidal heating. ¬© 1984 American Institute of Physics.</t>
  </si>
  <si>
    <t>1487-1490</t>
  </si>
  <si>
    <t>60000264-60027550-60013682;60000264;60000264</t>
  </si>
  <si>
    <t>57217530341;57197863875;57192052738</t>
  </si>
  <si>
    <t>Whang, K. W.;Shoji, T.;Tsuboi, F.</t>
  </si>
  <si>
    <t>United States;South Korea;Japan</t>
  </si>
  <si>
    <t>Los Angeles;Seoul;Nagoya</t>
  </si>
  <si>
    <t>University of California, Los Angeles;Seoul National University;Nagoya University</t>
  </si>
  <si>
    <t>60027550;60013682;60000264</t>
  </si>
  <si>
    <t>Whang K.W.</t>
  </si>
  <si>
    <t>Wave propagation in a plasma-filled bumpy cylinder</t>
  </si>
  <si>
    <t>10.1063/1.864771</t>
  </si>
  <si>
    <t>2-s2.0-0021439252</t>
  </si>
  <si>
    <t>['solved numerically', 'numerical examples', 'low frequencies', 'lossy ground', 'integral equation', 'formulated analytically', 'current distribution']</t>
  </si>
  <si>
    <t>The problem of a horizontal wire antenna in the presence of a lossy ground is formulated analytically in terms of electric-field-type (Pockington-type) integral equation for current distribution on the antenna. This equation is solved numerically by the piecewise sinusoidal Galerkin method. Numerical examples are given. The analysis is restricted to low frequencies.</t>
  </si>
  <si>
    <t>214-216</t>
  </si>
  <si>
    <t>Karwowski, A.</t>
  </si>
  <si>
    <t>Karwowski A.</t>
  </si>
  <si>
    <t>LOW-FREQUENCY APPROACH TO THE PROBLEM OF A HORIZONTAL WIRE ANTENNA ABOVE AN IMPERFECT GROUND.</t>
  </si>
  <si>
    <t>10.1049/ip-h-1.1984.0042</t>
  </si>
  <si>
    <t>2-s2.0-0021440220</t>
  </si>
  <si>
    <t>['small iris', 'radiation patterns', 'plane patterns', 'pattern symmetry', 'outer conductors', 'inside conductor', 'homogeneously filled', 'final optimization', 'extended beyond', 'exposed length', 'experimentally using', 'dualband feed', 'dimensional optimization', 'dielectric rod', 'developed using', 'contained within', 'coaxial waveguide', 'coaxial guide', 'circular aperture', 'adjusted experimentally', 'additional improvement', '6 ghz', '4 ghz']</t>
  </si>
  <si>
    <t>A dualband antenna operating in the 4 GHz and 6 GHz frequency bands is developed using a coaxial waveguide configuration. The 6 GHz part of the antenna is contained within the inside conductor of the coaxial guide, which is homogeneously filled with a dielectric rod that is extended beyond the circular aperture. The 4 GHz part of the antenna, is the coaxial waveguide itself, the dimensions of which are optimized for a symmetric radiation pattern. This dimensional optimization was initially achieved numerically to select proper radii of the inner and outer conductors. The final optimization was carried out experimentally using a quarter-wavelength choke flange to equalize its E- H-plane patterns. To optimize the radiation patterns at 6 GHz, the exposed length of the dielectric rod was adjusted experimentally. An additional improvement in the pattern symmetry is also obtained using a small iris at the coaxial waveguide aperture. The performance of the unit as a dualband feed for a paraboloid reflector antenna is computed, and the isolation between the two frequency bands is discussed.</t>
  </si>
  <si>
    <t>143-146</t>
  </si>
  <si>
    <t>8092251400;57027512900;7006128356;57224374298</t>
  </si>
  <si>
    <t>Shafai, L.;Ittipiboon, A.;Bridges, E.;Hyjazie, F.</t>
  </si>
  <si>
    <t>Shafai L.</t>
  </si>
  <si>
    <t>DUALBAND HORN WITH INHERENT ISOLATION BETWEEN ITS TRANSMIT AND RECEIVE PORTS.</t>
  </si>
  <si>
    <t>10.1049/ip-h-1.1984.0031</t>
  </si>
  <si>
    <t>2-s2.0-0021441552</t>
  </si>
  <si>
    <t>['useful tool', 'small dipoles', 'short antenna', 'recent efforts', 'produced probes', 'probe consists', 'physical size', 'physical dimensions', 'one millimeter', 'numerical estimate', 'noise ratio', 'monitoring instrumentation', 'miniature probes', 'microwave frequencies', 'limitations imposed', 'k l', 'independent response', 'high radio', 'fixed signal', 'film technology', 'factor k1', 'electric field', 'diode across', 'detected signal', 'common design', 'advances occuring', '1 ),']</t>
  </si>
  <si>
    <t>The miniature dipole probe is a useful tool for measuring the electric field at high radio and microwave frequencies. A common design for the probe consists of an electrically-short antenna with a diode across its terminals; a resistive, parallel-wire transmission line transmits the detected signal from the diode to the monitoring instrumentation. Small dipoles are desirable because they provide high spatial resolution of the field, and because they permit a frequency-independent response at higher microwave frequencies. Recent efforts have produced probes with dipole half lengths h less than one millimeter. With the advances occuring in microelectronics and thin-film technology, the construction of even smaller probes may be possible. In this paper, the limitations imposed on the sensitivity of the probe by a reduction in its physical size are determined. A model that contains noise sources for the diode and the resistive transmission line is used to obtain the signal-to-noise ratio for the probe, and this is examined as a function of the parameters that describe the dipole, diode, resistive transmission line, and amplifier. When the physical dimensions of the probe are reduced by the scale factor kl (k l &lt; 1), the signal-to-noise ratio is found to decrease by approximately the factor k1 4, and the minimum-detectable incident electric field for a fixed signal-to-noise ratio is found to increase by approximately the factor k1 -2. A numerical estimate is made for the sensitivity of miniature probes with dipole half lengths in the range 10 Œºm ‚â§h ‚â§ 1 cm. ¬© 1984 IEEE</t>
  </si>
  <si>
    <t>594-600</t>
  </si>
  <si>
    <t>Limitations on the Size of Miniature Electric-Field Probes</t>
  </si>
  <si>
    <t>10.1109/TMTT.1984.1132734</t>
  </si>
  <si>
    <t>2-s2.0-0021441997</t>
  </si>
  <si>
    <t>['paper considers', 'mutual coupling', 'marked effect', 'finite array', 'contour plots']</t>
  </si>
  <si>
    <t>The paper considers the copolar and crosspolar radiation patterns of a finite array of conical horn elements in which account is taken of the effects of mutual coupling. Mutual coupling between the TE//1//1- and TE//2//1-, and TE//1//1- and TM//0//1-modes has a marked effect on copolar pattern symmetry and on the level of crosspolarization. Contour plots are given for 'clean-beam' excitation of the arrays, and the influence of horn aperture size is shown to be significant.</t>
  </si>
  <si>
    <t>165-171</t>
  </si>
  <si>
    <t>7006192058;7003852396;7005244140</t>
  </si>
  <si>
    <t>Clarricoats, P. J.B.;Tun, S. M.;Parini, C. G.</t>
  </si>
  <si>
    <t>Clarricoats P.J.B.</t>
  </si>
  <si>
    <t>EFFECTS OF MUTUAL COUPLING IN CONICAL HORN ARRAYS.</t>
  </si>
  <si>
    <t>10.1049/ip-h-1.1984.0035</t>
  </si>
  <si>
    <t>2-s2.0-0021442387</t>
  </si>
  <si>
    <t>['radiation characteristics', 'radiation behavior', 'performance similar', 'pattern symmetry', 'parametric study', 'low crosspolarization', 'harmonic formulation', 'frequency bands', 'frequency band', 'depth horn', 'crosspolar characteristics', 'analyzed using']</t>
  </si>
  <si>
    <t>A study of the propagation and radiation behavior of dual-depth corrugated horns is reported. These horns have radiation characteristics with pattern symmetry and low crosspolarization in two separate frequency bands. They are analyzed using a space-harmonic formulation, which enables a parametric study of the influence of the geometry of the horn on the crosspolar characteristics to be undertaken. The dual-depth horn is predicted to operate over a ratio of frequency bands between 1. 3 and 2. 0. The number of slots per wavelength should be about seven in the high-frequency band, in which case a performance similar to a single-depth corrugated horn is expected.</t>
  </si>
  <si>
    <t>179-185</t>
  </si>
  <si>
    <t>7006827241;7404292044;7006192058</t>
  </si>
  <si>
    <t>Olver, A. D.;Yang, K. K.;Clarricoats, P. J.B.</t>
  </si>
  <si>
    <t>Olver A.D.</t>
  </si>
  <si>
    <t>PROPAGATION AND RADIATION BEHAVIOUR OF DUAL-DEPTH CORRUGATED HORNS.</t>
  </si>
  <si>
    <t>10.1049/ip-h-1.1984.0037</t>
  </si>
  <si>
    <t>2-s2.0-0021442826</t>
  </si>
  <si>
    <t>['variational technique', 'self conductance', 'ring source', 'results obtained', 'radiation admittance', 'mutual admittance', 'expression obtained', 'determined using', 'annular rings']</t>
  </si>
  <si>
    <t>Radiation admittance for an annular ring microstrip antenna has been determined using the magnetic current model and the variational technique. The results obtained for self conductance of a ring source have been verified with those available in the literature. The expression obtained for mutual admittance can also be used to describe mutual coupling effects in an array of annular rings.</t>
  </si>
  <si>
    <t>217-219</t>
  </si>
  <si>
    <t>7402673635;56224976000</t>
  </si>
  <si>
    <t>Bhattacharyya, A. K.;Garg, R.</t>
  </si>
  <si>
    <t>Bhattacharyya A.K.</t>
  </si>
  <si>
    <t>SELF AND MUTUAL ADMITTANCE BETWEEN TWO CONCENTRIC, COPLANAR, CIRCULAR RADIATING CURRENT SOURCES.</t>
  </si>
  <si>
    <t>10.1049/ip-h-1.1984.0043</t>
  </si>
  <si>
    <t>2-s2.0-0021444024</t>
  </si>
  <si>
    <t>['terminal resistor', 'significantly deteriorated', 'scalar potential', 'ratio 1', 'phase center', 'lumped resistance', 'loaded termination', 'high front', 'helical wire', 'experimentally investigated', 'back ratio', 'arm end', 'also demonstrated']</t>
  </si>
  <si>
    <t>1. 7. of loaded termination on a tapered backfire bifilar helical antenna are numerically and experimentally investigated over a wide frequency range of ratio 1:1. 7. With the help of the scalar potential for a lumped resistance at the arm end, the current distribution along the helical wire is determined. It is found that nearly constant input impedance, high front-to-back ratio and low axial ratio are realized. The inherent absolute gain is not significantly deteriorated in spite of the use of a terminal resistor. The existence of the phase center is also demonstrated, and the phase center location is presented as a function of frequency.</t>
  </si>
  <si>
    <t>147-152</t>
  </si>
  <si>
    <t>55633340100;57220533028</t>
  </si>
  <si>
    <t>Nakano, H.;Yamauchi, J.</t>
  </si>
  <si>
    <t>FREQUENCY CHARACTERISTICS OF TAPERED BACKFIRE HELICAL ANTENNA WITH LOADED TERMINATION.</t>
  </si>
  <si>
    <t>10.1049/ip-h-1.1984.0032</t>
  </si>
  <si>
    <t>2-s2.0-0021444025</t>
  </si>
  <si>
    <t>['separated resonances', 'reactor tokamaks', 'iron ).', 'hundred megawatts', 'greatly simplify', 'fuel gas', 'electron transit', 'cyclotron frequencies', 'antenna structure', 'accommodate fast']</t>
  </si>
  <si>
    <t>Two factors favor the use of relatively low frequencies (below a few megahertz) for heating large fusion plasmas. The first is that supplying the necessary few hundred megawatts of radio frequency power is already within current technological possibilities. The second is the exploitation of well-separated resonances of Alfven waves inside the plasma-filled reactor cavity to greatly simplify the antenna structure. The large minor radius and high plasma density in TFTR-class and reactor tokamaks will accommodate fast-wave toroidal eigenmodes at frequencies which are well below all the cyclotron frequencies of ions of the fuel gas and of most impurities (carbon, oxygen, iron). Electron transit-time magnetic pumping and Landau damping provide adequate absorption mechanisms, but care is necessary to achieve RF power deposition deep inside the plasma. ¬© 1984 IEEE.</t>
  </si>
  <si>
    <t>Stix, Thomas H.</t>
  </si>
  <si>
    <t>Princeton University</t>
  </si>
  <si>
    <t>Stix T.</t>
  </si>
  <si>
    <t>Radio Frequency Heating of plasmas Using Compressional Alfven Waves</t>
  </si>
  <si>
    <t>10.1109/TPS.1984.4316298</t>
  </si>
  <si>
    <t>2-s2.0-0021444270</t>
  </si>
  <si>
    <t>['whose geometry', 'radiation patterns', 'paper considers', 'offset reflector', 'mutual coupling', 'large displacements', 'influencing crosspolarization', 'feed displacement', 'dominant factor', 'crosspolar patern', 'crosspolar level', 'array feed', 'array becomes', 'antennas excited']</t>
  </si>
  <si>
    <t>The paper considers the radiation patterns of both single- and dual-offset reflector-antennas excited by an array feed in which mutual coupling effects have been included. For the single-offset reflector antenna, the crosspolar patern is dominated by the geometry of the configuration, but for a dual-offset reflector, whose geometry has been optimized to give low crosspolarization, mutual coupling in the array becomes a dominant factor in influencing crosspolarization. The influence of feed displacement is reported. It is found that the change in crosspolar level is marked only for the optimized dual reflector. Then for small displacements mutual-coupling effects dominate, but for large displacements they can be neglected.</t>
  </si>
  <si>
    <t>172-178</t>
  </si>
  <si>
    <t>7006192058;7003852396;57197192970</t>
  </si>
  <si>
    <t>Clarricoats, P. J.B.;Tun, S. M.;Brown, R. C.</t>
  </si>
  <si>
    <t>PERFORMANCE OF OFFSET REFLECTOR ANTENNAS WITH ARRAY FEEDS.</t>
  </si>
  <si>
    <t>10.1049/ip-h-1.1984.0036</t>
  </si>
  <si>
    <t>2-s2.0-0021444698</t>
  </si>
  <si>
    <t>Schweizerischer Nationalfonds zur F√∂rderung der Wissenschaftlichen Forschung</t>
  </si>
  <si>
    <t>SNF</t>
  </si>
  <si>
    <t>['¬© 1984', 'quantitatively accounted', 'pyridine adsorbed', 'electron microscopy', 'dielectric constants', 'average roughness']</t>
  </si>
  <si>
    <t>The surface enhanced Raman scattering (SERS) has been measured of pyridine adsorbed on silver or copper with various surface roughness. The surface has been controlled by electron microscopy. In addition the incident laser wavelength has been varied. By taking into account the dielectric constants of silver and copper the maximum enhancement factors for an average roughness of 1000 √Ö and 500 √Ö for silver and copper, respectively, could be quantitatively accounted for by the antenna resonator model. ¬© 1984.</t>
  </si>
  <si>
    <t>829-832</t>
  </si>
  <si>
    <t>Solid State Communications</t>
  </si>
  <si>
    <t>60025858;60025858;60025858</t>
  </si>
  <si>
    <t>57206564223;24454050300;7004398649</t>
  </si>
  <si>
    <t>Mo, Y.;M√∂rke, I.;Wachter, P.</t>
  </si>
  <si>
    <t>Zurich ZH,</t>
  </si>
  <si>
    <t>ETH Zurich</t>
  </si>
  <si>
    <t>Mo Y.</t>
  </si>
  <si>
    <t>The influence of surface roughness on the Raman scattering of pyridine on copper and silver surfaces</t>
  </si>
  <si>
    <t>10.1016/0038-1098(84)90340-5</t>
  </si>
  <si>
    <t>2-s2.0-0021444821</t>
  </si>
  <si>
    <t>['plasma heating', 'minority heating', 'fundamental aspects']</t>
  </si>
  <si>
    <t>The fundamental aspects of plasma heating in the Ion Cyclotron Range of Frequencies (ICRF) are presented, with an emphasis on heating tokamak devices. Topics include wave propagation, minority heating, ion-ion hybrid mode conversion second harmonic heating, evolution of the ion velocity distribution, and ICRF antenna design. ¬© 1984 IEEE.</t>
  </si>
  <si>
    <t>53-63</t>
  </si>
  <si>
    <t>Perkins, F. W.</t>
  </si>
  <si>
    <t>Perkins F.</t>
  </si>
  <si>
    <t>ICRF Heating Theory</t>
  </si>
  <si>
    <t>10.1109/TPS.1984.4316299</t>
  </si>
  <si>
    <t>2-s2.0-0021445306</t>
  </si>
  <si>
    <t>['verified experimentally', 'theoretical results', 'standard gtd', 'solution agrees', 'smaller subapertures', 'po solution', 'near field', 'geometrical theory', 'field reflected', 'field effects', 'feed aperture', 'either subdivide', 'efficient method', 'directive feed', 'crosspolar component', 'cra ),', 'copolar component', '19 refs']</t>
  </si>
  <si>
    <t>The paper presents various methods for the calculation of the field reflected from a subreflector in a dual reflector antenna system. It is demonstrated that the physical-optics (PO) solution agrees with the geometrical theory of diffraction (GTD) for the copolar component. Discrepancies may appear for the crosspolar component, and it is necessary to introduce additional fringe currents in the PO solution. If the subreflector is located in the near field of the feed, special precautions must be taken. One can either subdivide the feed aperture into smaller subapertures for each of which standard GTD can be applied or an alternative and more efficient method is to use complex ray analysis (CRA), where the directive feed is represented by a point source located in the complex coordinate space. Both methods are compared with PO solutions taking the near-field effects into account. The theoretical results are verified experimentally for a near-field illuminated offset hyperboloidal subreflector. 19 refs.</t>
  </si>
  <si>
    <t>205-213</t>
  </si>
  <si>
    <t>35617230200;6701737754</t>
  </si>
  <si>
    <t>Albertsen, N. C.;Pontoppidan, K.</t>
  </si>
  <si>
    <t>Albertsen N.C.</t>
  </si>
  <si>
    <t>ANALYSIS OF SUBREFLECTORS FOR DUAL REFLECTOR ANTENNAS.</t>
  </si>
  <si>
    <t>10.1049/ip-h-1.1984.0041</t>
  </si>
  <si>
    <t>2-s2.0-0021445356</t>
  </si>
  <si>
    <t>['wave structure', 'wave spectrum', 'sufficient spacing', 'structure makes', 'propagation constant', 'plausible candidate', 'plasma position', 'impedance function', 'icrf launching', 'icrf launcher', 'icrf experiments', 'drive experiments', 'defined travelling', 'antenna separation']</t>
  </si>
  <si>
    <t>The feasibility of the slow-wave structure as an ICRF launcher is studied. The well-defined travelling-wave spectrum of this structure makes it a plausible candidate for current-drive experiments. Using a model which is realistic in ICRF experiments, the impedance function, the propagation constant, and the damping length along the structure are calculated as a function of plasma/antenna separation. We find that with reasonably accurate control of plasma position and sufficient spacing between the plasma and antennas, which can be expected from reactors, the use of the slow-wave structure for ICRF launching is feasible. ¬© 1984 IOP Publishing Ltd.</t>
  </si>
  <si>
    <t>717-723</t>
  </si>
  <si>
    <t>60013901;60013901;60013901;60013901</t>
  </si>
  <si>
    <t>7202291663;7006111874;55580883900;7004255823</t>
  </si>
  <si>
    <t>Chiu, S. C.;Moeller, C. P.;Chan, V. S.;Blau, F. P.</t>
  </si>
  <si>
    <t>San Diego</t>
  </si>
  <si>
    <t>General Atomics</t>
  </si>
  <si>
    <t>Chiu S.</t>
  </si>
  <si>
    <t>Study of the slow-wave structure as an ICRF launcher</t>
  </si>
  <si>
    <t>10.1088/0029-5515/24/6/004</t>
  </si>
  <si>
    <t>2-s2.0-0021446351</t>
  </si>
  <si>
    <t>['truncation region', 'surface wave', 'stratified media', 'radiation patterns', 'ondulations observed', 'obtained using', 'electronics engineers', 'dyadic green', 'dielectric thickness', 'complex plane', 'cavity model', 'antenna elements']</t>
  </si>
  <si>
    <t>The far zone fields radiated from a microstrip disk antenna with a truncated dielectric layer were obtained using the cavity model with magnetic side walls, the dyadic Green's functions are stratified media, and the integral representation analysis of the fields in the complex plane. It is shown that the truncation of the dielectric is responsible for the ondulations observed in the radiation patterns of these antennas and that they result from the interference of the space wave fields with those radiated as a consequence of the incidence of the surface wave into the truncation region. It is suggested that this interference problem may be alleviated by truncating the dielectric as far as possible from the antenna elements and by using lower values of dielectric thickness to disk radius ratios d/a, and of dielectric relative permittivities ‚àär. Copyright ¬© 1984 by The Institute of Electrical and Electronics Engineers, Inc.</t>
  </si>
  <si>
    <t>568-573</t>
  </si>
  <si>
    <t>60024989;60029570</t>
  </si>
  <si>
    <t>6508138133;7004822283</t>
  </si>
  <si>
    <t>De Assis Fonseca, Sergio Barroso;Giarola, Att√≠lio J.</t>
  </si>
  <si>
    <t>Brazil;Brazil</t>
  </si>
  <si>
    <t>Campinas;Brasilia</t>
  </si>
  <si>
    <t>Universidade Estadual de Campinas;Universidade de Bras√≠lia</t>
  </si>
  <si>
    <t>60029570;60024989</t>
  </si>
  <si>
    <t>De Assis Fonseca S.</t>
  </si>
  <si>
    <t>Microstrip Disk Antennas, Part II: The Problem of Surface Wave Radiation by Dielectric Truncation</t>
  </si>
  <si>
    <t>10.1109/TAP.1984.1143367</t>
  </si>
  <si>
    <t>2-s2.0-0021446358</t>
  </si>
  <si>
    <t>['telecommunications facilities', 'navigational aids', 'meteorological facilities', 'localizer antenna', 'ils performance', 'flight check', 'first time', 'array antenna']</t>
  </si>
  <si>
    <t>The Viru Viru International Airport was completed with Japanese economic assistance for the first time in Bolivia. The main airport facilities, such as navigational aids, telecommunications facilities and meteorological facilities were supplied by Toshiba. The instrument landing system (ILS) uses a 14-element log periodic antenna as localizer antenna and a single-frequency M-array antenna as glide slope antenna. It was confirmed by a flight check that the ILS performance was satisfactory. In addition, the control signal system linking individual consoles to the communications control unit (CCU) handles a parallel-serial conversion data transmission.</t>
  </si>
  <si>
    <t>21-25</t>
  </si>
  <si>
    <t>0303416X</t>
  </si>
  <si>
    <t>Toshiba review International ed.</t>
  </si>
  <si>
    <t>Summer</t>
  </si>
  <si>
    <t>6603199886;55470509900;57207178252</t>
  </si>
  <si>
    <t>Chaki, Eiichi;Mori, Kazuo;Takahashi, Masaru</t>
  </si>
  <si>
    <t>Chaki E.</t>
  </si>
  <si>
    <t>AIRPORT FACILITIES AT THE VIRU VIRU INTERNATIONAL AIRPORT.</t>
  </si>
  <si>
    <t>2-s2.0-0021446636</t>
  </si>
  <si>
    <t>['reflector surface', 'phase center', 'line feed', 'include contributions', 'focal line', 'electronics engineers', 'aperture efficiency']</t>
  </si>
  <si>
    <t>Formulas for calculation of the aperture efficiency of a parabolic cylindrical reflector antenna fed by a line feed along the focal line are presented. The efficiency is factorized into a number of subefficiencies which include contributions from line feed end diffraction, and from blockage and reflections from line feed supports and from diffraction by gaps in the reflector surface. One of the subefficiencies is used to define a phase center for the line feed as well as to obtain a formula for calculating it. Copyright ¬© 1984 by The Institute of Electrical and Electronics Engineers, Inc.</t>
  </si>
  <si>
    <t>553-561</t>
  </si>
  <si>
    <t>Kildal, Per Simon</t>
  </si>
  <si>
    <t>Norway</t>
  </si>
  <si>
    <t>Trondheim</t>
  </si>
  <si>
    <t>Norges Teknisk-Naturvitenskapelige Universitet</t>
  </si>
  <si>
    <t>Aperture Efficiency and Line Feed Phase Center of Parabolic Cylindrical Reflector Antenna</t>
  </si>
  <si>
    <t>10.1109/TAP.1984.1143370</t>
  </si>
  <si>
    <t>2-s2.0-0021446916</t>
  </si>
  <si>
    <t>['several orders', 'reformulated coefficients', 'physical theory', 'electronics engineers', 'edged body', 'better behaved']</t>
  </si>
  <si>
    <t>The diffraction coefficients describing scattering from an edged body in the physical theory of diffraction are reformulated so as to provide improved behavior in the neighborhood of singularities. Numerical results show that as singularities are approached, the reformulated coefficients are better behaved than the original by several orders of magnitude. Copyright ¬© 1984 by The Institute of Electrical and Electronics Engineers, Inc.</t>
  </si>
  <si>
    <t>640-641</t>
  </si>
  <si>
    <t>Brown, Robert T.</t>
  </si>
  <si>
    <t>Northrop Grumman corporation</t>
  </si>
  <si>
    <t>Brown R.</t>
  </si>
  <si>
    <t>Communications Treatment of Singularities in the Physical Theory of Diffraction</t>
  </si>
  <si>
    <t>10.1109/TAP.1984.1143381</t>
  </si>
  <si>
    <t>2-s2.0-0021446969</t>
  </si>
  <si>
    <t>['traveling wave', 'solution provides', 'simple first', 'scattering problems', 'resonant state', 'reflected function', 'order solution', 'expansion method', 'electromagnetic phenomena', 'closely related', 'characteristic function', 'admittance function', '1 %.']</t>
  </si>
  <si>
    <t>The transient integral equations is solved by a 'time-order-quasi-traveling-wave' (TOQTW) expansion method to obtain a closed explicit solution for the current. The TOQTW expansion method is complementary to the singularity expansion method. It can be used in the analysis of antenna and scattering problems in which the electromagnetic phenomena are more closely related to a traveling wave than to a resonant state. The solution provides a physically meaningful representation. The current is expressed in terms of the amplitude, the shape, and the tail. The system is represented by a characteristic function, a reflected function, and an admittance function. The solution also provides satisfactory accuracy, the error for the simple first-order solution being less than 1%. The causal time sequence is demonstrated.</t>
  </si>
  <si>
    <t>612-639</t>
  </si>
  <si>
    <t>Scientia Sinica, Series A: Mathematical, Physical, Astronomical &amp; Technical Sciences</t>
  </si>
  <si>
    <t>Haoming, Shen</t>
  </si>
  <si>
    <t>Haoming S.</t>
  </si>
  <si>
    <t>TIME-ORDER EXPANSION METHOD FOR DIRECT TIME-DOMAIN SOLUTION.</t>
  </si>
  <si>
    <t>2-s2.0-0021446985</t>
  </si>
  <si>
    <t>['values separately', 'values determined', 'unseparably combined', 'test equipments', 'right reserved', 'paper describes', 'noise bandwidth', 'new g', 'method agree', 'measurement method', 'integrated antennas', 'experimental results', 'direct method', 'direct broadcasting', 'conventional method', 'also presented', 'accurate g', '4 db']</t>
  </si>
  <si>
    <t>A new G/T measurement method for receivers which are used for direct broadcasting from a satellite is proposed. By this method, G/T can be obtained without measuring G and T values separately. Therefore, this method, which can be called a direct method, can be adopted for the G/T measurement for integrated antennas, wherein an antenna and a receiver are unseparably combined, while the conventional method can not be adopted under these circumstances. Besides, no special test equipment is required for this method. This method can achieve more accurate G/T data because the result is independent from noise bandwidth or signal time response of test equipments. This paper describes the principle of the method, practical test procedure and some notes on how to avoid measurement errors. Some experimental results are also presented, which show that G/T values determined by this method agree with those obtained by the conventional method within 0.4 dB. ¬© 1984 IEEE. All right reserved.</t>
  </si>
  <si>
    <t>38-43</t>
  </si>
  <si>
    <t>60103907;60018735</t>
  </si>
  <si>
    <t>6602515710;7004133825</t>
  </si>
  <si>
    <t>Ohmaru, Kenji;Mikuni, Yoshihiko</t>
  </si>
  <si>
    <t>Tokyo;Tokyo</t>
  </si>
  <si>
    <t>Nippon Hoso Kyokai;Toshiba Corporation</t>
  </si>
  <si>
    <t>Ohmaru K.</t>
  </si>
  <si>
    <t>Direct G/T measurement for satellite broadcasting receivers</t>
  </si>
  <si>
    <t>10.1109/TBC.1984.266529</t>
  </si>
  <si>
    <t>2-s2.0-0021447091</t>
  </si>
  <si>
    <t>['wiley company', 'theory based', 'studied experimentally', 'results calculated', 'rectification due', 'laser signal', 'inc .,', 'co2 laser']</t>
  </si>
  <si>
    <t>The responsivity of antenna‚Äêcoupled point‚Äêcontact Schottky diodes to CO2 laser radiation was studied experimentally. the very clear antenna‚Äêpattern was obtained for the 10.6 Œºm radiation and agreed with theory based on the traveling wave antenna. the bias voltage dependence of the detected voltage agreed with the results calculated by using measured dI/dV ‚Äê V and d2I/dV2 ‚Äê V characteristics. It is seen from this that the fabricated devices respond to the frequency of a CO2 laser as a square‚Äêlaw detector (resulting from nonlinearity of the I ‚Äê V characteristic at CO2 laser frequency) and detect the laser signal by rectification due to the nonlinear current‚Äêvoltage characteristic. Copyright ¬© 1984 Wiley Periodicals, Inc., A Wiley Company</t>
  </si>
  <si>
    <t>114-121</t>
  </si>
  <si>
    <t>7403247020;7004555963</t>
  </si>
  <si>
    <t>Inoue, Narumi;Yasuoka, Yoshizumi</t>
  </si>
  <si>
    <t>Inoue N.</t>
  </si>
  <si>
    <t>Infrared laser detection by antenna‚Äêcoupled point‚Äêcontact schottky diodes</t>
  </si>
  <si>
    <t>10.1002/ecja.4400670615</t>
  </si>
  <si>
    <t>2-s2.0-0021447146</t>
  </si>
  <si>
    <t>['zone position', 'spherical surface', 'specified time', 'specified size', 'sidelobe constraint', 'particular far', 'optimization criterion', 'electronics engineers', 'either maximization', 'antenna excitation', 'also studied', '1 j']</t>
  </si>
  <si>
    <t>Bounds on the optimum transient radiation from an arbitrary antenna enclosed by a spherical surface of specified size are presented. The optimization criterion is either maximization of the radiated electric field amplitude at a specified time and far-zone position, or maximization of the radiated energy density in a specified time interval for a particular far-zone position. The latter optimization results in the prolate spheroidal wave functions. In both cases, the total energy radiated by the antenna is constrained to be 1 J, and the antenna excitation is assumed to be bandlimited. The performance of the optimum arbitrary antenna is compared to that of optimized practical antennas, such as dipoles and arrays of dipoles. The effect of a sidelobe constraint is also studied. Copyright ¬© 1984 by The Institute of Electrical and Electronics Engineers, Inc.</t>
  </si>
  <si>
    <t>633-640</t>
  </si>
  <si>
    <t>60014313;60014313;60014313</t>
  </si>
  <si>
    <t>7006061921;7006791463;7103288212</t>
  </si>
  <si>
    <t>Pozar, David M.;Schaubert, Daniel H.;McIntosh, Robert E.</t>
  </si>
  <si>
    <t>The Optimum Transient Radiation from an Arbitrary Antenna</t>
  </si>
  <si>
    <t>10.1109/TAP.1984.1143369</t>
  </si>
  <si>
    <t>2-s2.0-0021447160</t>
  </si>
  <si>
    <t>['wave height', 'scattered power', 'results indicate', 'presented based', 'practical model', 'low g', 'incoherent components', 'field experiments', 'fade prediction', 'elevation angle', 'electronics engineers', 'band frequencies', 'antenna gain', '50 cm']</t>
  </si>
  <si>
    <t>For low G/T ship-based earth stations in future maritime satellite communications, the effect of multipath fading due to sea surface reflection will be very important at low elevation angles. However, a practical model of the L-band multipath fading for fade prediction has not been available so far. A practical fading model is presented based on the shadowed Kirchhoff approximation theory for the coherent and incoherent components of the scattered power as a function of sea surface conditions. Using this model, theoretical fading depths are presented as a function of elevation angle, wave height, and antenna gain. The results indicate that intense fading occurs for wave heights greater than 50 cm, and the dependence on wave height is small under these conditions at L-band frequencies. Theoretical results presented agree well with experimental results obtained by field experiments. Copyright ¬© 1984 by The Institute of Electrical and Electronics Engineers, Inc.</t>
  </si>
  <si>
    <t>618-623</t>
  </si>
  <si>
    <t>60021208;60021208</t>
  </si>
  <si>
    <t>7102618328;7005154210</t>
  </si>
  <si>
    <t>Karasawa, Yoshio;Shiokawa, Takayasu</t>
  </si>
  <si>
    <t>KDDI Corporation</t>
  </si>
  <si>
    <t>Karasawa Y.</t>
  </si>
  <si>
    <t>Characteristics of L-Band Multipath Fading due to Sea Surface Reflection</t>
  </si>
  <si>
    <t>10.1109/TAP.1984.1143365</t>
  </si>
  <si>
    <t>2-s2.0-0021447161</t>
  </si>
  <si>
    <t>['unconstrained case', 'transmission efficiency', 'successive use', 'subsequent sidelobes', 'spilled radiation', 'receivng aperture', 'radiation peaks', 'radiation levels', 'important factor', 'electronics engineers', 'basic design', 'aperture illumination', 'antennas used']</t>
  </si>
  <si>
    <t>A basic design of an aperture illumination of antennas used for radio wave power transmission is presented. In the power transmission using microwave such as solar power satellite, not only the transmission efficiency, but also the transmitting power capacity allowed by the necessary electromagnetic environment is a very important factor for realization. In this paper the circular antenna aperture illumination is optimized in order to give the maximum transmission efficiency with the constraint on the radiation levels at the edge of the receivng aperture and at the radiation peaks of the subsequent sidelobes. This constrained optimization problem is solved by successive use of the sequential unconstrained minimization techniques (SUMT method). The maximum transmission efficiency and receivable average power density are obtained for various constrained levels of the spilled radiation, and are compared with the values in the unconstrained case. Copyright ¬© 1984 by The Institute of Electrical and Electronics Engineers, Inc.</t>
  </si>
  <si>
    <t>628-632</t>
  </si>
  <si>
    <t>60008435;60008435</t>
  </si>
  <si>
    <t>7201851714;56779495700</t>
  </si>
  <si>
    <t>Uno, Toru;Adachi, Saburo</t>
  </si>
  <si>
    <t>Uno T.</t>
  </si>
  <si>
    <t>Optimization of Aperture Illumination for Radio Wave Power Transmission</t>
  </si>
  <si>
    <t>10.1109/TAP.1984.1143372</t>
  </si>
  <si>
    <t>2-s2.0-0021447280</t>
  </si>
  <si>
    <t>['simple relationship', 'output signal', 'noise ratio', 'element patterns', 'electronics engineers', 'eigenvalue behavior', 'eigenvalue associated', 'desired signal', 'adaptive arrays', 'adaptive array']</t>
  </si>
  <si>
    <t>A simple relationship between the output signal-to-interference-plus-noise ratio (SINR) of an adaptive array and the eigenvalues of the associate signal covariance matrix is pointed out. For two simple cases involving continuous wave (CW) signals, it is shown that the eigenvalue associated with the desired signal is equal to the SINR plus one. This relationship is useful for understanding the effects of element patterns and spacings on eigenvalue behavior in adaptive arrays. Copyright ¬© 1984 by The Institute of Electrical and Electronics Engineers, Inc.</t>
  </si>
  <si>
    <t>643-647</t>
  </si>
  <si>
    <t>60027271-60003500</t>
  </si>
  <si>
    <t>Compton, R. T.</t>
  </si>
  <si>
    <t>Washington, D.C.;Columbus</t>
  </si>
  <si>
    <t>Naval Research Laboratory;The Ohio State University</t>
  </si>
  <si>
    <t>60027271;60003500</t>
  </si>
  <si>
    <t>Compton R.T.</t>
  </si>
  <si>
    <t>On Eigenvalues, SINR, and Element Patterns in Adaptive Arrays</t>
  </si>
  <si>
    <t>10.1109/TAP.1984.1143387</t>
  </si>
  <si>
    <t>2-s2.0-0021447592</t>
  </si>
  <si>
    <t>['specific form', 'small angles', 'shadow functions', 'scattered fields', 'rather insensitive', 'large angles', 'electronics engineers', 'composite models', 'broad family']</t>
  </si>
  <si>
    <t>The full wave approach is used to determine the scattering cross sections for composite models of non-Ganssian rough surfaces. It is assumed in this work that the rough surface heights become statistically independent when they decorrelate, thus no delta function type specular term appears in the expressions for the scattered fields. The broad family of non-Gaussian surfaces considered range in the limit from exponential to Ganssian. It is seen that for small angles of incidence the like polarized cross sections have the same dependence on the specific form of the surface height joint probability density, but for large angles the scattering cross sections for the horizontally polarized waves are much more sensitive to the specific form of the joint probability density. On the other hand the shadow functions are rather insensitive to the specific form of the joint probability density. Copyright ¬© 1984 by The Institute of Electrical and Electronics Engineers, Inc.</t>
  </si>
  <si>
    <t>580-584</t>
  </si>
  <si>
    <t>60026306;60026306</t>
  </si>
  <si>
    <t>7102555049;6603422380</t>
  </si>
  <si>
    <t>Bahar, Ezekiel;Fitzwater, Mary Ann</t>
  </si>
  <si>
    <t>Lincoln</t>
  </si>
  <si>
    <t>University of Nebraska‚ÄìLincoln</t>
  </si>
  <si>
    <t>Bahar E.</t>
  </si>
  <si>
    <t>Scattering Cross Sections for Composite Models of Non-Gaussian Rough Surfaces for Which Decorrelation Implies Statistical Independence</t>
  </si>
  <si>
    <t>10.1109/TAP.1984.1143366</t>
  </si>
  <si>
    <t>2-s2.0-0021448560</t>
  </si>
  <si>
    <t>['two sources', 'spiral towards', 'spiral antenna', 'polarization diversity', 'obtained results', 'new method', 'frequency characteristics', 'center sources', 'arm ends', "2f '."]</t>
  </si>
  <si>
    <t>A new method of exciting a two-wire spiral antenna from two off-center sources is proposed in order to obtain the polarization diversity. it is found both numerically and experimentally that as the locations of two sources are shifted from the center of the spiral towards the arm ends, the radiation wave changes from a right-hand to a left-hand circularly polarized wave, by way of a stage in which a linearly polarized wave is produced. On the basis of the obtained results, the frequency characteristics of a spiral antenna with two fixed sources are investigated. It is found that the spiral antenna radiates a right-hand circularly polarized wave at a frequency of 'f' and a left-hand circularly polarized wave at a frequency of '2f'.</t>
  </si>
  <si>
    <t>309-314</t>
  </si>
  <si>
    <t>55633340100;7403255155;56405174700</t>
  </si>
  <si>
    <t>Nakano, Hisamatsu;Hirose, Kazuhide;Yamauchi, Junji</t>
  </si>
  <si>
    <t>SPIRAL ANTENNA WITH TWO OFF-CENTER SOURCES.</t>
  </si>
  <si>
    <t>2-s2.0-0021448670</t>
  </si>
  <si>
    <t>['reciprocal nature', 'electrostatic transducers', 'discuss calibration']</t>
  </si>
  <si>
    <t>We discuss calibration of vibration transducers mounted on resonant mechanical antennas, introducing a calibrating method based on the reciprocal nature of electrostatic transducers. ¬© IOP Publishing Ltd.</t>
  </si>
  <si>
    <t>L415</t>
  </si>
  <si>
    <t>60025272;60025272;60025272</t>
  </si>
  <si>
    <t>7402775597;7004058311;7103211355</t>
  </si>
  <si>
    <t>Kuroda, Kazuaki;Tsubono, Kimio;Hirakawa, Hiromasa</t>
  </si>
  <si>
    <t>Kuroda K.</t>
  </si>
  <si>
    <t>Calibration of Vibration Transducers</t>
  </si>
  <si>
    <t>10.1143/JJAP.23.L415</t>
  </si>
  <si>
    <t>2-s2.0-0021448836</t>
  </si>
  <si>
    <t>['used obsolete', 'uniform distribution', 'single curve', 'previous calculations', 'measurement distance', 'first sidelobe', 'electronics engineers', 'distorting patterns', '6 d2œª']</t>
  </si>
  <si>
    <t>Because of the current strong emphasis on low sidelobe antennas, the effects of measurement distance in distorting patterns are reexamined. Previous calculations have used obsolete or suboptimum aperture distributions. The Taylor linear distribution is a versatile highly efficient and robust optimum distribution; its use here allows a single curve of sidelobe measurement error versus measurement distance (normalized to far field distance 2D2Œª) for a given sidelobe level. The calculations give data from a uniform distribution to a 60 dB Taylor. For example, the first sidelobe of a 40 dB Taylor pattern is in error 1 dB at a distance of 6 D2Œª. Copyright ¬© 1984 by The Institute of Electrical and Electronics Engineers, Inc.</t>
  </si>
  <si>
    <t>591-594</t>
  </si>
  <si>
    <t>Hansen, R. C.</t>
  </si>
  <si>
    <t>Hansen R.</t>
  </si>
  <si>
    <t>Measurement Distance Effects on Low Sidelobe Patterns</t>
  </si>
  <si>
    <t>10.1109/TAP.1984.1143386</t>
  </si>
  <si>
    <t>2-s2.0-0021448948</t>
  </si>
  <si>
    <t>['waveguide simulator', 'substrate parameters', 'simple theory', 'scan blindness', 'floquet modes', 'electronics engineers', 'comprehensive study']</t>
  </si>
  <si>
    <t>A comprehensive study of infinite phased arrays of printed dipole antennas is presented, with emphasis on the scan blindness phenomenon. A rigoros and efficient moment method procedure is used to calculate the array impedance versus scan angle. Data are presented for the input reflection coefficient for various element spacings and substrate parameters. A simple theory, based on coupling from Floquet modes to surface wave modes on the snbstrate, is shown to predict the occurrence of scan blindness. Measurements from a waveguide simulator of a blindness condition confirm the theory. Copyright ¬© 1984 by The Institute of Electrical and Electronics Engineers, Inc.</t>
  </si>
  <si>
    <t>602-610</t>
  </si>
  <si>
    <t>60014313;60014313</t>
  </si>
  <si>
    <t>7006061921;7006791463</t>
  </si>
  <si>
    <t>Pozar, David M.;Schaubert, Daniel H.</t>
  </si>
  <si>
    <t>Scan Blindness in Infinite Phased Arrays of Printed Dipoles</t>
  </si>
  <si>
    <t>10.1109/TAP.1984.1143375</t>
  </si>
  <si>
    <t>2-s2.0-0021449335</t>
  </si>
  <si>
    <t>['resulting integral', 'polynomial approximation', 'physical optics', 'phase center', 'geometrical theory', 'geometrical properties', 'formulation allows', 'electronics engineers', 'diffraction rather', 'conic sections']</t>
  </si>
  <si>
    <t>The physical optics analysis of the scattering from the subreflector of an offset Cassegrain microwave antenna is formulated in a novel way using the geometrical properties of the conic sections. The resulting integral is computed by means of an algorithm involving quadratic approximation of the phase and polynomial approximation of the remainder of the integrand. The formulation allows for displacement of the phase center of the feed pattern representation. Examples are presented which provide a comparison with previously reported results obtained using the geometrical theory of diffraction rather than physical optics. Copyright ¬© 1984 by The Institute of Electrical and Electronics Engineers, Inc.</t>
  </si>
  <si>
    <t>595-601</t>
  </si>
  <si>
    <t>Pogorzelski, Ronald J.</t>
  </si>
  <si>
    <t>Pogorzelski R.</t>
  </si>
  <si>
    <t>On the Numerical Analysis of the Subreflector of an Offset Cassegrain Microwave Antenna</t>
  </si>
  <si>
    <t>10.1109/TAP.1984.1143377</t>
  </si>
  <si>
    <t>2-s2.0-0021449336</t>
  </si>
  <si>
    <t>['wire loops', 'wavelength inside', 'mutual coupling', 'much smaller', 'much larger', 'image theory', 'image solution', 'electronics engineers', 'distances involved', 'continuous images']</t>
  </si>
  <si>
    <t>The problem of mutual coupling between wire loops on or above the surface of a layered lossy earth is solved by using the image theory. It is shown that the image solution, besides its simplicity, is accurate both when the wavelength inside the earth is much larger or much smaller than the distances involved. In the intermediate frequency range when these distances are comparable to the wavelength or skin depth inside the earth, accuracy of the solution is retained by the addition of a set of continuous images to complement the single image representation. Numerical examples relevant to the prediction of the depth of a subsurface layer inside the ground are given. Copyright ¬© 1984 by The Institute of Electrical and Electronics Engineers, Inc.</t>
  </si>
  <si>
    <t>574-579</t>
  </si>
  <si>
    <t>60010294;60010294</t>
  </si>
  <si>
    <t>7004541711;35581830600</t>
  </si>
  <si>
    <t>Metwally, Ahmed D.;Mahmoud, Samir F.</t>
  </si>
  <si>
    <t>Egypt</t>
  </si>
  <si>
    <t>Giza</t>
  </si>
  <si>
    <t>Cairo University</t>
  </si>
  <si>
    <t>Metwally A.</t>
  </si>
  <si>
    <t>Mutual Coupling Between Loops on Layered Earth Using Images</t>
  </si>
  <si>
    <t>10.1109/TAP.1984.1143378</t>
  </si>
  <si>
    <t>2-s2.0-0021449598</t>
  </si>
  <si>
    <t>['radiation patterns', 'radiation characteristics', 'line feed', 'electronics engineers', 'direct radiation', 'computer programs', 'attention given']</t>
  </si>
  <si>
    <t>A study of the radiation characteristics of the European Incoherent Scatter Association (EISCAT) cylindrical reflector antenna in Troms√∏ Norway is presented. The radiation patterns are computed with attention given to such effects as blockage and reflection from the supports of the line feed as well as direct radiation from the feed. The computer programs are time-efficient and accurate. They are based on mathematical formulations given in this and three companion papers. The calculated patterns agree well with measured drift scans of the exterrestrial radio source Cassiopeia A. Copyright ¬© 1984 by The Institute of Electrical and Electronics Engineers, Inc.</t>
  </si>
  <si>
    <t>541-552</t>
  </si>
  <si>
    <t>Radiation Characteristics of the EISCAT VHF Parabolic Cylindrical Reflector Antenna</t>
  </si>
  <si>
    <t>10.1109/TAP.1984.1143371</t>
  </si>
  <si>
    <t>2-s2.0-0021449599</t>
  </si>
  <si>
    <t>['simplified method', 'right reserved', 'results show', 'power line', 'moment method', 'lossy ground', 'inexpensive assessment', 'computer program', 'broadcast signals']</t>
  </si>
  <si>
    <t>Computations of the re-radiation of AM broadcast signals by steel tower power lines are carried out using a simplified method, and compared with computations by moment method. The simplified method is based on transmission line theory and was implemented on a microcomputer in BASIC using 32K of RAM. The computer program (AMPL) includes the effect of the lossy ground. Results show that this simplified method is useful for making an approximate but rapid and inexpensive assessment of the impact of a power line on an AM broadcast antenna‚Äòs performance. ¬© 1984 IEEE. All right reserved.</t>
  </si>
  <si>
    <t>50-56</t>
  </si>
  <si>
    <t>A microcomputer program for predicting AM broadcast re-radiation from steel tower power lines</t>
  </si>
  <si>
    <t>10.1109/TBC.1984.266531</t>
  </si>
  <si>
    <t>2-s2.0-0021449612</t>
  </si>
  <si>
    <t>['special attention', 'simple parabola', 'several methods', 'set greater', 'phase coefficients', 'offset angle', 'null points', 'excitation amplitude', 'effectively improved', 'coefficients determined', 'beam isolation', 'array elements', 'aperture distribution', 'also admissable', '45 degree']</t>
  </si>
  <si>
    <t>Excitation amplitude and phase coefficients of array elements are designed for the use of a primary feed reflector antenna with the intention of improving its beam scanning characteristics. Special attention is paid for beam isolation between two adjacent beams in an area coverage beam arrangement. After several methods are compared, it is pointed out that coefficients determined in terms of aperture distribution are effective for compensating gain reduction in widely scanned angle, while they can not control beam isolation. Beam isolation, on the other hand, is effectively improved by designing array coefficients so as to arrange null points of the far field pattern on a circle with its beam direction centered. In this method, number of null points and radius of the circle are determined to get higher beam isolation. Number of null points may be set greater than that of elements, provided null points in the sense of a least mean square are also admissable. A simple parabola with offset angle of 45 degree , fed by 9-horn array thus designed, can scan its beam beyond 10 halfpower beam width, keeping no less than 27 db isolation between beams with spacing of about 2. 0 halfpower beam width apart.</t>
  </si>
  <si>
    <t>323-330</t>
  </si>
  <si>
    <t>Ando, Makoto</t>
  </si>
  <si>
    <t>Ando M.</t>
  </si>
  <si>
    <t>BEAM SCANNING CHARACTERISTICS OF REFLECTOR ANTENNAS WITH ARRAY FEEDS.</t>
  </si>
  <si>
    <t>2-s2.0-0021449708</t>
  </si>
  <si>
    <t>['worth noting', 'two values', 'two powers', 'theoretical study', 'stratified media', 'separate contributions', 'radiated fields', 'magnetic sidewalls', 'lossless media', 'integral form', 'electronics engineers', 'dyadic green', 'dielectric constants', 'cross coupling', 'cavity model', 'available data', 'appreciable portion']</t>
  </si>
  <si>
    <t>A theoretical study on the problem of surface wave excitation of microstrip disk antennas is presented. The cavity model with magnetic sidewalls and dyadic Green's functions in stratified media is used to obtain the radiated fields in an integral form. Lossless media are assumed such that there is no cross coupling between the powers in the space (PSP) and surface (PSU) waves. The separate contributions of these two powers is examined. With the assumption that PSU does not contribute to the main radiation patterns of the antenna an efficiency of space wave launching and a corresponding antenna directivity are defined. Values of efficiency and directivity as functions of the dimensions of the antenna and for two values of dielectric constants of the substrate are shown. Agreement of these results with some of the available data is observed. It is worth noting that PSU may correspond to an appreciable portion of the total radiated power. Copyright ¬© 1984 by The Institute of Electrical and Electronics Engineers, Inc.</t>
  </si>
  <si>
    <t>561-567</t>
  </si>
  <si>
    <t>6508138133;56980970500</t>
  </si>
  <si>
    <t>De Assis Fonseca, Sergio Barroso;Giarola, Ttilio J.</t>
  </si>
  <si>
    <t>Microstrip Disk Antennas, Part I: Efficiency of Space Wave Launching</t>
  </si>
  <si>
    <t>10.1109/TAP.1984.1143368</t>
  </si>
  <si>
    <t>2-s2.0-0021450207</t>
  </si>
  <si>
    <t>['wiley company', 'various phenomena', 'radiation mechanism', 'problem inherent', 'poynting vector', 'new concept', 'inc .,', 'energy transverses', 'energy theorem', 'deterministically defined', 'broad concept', 'also shown', 'also encompasses']</t>
  </si>
  <si>
    <t>A problem inherent in discussing the antenna radiation mechanism is that the electromagnetic energy flux density can not be deterministically defined. the practice has been to interpret the Poynting vector as the flux density vector and to use it to explain the various phenomena. In this paper, as the equivalent of the Poynting vector, the Nukiyama vector derived from the energy theorem is interpreted as the flux density vector. This interpretation is applied to the radiation mechanism of a perfectly conducting antenna, and it is shown that the radiation can be explained as ‚Äúan exchange of energy between the electromagnetic wave radiated into space and the conductor on which the power is impressed, with the energy exchange taking place as the energy transverses the conductor.‚Äù It is also shown that the new concept of locally‚Äêstored energy derived from Nukiyama's vector for use in this exposition is a broad concept which also encompasses the representation of observable stored energy as defined by Rhodes. Copyright ¬© 1984 Wiley Periodicals, Inc., A Wiley Company</t>
  </si>
  <si>
    <t>79-86</t>
  </si>
  <si>
    <t>Tokumaru, Shinobu</t>
  </si>
  <si>
    <t>Keio University</t>
  </si>
  <si>
    <t>Tokumaru S.</t>
  </si>
  <si>
    <t>Radiation mechanism of perfectly conducting antennas ‚Äê an interpretation using Nukiyama's vector</t>
  </si>
  <si>
    <t>10.1002/ecja.4400670611</t>
  </si>
  <si>
    <t>2-s2.0-0021450238</t>
  </si>
  <si>
    <t>['young orthoclones', 'shortened lifespan', 'sensu stricto', 'selenium requirement', 'selenium added', 'second generation', 'second antennae', 'progressive loss', 'organic additions', 'media deficiency', 'indefinite numbers', 'first generation', 'domestic fowl', 'distal segments', 'culture lines', '5 ppb', '1 ppb']</t>
  </si>
  <si>
    <t>Daphnia pulex de Geer and Daphnia magna Straus populations cannot be maintained in defined (sensu stricto) media containing less than 0.1 part per billion (ppb) of selenium. A concentration of 1 ppb is sufficient to satisfy minimal needs in otherwise sufficient media. In the first generation with no selenium added to the medium or detected in it, media deficiency is shown by a premature cuticle deterioration visually similar to senescence, by progressive loss of distal segments of second antennae (primary swimming appendages), and by a shortened lifespan. No progeny attain reproductive maturity in the second generation. Although experimental animals in prime condition exhibit a shortened lifespan in the first generation maintained at 0.5 ppb selenium, culture lines can be maintained at 0.5 ppb for indefinite numbers of generations if established as young orthoclones . Tests in organic-rich media indicate a significant sparing effect of organic additions. This selenium requirement is reminiscent of that for the stability of feathers in domestic fowl.</t>
  </si>
  <si>
    <t>3433-3437</t>
  </si>
  <si>
    <t>Proceedings of the National Academy of Sciences of the United States of America</t>
  </si>
  <si>
    <t>7007039464;6505827773</t>
  </si>
  <si>
    <t>Keating, K. I.;Dagbusan, B. C.</t>
  </si>
  <si>
    <t>Keating K.</t>
  </si>
  <si>
    <t>Effect of selenium deficiency on cuticle integrity in the Cladocera (Crustacea).</t>
  </si>
  <si>
    <t>10.1073/pnas.81.11.3433</t>
  </si>
  <si>
    <t>2-s2.0-0021450297</t>
  </si>
  <si>
    <t>['seen later', 'previous paper', 'politics rather', 'mass scale', 'article follows']</t>
  </si>
  <si>
    <t>This article follows up a previous paper by the author in the theory of Satellite TV aerial alignment on a mass scale. It involves the use of an already established computer file and, as will be seen later, the only limitation to the system is that it cannot be applied to Northern Ireland unless minor modifications are made. The origins of this lie in politics rather than geography.</t>
  </si>
  <si>
    <t>Cresdee, N. L.H.</t>
  </si>
  <si>
    <t>Cresdee N.</t>
  </si>
  <si>
    <t>FOLLOW UP ON SATELLITE TV AERIALS AND ALIGNMENT METHODS.</t>
  </si>
  <si>
    <t>2-s2.0-0021450912</t>
  </si>
  <si>
    <t>['typical performance', 'singapore ces', 'radio frequency', 'may 1983', 'inmarsat system', 'flexible interface', 'first generation', 'access control']</t>
  </si>
  <si>
    <t>As of May 1983, seven INMARSAT coast earth stations (CESs) have been providing a commercial global maritime communications service. Since its development, the earth station design has been refined to provide a standard design suitable for the first generation of the INMARSAT system. The intent of this paper is to present the typical performance of the Singapore CES which incorporates the latest equipment design. The CES system including the radio frequency (RF) and access control and signalling (ACS) subsystems are described with emphasis on the key technical features to achieve high performance. Key features include a C- and L-dual band Cassegrain antenna with associated radio equipment and a central processor controlled digital exchange equipment which provides a flexible interface with the existing terrestrial networks.</t>
  </si>
  <si>
    <t>143-160</t>
  </si>
  <si>
    <t>Space Communication and Broadcasting</t>
  </si>
  <si>
    <t>7005653476;55317259800</t>
  </si>
  <si>
    <t>Fong, Richard K.T.;Kazui, K.</t>
  </si>
  <si>
    <t>Fong R.</t>
  </si>
  <si>
    <t>INMARSAT SINGAPORE COAST EARTH STATION.</t>
  </si>
  <si>
    <t>2-s2.0-0021450944</t>
  </si>
  <si>
    <t>['zoned lens', 'universal curves', 'study establishes', 'serious contenders', 'scan angle', 'reflector systems', 'rapid estimation', 'radar applications', 'phase transformer', 'phase aberrations', 'lens parameters', 'electronics engineers', 'ehf frequencies', 'directive gain', 'design frequency', 'beam communications', 'axis scanning', 'aperture plane']</t>
  </si>
  <si>
    <t>Zoned dielectric lenses, designed for wide-angle scanning characteristics, are serious contenders to reflector systems for multiple-beam communications and radar applications at EHF frequencies. An analysis is presented in which the zoned lens is approximated by an ideally thin spherical shell (phase transformer) in evaluating the phase aberrations in its aperture plane which are caused by off-axis scanning and deviations from the design frequency. Those results are used to produce a set of universal curves which predict the decrease in directive gain of the lens as a function of scan angle and frequency. Gain and radiation pattern measurements on a 90 Œª zoned dielectric lens show agreement with these predictions and with ray-tracing and geometric optics calculations. This study establishes the validity of the spherical shell analysis as a means for rapid estimation of lens parameters for specific system requirements. Copyright ¬© 1984 by The Institute of Electrical and Electronics Engineers, Inc.</t>
  </si>
  <si>
    <t>611-617</t>
  </si>
  <si>
    <t>Rotman, Walter</t>
  </si>
  <si>
    <t>Rotman W.</t>
  </si>
  <si>
    <t>Analysis of an EHF Aplanatic Zoned Dielectric Lens Antenna</t>
  </si>
  <si>
    <t>10.1109/TAP.1984.1143379</t>
  </si>
  <si>
    <t>2-s2.0-0021450957</t>
  </si>
  <si>
    <t>['turn antenna', 'study shows', 'single half', 'rf power', 'primary source', 'power radiated', 'poloidal length', 'poloidal extent', 'plt plasmas', 'plasma interacts', 'paper presents', 'ohmic heating', 'metallic impurity', 'metallic impurities', 'localized area', 'iron densities', 'impurity influx', 'impurity content', 'icrf heating', 'fed antennas', 'central titanium', '8 mw', '350 kw']</t>
  </si>
  <si>
    <t>This paper presents the results of a study of the increase in impurity line radiation in the 15-360 √Ö region during ICRF heating of PLT plasmas, with emphasis on metallic impurity (Ti and Fe) behaviour. Central titanium and iron densities are given for a variety of ICRF heating experiments; total central metallic impurity concentrations of up to about 0.3% of ne(0) are observed at the 2.0 MW RF power level. This study shows that the power radiated by these elements is a small (about 10%) fraction of the total input power to the plasma for the present heating efficiency at 2.0 MW RF power. The impurity line brightnesses scale approximately linearly with RF power up to 2.8 MW. The antenna Faraday shields are shown to be the primary source of metallic impurities during both ICRF heating and Ohmic heating only. The impurity content of discharges heated using a single half-turn antenna and a pair of centre-fed antennas (having the same total surface area but half the poloidal extent of the half-turn antenna) is the same at a relatively low RF power of 350 kW, indicating that the impurity influx does not depend on the poloidal length of the antennas (or that the plasma interacts only with a localized area on the Faraday shields). ¬© 1984 IOP Publishing Ltd.</t>
  </si>
  <si>
    <t>767-777</t>
  </si>
  <si>
    <t>60005248;60005248;60013372;60018020;60018020;60018020;60018020;60018020</t>
  </si>
  <si>
    <t>7006849275;7006436101;7005500482;7003560134;22967475100;7003329274;56232015400;57202528890</t>
  </si>
  <si>
    <t>Stratton, B. C.;Moos, H. W.;Hodge, W. L.;Suckewer, S.;Hosea, J. C.;Hulse, R. A.;Hwang, D. Q.;Wilson, J. R.</t>
  </si>
  <si>
    <t>Princeton;Austin;Baltimore</t>
  </si>
  <si>
    <t>Princeton Plasma Physics Laboratory;The University of Texas at Austin;Johns Hopkins University</t>
  </si>
  <si>
    <t>60018020;60013372;60005248</t>
  </si>
  <si>
    <t>Stratton B.C.</t>
  </si>
  <si>
    <t>Changes in impurity radiation during ICRF heating of PLT tokamak plasmas</t>
  </si>
  <si>
    <t>10.1088/0029-5515/24/6/009</t>
  </si>
  <si>
    <t>2-s2.0-0021451182</t>
  </si>
  <si>
    <t>['variational method', 'ritz method', 'quite good', 'present method', 'numerical examples', 'network model', 'network analysis', 'microstrip antenna', 'input impedance', 'ideal transformer', 'experimental results', 'expansion technique', 'electronics engineers', 'determined using', 'antenna parameters', 'analysis method']</t>
  </si>
  <si>
    <t>An analysis method is presented for an arbitrarily shaped microstrip antenna with multiterminals. The method is based on the variational method and the modal-expansion technique. Eigenvalues and eigenfunctions are determined using the Rayleigh-Ritz method. Input impedance and other antenna parameters are derived at nonresonance. Furthermore, the network model, useful for the network analysis of a microstrip antenna with multiterminals, is presented by introducing an ideal transformer. Finally, numerical examples are compared with experimental results. The agreement is quite good, and the validity of the present method is confirmed. Copyright ¬© 1984 by The Institute of Electrical and Electronics Engineers, Inc.</t>
  </si>
  <si>
    <t>585-590</t>
  </si>
  <si>
    <t>60018735;60018735</t>
  </si>
  <si>
    <t>55624479867;7402420535</t>
  </si>
  <si>
    <t>Suzuki, Yasuo;Chiba, Taneaki</t>
  </si>
  <si>
    <t>Toshiba Corporation</t>
  </si>
  <si>
    <t>Suzuki Y.</t>
  </si>
  <si>
    <t>Computer Analysis Method for Arbitrarily Shaped Microstrip Antenna with Multiterminals</t>
  </si>
  <si>
    <t>10.1109/TAP.1984.1143380</t>
  </si>
  <si>
    <t>2-s2.0-0021451191</t>
  </si>
  <si>
    <t>['wave ratio', 'voltage standing', 'symmetric block', 'specific examples', 'special features', 'simplified procedure', 'significant reduction', 'scan angles', 'method may', 'element patterns', 'electronics engineers', 'diagonal part', 'computational effort']</t>
  </si>
  <si>
    <t>A simplified procedure for inverting the mutual impedance matrix of a uniform-spaced planar array of dipoles is presented. It relies on the special features of this matrix being symmetric block-Toeplitz and having a nilpotent off-diagonal part. Active radiation impedances and voltage standing-wave ratio (VSWR) values are then evaluated for various element positions and scan angles. The array-element patterns and far-field radiation patterns are then derived. Some specific examples are given to exhibit the significant reduction in computational effort. It is concluded that this method may be generalized to the analysis of higher order excitation modes and to nonuniform spaced arrays. Copyright ¬© 1984 by The Institute of Electrical and Electronics Engineers, Inc.</t>
  </si>
  <si>
    <t>647-651</t>
  </si>
  <si>
    <t>Gera, Amos E.</t>
  </si>
  <si>
    <t>Ashdod</t>
  </si>
  <si>
    <t>Elta Electronics Industries Ltd.</t>
  </si>
  <si>
    <t>Gera A.</t>
  </si>
  <si>
    <t>A Simplified Computational Procedure for the Analysis of Planar Arrays</t>
  </si>
  <si>
    <t>10.1109/TAP.1984.1143384</t>
  </si>
  <si>
    <t>2-s2.0-0021451388</t>
  </si>
  <si>
    <t>['toroidal dimensions', 'toroidal component', 'tokamak plasma', 'single antenna', 'rf field', 'radiation resistance', 'power delivered', 'poloidal variations', 'plasma impedance', 'numerical study', 'large tokamak', 'finite poloidal', 'fast component', 'dimensions would', 'cyclotron range', 'coupling region', 'antenna current', 'anisotropic conductivity']</t>
  </si>
  <si>
    <t>An analytical and numerical study for a slab geometry model of the coupling of a current sheet antenna to a tokamak plasma is presented. The antenna is of finite poloidal and toroidal dimensions and screened from the plasma by a sheath of anisotropic conductivity that shorts out just the toroidal component of the RF field. The excitation of only the fast component of the waves in the ion-cyclotron range of frequencies (ICRF) is considered. The plasma in the coupling region is described by its cold dielectric tensor with density and magnetic field inhomogeneities. The inclusion of the finite poloidal extent of the antenna introduces important behaviour in the plasma impedance; the calculated radiation resistance is enhanced over that obtained by ignoring the poloidal variations. The coupling is better for gradual density gradients near the antenna, and the radiation resistance is dependent on the frequency of the antenna current. A set of appropriately phased poloidal antennas couple more power into the plasma than a single antenna of the same dimensions would. The power delivered into the plasma is reasonably well focused. All this is illustrated with numerical results using parameters for a large tokamak. ¬© 1984 IOP Publishing Ltd.</t>
  </si>
  <si>
    <t>679-695</t>
  </si>
  <si>
    <t>60022195;60022195</t>
  </si>
  <si>
    <t>7006300121;56266250300</t>
  </si>
  <si>
    <t>Ram, A.;Bers, A.</t>
  </si>
  <si>
    <t>Ram A.</t>
  </si>
  <si>
    <t>Coupling theory for ICRF heating of large tokamaks</t>
  </si>
  <si>
    <t>10.1088/0029-5515/24/6/001</t>
  </si>
  <si>
    <t>2-s2.0-0021451979</t>
  </si>
  <si>
    <t>['radiation properties', 'radiated fields', 'properly selecting', 'polar properties', 'load position', 'found experimentally', 'choke positions', 'better cross', '11 mode']</t>
  </si>
  <si>
    <t>Variations of radiated fields are examined for various choke positions in double-choked circular waveguide antennas for use in front-fed parabolic antennas. It is found experimentally that radiation properties of double-choked circular waveguides fed by TE-11 mode are sensitive to the choke positions. By properly selecting the load position, better cross-polar properties can be expected.</t>
  </si>
  <si>
    <t>341-342</t>
  </si>
  <si>
    <t>CHOKE POSITION EFFECTS IN DOUBLE-CHOKED CIRCULAR WAVEGUIDE ANTENNAS.</t>
  </si>
  <si>
    <t>2-s2.0-0021452091</t>
  </si>
  <si>
    <t>National Institutes of Health</t>
  </si>
  <si>
    <t>DE-AC03-76SF0098</t>
  </si>
  <si>
    <t>NIH</t>
  </si>
  <si>
    <t>['¬© 1984', 'unknown role', 'transmembrane proteins', 'qb protein', 'photosystem ii', 'photosynthetic reaction', 'photosynthetic apparatus', 'may cross', 'higher plants', 'high degree', 'h subunits', 'h subunit', 'gene cluster', 'entire length', 'center l', 'bioenergetics since', 'b870œ ±', 'amino terminus', '8867 bp', '11 proteins']</t>
  </si>
  <si>
    <t>The complete nucleotide sequence (8867 bp) and the deduced polypeptide sequence are given for 11 proteins from the photosynthetic gene cluster of R. capsulata (46 kb), including the photosynthetic reaction-center L, M, and H subunits and the B870Œ± and B870Œ≤ polypeptides (light-harvesting I). These polypeptides bind bacteriochlorophyll, bacteriopheophytin, carotenoids, and quinones that are involved in the primary light reactions of photosynthesis. Hydropathy plots indicate that the L and M subunits are transmembrane proteins that may cross the membrane five times, while the H subunit has only one hydrophobic section near the amino terminus, which may be transmembrane. The L and M subunits are homologous over their entire length and have a high degree of homology with the QB protein from photosystem II of higher plants. An additional six genes were identified that may have some unknown role in bioenergetics since only mutations that affect the differentiation of the photosynthetic apparatus are known to map to this gene cluster. ¬© 1984.</t>
  </si>
  <si>
    <t>949-957</t>
  </si>
  <si>
    <t>Cell</t>
  </si>
  <si>
    <t>60007174;60007174-60121356;60007174;60007174;60007174-60121356</t>
  </si>
  <si>
    <t>7004557866;57216586907;7006310960;6506950952;7102850269</t>
  </si>
  <si>
    <t>Youvan, Douglas C.;Bylina, Edward J.;Alberti, Marie;Begusch, Helmut;Hearst, John E.</t>
  </si>
  <si>
    <t>Berkeley;Berkeley</t>
  </si>
  <si>
    <t>Berkeley College of Chemistry;Lawrence Berkeley National Laboratory</t>
  </si>
  <si>
    <t>60121356;60007174</t>
  </si>
  <si>
    <t>Youvan D.C.</t>
  </si>
  <si>
    <t>Nucleotide and deduced polypeptide sequences of the photosynthetic reaction-center, B870 antenna, and flanking polypeptides from R. capsulata</t>
  </si>
  <si>
    <t>009286748490429X</t>
  </si>
  <si>
    <t>10.1016/0092-8674(84)90429-X</t>
  </si>
  <si>
    <t>2-s2.0-0021455018</t>
  </si>
  <si>
    <t>3.286.-0.82</t>
  </si>
  <si>
    <t>['œ ≤.', 'œ ≤', 'œ ±)', 'œ ±', 'vesicle ).', 'transmembrane orientation', 'terminal region', 'terminal parts', 'terminal part', 'terminal amino', 'subunit l', 'sequence within', 'rubrum g', 'proteinase k', 'photosynthetic membrane', 'mainly 6', 'hydrophobic stretch', 'harvesting polypeptides', 'formula omitted', 'edman degradation', 'degradation experiments', 'cytoplasmic side', 'copyright ¬©', 'cleavage products', 'chromatophores treated', 'chromatophore membrane', 'chem .,', 'b 870', 'acid sequence', '9 +.', '14000 da']</t>
  </si>
  <si>
    <t>Bacterial photosynthesis | light-harvesting polypeptides | molecular organisation | Rhodospirillum rubrum</t>
  </si>
  <si>
    <t>The unspecific proteinase K and the specific proteases Œ±-chymotrypsin, trypsin and S. aureus V8 protease were used in order to determine the orientation of the polypeptides B 870-Œ± and B 870-Œ≤ from the major antenna complex B 870 of Rs. rubrum G-9+ within the chromatophore membrane (inside-out vesicle). Although B 870-Œ± exhibits cleavable peptide bonds, treatment with specific proteases yielded splitting only in B 870-Œ≤ within the N-terminal region. In the case of proteinase K, which was most effective, mainly 6 (B 870-Œ±) and 16 (B 870-Œ≤) amino acid residues were removed from their N-terminal parts as proved by means of Edman degradation of cleavage products. The major peptide bonds cleaved were identified as [formula omitted] in B 870-Œ± and as [formula omitted] in B 870-Œ≤. The central hydrophobic stretch regions and the relatively hydrophilic C-terminal parts of both light-harvesting polypeptides were not affected by proteinase K. On the basis of these degradation experiments a transmembrane orientation of B 870-Œ± and B 870-Œ≤ is postulated, with their N-termini to-wards the cytoplasm and their C-termini towards periplasm with regard to the photosynthetic membrane. This hypothesis is supported by the transmembrane model proposed by Brunisholz et al. (Hoppe-Seyler's Z., Physiol. Chem., (1984) 365, 675-688) in which the hydrophobic stretch of B 870-Œ± and of B 870-Œ≤ forming an Œ±-helix would span the membrane once. Organic solvent extraction of chromatophores treated with proteinase K yielded a fairly pure polypeptide fragment with an apparent molecular mass of 14000 Da. Its N-terminal amino-acid sequence is identical with the sequence within the N-terminal region of the reaction centre subunit L of Rs. rubrum G-9+. Thus it is most likely that as in the case of B 870-Œ≤, proteinase K removed 16 amino acid residues from the N-terminal part of subunit L. This subunit therefore also seems to be exposed at the surface of the cytoplasmic side of the chromatophore membrane. Copyright ¬© by Walter de Gruyter &amp; Co</t>
  </si>
  <si>
    <t>689-702</t>
  </si>
  <si>
    <t>Hoppe-Seyler's Zeitschrift fur Physiologische Chemie</t>
  </si>
  <si>
    <t>60025858;60025858;60025858;60025858;60012614</t>
  </si>
  <si>
    <t>6603669964;6701402740;7006674721;7006726981;7006345218</t>
  </si>
  <si>
    <t>Brunisholz, Ren√© A.;Wiemken, Vreni;Suter, Franz;Bachofen, Reinhard;Zuber, Herbert</t>
  </si>
  <si>
    <t>Switzerland;Switzerland</t>
  </si>
  <si>
    <t>Zurich ZH,;Zurich</t>
  </si>
  <si>
    <t>ETH Zurich;University of Zurich</t>
  </si>
  <si>
    <t>60025858;60012614</t>
  </si>
  <si>
    <t>Brunisholz R.</t>
  </si>
  <si>
    <t>The Light-Harvesting Polypeptides of Rhodospirillum Rubrum: II. Localisation of the Amino-Terminal Regions of the Light-Harvesting Polypeptides B 870-Œ± and B 870-Œ≤ and the Reaction-Centre Subunit L at the Cytoplasmic Side of the Photosynthetic Membrane of Rhodospirillum Rubrum G-9+</t>
  </si>
  <si>
    <t>10.1515/bchm2.1984.365.2.689</t>
  </si>
  <si>
    <t>2-s2.0-0021455230</t>
  </si>
  <si>
    <t>['well locations', 'till depth', 'surface layers', 'seismic profiles', 'seismic profile', 'schlumberger expansions', 'schlumberger data', 'process begins', 'methods used', 'installation details', 'earth resistivity', 'earth characteristics', 'designing safe', 'design example', 'cultural artifacts', 'borehole may', 'antenna ends', 'antenna efficiency', 'aerial pictures']</t>
  </si>
  <si>
    <t>Methods used for designing safe, durable, economical, and low resistance grounds for the three Michigan extremely low frequency (ELF) antennas are described. Antenna location criteria include high resistivity for antenna efficiency, while low ground system resistance requires low resistivity, at least in the near-surface layers. These incompatible criteria increase the difficulty of finding suitable ground areas in the vicinity of the antenna ends. This process begins with maps, aerial pictures, and aerial resistivity surveys. Low resistivity areas not due to cultural artifacts are further investigated with surface surveys consisting of Schlumberger expansions and seismic profiles. When the earth resistivity from the Schlumberger data and the till depth from the seismic profile are suitable for well locations, a borehole may be drilled and logged to confirm the earth characteristics. Use of this data is illustrated in a design example. Some installation details are included. ¬© 1984 IEEE</t>
  </si>
  <si>
    <t>128-135</t>
  </si>
  <si>
    <t>IEEE Journal of Oceanic Engineering</t>
  </si>
  <si>
    <t>Dill, Melvin W.</t>
  </si>
  <si>
    <t>Falls Church</t>
  </si>
  <si>
    <t>General Dynamics Corporation</t>
  </si>
  <si>
    <t>Dill M.</t>
  </si>
  <si>
    <t>ELF Ground Design and Installation</t>
  </si>
  <si>
    <t>10.1109/JOE.1984.1145621</t>
  </si>
  <si>
    <t>2-s2.0-0021455305</t>
  </si>
  <si>
    <t>['¬© 1984', 'rights reserved', 'representative set', 'radar systems', 'polarisation states', 'polarisation space', 'polarisation filtering', 'polarisation filter', 'polarisation domain', 'paper describes', 'multinotch logic', 'mlp filter', 'general characteristics', 'electrical engineers', 'controllable area', 'adverse environments']</t>
  </si>
  <si>
    <t>Antennas | Filters and filtering | Polarisation | Radar | Signal processing</t>
  </si>
  <si>
    <t>Polarisation filtering is applied in radar systems to improve target detection in adverse environments. Fluctuations of the polarisation states of unwanted incident signals dictate the need for filters that suppress such signals in the polarisation domain and cover a controllable area of polarisation space. This has led to the concept of the multinotch logic-product (MLP) polarisation filter which attempts to meet the above need. The paper describes the parameters that affect the general characteristics of the MLP filter, gives a typical design example and uses a representative set of experimentally derived rain clutter data to evaluate the performance of this MLP filter. ¬© 1984, The Institution of Electrical Engineers. All rights reserved.</t>
  </si>
  <si>
    <t>383-396</t>
  </si>
  <si>
    <t>118838723;118838723</t>
  </si>
  <si>
    <t>6603774768;56231868400</t>
  </si>
  <si>
    <t>Poelman, A. J.;Guy, J. R.F.</t>
  </si>
  <si>
    <t>Den Haag</t>
  </si>
  <si>
    <t>Supreme Headquarters Allied Powers Europe</t>
  </si>
  <si>
    <t>Poelman A.</t>
  </si>
  <si>
    <t>Multinotch logic-product polarisation suppression filters: A typical design example and its performance in a rain clutter environment</t>
  </si>
  <si>
    <t>10.1049/ip-f-1.1984.0059</t>
  </si>
  <si>
    <t>2-s2.0-0021455498</t>
  </si>
  <si>
    <t>['three waves', 'rather simple', 'range conditions', 'range beyond', 'new formulas', 'may interfere', 'main restrictions', 'horizontal separation', 'government work', 'especially applicable', 'either constructively', 'earth case', 'e .,', 'computer evaluation', 'completely general', 'certain close', '3 times']</t>
  </si>
  <si>
    <t>New formulas for the electric and magnetic fields produced by the four elementary dipole antennas have been developed for the subsur-face-to-subsurface propagation case. The formulas are of rather simple, but useful, form and are completely general (i.e., the air can easily be replaced by the sea bottom). They are valid at any frequency and at any range beyond a certain minimum distance for the flat-earth case. They are especially applicable at extremely low frequency (ELF) for the air/sea and sea/ seabed propagatipn cases. The main restrictions on these formulas are 1) the square of the index of refraction is greater than or equal to 10 and 2) the horizontal separation is greater than or equal to 3 times the sum of the depths of burial of the transmitting and receiving point sources. With these new formulas, computer evaluation can be reduced to fractions of a minute, compared with hours for the complete numerical evaluation of the exact Sommerfeld integrals. The formulas also exhibit an interference pattern set up under certain close-range conditions. The three waves (direct, modified mirror image, and lateral) may interfere, either constructively or destructively, with each other. U.S. Government work not protected by U.S. copyright.</t>
  </si>
  <si>
    <t>154-163</t>
  </si>
  <si>
    <t>Bannister, Peter R.</t>
  </si>
  <si>
    <t>New London</t>
  </si>
  <si>
    <t>US Naval Underwater Systems Center</t>
  </si>
  <si>
    <t>Bannister P.</t>
  </si>
  <si>
    <t>New Simplified Formulas for ELF Subsurface-to-Subsurface Propagation</t>
  </si>
  <si>
    <t>10.1109/JOE.1984.1145620</t>
  </si>
  <si>
    <t>2-s2.0-0021455628</t>
  </si>
  <si>
    <t>['theoretical model', 'realistic ionosphere', 'radiated field', 'phasing anomalies', 'phase velocity', 'paper examines', 'linear relationship', 'ionosphere waveguide', 'horizontal electric', 'horizontal antenna', 'field predictions', 'field expressions', 'elf program', 'diurnal variation', 'diffusivity characteristics', 'characteristics observed', 'attenuation rate', 'anisotropic ground', 'analytically modeled']</t>
  </si>
  <si>
    <t>This paper examines the extremely low frequency (ELF) radiation from a horizontal antenna in the earth-ionosphere waveguide. Attention is focused on the application to field predictions in the Navy's ELF program. The field expressions in the presence of an anisotropic ground are obtained by a heuristic approach based upon a linear relationship between the horizontal electric and magnetic field components. Phasing anomalies at the Wisconsin Test Facility (WTF) have been observed since 1974. A theoretical model of this phenomenon is derived on the basis of a mutual coupling mechanism between the two WTF antenna elements and characteristics observed in measured field strength data. The diurnal variation of the radiated field is studied in terms of the attenuation rate, phase velocity, and height of the ionospheric reflecting layers. The diffusivity characteristics of realistic ionosphere are analytically modeled. A comparison of the predicted field strength/phase with the measured data yields excellent agreement. ¬© 1984 IEEE</t>
  </si>
  <si>
    <t>164-178</t>
  </si>
  <si>
    <t>Hoh, Yan Shek</t>
  </si>
  <si>
    <t>Hoh Y.</t>
  </si>
  <si>
    <t>Propagation Prediction for the Navy Extremely Low Frequency (ELF) Program</t>
  </si>
  <si>
    <t>10.1109/JOE.1984.1145612</t>
  </si>
  <si>
    <t>2-s2.0-0021455650</t>
  </si>
  <si>
    <t>['weak antigenicity', 'tetraantennary glycans', 'sphere exo', 'significantly enriched', 'rendering accessible', 'recently demonstrated', 'ray diffraction', 'protein surface', 'protective shields', 'primary structure', 'pentaantennary structures', 'peculiar behaviour', 'numerous glycoproteins', 'neutron scattering', 'modified thanks', 'membrane glycoproteins', 'making attainable', 'knowledge acquired', 'good agreement', 'glycoprotein glycans', 'glycoprotein biosynthesis', 'future results', 'four antennae', 'enzymatic methodologies', 'disposed parallely', 'dimensional 1h', 'biological roles', 'biantennary glycan', 'better understanding']</t>
  </si>
  <si>
    <t>Thanks to the progress in chemical and enzymatic methodologies, and to the use of high-resolution NMR spectroscopy the primary structure of hundreds of glycoprotein glycans has been determined. The knowledge acquired in this field has been decisive in the elucidation of the mechanisms of glycoprotein biosynthesis and of their regulation, and in a better understanding of their biological roles. In this connection, the determination of the spatial configuration became a necessity. Ten years ago, future results were anticipated by building the Y-shaped molecular model of a biantennary glycan. Little by little, this structure has been refined and modified thanks to experimental data obtained by using physical methods : X-ray diffraction, EPR, NMR, including twodimensional NMR and one-dimensional 1H-nuclear Overhauser effect (NOE) experiments, neutron scattering and hard-sphere exo-anomeric (HSEA) calculations. So, the concept evolved successively from the Y-, to the T-, the bird- and the ‚Äúbroken wing‚Äù- conformation, until the demonstration that these conformers are interconvertible. The birdconformation as well as the concept of the mobility of antennae are in a good agreement with the reactivity of lectins, including membrane lectins, by rendering accessible any specific sugar structure, and with the activity of glycosyltransfe-rases by making attainable the substituable hydroxyl groups even in the case of pentaantennary structures. In the same way, we know now that the tetraantennary glycans adopt an ‚Äúumbrella conformation‚Äù in which the four antennae are disposed parallely to the protein surface and act as protective shields. So could be explained the resistance towards proteases and the weak antigenicity of numerous glycoproteins as well as the peculiar behaviour and resistance of metastatic cancerous cells since it has been recently demonstrated that membrane glycoproteins and fibronectin of this kind of cells are significantly enriched in tri- and tetraantennary glycans. ¬© 1984 IUPAC</t>
  </si>
  <si>
    <t>859-877</t>
  </si>
  <si>
    <t>Pure and Applied Chemistry</t>
  </si>
  <si>
    <t>Montreuil, Jean</t>
  </si>
  <si>
    <t>Lille</t>
  </si>
  <si>
    <t>Universit√© de Lille</t>
  </si>
  <si>
    <t>Montreuil J.</t>
  </si>
  <si>
    <t>Spatial structures of glycan chains of glycoproteins in relation to metabolism and function. survey of a decade of research</t>
  </si>
  <si>
    <t>10.1351/pac198456070859</t>
  </si>
  <si>
    <t>2-s2.0-0021456666</t>
  </si>
  <si>
    <t>['wavefront processors', 'two senses', 'second array', 'receiving antennas', 'received waves', 'real time', 'radio frequencies', 'purpose processors', 'prototype system', 'phase receivers', 'frequency higher', 'electronics engineers', 'data driven', 'coherent source']</t>
  </si>
  <si>
    <t>A class of special-purpose processors is described. These processors are for use in holographic imaging systems that utilize electromagnetic waves with radio frequencies. The systems, which operate in very nearly real time, consist of arrays of receiving antennas with a receiver at each antenna. The received intensities control modulation in a second array of antennas that radiate waves generated by a coherent source at a frequency higher than the received waves. The processors are wavefront processors in two senses because they process received wavefronts and because the data flow resembles a wavefront. The processors are data driven so they require no clock, and they operate in parallel. Measurements with a prototype system are described, and a diffraction theory analysis of images is given. Extension to phase receivers and holograms are described, along with a discussion of visible image production in real time. Copyright ¬© 1984 by The lnstitute of Electrical and Electronics Engineers, Inc.</t>
  </si>
  <si>
    <t>885-888</t>
  </si>
  <si>
    <t>60014169;60014169;60014169</t>
  </si>
  <si>
    <t>6701326528;54779367100;6701343946</t>
  </si>
  <si>
    <t>Tricoles, Gus P.;Brundege, Ervin E.;Rope, E. L.</t>
  </si>
  <si>
    <t>Tricoles G.</t>
  </si>
  <si>
    <t>Wavefront Processing of RadioFrequency Wavefront Data</t>
  </si>
  <si>
    <t>10.1109/PROC.1984.12945</t>
  </si>
  <si>
    <t>2-s2.0-0021457507</t>
  </si>
  <si>
    <t>['system lies', 'psk signals', 'phase detection', 'obtained even', 'mutual interference', 'interference signals', 'field test', 'fading periods', 'envelope signal', 'envelope detection', 'auxiliary antennas']</t>
  </si>
  <si>
    <t>A new interference cancellation system was devised to suppress the mutual interference between satellite and terrestrial communication systems and to expand the number of potential earth station locations for effective frequency reuse. This system basically adopts the sidelobe canceller concept and has main and auxiliary antennas. The originality of this system lies in that the auxiliary channel signal to be combined with the main channel signal is modulated by a low frequency signal, and the amplitude and phase controlling voltages are obtained by means of envelope detection, to get the envelope of the residue, and then by phase detection, using the envelope signal and the low frequency signal. As a result of experiments, more than 40 dB cancellation was achieved over a 50 MHz range for CW, FM(TP, TV) and PSK signals, even if the desired and interference signals are in the cochannel. In the field test on a 45 km path, sufficient cancellation performance and response were obtained even during fading periods. ¬© 1984 IEEE</t>
  </si>
  <si>
    <t>796-803</t>
  </si>
  <si>
    <t>60025555;60025555</t>
  </si>
  <si>
    <t>7501389649;6602715313</t>
  </si>
  <si>
    <t>Inoue, Takeo;Kaitsuka, Toshiyuki</t>
  </si>
  <si>
    <t>Inoue T.</t>
  </si>
  <si>
    <t>Interference Cancellation System for Satellite Communication Earth Station</t>
  </si>
  <si>
    <t>10.1109/TCOM.1984.1096145</t>
  </si>
  <si>
    <t>2-s2.0-0021457931</t>
  </si>
  <si>
    <t>['tutorial overview', 'transmitting antenna', 'resulting fields', 'remarkable ability', 'probable causes', 'principal drawback', 'paper presents', 'methods fail', 'little attenuation', 'ionosphere waveguide', 'inherent inefficiency', 'higher conductivity', 'government work', 'elf propagation', 'electromagnetic waves', 'also discussed', 'also able']</t>
  </si>
  <si>
    <t>Extremely low frequency (ELF) electromagnetic waves have a remarkable ability to propagate with very little attenuation in the earth-ionosphere waveguide. The resulting fields are also able to propagate to moderately great depths in the ocean in spite of the higher conductivity of seawater. The principal drawback in the use of ELF for communication is the inherent inefficiency of the transmitting antenna. Indeed the waves do, however, penetrate to deeply submerged submarines when all other methods fail. This paper presents a tutorial overview on ELF propagation in the earth-ionosphere waveguide. Simple form approximate expressions (relating ELF propagation constants to realistic ionospheric conductivity profiles) are compared with experimentally derived results for both daytime and nighttime propagation conditions. Some anomalous ELF propagation results, along with their probable causes, are also discussed. U.S. Government work not protected by U.S. copyright.</t>
  </si>
  <si>
    <t>179-188</t>
  </si>
  <si>
    <t>ELF Propagation Update</t>
  </si>
  <si>
    <t>10.1109/JOE.1984.1145609</t>
  </si>
  <si>
    <t>2-s2.0-0021458043</t>
  </si>
  <si>
    <t>['unblocked reflector', 'surface current', 'strut fields', 'strut currents', 'sidelobe levels', 'reflector gain', 'radiation patterns', 'presented graphically', 'generated using', 'circular polarization', 'circular cros']</t>
  </si>
  <si>
    <t>The effects of the primary feed supporting struts on the radiation patterns of a symmetric paraboloid reflector are investigated. Both linear and circular polarization of the feed are considered, and the reflector secondary fields are generated using the physical optics approximation for the surface current on the reflector. The strut fields are computed by assuming the strut currents as those generated on an infinite cylinder illuminated by a plane incident wave. For struts of circular cros-section, the overall radiation paterns of the reflector are computed and compared with those of an unblocked reflector. Based on this comparison, the effects of the strut dimensional parameters on the reflector gain, sidelobe levels and the cross-polarization are determined and presented graphically.</t>
  </si>
  <si>
    <t>83-91</t>
  </si>
  <si>
    <t>Jul</t>
  </si>
  <si>
    <t>7004817270;8092251400</t>
  </si>
  <si>
    <t>Sanad, M. S.A.;Shafai, L.</t>
  </si>
  <si>
    <t>Sanad M.</t>
  </si>
  <si>
    <t>FEED SUPPORT BLOCKAGE IN SYMMETRIC PARABOLOID REFLECTORS.</t>
  </si>
  <si>
    <t>10.1109/CEEJ.1984.6593790</t>
  </si>
  <si>
    <t>2-s2.0-0021458266</t>
  </si>
  <si>
    <t>0.330.079.18/7</t>
  </si>
  <si>
    <t>['œ ≤', 'œ ±', 'two polypeptides', 'tripartite structure', 'terminal region', 'structural basis', 'sphaeroides r', 'sphaeroides 2', 'results suggest', 'protein part', 'protein complexes', 'polar n', 'polar c', 'overlapping c', 'organic solvents', 'one case', 'methionine residues', 'mass polypeptides', 'intact polypeptides', 'intact antenna', 'hydrophobic segment', 'green mutant', 'gel filtration', 'four low', 'extended n', 'exchange chromatography', 'elementary unit', 'copyright ¬©', 'constituent polypeptides', 'classification ).', 'chromatophore membranes', 'chemical cleavage', 'charged residues', 'bands lh', 'b 870', 'b 850', 'b 800', 'antenna complexes', 'amino acids', 'acid residues', '870 nm', '860 nm', '850 complex', '3b along', '3 known', '2 appear']</t>
  </si>
  <si>
    <t>Antenna complexes | light-harvesting polypeptides | organic solvents | primary structures | Rhodopseudo-monas sphaeroides</t>
  </si>
  <si>
    <t>Four low-molecular-mass polypeptides were isolated and purified from chromatophore membranes of Rhodopseudomonas spliaeroides blue-green mutant R-26.1 by a combination of gel filtration and ion-exchange chromatography in organic solvents. On dodecyl sulfate Polyacrylamide gels, the purified polypeptides comigrate with bands LH-1, LH-2 and LH-3 known to be related to the antenna-pigment-protein complexes. The complete primary structures were elucidated by automated Edman degradation of the intact polypeptides and of overlapping C-terminal fragments obtained after chemical cleavage at tryptophan and methionine residues. The C-termini were verified by hydrazinolysis and, in one case where an overlapping C-terminal fragment could not be obtained, by digestion with carboxypeptidase A. The four polypeptides show a tripartite structure: i.e. a polar N-terminal region is separated from a polar C-terminal region by a segment of about 21 predominantly hydrophobic amino-acid residues. All hydrophobic segments contain a characteristic conservative histidine residue. The C-terminal region is reduced to only a few amino acids in the two polypeptides which together form band LH-3, i.e. LH-3A and LH-3B. Their extended N-terminal region is rich in charged residues and contains an additional conserved histidine residue close to the beginning of the hydrophobic segment. These properties place LH-3A and LH-3B into subgroup (Œ≤-polypeptides: B 870-Œ≤ and B 850-Œ≤, respectively). LH-1 and LH-2 appear to form another subgroup (Œ±-poly-peptides: B 870-Œ± and B 850-Œ±, respectively) as suggested during a search for conservative elements within their sequences (structural basis for classification). N-Terminal analyses carried out with intact antenna-pigment-protein complexes revealed the following: (i) LH-1 and LH-3 A are associated with the B 870 complex in Rp. sphaeroides 2 4.1 (wild type), (ii) the same polypeptides are almost exclusively present in chromatophore membranes of Rp. sphaeroides R-26, a blue-green mutant which absorbs at 870 nm, (iii) LH-2 and LH-3B are the constituent polypeptides of the B 800-850 complex of Rp. sphaeroides 2.4.1 and of the spectrally altered B 850 complex isolated from the blue-green mutant R-26.1 which absorbs at 860 nm. This mutant contains LH-2 and LH-3B along with LH-1 and LH-3A and apparently is able to form both types of antenna complexes. The results suggest that the protein part of the elementary unit of both the B 870 and the B 850 complex consists of a heterodimer (LH-1/LH-3A = B 870-Œ±/Œ≤ and LH-2/LH-3B = B 850-Œ±/Œ≤, respectively). Copyright ¬© by Walter de Gruyter &amp; Co</t>
  </si>
  <si>
    <t>703-730</t>
  </si>
  <si>
    <t>60012614;60012614;60012614;60012614</t>
  </si>
  <si>
    <t>7005379893;7006674721;6701402740;7006345218</t>
  </si>
  <si>
    <t>Theiler, Rolf;Suter, Franz;Wiemken, Vreni;Zuber, Herbert</t>
  </si>
  <si>
    <t>Zurich</t>
  </si>
  <si>
    <t>University of Zurich</t>
  </si>
  <si>
    <t>Theiler R.</t>
  </si>
  <si>
    <t>The Light-Harvesting Polypeptides of Rhodopseudomonas Sphaeroides R-26.1: I. Isolation, Purification and Sequence Analyses</t>
  </si>
  <si>
    <t>10.1515/bchm2.1984.365.2.703</t>
  </si>
  <si>
    <t>2-s2.0-0021460071</t>
  </si>
  <si>
    <t>['step height', 'simple modification', 'sidelobe levels', 'high e', 'gtd method', 'conical horn', 'aperture shape']</t>
  </si>
  <si>
    <t>A simple modification to the aperture shape of a conventinal conical horn is proposed in order to suppress the high E-plane sidelobe levels over a broad frequency bandwidth. It consists of incorporating a step in the E-plane of a conical horn with plane conducting walls and adjusting the step height for controlling the sidelobe levels. The principal plane radiation patterns of the shaped conical horn are analyzed by the GTD method.</t>
  </si>
  <si>
    <t>105-111</t>
  </si>
  <si>
    <t>Sudhakar Rao, K.</t>
  </si>
  <si>
    <t>RADIATION CHARACTERISTICS OF SHAPED CONICAL HORNS.</t>
  </si>
  <si>
    <t>10.1109/ceej.1984.6593794</t>
  </si>
  <si>
    <t>2-s2.0-0021461809</t>
  </si>
  <si>
    <t>['subsequently applied', 'radiation characteristics', 'measured results', 'linear array', 'element pattern', 'electronics engineers', 'efficient two', 'dimensional method', 'current sources', 'crossed dipoles']</t>
  </si>
  <si>
    <t>A systematic and efficient two-dimensional method is presented for calculation of the three-dimensional radiation field from current sources which are located in proximity to long cylindrical scatterers. The method is applied to the calculation of the isolated-element pattern of a linear array of crossed dipoles (i.e., current sources) mounted above a long and narrow ground plane. Computed and measured results are given. The results are subsequently applied to the problem of prediction of the radiation characteristics of a cylindrical reflector antenna fed by such a linear array. Copyright ¬© 1984 by The Institute of Electrical and Electronics Engineers, Inc.</t>
  </si>
  <si>
    <t>754-757</t>
  </si>
  <si>
    <t>A Formula for Efficient Computation of Radiation from a Current Source in Proximity to Cylindrical Scatterers</t>
  </si>
  <si>
    <t>10.1109/TAP.1984.1143392</t>
  </si>
  <si>
    <t>2-s2.0-0021463326</t>
  </si>
  <si>
    <t>['¬© 1984', 'tritium plasma', 'tokamak plasma', 'plasma species', 'plasma parameters', 'plasma coupling', 'japan society', 'icrf wave', 'field side', 'applied physics', 'antenna location', 'absorption structures', 'absorbed energy']</t>
  </si>
  <si>
    <t>The propagation and absorption structures of ICRF (ion cyclotron range of frequencies) waves in the INTOR Tokamak plasma are investigated. The kinetic wave equation is solved for a deuterium-tritium plasma by employing a one-dimensional model equilibrium of the tokamak plasma. The wave is assumed to be excited by the poloidal antenna current in the low-field side. The accessibility of the ICRF wave, its energy deposition profile, the partition of absorbed energy between plasma species, and the antenna-plasma coupling are studied. The dependence of the energy absorption rate on the plasma parameters and the antenna location are examined. ¬© 1984 The Japan Society of Applied Physics.</t>
  </si>
  <si>
    <t>889-896</t>
  </si>
  <si>
    <t>7R</t>
  </si>
  <si>
    <t>60015658;60015658-60030788;60015658-60023147</t>
  </si>
  <si>
    <t>Itoh, Kimitaka;Itoh, Sanae I.;Fukuyama, Atsushi</t>
  </si>
  <si>
    <t>Study of ICRF Wave Propagation and Absorption in INTOR Tokamak Plasma</t>
  </si>
  <si>
    <t>10.1143/JJAP.23.889</t>
  </si>
  <si>
    <t>2-s2.0-0021463365</t>
  </si>
  <si>
    <t>['œ ∏', 'strut shape', 'strongly required', 'sidelobe gain', 'reference diagram', 'polar polarizations', 'offset angle', 'new type', 'isotropic antenna', 'improved strut', 'geostationary orbit', 'geometrical theory', 'frequency spectrum', 'electronics engineers', 'effective utilization', 'circular polarization', 'adjacent satellite', '48 ¬∞),']</t>
  </si>
  <si>
    <t>From the viewpoint of effective utilization of both the geostationary orbit and the frequency spectrum in the satellite communication system, it is strongly required of an earth station antenna to have low sidelobe characteristics in order to minimize the interference from/to the adjacent satellite and the terrestrial microwave links. The reference diagram of the sidelobe gain for a large antenna recommended by International Radio Consultative Committee (CCIR) is drawn as follows: G = 32‚Äì25 log Œ∏ dBi (1¬∞ ‚â§ Œ∏ ‚â§ 48¬∞); G = ‚àí10 dBi (Œ∏ &gt;48¬∞), where G is the sidelobe gain relative to an isotropic antenna and Œ∏ is an offset angle from the main lobe axis in degrees. In the case of an axisymmetrical Cassegrain antenna operating with circular polarization, the level of the cross-polar sidelobe due to diffraction by the subreflector support struts exceeds that shown in the above reference diagram. By introduction of a new type of strut, the sidelobe gain can be suppressed below that shown in the CCIR reference diagram. In this article, a design method based on geometrical theory of diffraction (GTD) for improving the strut shape is presented. The wide-angle sidelobe gain of the standard ‚ÄúA‚Äù earth station antenna, installed in Yamaguchi, Japan, being equipped with the improved strut, can meet that shown in the CCIR reference diagram in all directions for both co- and cross-polar polarizations in the 6 GHz band. Copyright ¬© 1984 by The Institute of Electrical and Electronics Engineers, Inc.</t>
  </si>
  <si>
    <t>698-705</t>
  </si>
  <si>
    <t>115426013;115426013;115426013;115596645;115596645;115596645</t>
  </si>
  <si>
    <t>55233355400;7402107957;57224339531;6701467402;7004304668;6603168233</t>
  </si>
  <si>
    <t>Satoh, Toshio;Endo, Shizuo;Matsunaka, Naoto;Betsudan, Shinichi;Katagi, Takashi;Ebisui, Takashi</t>
  </si>
  <si>
    <t>Kamakura;Tokyo</t>
  </si>
  <si>
    <t>Mutsubishi Electric Corporation;Kokusai Denshin Denwa Co</t>
  </si>
  <si>
    <t>115596645;115426013</t>
  </si>
  <si>
    <t>Satoh T.</t>
  </si>
  <si>
    <t>Sidelobe Level Reduction by Improvement of Strut Shape</t>
  </si>
  <si>
    <t>10.1109/TAP.1984.1143394</t>
  </si>
  <si>
    <t>2-s2.0-0021463445</t>
  </si>
  <si>
    <t>['wiley company', 'theoretical study', 'smaller cost', 'simple structure', 'pattern synthesis', 'limiting range', 'inc .,', 'generalizeed array', 'generalized array', 'feeding element', 'desired pattern', 'confirmed experimentally', 'computation time', 'beam scanning']</t>
  </si>
  <si>
    <t>Phased array reflector antennas are used in practice for beam scanning in a limiting range of angles. Compared with the complete phased array systems, these antennas have a simple structure and can be constructed with a smaller cost. These arrayss fed reflector antennas can be replaced with generalized array antennas by considering the secondary radiation pattern of each feeding element of the array element pattern. This paper is a theoretical study of the maximization of the gain and suppression of the sidelobes for this generalizeed array. These problems are important for pattern synthesis. From the study, it was found that the computation time of the synthesized secondary pattern can be reduced for the array fed reflector antenna due to exploitation of the secondary element patterns. Also, the array excitation distribution optimum for the desired pattern can easily be determined from the theory of the generalized array. These findings have been confirmed experimentally by means of an X‚Äêband linear array fed reflector antenna. Copyright ¬© 1984 Wiley Periodicals, Inc., A Wiley Company</t>
  </si>
  <si>
    <t>7006380481;7004304668;35894888500</t>
  </si>
  <si>
    <t>Mano, Seiji;Katagi, Takashi;Tsutsumi, Takashi</t>
  </si>
  <si>
    <t>Mano S.</t>
  </si>
  <si>
    <t>Pattern synthesis of array fed reflector antennas</t>
  </si>
  <si>
    <t>10.1002/ecja.4400670706</t>
  </si>
  <si>
    <t>2-s2.0-0021463582</t>
  </si>
  <si>
    <t>['spatial variations', 'sawtooth fashion', 'one type', 'heating beam', 'elf modulated', 'copyright 1984', 'beam scanning', 'beam direction', 'auroral ionosphere', 'auroral electrojet', 'adjacent rows']</t>
  </si>
  <si>
    <t>ELF/VLF wave generation by modulation of the auroral electrojet has previously been performed near Troms√∏, Norway, with an HF heating beam pointed in a fixed (zenith) direction. By varying the phases of the HF waves transmitted from adjacent rows of antennas in the transmitting antenna array, the beam direction can now be scanned in the north‚Äêsouth plane at frequencies from zero to approximately 5 kHz. In one type of beam scanning the amplitude of the heating beam is ELF modulated while the beam direction is simultaneously swept slowly, in sawtooth fashion, about the zenith. Variations in the ELF field strength, measured on the ground as the source is swept in this manner, are shown to be associated with spatial variations of the auroral ionosphere in the north‚Äêsouth direction. We compare these spatial variations with those observed by STARE. Copyright 1984 by the American Geophysical Union.</t>
  </si>
  <si>
    <t>1069-1077</t>
  </si>
  <si>
    <t>7005243495;57221296920;6603039377;55432418400;7005877450;7004520441</t>
  </si>
  <si>
    <t>Rietveld, M. T.;Barr, R.;Kopka, H.;Nielsen, E.;Stubbe, P.;Dowden, R. L.</t>
  </si>
  <si>
    <t>Rietveld M.T.</t>
  </si>
  <si>
    <t>Ionospheric heater beam scanning: A new technique for ELF studies of the auroral ionosphere</t>
  </si>
  <si>
    <t>10.1029/RS019i004p01069</t>
  </si>
  <si>
    <t>2-s2.0-0021463685</t>
  </si>
  <si>
    <t>['serious limitation', 'perfect focusing', 'mapped onto', 'lens periphery', 'launcher elements', 'interconnections result', 'hybrid junctions', 'full circle', 'electronics engineers', 'either four', 'cylindrical array', 'beam ports', 'array elements', 'angular doubling', 'angular coverage', '360 ¬∞', '2r lens', '2r concept', '2r brings']</t>
  </si>
  <si>
    <t>The R-2R lens is a remarkable microwave device that provides perfect focusing, giving multiple simultaneous antenna beams from a circular or cylindrical array. However, the perfect focusing of the R-2R brings with it a serious limitation on angular coverage as a result of the angular doubling that enters when the array elements in the antenna are connected to the launcher elements on the lens periphery. We have now found a way to modify the R-2R concept so that a full circle of array elements can be mapped onto a full circle of beam ports. The new mapping makes use of hybrid junctions and either four or six physical lenses. The interconnections result in 360¬∞ of simultaneous antenna beams, each of which can be used both for transmission and for reception. Copyright ¬© 1984 by The Institute of Electrical and Electronics Engineers, Inc.</t>
  </si>
  <si>
    <t>661-671</t>
  </si>
  <si>
    <t>Clapp, Roger E.</t>
  </si>
  <si>
    <t>McLean</t>
  </si>
  <si>
    <t>MITRE Corporation</t>
  </si>
  <si>
    <t>Clapp R.</t>
  </si>
  <si>
    <t>Extending the R-2R Lens to 360¬∞</t>
  </si>
  <si>
    <t>10.1109/TAP.1984.1143391</t>
  </si>
  <si>
    <t>2-s2.0-0021463804</t>
  </si>
  <si>
    <t>['œ ≥,', 'œ ≥', '¬© 1984', 'time dependence', 'photosynthesizing organisms', 'permits one', 'obtained without', 'new method', 'harvesting antenna', 'experimental value', 'diffusive model', '3 cm2']</t>
  </si>
  <si>
    <t>A new method for the fluorescence kinetics analysis is presented in this work. It permits one to obtain new information, both quantitative and qualitative, about the processes in any condensed molecular system. As an example, this method was applied to the light-harvesting antenna of photosynthesizing organisms. The time dependence of the bimolecular quenching rate of excitons, Œ≥, was found. The experimental value of Œ≥ is obtained without any preliminary theoretical considerations. The character of Œ≥-time dependence permits one to find the values of the coefficient of the diffusion D = 4 √ó 10-3 cm2 s-1 and F√∂rster annihilation radius R0 = 100 A Ãä, within the limits of the diffusive model. ¬© 1984.</t>
  </si>
  <si>
    <t>399-411</t>
  </si>
  <si>
    <t>Journal of Luminescence</t>
  </si>
  <si>
    <t>60007457;60007457;60007457;60069259;60007457</t>
  </si>
  <si>
    <t>7201363256;6505925724;6602105730;24396942800;57207907397</t>
  </si>
  <si>
    <t>Rubin, L. B.;Braginskaya, O. V.;Isakova, M. L.;Efremov, N. A.;Paschenko, V. Z.</t>
  </si>
  <si>
    <t>Russian Federation;Russian Federation</t>
  </si>
  <si>
    <t>Troitsk;Moscow</t>
  </si>
  <si>
    <t>Institute of Spectroscopy, Russian Academy of Sciences;Lomonosov Moscow State University</t>
  </si>
  <si>
    <t>60069259;60007457</t>
  </si>
  <si>
    <t>Rubin L.</t>
  </si>
  <si>
    <t>Analysis of fluorescence kinetics upon intense picosecond laser pumping: Excitation dynamics in photosynthesizing systems</t>
  </si>
  <si>
    <t>002223138490005X</t>
  </si>
  <si>
    <t>10.1016/0022-2313(84)90005-X</t>
  </si>
  <si>
    <t>2-s2.0-0021463851</t>
  </si>
  <si>
    <t>['wiley company', 'wave sources', 'vessel movement', 'theoretical considerations', 'simple examples', 'serious problem', 'reserved direction', 'radiation pattern', 'present configuration', 'polarization loss', 'paper proposes', 'opposite sense', 'movement according', 'model experiments', 'made small', 'inc .,', 'fundamental characteristics', 'fading effects', 'enable us', 'dipole antennas', 'describe first', 'current distributions', 'corrects electrically', 'causes difficulties', 'axis ratio', 'antenna shows', 'antenna configuration']</t>
  </si>
  <si>
    <t>In maritime satellite communications, the fading of the satellite direct wave due to interference from sea return waves is a serious problem which causes difficulties in the communications. As a result, methods of reducing the effect of sea return waves have recently been investigated. This paper proposes an antenna configuration that permits such fading effects to be reduced by controlling the polarization for waves in the direction of the sea return wave (we call it ‚Äúthe reserved direction‚Äù). At the same time, the polarization loss for the satellite direct wave is made small. the present configuration is composed of a pair of dipole antennas with a reflector. Controls of these wave sources (current distributions) enable us to synthesize the polarization in the reserved direction which is in opposite sense of rotation with that of the sea return wave, has the same axis ratio, and whose major axis is orthogonal to that of the sea return wave in the reserved direction. This reduces the fading effects greatly. Furthermore, even when the antenna shows a movement according to the vessel movement, we have adopted a system which corrects electrically the antenna fluctuation resulting in saving the mechanical altitude stabilizing equipment. We describe first the fundamental characteristics of the present antenna configuration. Wave source characteristics for controlling the polarization in the reserved direction for simple examples have been presented, along with the theoretically computed results of the axis ratio and radiation pattern, etc. Finally, the results of model experiments have been presented to support the theoretical considerations. Copyright ¬© 1984 Wiley Periodicals, Inc., A Wiley Company</t>
  </si>
  <si>
    <t>78-89</t>
  </si>
  <si>
    <t>60025997;60025997</t>
  </si>
  <si>
    <t>7202500800;7005495467</t>
  </si>
  <si>
    <t>Okubo, Shigeru;Tokumaru, Shinobu</t>
  </si>
  <si>
    <t>Okubo S.</t>
  </si>
  <si>
    <t>A pair of dipole antennas for controlling polarizations</t>
  </si>
  <si>
    <t>10.1002/ecja.4400670710</t>
  </si>
  <si>
    <t>2-s2.0-0021464084</t>
  </si>
  <si>
    <t>['use analytical', 'space diversity', 'significantly better', 'signals received', 'several decibels', 'results show', 'received desired', 'rayleigh fading', 'output signal', 'optimum combining', 'noise ratio', 'interfering signals', 'interference ratio', 'electronics engineers', 'desired signal', 'cochannel interference', 'adaptive arrays']</t>
  </si>
  <si>
    <t>This paper studies optimum signal combining for space diversity reception in cellular mobile radio systems. With optimum combining, the signals received by the antennas are weighted and combined to maximize the output signal-to-interference-plus-noise ratio. Thus, with cochannel interference, space diversity is used not only to combat Rayleigh fading of the desired signal (as with maximal ratio combining) but also to reduce the power of interfering signals at the receiver. We use analytical and computer simulation techniques to determine the performance of optimum combining when the received desired and interfering signals are subject to Rayleigh fading. Results show that optimum combining is significantly better than maximal ratio combining even when the number of interferers is greater than the number of antennas. Results for typical cellular mobile radio systems show that optimum combining increases the output signal-to-interference ratio at the receiver by several decibels. Thus, systems can require fewer base station antennas and/or achieve increased channel capacity through greater frequency reuse. We also describe techniques for implementing optimum combining with least mean square (LMS) adaptive arrays. Copyright ¬© 1984 by The Institute of Electrical and Electronics Engineers. Inc.</t>
  </si>
  <si>
    <t>528-539</t>
  </si>
  <si>
    <t>IEEE Journal on Selected Areas in Communications</t>
  </si>
  <si>
    <t>Winters, Jack H.</t>
  </si>
  <si>
    <t>Murray</t>
  </si>
  <si>
    <t>Nokia Bell Labs</t>
  </si>
  <si>
    <t>Winters J.</t>
  </si>
  <si>
    <t>Optimum Combining in Digital Mobile Radio with Cochannel Interference</t>
  </si>
  <si>
    <t>10.1109/JSAC.1984.1146095</t>
  </si>
  <si>
    <t>2-s2.0-0021464226</t>
  </si>
  <si>
    <t>['reflector systems', 'reflector antennas', 'phase center', 'electronics engineers', 'calculated numericaily']</t>
  </si>
  <si>
    <t>A method of determing the optimum phase center location of antenna feeds employed in reflector systems is described. The phase center of the wide-band scalar horn used in prime-focus and dual-reflector antennas has been calculated numericaily and the results are discussed. Copyright ¬© 1984 by The Institute of Electrical and Electronics Engineers, Inc.</t>
  </si>
  <si>
    <t>740-742</t>
  </si>
  <si>
    <t>60013506;60009697</t>
  </si>
  <si>
    <t>7404812629;8092251400</t>
  </si>
  <si>
    <t>Rao, K. Sudhakar;Shafai, L.</t>
  </si>
  <si>
    <t>Edmonton;Winnipeg</t>
  </si>
  <si>
    <t>L-3 Communications SPAR Aerospace Limited;University of Manitoba</t>
  </si>
  <si>
    <t>Rao K.</t>
  </si>
  <si>
    <t>Phase Center Calculations of Reflector Antenna Feeds</t>
  </si>
  <si>
    <t>10.1109/TAP.1984.1143406</t>
  </si>
  <si>
    <t>2-s2.0-0021465862</t>
  </si>
  <si>
    <t>['z defined', 'utilized deal', 'gain evaluation', 'function z', 'experimental data', 'electronics engineers', 'bivariate interpolation']</t>
  </si>
  <si>
    <t>An application of bivariate interpolation of the function z = f(x, y) with the z defined at irregularly distributed points in the x ‚àí y plane is described and compared to several classical interpolation schemes. Practical antenna applications in which bivariate interpolation has been utilized deal with reflector thermal distortion analysis, shaped-beam antenna pattern/gain evaluation, and antenna range parallax correction of experimental data. Copyright ¬© 1984 by The Institute of Electrical and Electronics Engineers, Inc.</t>
  </si>
  <si>
    <t>735-739</t>
  </si>
  <si>
    <t>60007716;60007716</t>
  </si>
  <si>
    <t>7003298973;6603464717</t>
  </si>
  <si>
    <t>Ngai, Eugene C.;Profera, Charles E.</t>
  </si>
  <si>
    <t>Boulogne-Billancourt</t>
  </si>
  <si>
    <t>Thomson, SA</t>
  </si>
  <si>
    <t>Ngai E.C.</t>
  </si>
  <si>
    <t>Application of Bivariate Interpolation to Antenna Related Problems</t>
  </si>
  <si>
    <t>10.1109/TAP.1984.1143405</t>
  </si>
  <si>
    <t>2-s2.0-0021466187</t>
  </si>
  <si>
    <t>['test range', 'particular application', 'navigation antennas', 'electronics engineers', 'calculated data']</t>
  </si>
  <si>
    <t>In aircraft manufacturer firms there is the need for measuring antenna patterns of large beamwidth communication/navigation antennas with the scale modeling technique. A series of tests has been carried out to verify the use of the spherical near field (SNF) test range for this purpose. The comparison is made between measured and calculated data of stub and waveguide antennas installed on a cylinder. From the results it appears that the agreement is reasonable. The advantages and disadvantages of the SNF test range for this particular application are discussed. Copyright ¬© 1984 by The Institute of Electrical and Electronics Engineers, Inc.</t>
  </si>
  <si>
    <t>751-754</t>
  </si>
  <si>
    <t>100380314;100380314</t>
  </si>
  <si>
    <t>7003332109;7003800835</t>
  </si>
  <si>
    <t>Audone, B.;De Logu, A.</t>
  </si>
  <si>
    <t>Italy</t>
  </si>
  <si>
    <t>Torino</t>
  </si>
  <si>
    <t>Aeritalia</t>
  </si>
  <si>
    <t>Audone B.</t>
  </si>
  <si>
    <t>Experimental Evaluation of the Spherical Near Field Test Range</t>
  </si>
  <si>
    <t>10.1109/TAP.1984.1143393</t>
  </si>
  <si>
    <t>2-s2.0-0021466292</t>
  </si>
  <si>
    <t>['‚ àí2', 'water vapor', 'thermal noise', 'thermal emission', 'telecommunication systems', 'synchrotron radiation', 'nonthermal origin', 'noise ratio', 'mechanism responsible', 'may cover', 'exponent giving', 'electronics engineers', 'discrete frequencies', 'black body', 'attenuation due', 'applicable signal']</t>
  </si>
  <si>
    <t>Natural radio noise in telecommunication systems can be accounted for by the contribution which it makes to antenna noise temperature. Attenuation due to water vapor and oxygen, clouds, and precipitation is accompanied by thermal noise which further degrades the applicable signal-to-noise ratio. Extraterrestrial noise may be of thermal or nonthermal origin and may cover a continuum of frequencies or occur at discrete frequencies. The spectral index n (the exponent giving the variation of noise power density with wavelength) is ‚àí2 for a black body and between 0 and ‚àí2 for thermal emission in general. The mechanism responsible for much of the extensive nonthermal extraterrestrial noise is synchrotron radiation, characterized by a positive spectral index. Copyright ¬© 1984 by The Institute of Electrical and Electronics Engineers, Inc.</t>
  </si>
  <si>
    <t>762-767</t>
  </si>
  <si>
    <t>60000221;60009037</t>
  </si>
  <si>
    <t>6603699078;7408615086</t>
  </si>
  <si>
    <t>Flock, Warren L.;Smith, Ernest K.</t>
  </si>
  <si>
    <t>Pasadena;Boulder</t>
  </si>
  <si>
    <t>Jet Propulsion Laboratory;University of Colorado Boulder</t>
  </si>
  <si>
    <t>60009037;60000221</t>
  </si>
  <si>
    <t>Flock W.</t>
  </si>
  <si>
    <t>Natural Radio Noise‚ÄîA Mini-Review</t>
  </si>
  <si>
    <t>10.1109/TAP.1984.1143396</t>
  </si>
  <si>
    <t>2-s2.0-0021466640</t>
  </si>
  <si>
    <t>['‚ àí6', '‚ àí4', '‚ àí3', '¬© 1984', 'signal statistics', 'signal decreases', 'second floors', 'regression levels', 'locations outside', 'locations inside', 'instrumentation van', 'free space', 'eight houses', 'distance ranges', '800 mhz', '7 db', '6 db', '2 db', '1000 feet', '1 db']</t>
  </si>
  <si>
    <t>The signal levels around and within eight suburban houses were measured at 800 MHz. These measurements are needed in refining the requirements for portable‚Äêradio communication systems that can accommodate low‚Äêpower radiotelephone sets. The measurements were made from an instrumentation van having an erectable 27‚Äêfoot‚Äêhigh antenna. Large‚Äêscale distributions of the small‚Äêscale signal medians are approximately log normal. The decrease in median signal level with distance ranges from d‚àí3 to d‚àí6.2 for the eight houses. Signal decreases as d‚àí4.5 for the overall data set. At 1000 feet, regressions to signal levels range from 12.5 to 37.1 dB below free‚Äêspace propagation levels for locations outside and locations inside on first and second floors. In basements, regression levels at 1000 feet range from 29 to 48.2 dB below free space. For the overall data set, regression signal levels at 1000 feet are 27.7 dB below free space. For all the basements, this value is 39.6 dB. Other signal statistics are given in this paper. ¬© 1984 AT&amp;T Bell Laboratories Technical Journal</t>
  </si>
  <si>
    <t>921-954</t>
  </si>
  <si>
    <t>July‚ÄêAugust 1984</t>
  </si>
  <si>
    <t>7403241218;7403021599;7102947533</t>
  </si>
  <si>
    <t>Cox, D. C.;Murray, R. R.;Norris, A. W.</t>
  </si>
  <si>
    <t>Cox D.</t>
  </si>
  <si>
    <t>800‚ÄêMHz Attenuation Measured In and Around Suburban Houses</t>
  </si>
  <si>
    <t>10.1002/j.1538-7305.1984.tb00030.x</t>
  </si>
  <si>
    <t>2-s2.0-0021466675</t>
  </si>
  <si>
    <t>['wherever possible', 'three ways', 'surrogate functions', 'set appropriate', 'performance objectives', 'moving away', 'microwave systems', 'microwave complexity', 'low costs', 'generally replaced', 'cost constraints', 'conventional thinking', 'central station', 'baseband equivalents', '19 ghz']</t>
  </si>
  <si>
    <t>An innovative 19 GHz radio sub-system for use in urban multipoint systems has been prototyped. Low costs have been achieved in three ways as follows. Moving away from conventional thinking on microwave systems, design and performance objectives were set appropriate to the local network application and its cost constraints. Microwave complexity, which is expensive at 19 GHz, was generally replaced with cheaper IF and baseband equivalents. Wherever possible, outstation radio functions are replaced by surrogate functions at the central station, where they then become common equipment. The remaining microwave hardware, particularly the outstation rf head and antenna, was engineered for low cost manufacturing processes.</t>
  </si>
  <si>
    <t>50-57</t>
  </si>
  <si>
    <t>Scott, R. P.</t>
  </si>
  <si>
    <t>Scott R.</t>
  </si>
  <si>
    <t>LOW COST 19 GHz RADIO SUB-SYSTEM FOR POINT-TO-MULTIPOINT RADIO APPLICATIONS.</t>
  </si>
  <si>
    <t>2-s2.0-0021466806</t>
  </si>
  <si>
    <t>['radio communications', 'often serious', 'multipath fading', 'authors describe']</t>
  </si>
  <si>
    <t>Multipath fading is often serious in radio communications. It is possible to reduce the multipath fading by using an LMS adaptive array. The authors describe the behavior of the LMS adaptive array in the presence of correlated multipath signals.</t>
  </si>
  <si>
    <t>395-396</t>
  </si>
  <si>
    <t>35516180700;6603767346;7404897527</t>
  </si>
  <si>
    <t>Ogawa, Yasutaka;Ohmiya, Manabu;Itoh, Kiyohiko</t>
  </si>
  <si>
    <t>Ogawa Y.</t>
  </si>
  <si>
    <t>BEHAVIORS OF AN LMS ADAPTIVE ARRAY FOR MULTIPATH FADING REDUCTION.</t>
  </si>
  <si>
    <t>2-s2.0-0021466943</t>
  </si>
  <si>
    <t>['wiley company', 'wide bandwidth', 'sufficient gain', 'strip element', 'strip dipoles', 'slight correction', 'rather low', 'radiation resistance', 'previous paper', 'present paper', 'many attempts', 'inc .,', 'found also', 'experimental results', 'element lengths', 'design procedure', 'approximate analysis', 'actual gain', '12 dbi']</t>
  </si>
  <si>
    <t>Recently, many attempts have been made to increase the bandwidth and the gain of circularly polarized antennas constructed on printed circuit boards. In a previous paper, a wide bandwidth was achieved for a circularly polarized array antenna composed of strip dipoles and slots (CP‚ÄêPASS), although its actual gain was rather low. In the present paper, the gain of CP‚ÄêPASS is enhanced by adopting an end‚Äêfed strip dipole as a strip element, and a basic design procedure and some experimental results of CP‚ÄêPASS are shown. First, it is verified by experiments that the end‚Äêfed strip dipole has some advantages; for example, it has a sufficient gain, its crosspolar radiation level is low, and it is easy to control the radiation resistance. Second, an approximate analysis is made for a basic radiating‚Äêelement pair for CP‚ÄêPASS, and a basic design procedure of CP‚ÄêPASS is obtained by applying the analysis. Finally, several CP‚ÄêPASS are made and measured, and the design procedure is found to be useful. For a six‚Äêpair CP‚ÄêPASS, its actual gain, 3‚ÄêdB gain bandwidth, and axial‚Äêratio bandwidth are about 12 dBi, 11% and 12%, respectively. It is found also that CP‚ÄêPASS requires only a slight correction to the element lengths when a reflector is placed. In addition, it is obtained that the gain of CP‚ÄêPASS may be increased further. Copyright ¬© 1984 Wiley Periodicals, Inc., A Wiley Company</t>
  </si>
  <si>
    <t>56-69</t>
  </si>
  <si>
    <t>Ito, Koichi</t>
  </si>
  <si>
    <t>Chiba</t>
  </si>
  <si>
    <t>Chiba University</t>
  </si>
  <si>
    <t>Ito K.</t>
  </si>
  <si>
    <t>Circularly polarized printed array antenna composed of end‚Äêfed strip dipoles and slots</t>
  </si>
  <si>
    <t>10.1002/ecja.4400670708</t>
  </si>
  <si>
    <t>2-s2.0-0021467024</t>
  </si>
  <si>
    <t>['sea surface', 'reflected waves', 'polarized component', 'electronics engineers']</t>
  </si>
  <si>
    <t>Multipath fading due to reflected waves from a sea surface is serious in maritime satellite communications. A shipborne antenna system which reduces the fading by using the cross-polarized component of the reflected waves is presented. Copyright ¬© 1984 by The Institute of Electrical and Electronics Engineers, Inc.</t>
  </si>
  <si>
    <t>724-725</t>
  </si>
  <si>
    <t>60014652;60014652;60014652</t>
  </si>
  <si>
    <t>Sapporo</t>
  </si>
  <si>
    <t>Hokkaido University</t>
  </si>
  <si>
    <t>A Shipborne Fading Reduction Antenna System for Maritime Satellite Communications</t>
  </si>
  <si>
    <t>10.1109/TAP.1984.1143409</t>
  </si>
  <si>
    <t>2-s2.0-0021467238</t>
  </si>
  <si>
    <t>['shadow fading', 'results indicate', 'provide macrodiversity', 'propagation exponent', 'multiple interferers', 'lognormal spread', 'electronics engineers', 'blocking probabilities', 'baseline arrangement', 'antenna directivity', 'additional considerations', '2 tiers', '11 db']</t>
  </si>
  <si>
    <t>Signal-to-interference ratio statistics for mobile telephony systems with hexagonal coverage areas, multiple interferers, and three-corner base stations are investigated. Corner base stations simultaneously reduce total interference (because of antenna directivity) and provide macrodiversity against shadow fading. Our results indicate that for 3 or 7 channel sets, with 2 tiers of interferers and typical system parameters (propagation exponent of 3.7 and lognormal spread of 8 dB), the improvement is on the order of 11 dB over a baseline arrangement which employs centrally located omnibase stations without macrodiversity. Additional considerations of blocking probabilities and average voice activity indicate possible further improvements. Copyright ¬© 1984 by The Institute of Electrical and Electronics Engineers. Inc.</t>
  </si>
  <si>
    <t>507-511</t>
  </si>
  <si>
    <t>60021378;60012708;60003269</t>
  </si>
  <si>
    <t>7202183081;56164809300;35565197900</t>
  </si>
  <si>
    <t>Yeh, Yu Shuan;Wilson, Joanne C.;Schwartz, Stuart C.</t>
  </si>
  <si>
    <t>Murray;Palo Alto;Princeton</t>
  </si>
  <si>
    <t>Nokia Bell Labs;Stanford University;Princeton University</t>
  </si>
  <si>
    <t>Yeh Y.</t>
  </si>
  <si>
    <t>Outage Probability in Mobile Telephony with Directive Antennas and Macrodiversity</t>
  </si>
  <si>
    <t>10.1109/JSAC.1984.1146082</t>
  </si>
  <si>
    <t>2-s2.0-0021468244</t>
  </si>
  <si>
    <t>['study establishes', 'strong gradients', 'smoothly tapered', 'saddle points', 'relevant rays', 'reference solution', 'rays emanating', 'radiation characteristics', 'polynomial dependence', 'physical space', 'numerical comparisons', 'like profiles', 'latter profiles', 'large apertures', 'geometrical theory', 'electronics engineers', 'completely equivalent', 'complementary utility', 'better alternative', 'become feasible', 'asymptotic techniques', 'asymptotic methods', 'aperture plane', 'aperture distributions', 'aperture coordinate', 'almost rectangular', 'accommodated thereby']</t>
  </si>
  <si>
    <t>Near and far zone calculation of the radiation characteristics of large apertures with tapered illumination generally requires time-consuming numerical integraton over the aperture plane because geometrical theory of diffraction (GTD) asymptotic techniques are difficult to apply to focused beam systems. Asymptotic methods do, however, become feasible for complex ray systems since ray fields originating in a complex coordinate space yield beam type fields in physical space. In particular, rays emanating from a complex source point are known to generate a real beam type field without sidelobes, very similar to that produced by a Gaussian amplitude taper. These considerations are generalized here to one-dimensional taper profiles of the form exp [‚àí kI], where k is the wavenumber and I has a polynomial dependence on the aperture coordinate. Profile shapes ranging from Gaussian to rectangular are accommodated thereby. The analysis is performed by complex ray tracing from the analytically extended complex aperture plane to the observer. Criteria are developed for inclusion of all relevant rays, and only these, and for their domains of validity. These criteria are based on saddle point analysis of the exact field integral, whose direct numerical evaluation furnishes the reference solution. Saddle points and steepest descent paths corresponding to various envelope polynomials are traced in detail for near and far zone fields. Numerical comparisons between saddle point asymptotics (completely equivalent to complex ray tracing) and the reference solution establish that simple complex ray theory is useful and accurate for Gaussian-like profiles with moderate envelope gradients but that the strong gradients in almost square profiles require an excessively large number of contributing complex rays. For the latter profiles, where edge-diffraction-like phenomena predominate, modification of conventional GTD would provide a better alternative. Thus, this study establishes the complementary utility of complex ray tracing for smoothly tapered, and of GTD for almost rectangular, aperture distributions. Copyright ¬© 1984 by The Institute of Electrical and Electronics Engineers, Inc.</t>
  </si>
  <si>
    <t>684-693</t>
  </si>
  <si>
    <t>60012162;60012162;60108318</t>
  </si>
  <si>
    <t>7006830155;7005991465;56883021600</t>
  </si>
  <si>
    <t>Ghione, G.;Montrosset, I.;Felsen, Leopold B.</t>
  </si>
  <si>
    <t>United States;Italy</t>
  </si>
  <si>
    <t>New York;Turin</t>
  </si>
  <si>
    <t>NYU Tandon School of Engineering;Politecnico di Torino</t>
  </si>
  <si>
    <t>60108318;60012162</t>
  </si>
  <si>
    <t>Ghione G.</t>
  </si>
  <si>
    <t>Complex Ray Analysis of Radiation from Large Apertures with Tapered Illumination</t>
  </si>
  <si>
    <t>10.1109/TAP.1984.1143397</t>
  </si>
  <si>
    <t>2-s2.0-0021468469</t>
  </si>
  <si>
    <t>['yield interesting', 'useful solutions', 'search algorithms', 'prescribed narrow', 'nonlinear constraints', 'linear constraints', 'geometrical derivation', 'general solution', 'electronics engineers', 'broad nulls']</t>
  </si>
  <si>
    <t>Synthesis of array patterns involving optimization with linear and nonlinear constraints is considered. The general solution for the composite weight vector can be decomposed into a part which satisfies the linear constraints and another lying orthogonal to it. This decomposition is shown to yield simple solutions to several beam optimization problems including some with nonlinear constraints. A geometrical derivation of this result is presented which also provides new insights into the mechanism of null-steering via linear constraints. Application of this approach in conjunction with some search algorithms to the synthesis of optimum array patterns with prescribed narrow or broad nulls is shown to yield interesting and useful solutions. The results are illustrated by considering the design of ‚Äúcircular‚Äù and ‚Äúarc‚Äù arrays. Copyright ¬© 1984 by The Institute of Electrical and Electronics Engineers, Inc.</t>
  </si>
  <si>
    <t>725-730</t>
  </si>
  <si>
    <t>60032730;60072594</t>
  </si>
  <si>
    <t>55427713700;57055706200</t>
  </si>
  <si>
    <t>Prasad, Surendra;Charan, Ram</t>
  </si>
  <si>
    <t>Libyan Arab Jamahiriya;India</t>
  </si>
  <si>
    <t>Tripoli;New Delhi</t>
  </si>
  <si>
    <t>University of Tripoli;Indian Institute of Technology Delhi</t>
  </si>
  <si>
    <t>60072594;60032730</t>
  </si>
  <si>
    <t>Prasad S.</t>
  </si>
  <si>
    <t>On the Constrained Synthesis of Array Patterns with Applications to Circular and Arc Arrays</t>
  </si>
  <si>
    <t>10.1109/TAP.1984.1143404</t>
  </si>
  <si>
    <t>2-s2.0-0021468533</t>
  </si>
  <si>
    <t>['vlf range', 'ionospheres ranging', 'dipole immersed', 'copyright 1984', 'approximate evaluation']</t>
  </si>
  <si>
    <t>First, an approximate evaluation is made of the ELF/VLF dipole moment of the polar electrojet antenna established by ionospheric heating via the use of powerful HF waves amplitude modulated with frequencies in the ELF/VLF range. Then, the theory of reciprocity is used to determine the magnitude of the ELF/VLF waveguide excitation produced by such a dipole immersed in the ionosphere. Propagation under a series of ionospheres ranging from quiet auroral nightime to disturbed auroral daytime is considered. Copyright 1984 by the American Geophysical Union.</t>
  </si>
  <si>
    <t>1111-1122</t>
  </si>
  <si>
    <t>57221296920;7005877450</t>
  </si>
  <si>
    <t>Barr, R.;Stubbe, P.</t>
  </si>
  <si>
    <t>Barr R.</t>
  </si>
  <si>
    <t>ELF and VLF radiation from the ‚Äúpolar electrojet antenna‚Äù</t>
  </si>
  <si>
    <t>10.1029/RS019i004p01111</t>
  </si>
  <si>
    <t>2-s2.0-0021468604</t>
  </si>
  <si>
    <t>['technical development', 'outstanding features', 'october 1964']</t>
  </si>
  <si>
    <t>At the beginning of October 1964 the Deutsche Bundespost commissioned the first antenna system of the Raisting satellite earth station. The author looks back on the technical development and the outstanding features of one of the world's first satellite earth stations, which today is one of the world's largest, with five Intelsat Standard A antennas.</t>
  </si>
  <si>
    <t>152-156</t>
  </si>
  <si>
    <t>Telcom Report (English Edition)</t>
  </si>
  <si>
    <t>Jul-Aug</t>
  </si>
  <si>
    <t>Glasow, Robert</t>
  </si>
  <si>
    <t>Glasow R.</t>
  </si>
  <si>
    <t>RAISTING EARTH STATION - THE FIRST 20 YEARS.</t>
  </si>
  <si>
    <t>2-s2.0-0021468789</t>
  </si>
  <si>
    <t>['z plane', 'upper quad', 'space science', 'scale measurements', 'rights reserved', 'rf field', 'results indicated', 'power output', 'power modes', 'orbiter x', 'mission aboard', 'measurements predicted', 'march 1982', 'ground full', 'field strength', 'due primarily', 'band antenna', '15 w']</t>
  </si>
  <si>
    <t>THE Plasma Diagnostics Package (PDP) flew as part of the Office of Space Science (OSS-1) mission aboard the Columbia on STS-3 in March 1982. The PDP had as part of its instrumentation an S-band antenna and detector. By utilizing the remote manipulator system (RMS) arm, the PDP was maneuvered through a predetermined computercontrolled sequence in the Orbiter X-Z plane above the upper quad and hemi S-band communications antennas. Measurements of the field strength of these antennas during high-power modes of the transmitters were made and compared to ground full-scale measurements and predictions. Results indicated a field strength approximately 4.8 ¬±3 dB higher than measurements predicted. This rf field is due primarily to the quad PM transmitter which had a power output of approximately 115 W compared to 15 W for the hemi. ¬© American Institute of Aeronautics and Astronautics, Inc., 1984, All rights reserved.</t>
  </si>
  <si>
    <t>398-399</t>
  </si>
  <si>
    <t>60024324;60024324-60016296</t>
  </si>
  <si>
    <t>57203122692;6603780166</t>
  </si>
  <si>
    <t>Murphy, Gerald B.;Shawhan, Stanley D.</t>
  </si>
  <si>
    <t>Iowa City;Washington, D.C.</t>
  </si>
  <si>
    <t>University of Iowa;National Aeronautics and Space Administration</t>
  </si>
  <si>
    <t>60024324;60016296</t>
  </si>
  <si>
    <t>Murphy G.</t>
  </si>
  <si>
    <t>Radio frequency fields generated by the S-band communication link on OV102</t>
  </si>
  <si>
    <t>10.2514/3.25669</t>
  </si>
  <si>
    <t>2-s2.0-0021468817</t>
  </si>
  <si>
    <t>['reservation channels', 'paper describes', 'mobile antennas', 'message channels', 'limited due', 'feasibility study', 'electronics engineers', 'demand assigned', 'cost limitations', 'average delay', 'available bandwidth', 'aloha multiple', 'access scheme']</t>
  </si>
  <si>
    <t>This paper describes a feasibility study of the adaptive mobile access protocol (AMAP) for MSAT-X, a proposed experimental mobile satellite communication network. The mobiles are dispersed over a wide geographical area and the channel data rate is limited due to the size and cost limitations of mobile antennas. AMAP is a reservation based multiple-access scheme. The available bandwidth is divided into subchannels, which are divided into reservation and message channels. The ALOHA multiple-access scheme is employed in the reservation channels, while the message channels are demand assigned. AMAP adaptively reallocates the reservation and message channels to optimize system performance. It has been shown that if messages are generated at a rate of one message per hour, AMAP can support approximately 2000 active users per 2400 bit/s channel with an average delay of 1.4 s. 7, no. 6, pp. 1115‚Äì1127, Nov.-Dec. 1979. Copyright ¬© 1984 by The Institute of Electrical and Electronics Engineers. Inc.</t>
  </si>
  <si>
    <t>621-627</t>
  </si>
  <si>
    <t>60029311;60009037</t>
  </si>
  <si>
    <t>7202621685;7102551494</t>
  </si>
  <si>
    <t>Li, Victor O.K.;Yan, Tsun Yee</t>
  </si>
  <si>
    <t>Los Angeles;Pasadena</t>
  </si>
  <si>
    <t>University of Southern California;Jet Propulsion Laboratory</t>
  </si>
  <si>
    <t>Li V.</t>
  </si>
  <si>
    <t>Adaptive Mobile Access Protocol (AMAP) for the Message Service of a Land Mobile Satellite Experiment (MSAT-X)</t>
  </si>
  <si>
    <t>10.1109/JSAC.1984.1146085</t>
  </si>
  <si>
    <t>2-s2.0-0021469180</t>
  </si>
  <si>
    <t>['vertical dipole', 'similar conclusions', 'layered earth', 'imperfectly conducting', 'electronics engineers', 'earth interface', 'different depths', 'correct behavior', 'also extended']</t>
  </si>
  <si>
    <t>New image representations for vertical electric dipoles (VED) above an imperfectly conducting and axially anisotropic earth are developed. These include multidiscrete images at different depths below the air-earth interface and mulfipole image sources. It is shown that, in contrast with the available image representations in the literature, the developed ones predict the correct behavior of the fields in the far zone along the earth's surface. Extension to a layered earth's model is made. The theory is also extended to the horizontal electric dipole with similar conclusions to the case of the vertical dipole. Copyright ¬© 1984 by The Institute of Electrical and Electronics Engineers, Inc.</t>
  </si>
  <si>
    <t>679-683</t>
  </si>
  <si>
    <t>Mahmoud, Samir F.</t>
  </si>
  <si>
    <t>Cairo</t>
  </si>
  <si>
    <t>Cairo University, Faculty of Engineering</t>
  </si>
  <si>
    <t>Mahmoud S.</t>
  </si>
  <si>
    <t>Image Theory for Electric Dipoles Above a Conducting Anisotropic Earth</t>
  </si>
  <si>
    <t>10.1109/TAP.1984.1143399</t>
  </si>
  <si>
    <t>2-s2.0-0021469268</t>
  </si>
  <si>
    <t>['wiley company', 'time must', 'three reflectors', 'small size', 'sidelobe reduction', 'scattering inside', 'many requirements', 'light weight', 'increasing congestion', 'inc .,', 'improved especially', 'experimental results', 'even though', 'evaluated easily', 'design procedure', 'design parameters', 'design objective', 'confirmed experimentally', 'antenna performance', 'antenna made', 'also required', 'also decreased', '10 db']</t>
  </si>
  <si>
    <t>With increasing congestion of the 4‚Äê, 5‚Äê, and 6‚ÄêGHz microwave radio links, an antenna with a good wide angle directivity is desired that can reduce the interference between the links. In the newly developed digital microwave transmission system, discrimination between the orthogonal polarizations used at the same time must be improved especially during fading. Due to the limitation from installation on a tower, small size and light weight are also required in the antenna. to satisfy these requirements, an offset antenna made of three reflectors has been developed. the design objective is to incorporate maximum possible performances within limited dimensional ranges. Since there are many requirements and design parameters, the method of beam mode approximation has been applied so that these parameters and conditions can be evaluated easily. It was found that the causes of degradation of the wide angle directivity are the mirror surface irregularity and the scattering inside the antenna. As a result, the antenna performance has been improved. the antenna made for the test has the same gain as the horn reflector antenna, even though its size and weight are about 3/4 the latter. the sidelobe has also decreased by 5 to 10 dB. Improvement of the cross polarization discrimination has been confirmed experimentally. the present paper describes the design procedure, discussion of the sidelobe reduction, and the experimental results. Copyright ¬© 1984 Wiley Periodicals, Inc., A Wiley Company</t>
  </si>
  <si>
    <t>60-70</t>
  </si>
  <si>
    <t>115552146;60092258;60101699;60101699</t>
  </si>
  <si>
    <t>55245356600;7004294639;55464461100;7004509347</t>
  </si>
  <si>
    <t>Nakajima, Nobuo;Shimanuki, Yoshitaro;Abe, Kohshi;Furuno, Takayoshi</t>
  </si>
  <si>
    <t>Tokyo;Koganei;Yokosuka</t>
  </si>
  <si>
    <t>Mitsubishi Electric Corporation;Ministry of Posts and Telecommunications, Japan;Yokosuka Electrical Communication Lab</t>
  </si>
  <si>
    <t>60101699;60092258;115552146</t>
  </si>
  <si>
    <t>Nakajima N.</t>
  </si>
  <si>
    <t>4‚Äê, 5‚Äê, 6‚ÄêGHz band offset antenna featuring low sidelobe and high cross polarization discrimination</t>
  </si>
  <si>
    <t>10.1002/ecja.4400670808</t>
  </si>
  <si>
    <t>2-s2.0-0021470054</t>
  </si>
  <si>
    <t>['quick calculation', 'quadratic functions', 'one antenna', 'load impedance', 'feed point', 'exact formulas', 'different frequencies', 'admittance parameters']</t>
  </si>
  <si>
    <t>115d | 1l5e | bounds of interference | I11e | interference by antennas | Loaded antennas</t>
  </si>
  <si>
    <t>The uncertainty in the characteristics of two antennas located close together and operating at different frequencies is considered. The formulations of antenna performance indexes on one antenna by admittance parameters are obtained with respect to the load impedance at the feed point of the other antenna. All the antenna performance indexes obtained here are expressed as the ratio of quadratic functions of the load impedance, and exact formulas are derived for the quick calculation of their bounds with respect to the load impedance which is uncertain and changes with frequency. ¬© 1984 IEEE</t>
  </si>
  <si>
    <t>129-133</t>
  </si>
  <si>
    <t>Hirasawa, Kazuhiro</t>
  </si>
  <si>
    <t>Tsukuba</t>
  </si>
  <si>
    <t>University of Tsukuba</t>
  </si>
  <si>
    <t>Hirasawa K.</t>
  </si>
  <si>
    <t>Bounds of Uncertain Interference Between Closely Located Antennas</t>
  </si>
  <si>
    <t>10.1109/TEMC.1984.304203</t>
  </si>
  <si>
    <t>2-s2.0-0021471741</t>
  </si>
  <si>
    <t>['vertical direction', 'total thickness', 'theoretical study', 'symptotic far', 'source beams', 'shearwave velocity', 'reasonably represent', 'radiation pattern', 'radiated field', 'radial distances', 'radial distance', 'observation points', 'much greater', 'layered model', 'frequency increases', 'field pattern', 'directions near', 'baseplate radius']</t>
  </si>
  <si>
    <t>A theoretical study of the radiation pattern of a circular baseplate vibrating torsionally on the surface of an N-layered anelastic medium demonstrates that the patterns in the literature do not reasonably represent the radiated field of a source on a damped layered medium. The shape of the torsional radiation pattern in a half-space is a function of frequency, baseplate radius, shearwave velocity, and radial distance between the source and the observation points. As frequency increases, the source beams more energy in a near-vertical direction and less in directions near the horizontal. Vertical beaming also increases as baseplate radius increases and as shear-wave velocity decreases. The radiated field approaches an symptotic far-field radiation pattern at radial distances in excess of 5 to 8 baseplate radii. The pattern for a layered model does not asymptote to a far-field pattern until the radial distance is much greater than the total thickness of the layers in the model. Refs.</t>
  </si>
  <si>
    <t>1213-1222</t>
  </si>
  <si>
    <t>Geophysics</t>
  </si>
  <si>
    <t>Aug</t>
  </si>
  <si>
    <t>Dorn, Geoffrey A.</t>
  </si>
  <si>
    <t>BP p.l.c.</t>
  </si>
  <si>
    <t>Dorn G.</t>
  </si>
  <si>
    <t>RADIATION PATTERNS OF TORSIONALLY VIBRATING SEISMIC SOURCES.</t>
  </si>
  <si>
    <t>10.1190/1.1441750</t>
  </si>
  <si>
    <t>2-s2.0-0021473541</t>
  </si>
  <si>
    <t>['wave field', 'theory indicates', 'single sensor', 'preliminary experiments', 'performed using', 'paper describes', 'magnetic near', 'identical loads', 'field responses', 'field measurements']</t>
  </si>
  <si>
    <t>14d | A2d | A6K | Electric field | electromagnetic compatibility | electromagnetic radiation | I11f | loop | magnetic field | near fields</t>
  </si>
  <si>
    <t>This paper describes the theory of a single sensor to perform simultaneous electric and magnetic near-field measurements. The theory indicates that it is possible to measure the magnetic-loop and electric-dipole currents using a loop antenna terminated with identical loads at two diametrically opposite points. The theory also indicates that it is possible to choose an ideal load impedance for achieving equal electric and magnetic-field responses of the loop. Preliminary experiments have been performed using a plane-wave field to verify these results. ¬© 1984 IEEE</t>
  </si>
  <si>
    <t>102-110</t>
  </si>
  <si>
    <t>Kanda, Motohisa</t>
  </si>
  <si>
    <t>Kanda M.</t>
  </si>
  <si>
    <t>An Electromagnetic Near-Field Sensor for Simultaneous Electric and Magnetic-Field Measurements</t>
  </si>
  <si>
    <t>10.1109/TEMC.1984.304200</t>
  </si>
  <si>
    <t>2-s2.0-0021475261</t>
  </si>
  <si>
    <t>['useful first', 'types examined', 'two degrees', 'positional freedom', 'particualr conclusions', 'overall comb', 'microstrip antenna', 'line antenna', 'crosspolarization characteristics', 'constraints imposed', 'accurate assessment']</t>
  </si>
  <si>
    <t>Chain, rampart, comb, serpent-line and patch array antennas are some of the types examined, and it is concluded that a magnetic source radiation model having two degrees of positional freedom allows generation of useful first-order design data for all structures. To obtain a more accurate assessment, second-order effects pertaining to the specific radiating structure must be included, and this is illustrated for the comb-line antenna. The constraints imposed by the two degrees of positional freedom and the necessity to trade the overall comb-line antenna performance in order to optimize the crosspolarization characteristics are particualr conclusions which are likely to hold for all types of microstrip antenna.</t>
  </si>
  <si>
    <t>247-257</t>
  </si>
  <si>
    <t>57213425197;7403018268</t>
  </si>
  <si>
    <t>Hall, P. S.;James, J. R.</t>
  </si>
  <si>
    <t>Hall P.</t>
  </si>
  <si>
    <t>CROSSPOLARISATION BEHAVIOR OF SERIES-FED MICROSTRIP LINEAR ARRAYS.</t>
  </si>
  <si>
    <t>10.1049/ip-h-1.1984.0052</t>
  </si>
  <si>
    <t>2-s2.0-0021476528</t>
  </si>
  <si>
    <t>['wedge made', 'variable reactance', 'satisfies abbe', 'results suggest', 'perpendicular polarization', 'matching technique', 'magnitudes due', 'lens antenna', 'incident wave', 'great promise', 'either parallel', 'corrected reflector', 'accurately predict', '5 refs']</t>
  </si>
  <si>
    <t>A reflector that satisfies Abbe's sine condition requires the angle of reflection to differ from the angle of incidence. This can be achieved with an artificial reactive surface with variable reactance. To show this, a wedge made of an array of shorted square waveguides is investigated both theoretically and experimentally. It is shown that an analysis, based on the modal-matching technique, can accurately predict the scattered beam positions and magnitudes due to an incident wave of either parallel or perpendicular polarization. The angle of reflection can easily be controlled by choosing a proper wedge angle. The results suggest a great promise for the design of a coma-corrected reflector or lens antenna for both polarizations. 5 refs.</t>
  </si>
  <si>
    <t>57207353493;7401934487</t>
  </si>
  <si>
    <t>Chen, Yi Lin;Lo, Y. T.</t>
  </si>
  <si>
    <t>Chen Y.</t>
  </si>
  <si>
    <t>REACTIVE REFLECTORS.</t>
  </si>
  <si>
    <t>10.1049/ip-h-1.1984.0054</t>
  </si>
  <si>
    <t>2-s2.0-0021476854</t>
  </si>
  <si>
    <t>['shadow fading', 'results indicate', 'provide macrodiversity', 'propagation exponent', 'multiple interferes', 'lognormal spread', 'blocking probabilities', 'baseline arrangement', 'antenna directivity', 'additional considerations', '2 tiers', '11 db']</t>
  </si>
  <si>
    <t>Signal-to-interference ratio statistics for mobile telephony systems with hexagonal coverage areas, multiple interferes, and three-corner base stations are investigated. Corner base stations simultaneously reduce total interference (because of antenna directivity) and provide macrodiversity against shadow fading. Our results indicate that for 3 or 7 channel sets, with 2 tiers of interferes and typical system parameters (propagation exponent of 3.7 and lognormal spread of 8 dB), the improvement is on the order of 11 dB over a baseline arrangement which employs centrally located omnibase stations without macrodiversity. Additional considerations of blocking probabilities and average voice activity indicate possible further improvements. ¬© 1984 IEEE.</t>
  </si>
  <si>
    <t>123-127</t>
  </si>
  <si>
    <t>10.1109/T-VT.1984.23998</t>
  </si>
  <si>
    <t>2-s2.0-0021476885</t>
  </si>
  <si>
    <t>['¬© 1984', 'synthesis works', 'synthesis based', 'substantial set', 'rights reserved', 'results obtained', 'pattern specified', 'new results', 'hitherto available', 'general problem', 'focus attention', 'error analysis', 'comprehensive tables', 'circular synthesis', 'certain aspects', 'brief survey', 'aperture regions', 'acoustical society', 'acoustic echosounding']</t>
  </si>
  <si>
    <t>Presented here is the echosonde (acoustic echosounding) synthesis based on a more rigorous analytical tool than hitherto available. The basic problem addressed in this paper is that of specifying a pattern and solving for the source distribution capable of reproducing the pattern specified. We focus attention on the determination of suitable practical source fields that can provide acceptable pattern approximations to certain prescribed echosonde beams. Numerical and analytical examples discussed, describe patterns synthesizing into physically realizable source fields confined within finite antenna-aperture regions. Also, other analytical results provided, reveal very clearly that the pattern synthesis problem is not unique. In order to highlight the importance of the present echosonde contribution to the general problem of circular synthesis, we present a brief survey of the synthesis works to date where certain technical problems which still remain unresolved are pointed out. A substantial set of new results for circular echosonde synthesis which has received little attention in the literature, is presented in comprehensive tables for ease of reference. The paper also finally examines an error analysis of certain aspects of the results obtained. ¬© 1984, Acoustical Society of America. All rights reserved.</t>
  </si>
  <si>
    <t>345-368</t>
  </si>
  <si>
    <t>NA</t>
  </si>
  <si>
    <t>Journal of the Acoustical Society of America</t>
  </si>
  <si>
    <t>Adekola, S. Adeniyi</t>
  </si>
  <si>
    <t>Nigeria</t>
  </si>
  <si>
    <t>Lagos</t>
  </si>
  <si>
    <t>University of Lagos</t>
  </si>
  <si>
    <t>Adekola S.</t>
  </si>
  <si>
    <t>A more rigorous synthesis of echosonde patterns</t>
  </si>
  <si>
    <t>10.1121/1.391137</t>
  </si>
  <si>
    <t>2-s2.0-0021477036</t>
  </si>
  <si>
    <t>['precast panels', 'made possible', 'communication satellites', 'barrier wall', '180 degrees']</t>
  </si>
  <si>
    <t>Dish antenna able to 'see' all U. S. communication satellites is shielded from radio frequency interference by a barrier wall of precast panels. Repeating trapezoid pattern of the wall is made possible by patented rotatable joint, permitting any angle up to 180 degrees to be selected as the panels are erected. Freestanding without footings, the wall has a special interior surface to disperse unwanted radio signals.</t>
  </si>
  <si>
    <t>741-742</t>
  </si>
  <si>
    <t>Concrete Construction - World of Concrete</t>
  </si>
  <si>
    <t>PRECAST BARRIER WALLS SHIELD MICROWAVE ANTENNA.</t>
  </si>
  <si>
    <t>2-s2.0-0021477205</t>
  </si>
  <si>
    <t>['ugtd ),', 'technique presented', 'pattern distortion', 'far field', 'excellent agreement', 'electronics engmeers', 'aperture area', 'analytically simple', 'also applicable']</t>
  </si>
  <si>
    <t>An analytically simple and numerically efficient technique for calculating the pattern distortion of aperture antennas radiating in the presence of conducting platforms located in the near or far field of the antenna is presented. The technique presented, based on uniform geometrical theory of diffraction (UGTD), is also applicable for large aperture antennas (aperture area &gt; 15 Œª 2). An excellent agreement between the calculated and measured results obtained for a typical aperture antenna mounted on a conducting platform confirms the validity of the analytical technique developed. Copyright ¬© 1984 by The Institute of Electrical and Electronics Engmeers, Inc.</t>
  </si>
  <si>
    <t>887-890</t>
  </si>
  <si>
    <t>7006389495;57196539182</t>
  </si>
  <si>
    <t>Narasimhan, M. S.;Philips, Bobby</t>
  </si>
  <si>
    <t>Pattern Distortion of Aperture Antennas Radiating in the Presence of Conducting Platforms</t>
  </si>
  <si>
    <t>10.1109/TAP.1984.1143427</t>
  </si>
  <si>
    <t>2-s2.0-0021477488</t>
  </si>
  <si>
    <t>['solved numerically', 'plate waveguide', 'numerical results', 'modal analysis', 'input admittance', 'feed horn', 'equivalence principle', 'electronics engmeers', 'dimensional configuration', 'dielectric slab', 'concentric grooves', 'circular waveguide', 'aperture plane', 'adjacent notches']</t>
  </si>
  <si>
    <t>The effect of placing a dielectric slab over a 90¬∞ corrugated feed horn is investigated. The feed horn is normally a circular waveguide with concentric grooves in the aperture plane. Here we simulate the 90¬∞ feed horn with a two-dimensional configuration which is a parallel-plate waveguide with adjacent notches. The equivalence principle and modal analysis are used to formulate integral equations which are solved numerically by the method of moments. Numerical results for the input admittance are obtained with and without the corrugation and with and without the dielectric slab cover. Copyright ¬© 1984 by The Institute of Electrical and Electronics Engmeers, Inc.</t>
  </si>
  <si>
    <t>877-880</t>
  </si>
  <si>
    <t>Nevels, Robert D.</t>
  </si>
  <si>
    <t>College Station</t>
  </si>
  <si>
    <t>Texas A&amp;M University</t>
  </si>
  <si>
    <t>Nevels R.</t>
  </si>
  <si>
    <t>An Analysis of a Two-Dimensional Dielectric Covered Corrugated Antenna Feed Horn</t>
  </si>
  <si>
    <t>10.1109/TAP.1984.1143423</t>
  </si>
  <si>
    <t>2-s2.0-0021477489</t>
  </si>
  <si>
    <t>['¬© 1984', 'realistic geometry', 'propagation equation', 'loop antenna', 'japan society', 'intor tokamak', 'applied physics']</t>
  </si>
  <si>
    <t>Propagation equation of ICRF (ion cyclotron range of frequencies) waves is solved in a realistic geometry of INTOR tokamak, by employing a cold plasma dielectric. Impedance of the loop antenna in the low field side is calculated, and high loading resistance is obtained. ¬© 1984 The Japan Society of Applied Physics.</t>
  </si>
  <si>
    <t>L613-L616</t>
  </si>
  <si>
    <t>60023147;60023147;60023147-60030788;60023147-60015658</t>
  </si>
  <si>
    <t>7005509402;57215629964;35352798500;13306390500</t>
  </si>
  <si>
    <t>Fukuyama, Atsushi;Goto, Akira;Itoh, Sanae Inoue;Itoh, Kimitaka</t>
  </si>
  <si>
    <t>Fukuyama A.</t>
  </si>
  <si>
    <t>Excitation and Propagation of ICRF Waves in INTOR Tokamak</t>
  </si>
  <si>
    <t>10.1143/JJAP.23.L613</t>
  </si>
  <si>
    <t>2-s2.0-0021477612</t>
  </si>
  <si>
    <t>['wave coupling', 'variational techniques', 'toroidal plasmas', 'specifically applied', 'flat geometry', 'finite loops', 'faraday shield', 'entire configuration', 'electromagnetic field', 'antenna impedance', 'antenna current', 'antenna coupling', 'analytically expressed', 'also yield']</t>
  </si>
  <si>
    <t>Loop-antenna coupling to toroidal plasmas is simulated in a flat geometry by an infinitely repeated array of finite loops in order to obtain a discrete spectrum along the y (azimuthal) as well as the z (toroidal) directions. The electromagnetic field of the entire configuration, including the wall, the plasma, and the Faraday shield, is analytically expressed in terms of the antenna current. The self-consistent antenna current is determined by variational techniques which also yield the antenna impedance. Finally, the theory is specifically applied to the case of ion-cyclotron-wave coupling. ¬© 1984 American Institute of Physics.</t>
  </si>
  <si>
    <t>2156-2163</t>
  </si>
  <si>
    <t>Puri, Satish</t>
  </si>
  <si>
    <t>Garching bei Munchen</t>
  </si>
  <si>
    <t>Max Planck Institute for Plasma Physics</t>
  </si>
  <si>
    <t>Puri S.</t>
  </si>
  <si>
    <t>Self-consistent, analytic, periodic-loop-antenna theory</t>
  </si>
  <si>
    <t>10.1063/1.864841</t>
  </si>
  <si>
    <t>2-s2.0-0021477903</t>
  </si>
  <si>
    <t>['¬© 1984', 'vacuum chamber', 'theoretically found', 'theoretical values', 'supplied near', 'results supporting', 'microwave power', 'japan society', 'field intensities', 'field distributions', 'applied physics', 'analyzed using', 'also measured']</t>
  </si>
  <si>
    <t>The field distributions in a slotted-type Lisitano coil are analyzed using a simple antenna model, and the microwave power is theoretically found to be supplied near the center of the coil. Field intensities in the Lisitano coil measured with a calibrated loop antenna are compared with the theoretical values, and results supporting the analysis are obtained. The field distributions in a vacuum chamber were also measured. ¬© 1984 The Japan Society of Applied Physics.</t>
  </si>
  <si>
    <t>1101-1106</t>
  </si>
  <si>
    <t>8 R</t>
  </si>
  <si>
    <t>60109706;60109706</t>
  </si>
  <si>
    <t>7005849574;55572797300</t>
  </si>
  <si>
    <t>Suetsugu, Yusuke;Kawai, Yoshinobu</t>
  </si>
  <si>
    <t>Kasuga</t>
  </si>
  <si>
    <t>Kyushu University, Research Institute for Applied Mechanics</t>
  </si>
  <si>
    <t>Suetsugu Y.</t>
  </si>
  <si>
    <t>RF Field Distributions in a Slotted-Type Lisitano Coil</t>
  </si>
  <si>
    <t>10.1143/JJAP.23.1101</t>
  </si>
  <si>
    <t>2-s2.0-0021478005</t>
  </si>
  <si>
    <t>['urban area', 'street width', 'street orientation', 'result shows', 'ordinary factors', 'electronics engmeers', 'building height']</t>
  </si>
  <si>
    <t>Calculation of mean field strength for urban mobile radio has been made on a ray-theoretical basis assuming an ideal city structure with uniform building heights. The result shows that building height, street width, and street orientation as well as mobile station antenna height are controlling propagation parameters in addition to the ordinary factors. Th√© major theoretical characteristics agree approximately with experimental data including conventional empirical predictions. This suggests a way of theoretically predicting mean field strength in an urban area. Copyright ¬© 1984 by The Institute of Electrical and Electronics Engmeers, Inc.</t>
  </si>
  <si>
    <t>822-829</t>
  </si>
  <si>
    <t>60011001;60011001;60011001;60025555</t>
  </si>
  <si>
    <t>7005235088;7406244729;55455371200;7003277441</t>
  </si>
  <si>
    <t>Ikegami, Fumio;Yoshida, Susumu;Takeuchi, Tsutomu;Umehira, Masahiro</t>
  </si>
  <si>
    <t>Tokyo;Kyoto</t>
  </si>
  <si>
    <t>Nippon Telegraph and Telephone Corporation;Kyoto University</t>
  </si>
  <si>
    <t>60025555;60011001</t>
  </si>
  <si>
    <t>Ikegami F.</t>
  </si>
  <si>
    <t>Propagation Factors Controlling Mean Field Strength on Urban Streets</t>
  </si>
  <si>
    <t>10.1109/TAP.1984.1143419</t>
  </si>
  <si>
    <t>2-s2.0-0021479001</t>
  </si>
  <si>
    <t>['reservation channels', 'paper describes', 'mobile antennas', 'message channels', 'limited due', 'feasibility study', 'demand assigned', 'cost limitations', 'average delay', 'available bandwidth', 'aloha multiple', 'access scheme']</t>
  </si>
  <si>
    <t>This paper describes a feasibility study of the adaptive mobile access protocol (AMAP) for MSAT-X, a proposed experimental mobile satellite communication network. The mobiles are dispersed over a wide geographical area and the channel data rate is limited due to the size and cost limitations of mobile antennas. AMAP is a reservation based multiple-access scheme. The available bandwidth is divided into subchannels, which are divided into reservation and message channels. The ALOHA multiple-access scheme is employed in the reservation channels, while the message channels are demand assigned. AMAP adaptively reallocates the reservation and message channels to optimize system performance. It has been shown that if messages are generated at a rate of one message per hour. AMAP can support approximately 2000 active users per 2400 bit/s channel with an average delay of 1.4 s. ¬© 1984 IEEE.</t>
  </si>
  <si>
    <t>237-243</t>
  </si>
  <si>
    <t>10.1109/T-VT.1984.24011</t>
  </si>
  <si>
    <t>2-s2.0-0021479324</t>
  </si>
  <si>
    <t>['two sections', 'though explained', 'similar adjustments', 'side reflectors', 'relatively less', 'reflector system', 'one side', 'main lobe', 'main beam', 'electronics engmeers', 'cylindrical geometry', 'considerable suppression', 'central parabola', 'achieve suppression']</t>
  </si>
  <si>
    <t>A technique for generating low sidelobes on one side of the main lobe for a parabolic reflector antenna is presented. The reflector system that generates such an asymmetric sidelobe pattern consists of a central parabola with two sections of offset parabolas situated at the top and bottom of the central parabola. By adjusting the positions and dimensions of the side reflectors, considerable suppression of the first few sidelobes can be obtained. Further, by similar adjustments it is possible to achieve suppression of sidelobes on both sides of the main beam, though this suppression is relatively less. The technique, though explained in detail with reference to a cylindrical geometry, is extended for a paraboloid of revolution. The analysis program utilized for the optimization of the side reflectors is based on physical optics current integration. Copyright ¬© 1984 by The Institute of Electrical and Electronics Engmeers, Inc.</t>
  </si>
  <si>
    <t>873-876</t>
  </si>
  <si>
    <t>60021176;60021176;60025757</t>
  </si>
  <si>
    <t>7005499104;57224853542;57206292316</t>
  </si>
  <si>
    <t>Venkatachalam, P. A.;Gunasekaran, N.;Ramanujam, P.</t>
  </si>
  <si>
    <t>India;India</t>
  </si>
  <si>
    <t>Chennai;Chennai</t>
  </si>
  <si>
    <t>Indian Institute of Technology Madras;Anna University</t>
  </si>
  <si>
    <t>60025757;60021176</t>
  </si>
  <si>
    <t>Venkatachalam P.A.</t>
  </si>
  <si>
    <t>A Parabolic Reflector with Asymmetric Low Sidelobes</t>
  </si>
  <si>
    <t>10.1109/TAP.1984.1143425</t>
  </si>
  <si>
    <t>2-s2.0-0021479442</t>
  </si>
  <si>
    <t>['phase condition', 'mechanical rotation', 'matching condition', 'introduced near', 'experimental results', 'excellent agreement', 'electronics engmeers', 'coupling phase', 'coupling factor', 'array elements', 'array element', 'array consisting', 'aperture may']</t>
  </si>
  <si>
    <t>An array consisting of short helical antennas is fed from a single rectangular waveguide. Stubs are introduced near the array elements in order to make a matching condition between the array elements and the waveguide. On the basis of a transmission line theory, a coupling phase and. a coupling factor are determined. The mechanical rotation is applied to each array element so that in-phase condition at the aperture may be formed. Excellent agreement between the calculated and experimental results is demonstrated in the arrays of five, seven, and nine helical antennas. Copyright ¬© 1984 by The Institute of Electrical and Electronics Engmeers, Inc.</t>
  </si>
  <si>
    <t>836-840</t>
  </si>
  <si>
    <t>55633340100;6701625213;56405174700</t>
  </si>
  <si>
    <t>Nakano, Hisamatsu;Asaka, Nobuyoshi;Yamauchi, Junji</t>
  </si>
  <si>
    <t>Short Helical Antenna Array Fed from a Waveguide</t>
  </si>
  <si>
    <t>10.1109/TAP.1984.1143417</t>
  </si>
  <si>
    <t>2-s2.0-0021479444</t>
  </si>
  <si>
    <t>['wave expressions', 'two half', 'sommerfeld surface', 'sommerfeld problem', 'series expansions', 'present authors', 'planar interface', 'numerical calculations', 'line current', 'limit cases', 'large grid', 'introduced earlier', 'integral expression', 'image source', 'image current', 'good accuracy', 'field points', 'electronics engmeers', 'easy calculation', 'easily adapted', 'complicated problem', 'complex space', 'best convergence']</t>
  </si>
  <si>
    <t>The exact image theory, introduced earlier by the present authors for the Sommerfeld problem with a vertical magnetic dipole above a planar interface of two dielectric media, is now extended to the more complicated problem of a vertical electric dipole. The image source is seen to be a line current which lies in complex space for best convergence. The image current function is expressable as an integral expression, easily adapted for numerical calculations and unlike for the vertical magnetic dipole, its form is dependent on the dielectric factor ratio of the two half-spaces. Series expansions are given for an easy calculation of the image current. The reflection coefficient method and Sommerfeld surface-wave expressions are obtained as limit cases of the exact image theory. The method is tested for a large grid of field points and good accuracy for a modest calculation algorithm is observed. Copyright ¬© 1984 by The Institute of Electrical and Electronics Engmeers, Inc.</t>
  </si>
  <si>
    <t>841-847</t>
  </si>
  <si>
    <t>Lindell I.V.</t>
  </si>
  <si>
    <t>Exact Image Theory for the Sommerfeld Half-Space Problem, Part II: Vertical Electric Dipole</t>
  </si>
  <si>
    <t>10.1109/TAP.1984.1143431</t>
  </si>
  <si>
    <t>2-s2.0-0021479584</t>
  </si>
  <si>
    <t>['two approximations', 'transmission model', 'synthesis routines', 'surface waves', 'rigorous treatments', 'rectangular resonator', 'published results', 'practical cases', 'practical analysis', 'mutual coupling', 'microstrip antennas', 'electronics engmeers']</t>
  </si>
  <si>
    <t>Although more rigorous treatments have been developed for mutual coupling between microstrip antennas, the purpose of this transmission line model is to provide a numerically efficient substitute for them. Therefore, two approximations have been introduced: first, the surface waves have been neglected and second, each rectangular resonator is replaced by two equivalent radiating slots. In most practical cases the approximations are acceptable; this has been proved while comparing the transmission line model with other published results. It is obvious that the efficiency of the transmission model and can be used to include mutual coupling in practical analysis or synthesis routines for arrays of rectangular microstrip antennas. Copyright ¬© 1984 by The Institute of Electrical and Electronics Engmeers, Inc.</t>
  </si>
  <si>
    <t>816-821</t>
  </si>
  <si>
    <t>60108318-60025063-60029644;60025063-60029644</t>
  </si>
  <si>
    <t>6701321570;56969296900</t>
  </si>
  <si>
    <t>Van Lil, Emmanuel H.;Van Capelle, Antoine R.</t>
  </si>
  <si>
    <t>United States;Belgium;Belgium</t>
  </si>
  <si>
    <t>New York;Brussels;3000 Leuven</t>
  </si>
  <si>
    <t>NYU Tandon School of Engineering;Belgian National Fund for Scientific Research;KU Leuven</t>
  </si>
  <si>
    <t>60108318;60029644;60025063</t>
  </si>
  <si>
    <t>Van Lil E.</t>
  </si>
  <si>
    <t>Transmission Line Model for Mutual Coupling Between Microstrip Antennas</t>
  </si>
  <si>
    <t>10.1109/TAP.1984.1143416</t>
  </si>
  <si>
    <t>2-s2.0-0021479586</t>
  </si>
  <si>
    <t>['surface waves', 'superstrate effects', 'radiation resistance', 'radiation efficiency', 'plane patterns', 'optimize efficiency', 'nonmagnetic layers', 'nearly omnidirectional', 'nearly omnidirctional', 'material properties', 'important case', 'general criterion', 'fundamental effects', 'electronics engmeers', '100 percent']</t>
  </si>
  <si>
    <t>The fundamental effects of superstrate (cover) materials on printed circuits antennas are investigated. Substrate-superstrate resonance conditions are established which maximize antenna gain, radiation resistance, and radiation efficiency. Criteria are determined for material properties and dimensions for which surface waves are eliminated and a radiation efficiency due to substrate-superstrate effects of es = 100 percent is obtained. Criteria for nearly omnidirectional -plane patterns and nearly omnidirctional -plane patterns are presented. Finally, a general criterion is given for choosing a superstrate to optimize efficiency for the important case of nonmagnetic layers with the antenna at the interface. Copyright ¬© 1984 by The Institute of Electrical and Electronics Engmeers, Inc.</t>
  </si>
  <si>
    <t>807-816</t>
  </si>
  <si>
    <t>60027550;60027550</t>
  </si>
  <si>
    <t>7004468161;7404289310</t>
  </si>
  <si>
    <t>Alex√≥poulos, Nicolaos G.;Jackson, David R.</t>
  </si>
  <si>
    <t>University of California, Los Angeles</t>
  </si>
  <si>
    <t>Alex√≥poulos N.</t>
  </si>
  <si>
    <t>Fundamental Superstrate (Cover) Effects on Printed Circuit Antennas</t>
  </si>
  <si>
    <t>10.1109/TAP.1984.1143433</t>
  </si>
  <si>
    <t>2-s2.0-0021479644</t>
  </si>
  <si>
    <t>['wave equation', 'two horns', 'quasioptical system', 'phase center', 'particularly appropriate', 'paraxial approximation', 'new insight', 'mode analysis', 'horn feeds', 'gaussian beam', 'feed horns', 'far field', 'computationally faster', 'antenna pattern', 'analytical expression', 'almost 98']</t>
  </si>
  <si>
    <t>A Gaussian beam-mode analysis of the operation of a corrugated feed horn is presented. These modes are solutions to the wave equation, in a paraxial approximation, and propagate from the aperture in a simple and well defined way. The antenna pattern of the horn in any plane in the near or far field is found by summing the contributions from the modes. This process is computationally faster than the standard Fresnel expansion, and provides a new insight into the operation of feed horns. It is particularly appropriate when the horn feeds a quasioptical system. Almost 98% of the power is carried in the fundamental Gaussian mode. To illustrate the application of the method, an analytical expression for the position of the phase center is derived and the coupling between two horns is calculated.</t>
  </si>
  <si>
    <t>258-262</t>
  </si>
  <si>
    <t>Wylde, R. J.</t>
  </si>
  <si>
    <t>Wylde R.</t>
  </si>
  <si>
    <t>MILLIMETRE-WAVE GAUSSIAN BEAM-MODE OPTICS AND CORRUGATED FEED HORNS.</t>
  </si>
  <si>
    <t>10.1049/ip-h-1.1984.0053</t>
  </si>
  <si>
    <t>2-s2.0-0021479731</t>
  </si>
  <si>
    <t>['use analytical', 'space diversity', 'significantly better', 'signals received', 'several decibels', 'results show', 'received desired', 'rayleigh fading', 'output signal', 'optimum combining', 'noise ratio', 'interfering signals', 'interference ratio', 'desired signal', 'channel interference', 'adaptive arrays']</t>
  </si>
  <si>
    <t>This paper studies optimum signal combining for space diversity reception in cellular mobile radio systems. With optimum combining, the signals received by the antennas are weighted and combined to maximize the output signal-to-interference-plus-noise ratio. Thus, with co-channel interference, space diversity is used not only to combat Rayleigh fading of the desired signal (as with maximal ratio combining) but also to reduce the power of interfering signals at the receiver. We use analytical and computer simulation techniques to determine the performance of optimum combining when the received desired and interfering signals are subject to Rayleigh fading. Results show that optimum combining is significantly better than maximal ratio combining even when the number of interferes is greater than the number of antennas. Results for typical cellular mobile radio systems show that optimum combining increases the output signal-to-interference ratio at the receiver by several decibels. Thus, systems can require fewer base station antennas and/or achieve increased channel capacity through greater frequency reuse. We also describe techniques for implementing optimum combining with least mean square (LMS) adaptive arrays. ¬© 1984 IEEE.</t>
  </si>
  <si>
    <t>144-155</t>
  </si>
  <si>
    <t>10.1109/T-VT.1984.24001</t>
  </si>
  <si>
    <t>2-s2.0-0021479805</t>
  </si>
  <si>
    <t>['simple dual', 'phase center', '6 ¬∞.', '2 mm']</t>
  </si>
  <si>
    <t>A simple dual-mode conical horn has been developed and tested at 0.5, 1.4, 3.1, and 34.2 mm. The horn has nearly equal beam shape in the E and H plane far field patterns with a 3-dB half angle of 6¬∞. At 34.2 mm, the waveguide reflection loss and the phase center have been determined. ¬© 1984 IEEE</t>
  </si>
  <si>
    <t>936-937</t>
  </si>
  <si>
    <t>60009037;60009037;60009037;60009037</t>
  </si>
  <si>
    <t>7003852382;7403003817;56904996500;56904983300</t>
  </si>
  <si>
    <t>Pickett, Herbert M.;Hardy, John C.;Jam, J.;Farhoomand, F.</t>
  </si>
  <si>
    <t>Pickett H.</t>
  </si>
  <si>
    <t>Characterization of a Dual-Mode Horn for Submillimeter Wavelengths</t>
  </si>
  <si>
    <t>10.1109/TMTT.1984.1132801</t>
  </si>
  <si>
    <t>2-s2.0-0021479824</t>
  </si>
  <si>
    <t>['theoretical analysis', 'targets located', 'similar systems', 'satisfactory three', 'operating frequency', 'medical imaging', 'longitudinal directions', 'focusing resolutions', 'element spacing', 'dimensional focusing', 'array may', 'approximately lambda', 'amplitude conjugations', '7 mm', '3 ghz']</t>
  </si>
  <si>
    <t>A water-immersed microwave array system for medical imaging is described, and a theoretical analysis of its local field pattern is presented. The theoretical study also applies to similar systems for medical therapy purposes. It is shown that, using a technique of phase and amplitude conjugations, a satisfactory three-dimensional focusing for targets located in the neighborhood of the array may be achieved. The focusing resolutions for transverse and longitudinal directions are approximately lambda /2 and lambda , respectively, where lambda is the wavelength in the dielectric. By increasing the element spacing of the array, the resolutions can be as good as 5. 3 and 11. 7 mm, respectively, at the operating frequency of 3 GHz.</t>
  </si>
  <si>
    <t>844-854</t>
  </si>
  <si>
    <t>Protection of Metals (English translation of Zaschita Metallov)</t>
  </si>
  <si>
    <t>7201788464;7401967477;7202023446</t>
  </si>
  <si>
    <t>Guo, Theodore;Guo, Wendy W.;Larsen, Lawrence Edwin</t>
  </si>
  <si>
    <t>Guo T.</t>
  </si>
  <si>
    <t>LOCAL FIELD STUDY OF A WATER-IMMERSED MICROWAVE ANTENNA ARRAY FOR MEDICAL IMAGERY AND THERAPY.</t>
  </si>
  <si>
    <t>2-s2.0-0021479894</t>
  </si>
  <si>
    <t>['unperturbed aperture', 'scattering matrix', 'scattering dyadic', 'random perturbations', 'n defects', 'measurement data', 'made possible', 'fourier transforms', 'electronics engmeers', 'convolution integrals', 'aperture mean']</t>
  </si>
  <si>
    <t>A closed form vector expression has been derived for the mean power pattern radiated from an aperture with random perturbations. The expression is in terms of the Fourier transforms of three unrestricted functions: 1) the vector electric field of the unperturbed aperture, 2) the scattering dyadic of one of N defects, and 3) the probability density function of the position of a defect. These functions can be represented by measurement data as well as by simple analytical functions. In particular, the scattering matrix of an actual physical defect can be measured and used in the model. The derivation was made possible by the fact that the aperture mean and correlation functions take the form of convolution integrals. Copyright ¬© 1984 by The Institute of Electrical and Electronics Engmeers, Inc.</t>
  </si>
  <si>
    <t>857-863</t>
  </si>
  <si>
    <t>Tripp, Victor K.</t>
  </si>
  <si>
    <t>Tripp V.</t>
  </si>
  <si>
    <t>A New Approach to the Analysis of Random Errors in Aperture Antennas</t>
  </si>
  <si>
    <t>10.1109/TAP.1984.1143418</t>
  </si>
  <si>
    <t>2-s2.0-0021480326</t>
  </si>
  <si>
    <t>['two programs', 'synthesizing low', 'small 8', 'run time', 'linear arrays', 'electronics engmeers', 'discretized version', 'discretized synthesis', 'chebyshev program', '100 elements']</t>
  </si>
  <si>
    <t>Five computer programs for synthesizing low-sidelobe sum patterns from linear arrays are evaluated in terms of run time and precision. Three of the programs are based on the Dolph-Chebyshev synthesis procedure, in which all sidelobes are set at the same level. The other two programs are based on a discretized version of the Taylor synthesis procedure, in which far-out sidelobes are allowed to decay. The programs were written for use on small 8- and 16-bit personal computers. It was found that the fastest running programs are also the most precise. The only Chebyshev program that gave satisfactory precision for arrays as large as 100 elements is based on Bresler's nested product algorithm, and the only similarly acceptable Taylor program is based on Shelton's discretized synthesis. Copyright ¬© 1984 by The Institute of Electrical and Electronics Engmeers, Inc.</t>
  </si>
  <si>
    <t>884-887</t>
  </si>
  <si>
    <t>60027561-100430275;60027561-60027271;60027271-115993599</t>
  </si>
  <si>
    <t>7201870883;6602180118;7202118708</t>
  </si>
  <si>
    <t>Burns, M. A.;Laxpati, Sharad R.;Shelton, J. P.</t>
  </si>
  <si>
    <t>United States;United States;United States;United States</t>
  </si>
  <si>
    <t>Chicago;Washington, D.C.;Fairfax;Washington</t>
  </si>
  <si>
    <t>University of Illinois at Chicago;Naval Research Laboratory;Symmetron, Inc.;Voice of America</t>
  </si>
  <si>
    <t>60027561;60027271;115993599;100430275</t>
  </si>
  <si>
    <t>Burns M.A.</t>
  </si>
  <si>
    <t>A Comparative Study of Linear Array Synthesis Technique Using a Personal Computer</t>
  </si>
  <si>
    <t>10.1109/TAP.1984.1143426</t>
  </si>
  <si>
    <t>2-s2.0-0021481335</t>
  </si>
  <si>
    <t>['wide nulls', 'unit circle', 'total number', 'radiation pattern', 'much smaller', 'easily approximated', 'conjugate pairs', 'complex plane', 'array factor']</t>
  </si>
  <si>
    <t>Null steering without using phase shifters is achieved by forcing the zeros of the array factor to occur in conjugate pairs on the unit circle in the complex plane. It is shown that if the number of jammers is much smaller than half the total number of elements in the array, it is possible to optimize the pattern as well as suppressing the jammers. Alternatively, wide nulls in the radiation pattern can be easily approximated.</t>
  </si>
  <si>
    <t>242-246</t>
  </si>
  <si>
    <t>Vu, T. B.</t>
  </si>
  <si>
    <t>Vu T.</t>
  </si>
  <si>
    <t>METHOD OF NULL STEERING WITHOUT USING PHASE SHIFTERS.</t>
  </si>
  <si>
    <t>10.1049/ip-h-1.1984.0050</t>
  </si>
  <si>
    <t>2-s2.0-0021481386</t>
  </si>
  <si>
    <t>['representative radiators', 'radiating patch', 'ground plane', 'full expansion', 'experimental results', 'electronics engmeers', 'circular sector', 'cavity formed', 'annular sector', 'analysis involves', 'also included']</t>
  </si>
  <si>
    <t>An analysis is presented for three related shapes of microstrip antenna elements: the annular; annular sector; and circular sector. The method of analysis involves the full expansion of resonant modes within the cavity formed by the radiating patch and the ground plane. Experimental results for representative radiators are also included for comparison. Copyright ¬© 1984 by The Institute of Electrical and Electronics Engmeers, Inc.</t>
  </si>
  <si>
    <t>864-867</t>
  </si>
  <si>
    <t>60005837;60005837;60005837</t>
  </si>
  <si>
    <t>7202452162;7202845866;7402507033</t>
  </si>
  <si>
    <t>Richards, William F.;Ou, Jai Dong;Long, Stuart A.</t>
  </si>
  <si>
    <t>University of Houston</t>
  </si>
  <si>
    <t>Richards W.</t>
  </si>
  <si>
    <t>Communications A Theoretical and Experimental Investigation of Annular, Annular Sector, and Circular Sector Microstrip Antennas</t>
  </si>
  <si>
    <t>10.1109/TAP.1984.1143432</t>
  </si>
  <si>
    <t>2-s2.0-0021481740</t>
  </si>
  <si>
    <t>['simplex method', "minimum '.", 'linear programming', 'design phased', 'certain level', 'certain amount', 'array antennas', 'antenna specification']</t>
  </si>
  <si>
    <t>The simplex method of linear programming is used to design phased-array antennas of any required beam shape, using a procedure that is quick and easy, and requires little computer time. The simplex technique takes advantage of the fact that any antenna specification will allow a certain amount of give and take; in most cases, sidelobes below a certain level are specified, rather than 'minimum'.</t>
  </si>
  <si>
    <t>Blau, Robert</t>
  </si>
  <si>
    <t>Blau R.</t>
  </si>
  <si>
    <t>SIMPLEX METHOD AIDS PHASED-ARRAY DESIGN.</t>
  </si>
  <si>
    <t>2-s2.0-0021481827</t>
  </si>
  <si>
    <t>['two approaches', 'phase multilateration', 'one wavelength', 'one rad', 'electronics engmeers', 'ambiguity error', 'acceptably small', '5 rad']</t>
  </si>
  <si>
    <t>Two approaches to resolving the phase ambiguity associated with phase multilateration of self-cohering antenna arrays are described and the probability of ambiguity error is derived for each approach. For the minimum least square error method an efficient computational technique is introduced which permits element position uncertainties as large as one wavelength in the presence of phase measurement errors in the order of one rad. The multiple frequency method permits element position uncertainties significantly larger than one wavelength, at some increase in bandwidth. The probability of ambiguity error is shown to be acceptably small if the root mean square (rms) phase measurement errors are in the order of 0.5 rad or smaller. Copyright ¬© 1984 by The Institute of Electrical and Electronics Engmeers, Inc.</t>
  </si>
  <si>
    <t>830-835</t>
  </si>
  <si>
    <t>60010547;60102562</t>
  </si>
  <si>
    <t>7404805130;6603267176</t>
  </si>
  <si>
    <t>Lu, Chung H.;Dorny, C. Nelson</t>
  </si>
  <si>
    <t>Philadelphia;Princeton</t>
  </si>
  <si>
    <t>School of Engineering and Applied Science;Sarnoff Corporation</t>
  </si>
  <si>
    <t>60102562;60010547</t>
  </si>
  <si>
    <t>Lu C.H.</t>
  </si>
  <si>
    <t>Ambiguity Resolution in Self-Cohering Arrays</t>
  </si>
  <si>
    <t>10.1109/TAP.1984.1143415</t>
  </si>
  <si>
    <t>2-s2.0-0021482338</t>
  </si>
  <si>
    <t>['theory predicts', 'simple parameter', 'simple formula', 'resonant frequencies', 'radiation fields', 'model theory', 'internal fields', 'input impedance', 'ground plane', 'good agreement', 'electronics engmeers', 'coaxial feed', 'analyzed using', 'air gap']</t>
  </si>
  <si>
    <t>The circular-disk microstrip antenna with an air gap between the substrate and the ground plane is analyzed using the cavity-model theory. A simple formula for the resonant frequencies is obtained. The internal fields, the radiation fields, the effective loss tangent, and the input impedance are derived when the antenna is provided with a coaxial feed. The theory predicts that the air gap does not alter the relative field patterns significantly but it provides a simple parameter by which the resonant frequencies of the antenna can be tuned. Measurements have been performed on a 5 cm circular-disk microstrip antenna with an air gap and good agreement between theory and experiment is obtained. Copyright ¬© 1984 by The Institute of Electrical and Electronics Engmeers, Inc.</t>
  </si>
  <si>
    <t>880-884</t>
  </si>
  <si>
    <t>60013983;60002798;60002798</t>
  </si>
  <si>
    <t>7501501369;7403581840;7003504220</t>
  </si>
  <si>
    <t>Lee, Kai Fong;Ho, K. Y.;Dahele, Jashwant S.</t>
  </si>
  <si>
    <t>Hong Kong;Hong Kong</t>
  </si>
  <si>
    <t>Kowloon;Hong Kong</t>
  </si>
  <si>
    <t>City University of Hong Kong;Chinese University of Hong Kong</t>
  </si>
  <si>
    <t>60013983;60002798</t>
  </si>
  <si>
    <t>Circular-Disk Microstrip Antenna with an Air Gap</t>
  </si>
  <si>
    <t>10.1109/TAP.1984.1143428</t>
  </si>
  <si>
    <t>2-s2.0-0021482375</t>
  </si>
  <si>
    <t>['transmission line', 'steered towards', 'several seconds', 'several milliseconds', 'resaa consisting', 'reference ),', 'reactive loads', 'pattern maximum', 'nulling bandwidth', 'mode using', 'lobe towards', 'intermediate frequency', 'hardware needed', 'experimental results', 'electronics engmeers', 'desired signal', 'complex weighting', 'angular width', 'adaptation times', '40 steps', '30 db', '25 ¬∞', '0 ghz']</t>
  </si>
  <si>
    <t>A reactively steered adaptive array (RESAA) has one element connected by a transmission line to a receiver and a number of closely spaced parasitic elements, each of which is terminated by an adjustable reactive load. The pattern is formed by control of the reactive loads. Experimental results and the theory are presented for a RESAA consisting of five microstrip rectangular patch elements resonant at 4.0 GHz. Using steepest descent control of the reactive loads in a power inversion mode (no reference), we find that a null with a depth of 30 dB (relative to the pattern maximum) and an angular width of about 25¬∞ can be steered towards an interferer. Typically, about 40 steps (iterations) are needed for forming the null. With the slow power meter and general purpose minicomputer that served as the controller, adaptation times of several seconds are required; extrapolation to a dedicated microprocessor controller predicts adaptation times of several milliseconds. Operation in a mode using a reference signal demonstrates that the pattern can be shaped to steer a null toward interference and a lobe towards a desired signal. The nulling bandwidth is approximately 40 MHz with this array. The advantages of a RESAA, as compared with a conventional adaptive array, include the elimination of the mixers and other hardware needed to perform the complex weighting of the output of each element at an intermediate frequency, and better pattern control for closely spaced elements. These advantages are obtained at the expense of a more complicated control algorithm. Copyright ¬© 1984 by The Institute of Electrical and Electronics Engmeers, Inc.</t>
  </si>
  <si>
    <t>848-856</t>
  </si>
  <si>
    <t>Dinger, Robert J.</t>
  </si>
  <si>
    <t>China Lake</t>
  </si>
  <si>
    <t>Naval Air Warfare Center Weapons Division</t>
  </si>
  <si>
    <t>Dinger R.</t>
  </si>
  <si>
    <t>Reactively Steered Adaptive Array Using Microstrip Patch Elements at GHz</t>
  </si>
  <si>
    <t>10.1109/TAP.1984.1143420</t>
  </si>
  <si>
    <t>2-s2.0-0021482376</t>
  </si>
  <si>
    <t>['polarization property', 'numerical results', 'large angle', 'circular polarization']</t>
  </si>
  <si>
    <t>The method of improvement on the polarization property of a turnstile spherical array antenna is proposed and its numerical results are discussed. It is found that the spherical array becomes capable of scanning its beam up to large angle with circular polarization through the improvement.</t>
  </si>
  <si>
    <t>451-452</t>
  </si>
  <si>
    <t>35548438100;56843454200;7004205007</t>
  </si>
  <si>
    <t>Horiguchi, Susumu;Ishizone, Takayuki;Mushiake, Yasuto</t>
  </si>
  <si>
    <t>Horiguchi S.</t>
  </si>
  <si>
    <t>IMPROVEMENT ON POLARIZATION PROPERTY OF TURNSTILE SPHERICAL ARRAY ANTENNA.</t>
  </si>
  <si>
    <t>2-s2.0-0021482423</t>
  </si>
  <si>
    <t>['significant advances', 'article looks', 'adaptive antennas']</t>
  </si>
  <si>
    <t>One of the most significant advances in military microwave subsystems has been the development of adaptive antennas. This article looks at one particular subsystem recently introduced, and considers some of the basic design concepts employed.</t>
  </si>
  <si>
    <t>713-714</t>
  </si>
  <si>
    <t>Sep</t>
  </si>
  <si>
    <t>Cole, A. J.</t>
  </si>
  <si>
    <t>Taunton</t>
  </si>
  <si>
    <t>STC Components Ltd</t>
  </si>
  <si>
    <t>Cole A.</t>
  </si>
  <si>
    <t>ADAPTIVE ANTENNA SUBSYSTEMS.</t>
  </si>
  <si>
    <t>10.1049/ep.1984.0381</t>
  </si>
  <si>
    <t>2-s2.0-0021482948</t>
  </si>
  <si>
    <t>['wiley company', 'theoretical investigations', 'theoretical equations', 'resolve degeneracy', 'radiation patterns', 'post dimensions', 'numerical examples', 'model experiments', 'input impedance', 'inc .,', 'ground plane', 'fundamental modes', 'functions corresponding', 'frequency characteristics', 'circular strip', 'axial ratio', 'admittance boundary']</t>
  </si>
  <si>
    <t>To use circular microstrip antennas as circularly polarized radiators, perturbations such as slits are added to resolve degeneracy in the fundamental modes. In this paper, posts are inserted between the circular strip and the ground plane and the degeneracy is resolved. the theoretical investigations of this new circularly polarized microstrip antenna are discussed. In the derivation of the theoretical equations, the field is expanded in terms of Green's functions corresponding to the circular cavity region terminated by an admittance boundary. Numerical examples are given for the frequency characteristics of the axial ratio and the input impedance and for the post dimensions to resolve the degeneracy. the radiation patterns and gains are shown for this antenna. the theory has been confirmed by model experiments. Copyright ¬© 1984 Wiley Periodicals, Inc., A Wiley Company</t>
  </si>
  <si>
    <t>75-85</t>
  </si>
  <si>
    <t>7005495467;7201670362</t>
  </si>
  <si>
    <t>Tokumaru, Shinobu;Fukui, Satoru</t>
  </si>
  <si>
    <t>Microstrip antennas having posts for circular polarization</t>
  </si>
  <si>
    <t>10.1002/ecja.4400670910</t>
  </si>
  <si>
    <t>2-s2.0-0021484341</t>
  </si>
  <si>
    <t>['uniform seams', 'theoretical basis', 'paper describes', 'method unprofitable', 'longwall method', 'electrical conductivity', 'detection length', 'attenuation rate']</t>
  </si>
  <si>
    <t>The longwall method of mining in underground coal seams is very efficient in uniform seams, but coal seam anomalies can make the method unprofitable and unsafe. This paper describes the theoretical basis for detection length. The key to the method is the sensitivity of the attenuation rate of the coal seam mode of propagation to changes in the coal seam parameters, such as height or electrical conductivity.</t>
  </si>
  <si>
    <t>385-394</t>
  </si>
  <si>
    <t>Journal of Research of the National Bureau of Standards (United States)</t>
  </si>
  <si>
    <t>Sep-Oct</t>
  </si>
  <si>
    <t>Hill, D. A.</t>
  </si>
  <si>
    <t>Hill D.</t>
  </si>
  <si>
    <t>RADIO PROPAGATION IN A COAL SEAM AND THE INVERSE PROBLEM.</t>
  </si>
  <si>
    <t>10.6028/jres.089.022</t>
  </si>
  <si>
    <t>2-s2.0-0021484472</t>
  </si>
  <si>
    <t>['yig film', 'transducer positions', 'simply altering', 'semiconductive samples', 'mssw reflections', 'mssw ).', 'finite length', 'feeding network', 'dynamic range', 'delay line', 'amplitude weighting', 'amplitude distribution']</t>
  </si>
  <si>
    <t>There is presented a microwave tapped YIG- delay li ne with amplitude weighting and electronic phase tuning using magnetostatic surface waves (MSSW). Experiments have shown that a dynamic range of at least 20 dB for the amplitude distribution can be achieved by simply altering the MSSW-transducer positions. Electronic phase tuning is possible by varying the magnetic bias field. Perturbations of amplitude and phase, caused from MSSW reflections, due to the finite length of the delay line, can fully be eliminated by terminating both ends of the YIG film with semiconductive samples. A feeding network for a planar antenna array is presented as an example of application. ¬© 1984 IEEE</t>
  </si>
  <si>
    <t>1244-1245</t>
  </si>
  <si>
    <t>IEEE Transactions on Magnetics</t>
  </si>
  <si>
    <t>Krug, J.</t>
  </si>
  <si>
    <t>Krug J.</t>
  </si>
  <si>
    <t>Microwave tapped delay line with amplitude weighting and electronic phase tuning</t>
  </si>
  <si>
    <t>10.1109/TMAG.1984.1063528</t>
  </si>
  <si>
    <t>2-s2.0-0021484521</t>
  </si>
  <si>
    <t>['specially designed', 'paper describes', 'hereafter referred', '32 microphones']</t>
  </si>
  <si>
    <t>This paper describes the theory and development of a SYNThetic ACoustic ANtenna (hereafter referred to as SYNTACAN) that was specially designed for industrial noise measurements. It consists of 32 microphones and an on-line computer system.</t>
  </si>
  <si>
    <t>60-68</t>
  </si>
  <si>
    <t>Noise Control Engineering Journal</t>
  </si>
  <si>
    <t>60006288;60006288</t>
  </si>
  <si>
    <t>22033505800;7005544806</t>
  </si>
  <si>
    <t>Boone, Marinus M.;Berkhout, A. J.</t>
  </si>
  <si>
    <t>Delft</t>
  </si>
  <si>
    <t>Delft University of Technology</t>
  </si>
  <si>
    <t>Boone M.</t>
  </si>
  <si>
    <t>THEORY AND APPLICATIONS OF A HIGH-RESOLUTION SYNTHETIC ACOUSTIC ANTENNA FOR INDUSTRIAL NOISE MEASUREMENTS.</t>
  </si>
  <si>
    <t>10.3397/1.2827639</t>
  </si>
  <si>
    <t>2-s2.0-0021487646</t>
  </si>
  <si>
    <t>['¬© 1984', 'various problems', 'thermal control', 'thermal concept', 'tests programme', 'symmetrical functionings', 'silica mirror', 'shadow phase', 'satellite 3', 'preoperational spacecraft', 'paper deals', 'operational satellites', 'monitor thermistors', 'maximum duration', 'main body', 'joint french', 'german programme', 'following devices', 'following capabilities', 'f3 ),', 'existing satellites', 'easy adaptation', 'direct broadcasting', 'developed platforms', 'correct temperatures', 'axis stabilized', 'area approx', 'antenna module', 'also permit', '5 installed', '&amp;# x02022']</t>
  </si>
  <si>
    <t>The joint French-German programme of direct broadcasting is comprised of two distinct phases, i.e. 1. 1. the development of the preoperational spacecraft (D3, F3), with 3 active channels out of 5 installed; 2. 2. the production of operational satellites (D5, F5) with 5 channels active, each of them redundant. Aerospatiale is in charge among others of the Thermal Control of the Spacecraft. This paper deals with: thermal concept, analyses and tests programme. The developed platforms should also permit an easy adaptation to various payloads characterized by higher electrical power levels. The high power levels involved imply advanced thermal control for both Main Body and Antenna Module. The thermal control concept must have the following capabilities: &amp;#x02022; ‚Ä¢ to transfer the concentrated, high power dissipations involved toward outer space, &amp;#x02022; ‚Ä¢ to maintain in shadow phase (no emission) the correct temperatures with low or zero heating power, &amp;#x02022; ‚Ä¢ to ensure, in transfer orbit phase (maximum duration about 300 h), satisfactory temperatures with reduced electrical power (satellite 3-axis stabilized, solar generator partially deployed), &amp;#x02022; ‚Ä¢ to allow extremely non-symmetrical functionings. To solve these various problems, so far never simultaneously encountered on existing satellites, the following devices are used: &amp;#x02022; ‚Ä¢ various heat pipe networks (D3/F3; 88 heat pipes, total length approx. 118 m), &amp;#x02022; ‚Ä¢ large quantity of Optical Solar Reflectors (silica mirror, area approx. 6.3 m2), &amp;#x02022; ‚Ä¢ lightweight superinsulations, &amp;#x02022; ‚Ä¢ various types of heaters, &amp;#x02022; ‚Ä¢ Thermal Control Electronic (TCE) to switch ON/OFF heaters and monitor thermistors. ¬© 1984.</t>
  </si>
  <si>
    <t>553-563</t>
  </si>
  <si>
    <t>Giovagnoli, F.</t>
  </si>
  <si>
    <t>Soci√©t√© Aerospatiale</t>
  </si>
  <si>
    <t>Giovagnoli F.</t>
  </si>
  <si>
    <t>Advanced thermal control for french-german direct broadcasting satellites TDF1/TVSAT</t>
  </si>
  <si>
    <t>10.1016/0094-5765(84)90027-4</t>
  </si>
  <si>
    <t>2-s2.0-0021487863</t>
  </si>
  <si>
    <t>['unit functions', 'reductive coupling', 'promising approach', 'photosynthesis seems', 'photoabsorption cross', 'made possible', 'machanistic mimicry', 'irreversible process', 'homogeneous solution', 'direct reduction', 'demonstrated either', 'carbon dioxide', 'aromatic hydrocarbons', 'antenna pigments', '5 %)', '20 %).']</t>
  </si>
  <si>
    <t>A strategy for mimicking the unit functions of photosynthesis was described. Enhancement of photoabsorption cross-section was achieved by the use of polymer- or surfactant-bonded electron transfer sensitizers. Energy migration among the sensitizers is the reason for this, which is equivalent to the action of antenna pigments. Efficient charge separation after primary electron transfer process was made possible by means of either utilizing Coulombic effects to assist the dissociation of an ion radical pair or incorporating an irreversible process in the electron transferring cycle. For example, photooxidation of leuco crystal violet by excited benzophenone derivatives proceeded with a 100 % efficiency when the sensitizer contained quaternary ammonium ions. Also the kinetic mechanistic study on electron transfer photochemistry of ruthenium(II) complexes led us to establish an efficient photoreduction system of methylviologen with a 100 % efficiency in homogeneous solution. Photofixation of carbon dioxide was demonstrated either by direct reduction of carbon dioxide to formic acid mediated by methylviologen cation radical (maximum quantum yield: 5 %) or by reductive coupling with aromatic hydrocarbons to aromatic carboxylic acids (maximum quantum yield; 20 %). Thus, the functional but not machanistic mimicry of photosynthesis seems to be a promising approach. ¬© 1984 IUPAC</t>
  </si>
  <si>
    <t>1269-1280</t>
  </si>
  <si>
    <t>60031126;60031126</t>
  </si>
  <si>
    <t>7006446644;7201598022</t>
  </si>
  <si>
    <t>Tazuke, Shigeo;Kitamura, Noboru</t>
  </si>
  <si>
    <t>Tokyo Institute of Technology</t>
  </si>
  <si>
    <t>Tazuke S.</t>
  </si>
  <si>
    <t>A strategy for mimicking photosynthesis</t>
  </si>
  <si>
    <t>10.1351/pac198456091269</t>
  </si>
  <si>
    <t>2-s2.0-0021490594</t>
  </si>
  <si>
    <t>1118-1127</t>
  </si>
  <si>
    <t>Wiltse, James C.</t>
  </si>
  <si>
    <t>Wiltse J.</t>
  </si>
  <si>
    <t>History of Millimeter and Submillimeter Waves</t>
  </si>
  <si>
    <t>10.1109/TMTT.1984.1132823</t>
  </si>
  <si>
    <t>2-s2.0-0021492399</t>
  </si>
  <si>
    <t>1022-1045</t>
  </si>
  <si>
    <t>Oliner, A. A.</t>
  </si>
  <si>
    <t>Oliner A.</t>
  </si>
  <si>
    <t>Historical Perspectives on Microwave Field Theory</t>
  </si>
  <si>
    <t>10.1109/TMTT.1984.1132815</t>
  </si>
  <si>
    <t>2-s2.0-0021492601</t>
  </si>
  <si>
    <t>['widest use', 'wave impedance', 'transmission line', 'related vswr', 'reflection loss', 'reflection coefficient', 'reflection chart', 'reference may', 'philip h', 'one form', 'locus depends', 'impedance locus', 'hemisphere chart', 'frequency range', 'etc .).', 'desirable features', 'crowded toward']</t>
  </si>
  <si>
    <t>A reflection chart is some grid of coordinates on which to plot an impedance locus over a frequency range. Taking as a reference a constant real impedance, one may construct contours of the reflection coefficient (or the related VSWR, reflection loss, etc.). The reference may be the wave impedance of a transmission line. This may be a line Connecting radio equipment with an antenna, or it may be a standard line used in measuring the impedance. The reflection chart in widest use is the so-called Chart‚Äù proposed by Philip H. Smith in 1939. It is one form of the hemisphere chart, which was proposed, also in 1939, by Philip S. Carter. Its properties and uses are described. It has some limitations. A reference value must be assigned, after which the shape of a locus depends on this value. Also, a locus is crowded toward the rim of the chart. A logarithmic reflection chart has recently been proposed by the author, which overcomes these limitations but loses some desirable features of the hemisphere chart. ¬© 1984 IEEE</t>
  </si>
  <si>
    <t>1008-1021</t>
  </si>
  <si>
    <t>Wheeler, Harold A.</t>
  </si>
  <si>
    <t>Wheeler H.</t>
  </si>
  <si>
    <t>Reflection Charts Relating to Impedance Matching</t>
  </si>
  <si>
    <t>10.1109/TMTT.1984.1132814</t>
  </si>
  <si>
    <t>2-s2.0-0021492602</t>
  </si>
  <si>
    <t>['polarized radiation', 'phase errors', 'phase error', 'new definitions', 'losses associated', 'electronics engineers', 'cross polarization', 'better separation', 'always account']</t>
  </si>
  <si>
    <t>The definition and formulas for cross polarization, phase error, and illumination efficiency given by Ludwig and Thomas are shown to not always account for the correct cross polarization and phase error loss. New definitions and formulas are proposed that give a better separation of the losses associated with cross-polarized radiation, phase errors, and nonuniform aperture illumination. Copyright ¬© 1984 by The Institute of Electrical and Electronics Engineers, Inc.</t>
  </si>
  <si>
    <t>997-1000</t>
  </si>
  <si>
    <t>Aperture Efficiency for Paraboloidal Reflectors</t>
  </si>
  <si>
    <t>10.1109/TAP.1984.1143443</t>
  </si>
  <si>
    <t>2-s2.0-0021493676</t>
  </si>
  <si>
    <t>['transmitters co', 'transmitter system', 'successfully co', 'results show', 'presented showing', 'filter methods', 'feet apart', 'fcc specifications', 'common site', 'band reject', 'band pass']</t>
  </si>
  <si>
    <t>When two or more FM broadcast transmission systems share a common site with co-located antenna systems a degree of cross-coupling can occur between the systems. When this cross-coupling becomes excessive the transmitter final amplifiers can produce out-of-tolerance, non-harmonic related emissions. The frequencies, and amplitudes of these emissions are related to the frequency, and amplitudes of the cross-coupled transmission systems. This paper reviews spurious emission data collected from sites that have two or more transmitters co-located using separate, but adjacent antenna systems less than 200-feet apart. The data collected reviews performance using both band pass and band reject (notch) filter methods. A discussion is presented showing a method to measure undesired emission products removed by less than 1% from the unmodulated transmitter‚Äôs carrier frequency. The results show that a transmitter system can be successfully co-located using separate antenna systems mounted near each other and be in compliance with FCC specifications when suitable filtering systems are applied. ¬© 1984 IEEE</t>
  </si>
  <si>
    <t>71-81</t>
  </si>
  <si>
    <t>Shulz, Warren</t>
  </si>
  <si>
    <t>RKO General, Inc.</t>
  </si>
  <si>
    <t>Shulz W.</t>
  </si>
  <si>
    <t>Spurious emission measurements of common site FM transmitter installations using separate co-located antenna systems</t>
  </si>
  <si>
    <t>10.1109/TBC.1984.266520</t>
  </si>
  <si>
    <t>2-s2.0-0021493961</t>
  </si>
  <si>
    <t>['waveguide slot', 'specific examples', 'sinusoidal distribution', 'simple equation', 'mutual impedance', 'electronics engineers', 'coupled radiators', 'cosinusoidal rather']</t>
  </si>
  <si>
    <t>The effect on mutual impedance of assuming a half-cosinusoidal rather than a sinusoidal voltage distribution in a waveguide slot, is examined. Specific examples of mutual impedance for broadside-coupled radiators are calculated, and a very simple equation for obtaining the mutual impedance for the cosinusoidal from the sinusoidal distribution is proposed. Copyright ¬© 1984 by The Institute of Electrical and Electronics Engineers, Inc.</t>
  </si>
  <si>
    <t>990-991</t>
  </si>
  <si>
    <t>60021902;60021902</t>
  </si>
  <si>
    <t>35565202000;57198126544</t>
  </si>
  <si>
    <t>Malherbe, Johannes A.G.;Davidson, David B.</t>
  </si>
  <si>
    <t>South Africa</t>
  </si>
  <si>
    <t>Pretoria</t>
  </si>
  <si>
    <t>University of Pretoria</t>
  </si>
  <si>
    <t>Malherbe J.</t>
  </si>
  <si>
    <t>Mutual Impedance for Half-Cosinusoid Slot Voltage Distribution: An Evaluation</t>
  </si>
  <si>
    <t>10.1109/TAP.1984.1143457</t>
  </si>
  <si>
    <t>2-s2.0-0021493996</t>
  </si>
  <si>
    <t>['worst case', 'specifications prescribe', 'sided errors', 'shaped beam', 'power gain', 'minimax sense', 'mathematically tractable', 'least squares', 'individual port', 'gain slopes', 'excitation coefficient', 'essential part', 'electronics engineers', 'direct optimization', 'beam antenna', 'basic algorithm', 'band shaped']</t>
  </si>
  <si>
    <t>An essential part of realizing a shaped beam by using a multiple-beam antenna is determining the excitation coefficient for each individual port. An algorithm which optimizes the power gain in a minimax sense is described. This criterion, although not as mathematically tractable as least squares, is necessary when the specifications prescribe that the worst case be as good as possible. It will be shown how the basic algorithm is very efficient and how it permits simple modifications to allow the specification of one-sided errors for the pattern, and direct optimization of gain slopes. A design of a C-band shaped-beam satellite antenna provides an example. Copyright ¬© 1984 by The Institute of Electrical and Electronics Engineers, Inc.</t>
  </si>
  <si>
    <t>963-968</t>
  </si>
  <si>
    <t>Klein, Charles A.</t>
  </si>
  <si>
    <t>Klein C.</t>
  </si>
  <si>
    <t>Design of Shaped-Beam Antennas Through Minimax Gain Optimization</t>
  </si>
  <si>
    <t>10.1109/TAP.1984.1143442</t>
  </si>
  <si>
    <t>2-s2.0-0021493997</t>
  </si>
  <si>
    <t>['transverse component', 'reference signal', 'radiation phenomena', 'network analyzer', 'near field', 'microwave region', 'measured results', 'integrated circuit', 'experimental study', 'electromagnetic wave', 'detailed discussion']</t>
  </si>
  <si>
    <t>Experimental study of the near field distribution around the dielectric waveguide end has been carried out on the microwave region. The result will be used for detailed discussion of reflection, deflection and radiation phenomena of electromagnetic wave in the integrated circuit of microwave through optical wave regions. Transverse component of the near field is picked up by a movable small antenna and detected by a network analyzer with a reference signal. The measured results are separated into amplitude and its phase, and expressed by both equi-amplitude, equi-phase contour maps.</t>
  </si>
  <si>
    <t>469-473</t>
  </si>
  <si>
    <t>7202524047;7403982851</t>
  </si>
  <si>
    <t>Matsumura, Kazuhito;Ueda, Toshikazu</t>
  </si>
  <si>
    <t>Matsumura K.</t>
  </si>
  <si>
    <t>EXPERIMENTAL STUDY ON THE PHASE DISTRIBUTION AROUND THE DIELECTRIC WAVEGUIDE END.</t>
  </si>
  <si>
    <t>2-s2.0-0021494054</t>
  </si>
  <si>
    <t>['power inversion', 'output sinr', 'output signal', 'noise ratio', 'jammer power', 'eventually goes', 'electronics engineers', 'band jammer', 'array decreases', 'adaptive arrays', 'adaptive array']</t>
  </si>
  <si>
    <t>The effect of jammer power on the performance of adaptive arrays is studied. It is shown that the output signal-to-interference-plus-noise ratio (SINR) of an adaptive array is a function of jammer power. In the presence of a wide-band jammer, the output SINR of the array decreases with an increase in jammer power and eventually goes to zero. Unlike continuous wave (CW) jammers, a wide-band jammer does not go through power inversion. Instead, as the jammer power is increased, the interference-to-noise ratio (INR) at the array output shows oscillations. For large jammer power, the output INR increases with an increase in jammer power. Copyright ¬© 1984 by The Institute of Electrical and Electronics Engineers, Inc.</t>
  </si>
  <si>
    <t>933-938</t>
  </si>
  <si>
    <t>Gupta, Inder J.</t>
  </si>
  <si>
    <t>Columbus</t>
  </si>
  <si>
    <t>The Ohio State University</t>
  </si>
  <si>
    <t>Gupta I.</t>
  </si>
  <si>
    <t>Effect of Jammer Power on the Performance of Adaptive Arrays</t>
  </si>
  <si>
    <t>10.1109/TAP.1984.1143448</t>
  </si>
  <si>
    <t>2-s2.0-0021494066</t>
  </si>
  <si>
    <t>['¬© 1984', 'worst disturbance', 'rights reserved', 'present paper', 'passive controls', 'optimum placement', 'operate satisfactorily', 'large antennas', 'inc .,', 'force actuators', 'beam example', 'american institute', 'accurate shape']</t>
  </si>
  <si>
    <t>Many large space structures, such as large antennas, have to maintain a fairly exact shape to operate satisfactorily. Such structures require active and passive controls to maintain their accurate shape under disturbances. The present paper is concerned with optimum placement of controls for correcting static deformations. Both force actuators and heaters are considered for controls. A formulation of design against the worst disturbance is derived. A beam example is employed to demonstrate the procedure. ¬© 1984, American Institute of Aeronautics and Astronautics, Inc., All rights reserved.</t>
  </si>
  <si>
    <t>1293-1298</t>
  </si>
  <si>
    <t>AIAA Journal</t>
  </si>
  <si>
    <t>Haftka, Raphael T.</t>
  </si>
  <si>
    <t>Blacksburg</t>
  </si>
  <si>
    <t>Virginia Polytechnic Institute and State University</t>
  </si>
  <si>
    <t>Haftka R.</t>
  </si>
  <si>
    <t>Optimum placement of controls for static deformations of space structures</t>
  </si>
  <si>
    <t>10.2514/3.8775</t>
  </si>
  <si>
    <t>2-s2.0-0021494183</t>
  </si>
  <si>
    <t>['second neglects', 'ones showed', 'null filling', 'manufacturers catalog', 'gain results', 'first takes', 'first approach', 'field calculations', 'easily adapted', 'back radiation']</t>
  </si>
  <si>
    <t>Two computer programs have been developped for the calculation of the horizontal far field radiation pattern and the directivity of full wave dipole panel antenna arrays for the VHF TV Broadcasting.The programs are written in Basic and were run with the aid of a HP-86 personal computer. Image, E-M and fundamental antenna array theory are used in order to obtain the field calculations. In both programs two approaches have been used.The first takes into account the back radiation of each panel and the second neglects it due to blockage of the tower. The produced horizontal far-field radiation pattern as well as the gain results were acceptable in the first approach and within the 10% for the second approach compared with the ones showed by the manufacturers catalog.The programs can be easily adapted for including skewed arrangements, asymmetric radiation centers, null filling, etc. ¬© 1984 IEEE</t>
  </si>
  <si>
    <t>86-96</t>
  </si>
  <si>
    <t>;60026438</t>
  </si>
  <si>
    <t>6507664961;6507433912</t>
  </si>
  <si>
    <t>Pantsios, Fred A.;Pantsios, Carl F.</t>
  </si>
  <si>
    <t>Venezuela</t>
  </si>
  <si>
    <t>Caracas</t>
  </si>
  <si>
    <t>Universidad Sim√≥n Bol√≠var</t>
  </si>
  <si>
    <t>Pantsios F.</t>
  </si>
  <si>
    <t>Computer programs for the calculation of the horizontal far field radiation pattern and directivity of full wave dipole panel antennas</t>
  </si>
  <si>
    <t>10.1109/TBC.1984.266522</t>
  </si>
  <si>
    <t>2-s2.0-0021494211</t>
  </si>
  <si>
    <t>['radiation patterns', 'peak direction', 'electronics engineers', 'conical pattern']</t>
  </si>
  <si>
    <t>A method is presented for generating circularly polarized conical patterns from circular microstrip antennas. These antennas are excited at higher order modes and require different feed arrangements for different mode excitations. It is determined that the peak direction of the conical pattern can be varied over a wide angular range. Modal expansion technique is employed to calculate the radiation patterns of these antennas. Copyright ¬© 1984 by The Institute of Electrical and Electronics Engineers, Inc.</t>
  </si>
  <si>
    <t>991-994</t>
  </si>
  <si>
    <t>Huang, John</t>
  </si>
  <si>
    <t>Huang J.</t>
  </si>
  <si>
    <t>Circularly Polarized Conical Patterns from Circular Microstrip Antennas</t>
  </si>
  <si>
    <t>10.1109/TAP.1984.1143455</t>
  </si>
  <si>
    <t>2-s2.0-0021494310</t>
  </si>
  <si>
    <t>['wavefront distortions', 'satisfactory performance', 'robustness property', 'robust narrow', 'receiving array', 'new type', 'new algorithm', 'limited broad', 'incorporated directly', 'extensive simulation', 'electronics engineers', 'direction uncertainty', 'bandwidth criteria', 'band processor']</t>
  </si>
  <si>
    <t>A new type of receiving array which adaptively minimizes ouput noise power while simultaneously satisfying certain robustness and/or bandwidth criteria is considered. The resulting array gains are shown to be robust against direction uncertainty in the assumed look direction, against wavefront distortions and against array geometry errors. The robustness property is incorporated directly into the adaption algorithm via constraints. Extensive simulation has established very satisfactory performance of this new algorithm, both as a limited broad-band processor and as a robust narrow-band processor. Copyright ¬© 1984 by The Institute of Electrical and Electronics Engineers, Inc.</t>
  </si>
  <si>
    <t>944-950</t>
  </si>
  <si>
    <t>60010571;60010571</t>
  </si>
  <si>
    <t>36863000500;57190277923</t>
  </si>
  <si>
    <t>Ahmed, Kazi M.;Evans, Robin J.</t>
  </si>
  <si>
    <t>Callaghan</t>
  </si>
  <si>
    <t>The University of Newcastle, Australia</t>
  </si>
  <si>
    <t>Ahmed K.M.</t>
  </si>
  <si>
    <t>An Adaptive Array Processor with Robustness and Broad-Band Capabilities</t>
  </si>
  <si>
    <t>10.1109/TAP.1984.1143450</t>
  </si>
  <si>
    <t>2-s2.0-0021494593</t>
  </si>
  <si>
    <t>['station antennas', 'several examples', 'polarization analysis', 'paper describes', 'new idea', 'field expression', 'field distribution', 'electronics engineers', 'convenient method']</t>
  </si>
  <si>
    <t>This paper describes a convenient method of polarization analysis for a circular multimode aperture antenna by decomposing the field distribution into two components called A,B-polar. The new idea in this technique is the separation of the A,B-polar for field expression into a rotationally symmetric magnitude function and an orientation function independent of the antenna off-axis. This leads to easily sketched figures of the multimode polarization patterns which give a clear physical picture on their effects and applications. Several examples are done in the context of the frequency reuse capabilities of earth-station antennas. Copyright ¬© 1984 by The Institute of Electrical and Electronics Engineers, Inc.</t>
  </si>
  <si>
    <t>1045-1049</t>
  </si>
  <si>
    <t>115596086-60005429</t>
  </si>
  <si>
    <t>Tseng, Fan Tung</t>
  </si>
  <si>
    <t>Taiwan;Taiwan</t>
  </si>
  <si>
    <t>Taipei;Taipei</t>
  </si>
  <si>
    <t>National Taiwan University;Directorate General of Telecommunications</t>
  </si>
  <si>
    <t>60005429;115596086</t>
  </si>
  <si>
    <t>Tseng F.T.</t>
  </si>
  <si>
    <t>An A, B-Polar Approach for Multimode Polarization Analysis in Satellite Communications</t>
  </si>
  <si>
    <t>10.1109/TCOM.1984.1096173</t>
  </si>
  <si>
    <t>2-s2.0-0021494605</t>
  </si>
  <si>
    <t>['triangular patches', 'transmission cross', 'transmission coefficients', 'section pattern', 'possibly covered', 'numerical results', 'integral equation', 'image theory', 'equivalence principle', 'electromagnetic transmission', 'aperture modeled']</t>
  </si>
  <si>
    <t>The problem of electromagnetic transmission through wire mesh covered arbitrarily shaped aperture or arrays of apertures (possibly covered by a thin lossy dielectric sheet) in a perfectly conducting ground plane is considered. The equivalence principle and image theory are used to derive an integral equation for the equivalent magnetic currents. The method of moments is utilized to solve the integral equation, with the aperture modeled by triangular patches. Numerical results are presented for transmission coefficients and transmission cross-section pattern for electrically small apertures.</t>
  </si>
  <si>
    <t>908-913</t>
  </si>
  <si>
    <t>AP-32</t>
  </si>
  <si>
    <t>55650323300;56917076700;7201653432;57222966776</t>
  </si>
  <si>
    <t>Sarkar, Tapan K.;Costa, Manuel F.;Harrington, Roger F.;I, Chih Lin</t>
  </si>
  <si>
    <t>Sarkar T.K.</t>
  </si>
  <si>
    <t>ELECTROMAGNETIC TRANSMISSION THROUGH MESH COVERED APERTURES AND ARRAYS OF APERTURES IN A CONDUCTING SCREEN.</t>
  </si>
  <si>
    <t>10.1109/tap.1984.1143435</t>
  </si>
  <si>
    <t>2-s2.0-0021494732</t>
  </si>
  <si>
    <t>['wave guides', 'wave emerging', 'voltage wave', 'transmission phenomena', 'total current', 'small compared', 'situation existing', 'section viii', 'section vii', 'section ix', 'section iii', 'section ii', 'reflected back', 'radiation effects', 'quite simple', 'present theory', 'present problem', 'physical picture', 'input impedance', 'hardly see', 'formulas contained', 'force method', 'first approximation', 'final results', 'external space', 'explanation lies', 'entire antenna', 'energy passes', 'end effect', 'electric horns', 'electric hom', 'current wave', 'current equations', 'considerably simpler', 'computing radiation', 'cheshire cat', 'charge equations', 'briefly discussed', 'boundary sphere', 'approximation needed', 'antenna region', 'antenna problem', 'antenna analysis']</t>
  </si>
  <si>
    <t>In this paper there are presented (I) a quite general method of antenna analysis; (2) a physical picture of transmission phenomena in antennas, based on this method; and (3) an expression for the input impedance of antennas of any shape, whose transverse dimensions are small compared with the wavelength. In a brief historical sketch of the antenna problem the factors which must be taken into consideration in solving the problem are discussed. While in ordinary transmission lines the voltage is proportional to the charge, this is not the case in antennas. The explanation lies in the fact that antennas are multiple transmission lines (like wave guides) and not simple, that is, single-mode transmission lines. Our present theory is based on the voltage-current equations since these appear to be considerably simpler than charge-current equations. The latter are considered only briefly. In the absence of dissipation and in so far as the total voltage wave and the ‚Äúprincipal‚Äù current wave are concerned, radiation is strictly an end effect. In so far as the total current and the total charge waves are concerned, radiation effects are distributed (nonuniformly) along the entire antenna In the first approximation, regardless of the shape of the wire the charge is proportional to the voltage and waves are sinusoidal, the current wave having nodes while the voltage wave and the charge wave antinodes at the ends of the antenna. The second approximation depends on the shape of the longitudinal cross section of the antenna as well as on the size of the transverse cross section. Our analysis is based on Maxwell's equations but the final results are quite simple and the physical picture growing out of this mathematics is attractive to an engineer. It is permissible to think that a wave emerging from a generator in the center of an antenna is guided by an antenna until it reaches its ‚Äúboundary sphere‚Äù passing through the ends of the antenna and separating the antenna region from the external space; at the boundary sphere some energy passes into the external space and some is reflected back-a situation existing at the juncture between two transmission lines with different characteristic impedances. We may also think of the antenna as the wall of an electric hom with an aperture so wide that one can hardly see the horn itself-just like a Cheshire Cat: only the grin can be seen. In fact, the mathematics that we use is that appropriate to wave guides and electric horns. The antenna problem is stated in Section I and its history is briefly discussed in Section II; Section III contains a summary and a discussion of the results for antennas with uniformly distributed capacitance (conical antennas); Section IV is devoted to antennas with nonuniformly distributed capacitance; Section V presents a derivation of the formulas contained in Section III; Section VI reviews the induced-electromotive-force method of computing radiation and its use in the present problem; Section VII is devoted to the current-charge equations; Section VIII is devoted to wave propagation along parallel wires; in Section IX an expression is given for the impedance of an infinitely long cylindrical wire, and Section X deals with an approximation needed in our discussion of the problem. ¬© 1984 IEEE</t>
  </si>
  <si>
    <t>1165-1190</t>
  </si>
  <si>
    <t>Schelkunofft, S. A.</t>
  </si>
  <si>
    <t>Schelkunofft S.</t>
  </si>
  <si>
    <t>Theory of Antennas of Arbitrary Size and Shape</t>
  </si>
  <si>
    <t>10.1109/PROC.1984.12996</t>
  </si>
  <si>
    <t>2-s2.0-0021494766</t>
  </si>
  <si>
    <t>1161-1170</t>
  </si>
  <si>
    <t>Barton, David K.</t>
  </si>
  <si>
    <t>Barton D.</t>
  </si>
  <si>
    <t>A Half Century of Radar</t>
  </si>
  <si>
    <t>10.1109/TMTT.1984.1132828</t>
  </si>
  <si>
    <t>2-s2.0-0021495564</t>
  </si>
  <si>
    <t>['wires excited', 'typical cases', 'simplified kernels', 'neither derivatives', 'magnetic current', 'integral equations', 'electric current', 'conducting screen', 'chosen arbitrarily', 'bent configuration', 'also derived']</t>
  </si>
  <si>
    <t>A pair of Hallen-type integral equations is formulated for general coupling problems of wires excited through slots in a conducting screen. The number of wires and slots, and their orientation can be chosen arbitrarily in these integral equations. The integral equations have simplified kernels in which neither derivatives nor integrals are contained. The electric and magnetic scalar potentials are also derived to analyze electromagnetic coupling between slots and wires of bent configuration. Results of the magnetic current in the slot and the electric current on the wire are given for a few typical cases.</t>
  </si>
  <si>
    <t>516-522</t>
  </si>
  <si>
    <t>55633340100;7402011206;56405174700</t>
  </si>
  <si>
    <t>Nakano, Hisamatsu;Yamane, Toshinobu;Yamauchi, Junji</t>
  </si>
  <si>
    <t>HALLEN-TYPE INTEGRAL EQUATIONS FOR A SYSTEM COMPOSED OF WIRES AND SLOTS.</t>
  </si>
  <si>
    <t>2-s2.0-0021496836</t>
  </si>
  <si>
    <t>['radiation pattern', 'position along', 'phase functions', 'phase distribution', 'perpendicular direction', 'meridian plane', 'integral reveals', 'electronics engineers', 'computed results', 'circular aperture', 'analysis carried']</t>
  </si>
  <si>
    <t>A method of scanning a one-dimensional shaped pattern generated by a circular aperture is presented. It is shown that the desired beam shape can be retained in the desired scan plane by superposing on the nonlinear phase distribution applied along and parallel to the meridian plane, a linear phase progression along the perpendicular direction. Analysis carried out using the stationary phase method of evaluating the integral reveals that the gradient of the linear phase progression is a function of position along the meridian plane of the aperture. Expressions for the phase functions are derived. Computed results on the phase distribution and the radiation pattern are presented. Copyright ¬© 1984 by The Institute of Electrical and Electronics Engineers, Inc.</t>
  </si>
  <si>
    <t>1000-1003</t>
  </si>
  <si>
    <t>Scanning of Sector and Cosecant Beams Generated by a Circular Aperture</t>
  </si>
  <si>
    <t>10.1109/TAP.1984.1143444</t>
  </si>
  <si>
    <t>2-s2.0-0021496853</t>
  </si>
  <si>
    <t>['toroidal act', 'sufficiently strong', 'slow ion', 'sheath rectification', 'second harmonic', 'resonant decay', 'parametric decay', 'nonlinearly saturated', 'hybrid waves', 'harmonic generation', 'first time', 'decay processes', 'decay parametrically', 'cyclotron waves']</t>
  </si>
  <si>
    <t>Harmonic generation and parametric decay are examined in a toroidal ACT-1 plasma using electrostatic plate antennas. The harmonic generation, which is consistent with sheath rectification, is sufficiently strong that the nonlinearly generated harmonic modes themselves decay parametrically. Resonant and nonresonant parametric decay of the second harmonic are observed and compared with uniform pump theory. Resonant decay of lower-hybrid waves into lower-hybrid waves and slow ion-cyclotron waves is seen for the first time. Surprisingly, the decay processes are nonlinearly saturated, indicating absolute instability. ¬© 1984 American Institute of Physics.</t>
  </si>
  <si>
    <t>2205-2208</t>
  </si>
  <si>
    <t>7003454886;7404759730;56144605100</t>
  </si>
  <si>
    <t>Skiff, F. N.;Wong, K. L.;Ono, M.</t>
  </si>
  <si>
    <t>Harmonic generation and parametric decay in the ion-cyclotron frequency range</t>
  </si>
  <si>
    <t>10.1063/1.864898</t>
  </si>
  <si>
    <t>2-s2.0-0021497047</t>
  </si>
  <si>
    <t>['vswr less', 'unloaded q', 'substrate thickness', 'special value', 'resonant frequency', 'paper relates', 'microstrip antenna', 'dielectric constant', 'designing method', 'designing example', 'characteristic impedance', 'calculated result', 'bandwidth becomes', '75 %,']</t>
  </si>
  <si>
    <t>This paper relates to a designing method of microstrip antenna considering the bandwidth. The bandwidth becomes a maximum for a special value of characteristic impedance of the feeder. Also, the unloaded Q and resonant frequency of the microstrip antenna are shown as a function of substrate thickness with the dielectric constant as a parameter. These relations can be shown on the drawings, which are very useful for the designing of microstrip antenna considering the bandwidth. Finally, a circular microstrip antenna, of which bandwidth for VSWR less than equivalent to 2 is 8. 75%, is manufactured as a designing example by using the paper honeycomb substrate and is measured for the return loss characteristic. From the fact that the measured result agrees well with the calculated result, the usefulness in this method is verified.</t>
  </si>
  <si>
    <t>488-493</t>
  </si>
  <si>
    <t>DESIGNING METHOD OF MICROSTRIP ANTENNA CONSIDERING THE BANDWIDTH.</t>
  </si>
  <si>
    <t>2-s2.0-0021497067</t>
  </si>
  <si>
    <t>['useful signal', 'sea model', 'noise ratios', 'lateral waves']</t>
  </si>
  <si>
    <t>Considering attenuated atmospheric radio noise, useful signal-to-noise ratios are obtained with lateral waves between submerged horizontal dipoles for an air-sea model. ¬© 1984 IEEE</t>
  </si>
  <si>
    <t>1219-1221</t>
  </si>
  <si>
    <t>Debettencourt, J. T.</t>
  </si>
  <si>
    <t>Debettencourt J.</t>
  </si>
  <si>
    <t>Lateral Waves Near the Air-Sea Boundary and Atmospheric Noise</t>
  </si>
  <si>
    <t>10.1109/PROC.1984.13003</t>
  </si>
  <si>
    <t>2-s2.0-0021497217</t>
  </si>
  <si>
    <t>['spatial morphology', 'simultaneous monitoring', 'radar maps', 'radar field', 'prior evening', 'november 1982', 'new capability', 'mid latitudes', 'low latitudes', 'latitudinal variation', 'latitude maps', 'high level', 'high latitudes', 'first even', 'exospheric temperature', 'energetic events', 'diurnal variation', 'detailed temporal', 'copyright 1984', 'antenna elevation', '4 degrees']</t>
  </si>
  <si>
    <t>Elevation scan observations made by the Millstone Hill incoherent scatter radar are analyzed to produce local‚Äêtime/latitude maps of exospheric temperature. By lowering the antenna elevation to 4 degrees, observations in the thermosphere are possible over the latitude range 25 to 60 degrees north. These radar maps of exospheric temperature provide a new capability for the simultaneous monitoring of the detailed temporal and spatial morphology of the thermosphere. The combination of such maps from different radars promises to provide a powerful new tool for global thermospheric studies. The results for two multi‚Äêday experimental periods in March and November 1982 are presented and described. During magnetically quiet periods the latitudinal variation of exospheric temperature is observed to be small in comparison with the diurnal variation. During disturbed periods large ion frictional heating events are observed at high latitudes and may extend even to mid latitudes during the more energetic events. These frictional heating effects upon the ions severely contaminate and exaggerate the deduced neutral temperatures. The second of the two November days showed substantially higher temperatures than the first even at mid and low latitudes. It is suggested that the high level of magnetic activity commencing on the prior evening and persisting for more than 24 hours served to generate an aurorally driven circulation cell that deposited auroral energy throughout the radar field of view. Copyright 1984 by the American Geophysical Union.</t>
  </si>
  <si>
    <t>915-918</t>
  </si>
  <si>
    <t>Oliver, W. L.</t>
  </si>
  <si>
    <t>Oliver W.</t>
  </si>
  <si>
    <t>Millstone Hill incoherent scatter observations of exospheric temperature over 25 to 60 degrees north latitude</t>
  </si>
  <si>
    <t>10.1029/GL011i009p00915</t>
  </si>
  <si>
    <t>2-s2.0-0021497256</t>
  </si>
  <si>
    <t>['several examples', 'finite lengths', 'electronics engineers', 'electric potentials', 'analytical expressions']</t>
  </si>
  <si>
    <t>Analytical expressions are derived for the calculations of electric potentials and fields surrounding circular cylinders of finite lengths. Results of several examples are presented. Copyright ¬© 1984 by The Institute of Electrical and Electronics Engineers, Inc.</t>
  </si>
  <si>
    <t>956-962</t>
  </si>
  <si>
    <t>Wang, Pao K.</t>
  </si>
  <si>
    <t>Wang P.</t>
  </si>
  <si>
    <t>Calculation of Electrostatic Fields Surrounding Finite Circular Cylindrical Conductors</t>
  </si>
  <si>
    <t>10.1109/TAP.1984.1143438</t>
  </si>
  <si>
    <t>2-s2.0-0021497266</t>
  </si>
  <si>
    <t>['tapered patterns', 'subreflector blockage', 'series representation', 'reflector size', 'performance parameters', 'focal distance', 'fields radiated', 'field cassegrain', 'feed taper', 'electronics engineers', 'different tapers', 'design curves', 'considered feeds', 'considered antennas']</t>
  </si>
  <si>
    <t>The fields radiated from focus-fed symmetric reflector antennas in the vicinity of forward axial direction are determined by a series representation of the physical optics integral. The considered feeds have cosine-tapered patterns with different tapers in E- and H-planes. The influence of feed pattern asymmetry, subreflector blockage, feed taper, focal distance to diameter (f/D) ratio and the reflector size on the performance parameters of paraboloidal, Cassegrain, near-field Cassegrain, and corresponding Gregorian antennas is investigated. Design curves are presented to predict the performance parameters of the considered antennas. Copyright ¬© 1984 by The Institute of Electrical and Electronics Engineers, Inc.</t>
  </si>
  <si>
    <t>893-901</t>
  </si>
  <si>
    <t>≈ûafak, Mehmet</t>
  </si>
  <si>
    <t>Ankara</t>
  </si>
  <si>
    <t>Hacettepe √úniversitesi</t>
  </si>
  <si>
    <t>≈ûafak M.</t>
  </si>
  <si>
    <t>Forward Radiation from Axially Symmetric Reflector Antennas</t>
  </si>
  <si>
    <t>10.1109/TAP.1984.1143453</t>
  </si>
  <si>
    <t>2-s2.0-0021497267</t>
  </si>
  <si>
    <t>['variable polarization', 'two antennas', 'polarization unbalance', "poincar √©'", 'incident waves', 'analyzable qualitatively']</t>
  </si>
  <si>
    <t>The polarization unbalance between the two antennas of an amplitude direction finder causes measurement errors for incident waves of variable polarization. These errors are analyzable qualitatively and quantitatively by means of Poincar√©'s sphere. ¬© 1984 IEEE</t>
  </si>
  <si>
    <t>646-650</t>
  </si>
  <si>
    <t>Ducrotoy, Robert</t>
  </si>
  <si>
    <t>Ducrotoy R.</t>
  </si>
  <si>
    <t>Polarization Mismatch Errors in Amplitude Comparison Direction Finders</t>
  </si>
  <si>
    <t>10.1109/TAES.1984.310532</t>
  </si>
  <si>
    <t>2-s2.0-0021497525</t>
  </si>
  <si>
    <t>['train weapons', 'tracking problem', 'telemetry systems', 'system operators', 'special consideration', 'receiving antenna', 'paper discusses', 'navigation done', 'available ahead', 'aircraft ),', 'aerospace contractors']</t>
  </si>
  <si>
    <t>Microwave airborne telemetry systems are used by the Dep. of Defense and aerospace contractors to test new equipment and to train weapons-system operators. Part of the data the system is designed to recover is the navigation done by the vehicle (usually a missile or aircraft), and that information is obviously not available ahead of time to steer the receiving antenna. The paper discusses the design of these telemetry systems with a special consideration for the tracking problem.</t>
  </si>
  <si>
    <t>7103397621;7006454657</t>
  </si>
  <si>
    <t>Rieger, James;Birch, Kent</t>
  </si>
  <si>
    <t>Rieger J.</t>
  </si>
  <si>
    <t>MICROWAVE AIRBORNE TELEMETRY: UNUSUAL PROBLEMS, UNUSUAL HARDWARE.</t>
  </si>
  <si>
    <t>2-s2.0-0021497542</t>
  </si>
  <si>
    <t>['three types', 'statistical properties', 'relevant characteristics', 'quantization error', 'implemented using', 'amplitude modulators', 'also discussed', 'adaptive antenna']</t>
  </si>
  <si>
    <t>Adaptive weighting networks can be implemented using in-phase and quadrature, phase-phase, or phase-amplitude modulators. The statistical properties of the quantization error are derived for each modulator and the quantization noise power produced by the modulators are compared at the output of an adaptive antenna. Other relevant characteristics of the three types of modulators are also discussed. ¬© 1984 IEEE</t>
  </si>
  <si>
    <t>547-559</t>
  </si>
  <si>
    <t>60028654;60028654</t>
  </si>
  <si>
    <t>56291559200;7006731191</t>
  </si>
  <si>
    <t>Davis, Richard M.;Sher, Patrick Jone Shyan</t>
  </si>
  <si>
    <t>SRC, Inc.</t>
  </si>
  <si>
    <t>Davis R.</t>
  </si>
  <si>
    <t>Quantization Noise in Adaptive Weighting Networks</t>
  </si>
  <si>
    <t>10.1109/TAES.1984.310523</t>
  </si>
  <si>
    <t>2-s2.0-0021497641</t>
  </si>
  <si>
    <t>['steerable antenna', 'relatively low', 'radiated angle', 'present study', 'power beamwidth', 'periodic structure', 'electronics engineers', 'dielectric waveguide', 'cost beam', 'combined structure', 'beam steering', '94 ghz', '80 ¬∞', '166 ¬∞']</t>
  </si>
  <si>
    <t>Periodic structures placed near a dielectric waveguide can cause the combined structure to radiate. The direction of radiation is controlled by the period or spacing of the elements in the structure. In the present study a simple coiled spring provided the periodic structure. Beam steering at 94 GHz over the range of 80¬∞ to 166¬∞ was achieved by flexing of the spring. The half-power beamwidth is determined by the total effective length of the structure at the radiated angle. The experimental results indicate that a relatively low-cost beam-steerable antenna for fan-type beams may be constructed. Copyright ¬© 1984 by The Institute of Electrical and Electronics Engineers, Inc.</t>
  </si>
  <si>
    <t>987-990</t>
  </si>
  <si>
    <t>60026097;60026097</t>
  </si>
  <si>
    <t>7006151971;6504507106</t>
  </si>
  <si>
    <t>Seiler, Milton R.;Mathena, Bill M.</t>
  </si>
  <si>
    <t>Battelle</t>
  </si>
  <si>
    <t>Seiler M.R.</t>
  </si>
  <si>
    <t>Millimeter-Wave Beam Steering Using ‚ÄúDiffraction Electronics‚Äù</t>
  </si>
  <si>
    <t>10.1109/TAP.1984.1143437</t>
  </si>
  <si>
    <t>2-s2.0-0021497711</t>
  </si>
  <si>
    <t>['theoretical results', 'smaller ratio', 'many applications', 'introducing slots', 'frequency operation', 'excellent agreement', 'electronics engineers', 'band frequencies', 'appropriate locations']</t>
  </si>
  <si>
    <t>Single element microstrip antenna for dual-frequency operation have been investigated. By placing shorting pins at appropriate locations in the patch, the ratio of two-band frequencies can be varied from 3 to 1.8. In many applications a smaller ratio is desired, and this can be achieved by introducing slots in the patch. In so doing, the ratio can be reduced to less than 1.3. For this type of antenna, a hybrid multiport theory is developed and theoretical results are found to be in excellent agreement with the measured. Copyright ¬© 1984 by The Institute of Electrical and Electronics Engineers, Inc.</t>
  </si>
  <si>
    <t>938-943</t>
  </si>
  <si>
    <t>60013789;60000745</t>
  </si>
  <si>
    <t>57210246842;7401934487</t>
  </si>
  <si>
    <t>Wang, Bao F.;Lo, Yuen T.</t>
  </si>
  <si>
    <t>China;United States</t>
  </si>
  <si>
    <t>Beijing;Urbana</t>
  </si>
  <si>
    <t>Beihang University;University of Illinois Urbana-Champaign</t>
  </si>
  <si>
    <t>Wang B.</t>
  </si>
  <si>
    <t>Microstrip Antennas for Dual-Frequency Operation</t>
  </si>
  <si>
    <t>10.1109/TAP.1984.1143459</t>
  </si>
  <si>
    <t>2-s2.0-0021497811</t>
  </si>
  <si>
    <t>['transmission standards', 'television receivers', 'satellites operated', 'mounting system', 'major part', 'made many', 'european countries', 'broadcasting authorities', 'broadcast channels', 'best mounting', 'basic mathematics', 'antenna attention', 'antenna alignment']</t>
  </si>
  <si>
    <t>A problem of satellite communication antenna alignment is examined in cases where television receivers are used for reception of transmission from satellites operated by broadcasting authorities of European countries. The advances, in both receivers and transmission standards have made many 'national' satellites receivable across the major part of Europe. To receive from other broadcast channels a single steerable antenna is proposed. To obtain the best mounting of this antenna attention is given not only to the basic mathematics of antenna alignment but also to the question of facilitating the steering of an antenna from one orbital position to another without sacrificing rigidity in the mounting system or accuracy in its orientation. The data for the design and construction of a steerable mount hold just as well (if not better) for a rigidly fixed installation.</t>
  </si>
  <si>
    <t>144-147</t>
  </si>
  <si>
    <t>Levey, R. J.</t>
  </si>
  <si>
    <t>Levey R.</t>
  </si>
  <si>
    <t>SATELLITE BROADCAST RECEPTION. THE MATHEMATICS OF ANTENNA ALIGNMENT.</t>
  </si>
  <si>
    <t>2-s2.0-0021497981</t>
  </si>
  <si>
    <t>['using co', 'three methods', 'microstrip dipole', 'coaxial line', 'balun transformers']</t>
  </si>
  <si>
    <t>The paper presents methods of exciting microstrip dipoles (i) from balun transformers (ii) using co-planar electromagnetic coupling (iii) using imbedded microstrip feedline electromagnetic coupling. The design of Tchebycheff balun transformer exciting a microstrip dipole from coaxial line is discussed. Results on the performance of the microstrip dipoles using the above three methods of excitation are presented.</t>
  </si>
  <si>
    <t>116-120</t>
  </si>
  <si>
    <t>57224426714;35753097600</t>
  </si>
  <si>
    <t>Lakshmana Rao, V.;Das, B. N.</t>
  </si>
  <si>
    <t>Lakshmana Rao V.</t>
  </si>
  <si>
    <t>STUDIES ON EXCITATION OF STRIP DIPOLES.</t>
  </si>
  <si>
    <t>10.1080/03772063.1984.11453252</t>
  </si>
  <si>
    <t>2-s2.0-0021498481</t>
  </si>
  <si>
    <t>1068-1082</t>
  </si>
  <si>
    <t>Okwit, S.</t>
  </si>
  <si>
    <t>Hauppauge</t>
  </si>
  <si>
    <t>LNR Communications Inc</t>
  </si>
  <si>
    <t>Okwit S.</t>
  </si>
  <si>
    <t>An Historical View of the Evolution of Low-Noise Concepts and Techniques</t>
  </si>
  <si>
    <t>10.1109/TMTT.1984.1132818</t>
  </si>
  <si>
    <t>2-s2.0-0021499036</t>
  </si>
  <si>
    <t>['wide range', 'transient responses', 'state values', 'spectral characteristics', 'simultaneously minimizing', 'results indicate', 'rapid convergence', 'noise ratio', 'loop gain', 'hopping signals', 'hopping modem', 'estimated sinr', 'electronics engineers', 'desired signal', 'deep nulls', 'algorithm maximizes', 'algorithm discriminates', 'adaptive array']</t>
  </si>
  <si>
    <t>An algorithm is described for maximizing of the signal-to-interference-plus-noise ratio (SINR) at the output of an adaptive array. The algorithm discriminates between the desired signal and any interference on the basis of the spectral characteristics of frequency-hopping signals. The algorithm maximizes the SINR by maximizing the desired-signal output power while simultaneously minimizing the interference-plus-noise output power. Rapid convergence of the weights to the steady-state values is achieved by the adjustment of the loop gain as a function of the estimated SINR at each iteration. Implementation of the algorithm in conjunction with a frequency-hopping modem is explained. Computer simulation results describe both the steady-state and transient responses of the system under various jamming conditions. The results indicate a rapid dynamic response and the steering of deep nulls over a wide range of the SINR. Copyright ¬© 1984 by The Institute of Electrical and Electronics Engineers, Inc.</t>
  </si>
  <si>
    <t>919-928</t>
  </si>
  <si>
    <t>6602724688;7003426663</t>
  </si>
  <si>
    <t>Bakhru, Kesh;Torrieri, Don J.</t>
  </si>
  <si>
    <t>Bakhru K.</t>
  </si>
  <si>
    <t>The Maximin Algorithm for Adaptive Arrays and Frequency-Hopping Communications</t>
  </si>
  <si>
    <t>10.1109/TAP.1984.1143440</t>
  </si>
  <si>
    <t>2-s2.0-0021499716</t>
  </si>
  <si>
    <t>['v characteristic', 'film antennas', 'detection properties']</t>
  </si>
  <si>
    <t>The warm carrier devices which have thin-film antennas were fabricated, and their detection properties were studied at rf, microwave and CO//2 laser frequencies. It is found that the static I-V characteristic of the fabricated devices persists up to 9. 5 GHz microwave frequencies, but does not at CO//2 laser frequency.</t>
  </si>
  <si>
    <t>525-526</t>
  </si>
  <si>
    <t>Harakawa, Ken ichi;Yasuoka, Yoshizumi;Gamo, Kenji;Namba, Susumu</t>
  </si>
  <si>
    <t>SANDWICH TYPE THIN-FILM WARM CARRIER INFRARED LASER DETECTOR.</t>
  </si>
  <si>
    <t>2-s2.0-0021499941</t>
  </si>
  <si>
    <t>['new array', 'less sensitive', 'desired signals']</t>
  </si>
  <si>
    <t>The performance of a modified Applebaum adaptive array is studied. The new array is obtained by removing the desired signal component from the output signal fed back to the correlator of an Applebaum type adaptive array. Various signal scenarios, including single desired signals or multiple simultaneous desired signals are examined. The new array is less sensitive to beam pointing errors and does not cause power inversion of desired signals. In the case of multiple simultaneous desired signals, the new array does not degrade the SNRs of strong desired signals. ¬© 1984 IEEE</t>
  </si>
  <si>
    <t>583-593</t>
  </si>
  <si>
    <t>Performance of a Modified Applebaum Adaptive Array</t>
  </si>
  <si>
    <t>10.1109/TAES.1984.310526</t>
  </si>
  <si>
    <t>2-s2.0-0021500136</t>
  </si>
  <si>
    <t>['unique method', 'japanese medium', 'experimental purposes', 'etc .,']</t>
  </si>
  <si>
    <t>A unique method of determining a satellite's antenna direction error, which includes the effects of sensor-errors, reflector thermal distortion, etc., was developed. The principle of the method is to apply a nonlinear least squares method to variations in signal strength received simultaneously at various ground stations to obtain the movement of a premeasured antenna gain pattern. Applying this method to the Japanese medium-scale broadcast satellite for experimental purposes, the system's capability and usefulness were confirmed. ¬© 1984 IEEE</t>
  </si>
  <si>
    <t>651-658</t>
  </si>
  <si>
    <t>Yokoyama, Seiki</t>
  </si>
  <si>
    <t>Nippon Hoso Kyokai</t>
  </si>
  <si>
    <t>Yokoyama S.</t>
  </si>
  <si>
    <t>Determination of Antenna Direction Using TV Signal-Strength Data</t>
  </si>
  <si>
    <t>10.1109/TAES.1984.310533</t>
  </si>
  <si>
    <t>2-s2.0-0021500413</t>
  </si>
  <si>
    <t>['television signals', 'television receivers', 'television programs', 'television ))', 'technical data', 'studies carried', 'protection ratios', 'picture quality', 'period 1979', 'paper surveys', 'main activities', 'involve monochrome', 'international exchange', 'digital coding', 'broadcasting service']</t>
  </si>
  <si>
    <t>The XVth Plenary Assembly of the International Radio Consultative Committee - CCIR (Geneva, 1982) adopted the results of studies carried out by Study Group 11 (Broadcasting service (television)) in the period 1979-1982. The paper surveys the main activities of Study Group 11 which involve monochrome and color TV systems; additional TV services; assessment of the picture quality and of the parameters that affect the quality; technical data for planning television networks, protection ratios, television receivers and antennas; international exchange of television programs, monitoring and measuring; digital coding of television signals; television program recording; satellite television broadcasting.</t>
  </si>
  <si>
    <t>0497137X</t>
  </si>
  <si>
    <t>Telecommunication journal</t>
  </si>
  <si>
    <t>Krivocheev, M. I.</t>
  </si>
  <si>
    <t>Krivocheev M.</t>
  </si>
  <si>
    <t>NEW CCIR DECISIONS ON TELEVISION BROADCASTING.</t>
  </si>
  <si>
    <t>2-s2.0-0021500585</t>
  </si>
  <si>
    <t>['theoretical models', 'scattering process', 'rf hardware', 'remote sites', 'permit high', 'mobile platform', 'microwave response', 'including adequate', 'borne spectrometer', 'angle encoding']</t>
  </si>
  <si>
    <t>Radar remote sensors in the lower microwave range are not affected by the atmosphere and darkness, but these advantages can only be realized by understanding the microwave response to terrain, sea, and other targets. This understanding requires radar backscatter measurements, including adequate 'surface-truth' information, and theoretical models to describe the scattering process. A helicopter-borne spectrometer (HELOSCAT) has been developed to permit high-quality scattering measurements from a mobile platform at remote sites. The HELOSCAT includes two antennas, RF hardware, and an externally mounted pendulum for angle encoding.</t>
  </si>
  <si>
    <t>35513627000;35592956700;7005814475;56461814600;7102249285</t>
  </si>
  <si>
    <t>Gogineni, S.;Moore, R. K.;Onstott, R. G.;Kim, Y. S.;Bushnell, D.</t>
  </si>
  <si>
    <t>Gogineni S.</t>
  </si>
  <si>
    <t>MOBILE SPECTROMETER MEASURES RADAR BACKSCATTER.</t>
  </si>
  <si>
    <t>2-s2.0-0021500587</t>
  </si>
  <si>
    <t>['turnstile elements', 'scanning characteristics', 'numerical calculations', 'much depend', 'axial ratio']</t>
  </si>
  <si>
    <t>Effects of the element radiation pattern on characteristics of the spherical array antenna composed of turnstile elements is discussed. It is found by numerical calculations that scanning characteristics of the directivity and the axial ratio do not so much depend on element radiation patterns.</t>
  </si>
  <si>
    <t>527-528</t>
  </si>
  <si>
    <t>EFFECTS OF ELEMENT RADIATION PATTERN ON CHARACTERISTICS OF TURNSTILE SPHERICAL ARRAY ANTENNA.</t>
  </si>
  <si>
    <t>2-s2.0-0021500701</t>
  </si>
  <si>
    <t>['varying tension', 'time factor', 'rights reserved', 'proposed approach', 'plane tension', 'plane stiffness', 'plane motion', 'elastic string', 'efficiency factor', 'diam wrap', 'determined based', 'approximation method', 'actively controlled']</t>
  </si>
  <si>
    <t>For large space structures such as the 100-m-diam wrap-rib deployable antenna and spinning solar sail whose out-of-plane stiffness is derived from in-plane tension, the out-of-plane motion can be actively controlled by time-varying in-plane tension. An elastic string is used to demonstrate the proposed approach, which results in a nonlinear ordinary differential equation. The approximation method is outlined from which the magnitude of time-varying tension can be determined based on the efficiency factor and the time factor. ¬© American Institute of Aeronautics and Astronautics, Inc., 1984, All rights reserved.</t>
  </si>
  <si>
    <t>463-467</t>
  </si>
  <si>
    <t>Chen, Jay Chung</t>
  </si>
  <si>
    <t>Chen J.</t>
  </si>
  <si>
    <t>Response of large space structures with stiffness control</t>
  </si>
  <si>
    <t>10.2514/3.25681</t>
  </si>
  <si>
    <t>2-s2.0-0021500726</t>
  </si>
  <si>
    <t>Natural Sciences and Engineering Research Council of Canada</t>
  </si>
  <si>
    <t>67-0662</t>
  </si>
  <si>
    <t>NSERC</t>
  </si>
  <si>
    <t>['space shuttle', 'solve even', 'solar panels', 'shifting center', 'rights reserved', 'problem considerably', 'paper presents', 'missions ranging', 'large family', 'large class', 'ideally suited', 'help assess', 'governing nonlinear', 'general formulation', 'flexible members', 'extremely difficult', 'etc .,', 'coupled equations', 'cost involved', 'complex interactions', 'attitude dynamics', 'amdahl 470', 'admissible functions']</t>
  </si>
  <si>
    <t>This paper presents a general formulation for studying librational dynamics of a large class of spacecraft during deployment of flexible members. It is applicable to a variety of missions ranging from deployment of antennas, booms, and solar panels from a spacecraft to manufacturing of trusses for space platforms using the Space Shuttle. The governing nonlinear, nonautonomous, and coupled equations of motion are extremely difficult to solve even with the help of a computer, not to mention the cost involved. The equations are being so programmed on an AMDAHL 470-V8 digital computer to help assess the effect of shifting center of mass, nonlmearities, change in inertia of the central rigid body during deployment, number of admissible functions, etc., which complicate the problem considerably. The formulation is ideally suited to help assess the effect of complex interactions between flexibility, deployment, attitude dynamics, and stability for a large family of spacecraft for the present, as well as the next, generation. ¬© American Institute of Aeronautics and Astronautics, Inc., 1983. All rights reserved.</t>
  </si>
  <si>
    <t>563-569</t>
  </si>
  <si>
    <t>60010365;60010365</t>
  </si>
  <si>
    <t>7102008072;24429337800</t>
  </si>
  <si>
    <t>Modi, V. J.;Ibrahim, A. M.</t>
  </si>
  <si>
    <t>Modi V.</t>
  </si>
  <si>
    <t>A general formulation for librational dynamics of spacecraft with deploying appendages</t>
  </si>
  <si>
    <t>10.2514/3.19895</t>
  </si>
  <si>
    <t>2-s2.0-0021501047</t>
  </si>
  <si>
    <t>['turn antenna', 'plasma cylinder', 'loop antenna', 'good agreement', 'fem solutions', 'cross section', 'analytical solutions', 'analytical methods', 'acceptable results']</t>
  </si>
  <si>
    <t>The electromagnetic fields radiated from a loop antenna on which an oscillating current flows across the static magnetic field B0 are calculated in several simple geometries by the finite element method (FEM) and by analytical methods in a cross section of a plasma cylinder. The wave number along B0is assumed to be finite. Good agreement between FEM and the analytical solutions is obtained, demonstrating the accuracy of the FEM solutions. The method is used to calculate the fields from a half-turn antenna, and acceptable results are obtained. ¬© IOP Publishing Ltd.</t>
  </si>
  <si>
    <t>1348-1352</t>
  </si>
  <si>
    <t>113574302;60000264</t>
  </si>
  <si>
    <t>57215797446;7006609108</t>
  </si>
  <si>
    <t>Yamanaka, Kaoru;Sugihara, Ryo</t>
  </si>
  <si>
    <t>Nagoya;Kanagawa</t>
  </si>
  <si>
    <t>Nagoya University;Institute of Vocational Training</t>
  </si>
  <si>
    <t>60000264;113574302</t>
  </si>
  <si>
    <t>Yamanaka K.</t>
  </si>
  <si>
    <t>Finite-Element-Analysis of Fields Radiated from Icrf Antenna</t>
  </si>
  <si>
    <t>10.1143/JJAP.23.1348</t>
  </si>
  <si>
    <t>2-s2.0-0021502448</t>
  </si>
  <si>
    <t>['¬© 1984', 'spectrum shaping', 'rights reserved', 'quick investigation', 'improved heating', 'fundamental features', 'field region', 'dimensional model', 'basic characteristics', 'also analysed']</t>
  </si>
  <si>
    <t>Using the stationary phase method, a simple asymptotic analysis of a two-dimensional model of the coupling of the cold-plasma magnetosonic wave excited by an ion-cyclotron resonance heating (ICRH) antenna is presented. Such an analysis allows quick evaluation of the basic characteristics of the ICRH antenna radiation pattern and shows how the power spectrum radiated by the antenna and plasma dispersion properties combine to produce the power flux distribution observed in the far-field region. The results of the present simplified analysis are found to be in reasonably good agreement with more sophisticated coupling codes. This development thus serves as a simple analytic tool for quick investigation of the most fundamental features of coupling for antenna design studies. With a view to spectrum shaping for improved heating and tokamak RF current drive, the case of a phased antenna array is also analysed. ¬© 1984, Cambridge University Press. All rights reserved.</t>
  </si>
  <si>
    <t>291-308</t>
  </si>
  <si>
    <t>Journal of Plasma Physics</t>
  </si>
  <si>
    <t>116742983;116743047;116743047</t>
  </si>
  <si>
    <t>7403189436;7102660576;57189536798</t>
  </si>
  <si>
    <t>Koch, R.;Bhatnagar, V. P.;Weynantst, R. R.</t>
  </si>
  <si>
    <t>Brussels;</t>
  </si>
  <si>
    <t>Koninklijke Militaire School;Association ‚ÄòEuratom-Etat beige‚Äô</t>
  </si>
  <si>
    <t>116743047;116742983</t>
  </si>
  <si>
    <t>Koch R.</t>
  </si>
  <si>
    <t>An asymptotic analysis of the radiation pattern of ion cyclotron resonance heating antennas</t>
  </si>
  <si>
    <t>10.1017/S0022377800002051</t>
  </si>
  <si>
    <t>2-s2.0-0021505654</t>
  </si>
  <si>
    <t>['¬© 1985', 'spectrometric systems', 'significant improvement', 'remote sensing', 'paper examines', 'obtained along', 'multichannel video', 'low resolution', 'joint processing', 'certain degree', 'antenna system']</t>
  </si>
  <si>
    <t>Various passive radiometric systems for measurements of natural irradiation natural formations applied in remote sensing of earth. The application of these systems is limited to a certain degree by the relatively large aperture of the antenna system and in consequence a low resolution is obtained along the surface of the natural formations studied. This paper examines the possibility for significant improvement of the resolution of passive radiometric systems through the joint processing of the data with those of multichannel video-spectrometric systems. ¬© 1985.</t>
  </si>
  <si>
    <t>721-723</t>
  </si>
  <si>
    <t>October 1984/November 1984</t>
  </si>
  <si>
    <t>Mishev, D.</t>
  </si>
  <si>
    <t>Bulgaria</t>
  </si>
  <si>
    <t>Sofia</t>
  </si>
  <si>
    <t>Bulgarian Academy of Sciences</t>
  </si>
  <si>
    <t>Mishev D.</t>
  </si>
  <si>
    <t>Increase of the resolution of passive radiometric systems through joint processing with visible range data</t>
  </si>
  <si>
    <t>0094-5765(84)90059-6</t>
  </si>
  <si>
    <t>10.1016/0094-5765(84)90059-6</t>
  </si>
  <si>
    <t>2-s2.0-0021505952</t>
  </si>
  <si>
    <t>['wave due', 'line feed', 'grating formed', 'fresnel zone', 'element pattern', 'electronics engineers', 'array elements', 'also derived']</t>
  </si>
  <si>
    <t>A phase-steered linear array feed for a parabolic cylindrical reflector antenna is considered. The nearly cylindrical wave radiated from this line feed in the Fresnel zone is expressed in terms of the isolated-element pattern. The correction to this wave due to diffraction from the endpoints of the line feed and from the grating formed by the array elements is also derived. Copyright ¬© 1984 by The Institute of Electrical and Electronics Engineers. Inc.</t>
  </si>
  <si>
    <t>1111-1116</t>
  </si>
  <si>
    <t>Diffraction Corrections to the Cylindrical Wave Radiated by a Linear Array Feed of a Cylindrical Reflector Antenna</t>
  </si>
  <si>
    <t>10.1109/TAP.1984.1143209</t>
  </si>
  <si>
    <t>2-s2.0-0021510455</t>
  </si>
  <si>
    <t>['‚ àä', 'vector transmission', 'source consisting', 'present theory', 'part ii', 'magnetic dipoles', 'line interpretation', 'image theory', 'image sources', 'image concept', 'horizontal electric', 'general three', 'field approximation', 'electronics engineers', 'dimensional sources']</t>
  </si>
  <si>
    <t>The general Sommerfeld problem with both ‚àä and ¬µ discontinuons and a source consisting of arbitrarily oriented electric and/or magnetic dipoles at the same location is considered in terms of image theory. The problem is formulated with electric and magnetic fields instead of potential quantities resulting in a vector transmission-line interpretation of the Fourier transformed problem. The image sources are seen to be located in complex space expressable in terms of a certain basic image current function, which was encountered in part II of this paper on the vertical electric dipole problem. The horizontal electric/magnetic dipole image is solved and found to consist of both vertical and horizontal current components. The image concept is generalized to the most general three-dimensional sources. As a check, the well-known reflection coefficient method is obtained as the far-field approximation of the present theory. Copyright ¬© 1984 by The Institute of Electrical and Electronics Engineers. Inc.</t>
  </si>
  <si>
    <t>1027-1032</t>
  </si>
  <si>
    <t>Exact Image Theory for the Sommerfeld Half-Space Problem, Part III: General Formulation</t>
  </si>
  <si>
    <t>10.1109/TAP.1984.1143204</t>
  </si>
  <si>
    <t>2-s2.0-0021510456</t>
  </si>
  <si>
    <t>['wire problem', 'wire penetrates', 'substantially shortened', 'special care', 'sommerfeld integrals', 'slight modification', 'planar interface', 'method treatment', 'ground stakes', 'example calculations', 'electronics engineers', 'charge discontinuity', 'buried objects', 'also applicable']</t>
  </si>
  <si>
    <t>A technique for modeling wire objects interacting across or penetrating the planar interface which separates two half-spaces is described. The moment-method treatment is employed, based on the thin wire approximation to the electric-field integral equation, with the effect of the interface included via the Sommerfeld integrals. The computation time associated with evaluating the latter is substantially shortened by using an interpolation-based technique plus asymptotic field expressions. Although developed specifically for the wire problem, the procedure is also applicable, with slight modification, to modeling surface objects as well. Special care is taken to account for the charge discontinuity that occurs at the point a wire penetrates the interface. Example calculations are shown for a monopole antenna driven against ground stakes and simple ground screens, the fields of buried objects, and a simple electromagnetic pulse (EMP) simulator. Copyright ¬© 1984 by The Institute of Electrical and Electronics Engineers. Inc.</t>
  </si>
  <si>
    <t>1040-1049</t>
  </si>
  <si>
    <t>60026175;60026175</t>
  </si>
  <si>
    <t>7203060346;7404492537</t>
  </si>
  <si>
    <t>Burke, Gerald J.;Miller, Edmund K.</t>
  </si>
  <si>
    <t>Livermore</t>
  </si>
  <si>
    <t>Lawrence Livermore National Laboratory</t>
  </si>
  <si>
    <t>Burke G.</t>
  </si>
  <si>
    <t>Modeling Antennas Near to and Penetrating a Lossy Interface</t>
  </si>
  <si>
    <t>10.1109/TAP.1984.1143220</t>
  </si>
  <si>
    <t>2-s2.0-0021510578</t>
  </si>
  <si>
    <t>['transient response', 'time domain', 'simplified method', 'response forms', 'physical parameters', 'numerical code', 'imperfectly conducting', 'electronics engineers', 'determined using', 'determine numerically']</t>
  </si>
  <si>
    <t>The transient response of imperfectly conducting and permeable spheroidal objects is determined using the impedance boundary conditions. Since the impedance boundary conditions are not known in the time domain, the frequency domain analysis is used to formulate the problem. The use of impedance boundary conditions relates conveniently the solution to the object's physical parameters and simplifies the computations. For highly conducting objects a simplified method is need to determine numerically the frequency domain data, which utilizes the numerical code for perfectly conducting objects. The excitation is assumed to be due to a periodic pulse train and generated by a small circular loop antenna. The procedure for the computation of the transient response, at very low excitation frequencies, is presented and the response forms for different object parameters and orientations are computed. Copyright ¬© 1984 by The Institute of Electrical and Electronics Engineers. Inc.</t>
  </si>
  <si>
    <t>1116-1122</t>
  </si>
  <si>
    <t>60009697;60009697</t>
  </si>
  <si>
    <t>7005104207;8092251400</t>
  </si>
  <si>
    <t>Sebak, A. A.;Shafai, Lotfollah</t>
  </si>
  <si>
    <t>Winnipeg</t>
  </si>
  <si>
    <t>University of Manitoba</t>
  </si>
  <si>
    <t>Sebak A.</t>
  </si>
  <si>
    <t>Transient Response Computation of Spheroidal Objects Using Impedance Boundary Conditions</t>
  </si>
  <si>
    <t>10.1109/TAP.1984.1143207</t>
  </si>
  <si>
    <t>2-s2.0-0021510736</t>
  </si>
  <si>
    <t>['subreflector diffraction', 'radiation pattern', 'practical result', 'optimally shaped', 'feed consists', 'electronics engineers', 'e .,', 'dielectric lens', 'considerably improved', 'aperture shadowing', 'aperture efficiency', '71 percent', '6 percent', '5 percent']</t>
  </si>
  <si>
    <t>It is shown that the aperture efficiency of a classical Cassegrain antenna can be considerably improved if the radiation pattern of the feed is optimally shaped. The corresponding optimum field distribution over the aperture of the feed consists of a circular main lobe which is surrounded by concentric sidelobe rings. This optimum field distribution with one sidelobe ring included is realized by shaping of a dielectric lens which is positioned in the aperture of a corrugated horn antenna. The design can provide a theoretical aperture efficiency of 90.5 percent when subreflector diffraction and aperture shadowing are neglected, i.e., an improvement of 0.4 dB compared to an optimum conventional feed. Measurements of a model at 22.8 GHz gave a practical result of 85.6 percent. If the model is used to feed a 30 m radiotelescope the overall antenna efficiency becomes about 71 percent. Copyright ¬© 1984 by The Institute of Electrical and Electronics Engineers. Inc.</t>
  </si>
  <si>
    <t>1094-1100</t>
  </si>
  <si>
    <t>60013141;60013141</t>
  </si>
  <si>
    <t>7101988263;7005413512</t>
  </si>
  <si>
    <t>Kildal, Per Simon;Jakobsen, Kurt R.</t>
  </si>
  <si>
    <t>Scalar Horn with Shaped Lens Improves Cassegrain Efficiency</t>
  </si>
  <si>
    <t>10.1109/TAP.1984.1143205</t>
  </si>
  <si>
    <t>2-s2.0-0021510737</t>
  </si>
  <si>
    <t>['rotating œä', 'required parameters', 'readily available', 'orthomode transducer', 'operational principles', 'locked receiver', 'electronics engineers', 'dl values', 'differential technique', 'differential phase', 'differential level', 'channel phase']</t>
  </si>
  <si>
    <t>This paper presents fundamental concepts, operational principles, and typical experimental results of a differential technique for detections of circularly polarized satellite signal parameters at low axial ratios. The approach is to equip a rotating œÄ-polarizer with an orthomode transducer in the antenna front end. A two-channel phase-locked receiver is used to detect the differential phase (DP) and the differential level (DL) between the two output channels. The required parameters are then readily available from the displays of the DP and DL values on a strip chart recorder. Copyright ¬© 1984 by The Institute of Electrical and Electronics Engineers, Inc.</t>
  </si>
  <si>
    <t>1135-1139</t>
  </si>
  <si>
    <t>Tseng F.</t>
  </si>
  <si>
    <t>A Differential Technique for Detections of Circularly Polarized Satellite Signal Parameters</t>
  </si>
  <si>
    <t>10.1109/TCOM.1984.1095977</t>
  </si>
  <si>
    <t>2-s2.0-0021510748</t>
  </si>
  <si>
    <t>['¬© 1984', 'squares problem', 'smi ).', 'rights reserved', 'paper describes', 'new technique', 'method known', 'explicit computation', 'electrical engineers', 'data domain', 'adaptive antenna']</t>
  </si>
  <si>
    <t>Antennas | Signal processing</t>
  </si>
  <si>
    <t>The paper describes a new technique for adaptive antenna beamforming. By analysing the adaptive antenna as a least-squares problem, it is possible to organise the control processor around a recursive minimisation procedure operating in the data domain. This avoids the explicit computation of the covariance matrix estimate as required by the method known as sample matrix inversion (SMI). The paper further shows how the least-squares processing algorithm may be implemented in an efficient pipeline architecture using a triangular systolic array. Computer simulation results are presented which show the performance of this new technique compared with sample matrix inversion. ¬© 1984, The Institution of Electrical Engineers. All rights reserved.</t>
  </si>
  <si>
    <t>638-645</t>
  </si>
  <si>
    <t>60082676;60082676;60082676;60026242</t>
  </si>
  <si>
    <t>7401533615;7102089880;7005457527;7006283363</t>
  </si>
  <si>
    <t>Ward, C. R.;Robson, A. J.;Hargrave, P. J.;McWhirter, J. G.</t>
  </si>
  <si>
    <t>Harlow;Salisbury</t>
  </si>
  <si>
    <t>Standard Telecommunication Laboratories Ltd.;Defence Science and Technology Laboratory</t>
  </si>
  <si>
    <t>60082676;60026242</t>
  </si>
  <si>
    <t>Ward C.</t>
  </si>
  <si>
    <t>Application of a systolic array to adaptive beamforming</t>
  </si>
  <si>
    <t>10.1049/ip-f-1.1984.0098</t>
  </si>
  <si>
    <t>2-s2.0-0021510769</t>
  </si>
  <si>
    <t>['uniform solution', 'taylor expansion', 'electronics engineers', 'asymptotic evaluation']</t>
  </si>
  <si>
    <t>The asymptotic evaluation of a typical diffraction integral with many coalescing simple pole singularities and a first-order saddle point is examined. A uniform solution is obtained by means of the Taylor expansion. Copyright ¬© 1984 by The Institute of Electrical and Electronics Engineers. Inc.</t>
  </si>
  <si>
    <t>1122-1124</t>
  </si>
  <si>
    <t>126749002;60019778</t>
  </si>
  <si>
    <t>7003785247;9276356900</t>
  </si>
  <si>
    <t>Gennarelli, Claudio;Palumbo, Luigi</t>
  </si>
  <si>
    <t>Switzerland;Italy</t>
  </si>
  <si>
    <t>Geneva;Acton</t>
  </si>
  <si>
    <t>European Organization for Nuclear Research;Istituto Universitario Navale</t>
  </si>
  <si>
    <t>60019778;126749002</t>
  </si>
  <si>
    <t>Gennarelli C.</t>
  </si>
  <si>
    <t>A Uniform Asymptotic Expansion of a Typical Diffraction Integral with many Coalescing Simple Pole Singularities and a First-Order Saddle Point</t>
  </si>
  <si>
    <t>10.1109/TAP.1984.1143219</t>
  </si>
  <si>
    <t>2-s2.0-0021512651</t>
  </si>
  <si>
    <t>['two focuses', 'receiving antenna', 'numerically studied', 'linear wires', 'line connecting', 'finite length', 'electronics engineers', 'calculated results', 'aperture size', 'antenna lengths', 'antenna directions']</t>
  </si>
  <si>
    <t>Power focusing characteristics of a prolate spheroidal reflector, the aperture of which is parallel to the line connecting the two focuses, are numerically studied. As a transmitting and a receiving antenna, linear wires with finite length are placed at or near the focuses of the reflector. Reflected near fields from the reflector are calculated by the physical optics technique, and transmitting and receiving antenna characteristics are obtained by the method of moments. Calculated results are given for the power focusing characteristics as a function of the eccentricity, the aperture size of the reflector, antenna directions, antenna lengths, and the receiving antenna displacement. Better power focusing characteristics are obtained when the transmitting antenna becomes less directive, or the size of the aperture becomes larger. Measured and calculated results agree very well. Copyright ¬© 1984 by The Institute of Electrical and Electronics Engineers. Inc.</t>
  </si>
  <si>
    <t>1033-1039</t>
  </si>
  <si>
    <t>60014256;60014256;100809735;100809735;100809735</t>
  </si>
  <si>
    <t>7102376306;7403304145;6505532386;6505669628;7201586797</t>
  </si>
  <si>
    <t>Hirasawa, Kazuhiro;Fujimoto, Kyohei;Uchikura, Takashi;Hirafuku, Sankichi;Naito, Hiroshi</t>
  </si>
  <si>
    <t>Tsukuba;Mitaka</t>
  </si>
  <si>
    <t>University of Tsukuba;Aloka Co., Ltd.</t>
  </si>
  <si>
    <t>60014256;100809735</t>
  </si>
  <si>
    <t>Power Focusing Characteristics of Ellipsoidal Reflector</t>
  </si>
  <si>
    <t>10.1109/TAP.1984.1143215</t>
  </si>
  <si>
    <t>2-s2.0-0021512652</t>
  </si>
  <si>
    <t>['visible region', 'unit circle', 'specified segment', 'sidelobe heights', 'shaped beam', 'prescribed envelope', 'polynomial representation', 'percentage ripple', 'nonshaped region', 'linear array', 'individually controlled', 'existing technique', 'electronics engineers', 'displaced radially', 'certain roots', 'achieve null']</t>
  </si>
  <si>
    <t>Use is made of an existing technique to synthesize a sum pattern whose sidelobe peaks fit a prescribed envelope in a specified segment of the visible region. In terms of a polynomial representation of the pattern, certain roots are then displaced radially off the unit circle to achieve null-filling. The result is a shaped beam with low, equal-percentage ripple, and sidelobe heights in the nonshaped region that are individually controlled. The procedure is illustrated for a linear array, designed to produce a csc2Œ∏ cosŒ∏ pattern. Copyright ¬© 1984 by The Institute of Electrical and Electronics Engineers. Inc.</t>
  </si>
  <si>
    <t>1129-1133</t>
  </si>
  <si>
    <t>60027550;60005304</t>
  </si>
  <si>
    <t>57220065537;7101778980</t>
  </si>
  <si>
    <t>Elliott, Robert S.;Stern, George J.</t>
  </si>
  <si>
    <t>Los Angeles;Waltham</t>
  </si>
  <si>
    <t>University of California, Los Angeles;Raytheon</t>
  </si>
  <si>
    <t>Elliott R.S.</t>
  </si>
  <si>
    <t>A New Technique for Shaped Beam Synthesis of Eqnispaced Arrays</t>
  </si>
  <si>
    <t>10.1109/TAP.1984.1143216</t>
  </si>
  <si>
    <t>2-s2.0-0021512961</t>
  </si>
  <si>
    <t>['new expression', 'measured data', 'growing distance', 'electronics engineers', 'doppler radar', 'continuons wave', 'also derived', '60 ghz']</t>
  </si>
  <si>
    <t>Using a continuons wave (CW) Doppler radar at 60 GHz, the radar cross sections of long metallic rods were measured. The results show linear increase with growing distance between radar and rods. A new expression for the radar cross section, which was also derived, demonstrates good agreement with the measured data. Copyright ¬© 1984 by The Institute of Electrical and Electronics Engineers. Inc.</t>
  </si>
  <si>
    <t>1124-1126</t>
  </si>
  <si>
    <t>Rembold, Bernhard</t>
  </si>
  <si>
    <t>Ulm</t>
  </si>
  <si>
    <t>Radio &amp; Radar Systems Group</t>
  </si>
  <si>
    <t>Rembold B.</t>
  </si>
  <si>
    <t>Radar Cross Section of Long Wires</t>
  </si>
  <si>
    <t>10.1109/TAP.1984.1143218</t>
  </si>
  <si>
    <t>2-s2.0-0021512985</t>
  </si>
  <si>
    <t>['thin substrates', 'substrate parameters', 'infinite array', 'grid spacings', 'electronics engineers']</t>
  </si>
  <si>
    <t>A solution is presented for the problem of an infinite array of microstrip patches fed with short current elements. The input reflection coefficient is calculated versus scan angle in an arbitrary scan plane, and the effects of substrate parameters and grid spacings are considered. The scan blindness phenomenom is observed and discussed in terms of a forced surface wave response. Measurements from waveguide simulators confirm the theory for thin substrates. Copyright ¬© 1984 by The Institute of Electrical and Electronics Engineers. Inc.</t>
  </si>
  <si>
    <t>1101-1107</t>
  </si>
  <si>
    <t>Analysis of an Infinite Array of Rectangular Microstrip Patches with Idealized Probe Feeds</t>
  </si>
  <si>
    <t>10.1109/TAP.1984.1143211</t>
  </si>
  <si>
    <t>2-s2.0-0021513069</t>
  </si>
  <si>
    <t>['taylor pattern', 'realized exactly', 'patterns obtained', 'element excitations', 'element array', 'electronics engineers', 'discrete arrays', 'continuous apertures', 'array factor', 'appropriate class', 'also presented']</t>
  </si>
  <si>
    <t>The equivalent of a Taylor pattern for continuous apertures is developed for discrete arrays. This array factor can be realized exactly, since it belongs to the appropriate class of patterns. A method for determining the element excitations is also presented. As an example, the pattern and excitations are calculated for a 41-element array with n = 6 and a 25 dB design sidelobe level. Comparison is made with the patterns obtained by applying root matching and sampling of a continuous Taylor aperture. Copyright ¬© 1984 by The Institute of Electrical and Electronics Engineers. Inc.</t>
  </si>
  <si>
    <t>1089-1093</t>
  </si>
  <si>
    <t>Villeneuve, Alfred T.</t>
  </si>
  <si>
    <t>Villeneuve A.</t>
  </si>
  <si>
    <t>Taylor Patterns for Discrete Arrays</t>
  </si>
  <si>
    <t>10.1109/TAP.1984.1143212</t>
  </si>
  <si>
    <t>2-s2.0-0021513337</t>
  </si>
  <si>
    <t>['low sidelobes', 'horn throat', 'frequency bands', 'electronics engineers']</t>
  </si>
  <si>
    <t>A millimeter-wave dual frequency circularly polarized feed for an offset reflector antenna is being developed for a portable satellite ground terminal. The two frequency bands are Q- and K-bands for transmit and receive, respectively. A compact feed design consisting of a single corrugated horn with two circular waveguide concentric openings at the horn throat is described. Good aperture efficiency and low sidelobes in both of the frequency bands are achieved. Copyright ¬© 1984 by The Institute of Electrical and Electronics Engineers. Inc.</t>
  </si>
  <si>
    <t>1108-1111</t>
  </si>
  <si>
    <t>Lee, Joseph C.</t>
  </si>
  <si>
    <t>Lee J.</t>
  </si>
  <si>
    <t>Communications: A Compact Q-/K-Band Dual Frequency Feed Horn</t>
  </si>
  <si>
    <t>10.1109/TAP.1984.1143214</t>
  </si>
  <si>
    <t>2-s2.0-0021513528</t>
  </si>
  <si>
    <t>['wave ratio', 'wave coax', 'unequal diameters', 'paraboloidal reflector', 'l band', 'electronics engineers', 'coax followed', 'antenna requirements']</t>
  </si>
  <si>
    <t>A novel backfire helical feed for a paraboloidal reflector is described. The antenna requirements were a 20 percent bandwidth at L band, right-hand circular polarization, a maximum voltage standing-wave ratio (VSWR) of 2.0, and a peak power capability of 200 kW unpressurized. The feed consists basically of a 3.5-turn helix wound around a IVs-in rigid coaxial transmission line. The 50 Œ©transmission line is coupled to the helix through a two-stage transformer within the coax followed by a half-wave coax to two-wire (unequal diameters) balun. Copyright ¬© 1984 by The Institute of Electrical and Electronics Engineers. Inc.</t>
  </si>
  <si>
    <t>1126-1128</t>
  </si>
  <si>
    <t>60019647;60019647</t>
  </si>
  <si>
    <t>56717808400;7201606506</t>
  </si>
  <si>
    <t>Johnson, Richard C.;Cotton, Rickey B.</t>
  </si>
  <si>
    <t>Johnson R.C.</t>
  </si>
  <si>
    <t>A Backfire Helical Feed</t>
  </si>
  <si>
    <t>10.1109/TAP.1984.1143217</t>
  </si>
  <si>
    <t>2-s2.0-0021515389</t>
  </si>
  <si>
    <t>['significantly smaller', 'relatively low', 'reflector antenna', 'particularly recommended', 'many applications', 'electronics engineers', 'conventional wide', 'center position', 'bandwidth ratios']</t>
  </si>
  <si>
    <t>It is shown that a specially profiled corrugated horn with a ring-loaded input converter section is capable of operating over bandwidth ratios of up to 2.4: 1. The cross polarization across the band is relatively low, and the change in beamwidth and phase-center position with frequency is acceptable for many applications. This ‚Äúcompact‚Äù horn is significantly smaller than the conventional wide-band corrugated horn, and is particularly recommended as a feed in a dual-reflector antenna where space is limited. Copyright ¬© 1984 by The Institute of Electrical and Electronics Engineers. Inc.</t>
  </si>
  <si>
    <t>1134-1138</t>
  </si>
  <si>
    <t>James, Graeme L.</t>
  </si>
  <si>
    <t>Melbourne</t>
  </si>
  <si>
    <t>Commonwealth Scientific and Industrial Research Organization</t>
  </si>
  <si>
    <t>James G.</t>
  </si>
  <si>
    <t>Design of Wide-Band Compact Corrugated Horns</t>
  </si>
  <si>
    <t>10.1109/TAP.1984.1143203</t>
  </si>
  <si>
    <t>2-s2.0-0021515476</t>
  </si>
  <si>
    <t>['tensor permeabilities', 'symmetric plane', 'respective ferrites', 'measured performances', 'main lobe', 'made clear', 'isotropic media', 'higher gain', 'ferrites yields', 'electronics engineers', 'electronically changing', 'electromagnets magnetizing', 'direction reflected', 'core wire', 'continuous scan', 'coaxial line', 'antennas composed', 'antenna loaded', 'antenna geometry']</t>
  </si>
  <si>
    <t>The measured performances of the antennas which consist of a 90¬∞ corner reflector, a horn, a core wire of a coaxial line, two or three ferrite rods, and electromagnets magnetizing the respective ferrites are presented. The following are made clear for the antenna with two ferrite rods. The load of the ferrites yields the asymmetric power pattern owing to the anisotropy of the ferrites, though the antenna geometry and the magnetization of the ferrites are symmetric. Moreover, the remarkably sharper main lobe and the higher gain are obtained by loading the ferrites. The main lobe can be turned to the direction reflected about the symmetric plane of the antenna by reversing all the dc magnetic fields applied to the ferrites, that is, electronic lobe switching in the H-plane is realized. It is shown that the antenna loaded with three ferrite rods makes the continuous scan of the main lobe possible by applying the suitable magnetic fields to the ferrites. The direction of the main lobe of these antennas is turned by electronically changing the currents of the electromagnets, that is, by changing the tensor permeabilities of the ferrites. The reciprocity for antennas composed of isotropic media does not hold for these antennas. The receiving power pattern coincides with the transmitting pattern reflected about the symmetric plane when the same dc magnetic fields are applied for both cases. Hence, these antennas permit ns to receive from a direction and simultaneously to transmit in the direction reflected about the symmetric plane. Copyright ¬© 1984 by The Institute of Electrical and Electronics Engineers. Inc.</t>
  </si>
  <si>
    <t>1013-1017</t>
  </si>
  <si>
    <t>60103680;116025490</t>
  </si>
  <si>
    <t>7201377842;35898183200</t>
  </si>
  <si>
    <t>Okamoto, Naomichi;Suzuki, Daisuke</t>
  </si>
  <si>
    <t>Shizuoka;Hamamatsu</t>
  </si>
  <si>
    <t>Shizuoka University;Member Nippon Gakki Co, Ltd.</t>
  </si>
  <si>
    <t>Okamoto N.</t>
  </si>
  <si>
    <t>Electronic Scanning by Ferrite-Loaded Corner Reflector Antennas</t>
  </si>
  <si>
    <t>10.1109/TAP.1984.1143208</t>
  </si>
  <si>
    <t>2-s2.0-0021515477</t>
  </si>
  <si>
    <t>['small aircraft', 'relative merits', 'gain distribution', 'electronics engineers', 'also given']</t>
  </si>
  <si>
    <t>A study of the relative merits of ELT antenna positions, when mounted on a small aircraft, is presented. The gain distribution of the best antenna position together with the worst crash scenario is also given. Copyright ¬© 1984 by The Institute of Electrical and Electronics Engineers, Inc.</t>
  </si>
  <si>
    <t>841-843</t>
  </si>
  <si>
    <t>Estep, Howard</t>
  </si>
  <si>
    <t>Greenbelt</t>
  </si>
  <si>
    <t>NASA Goddard Space Flight Center</t>
  </si>
  <si>
    <t>Estep H.</t>
  </si>
  <si>
    <t>Elt Antenna Gain Distributions Under Simulated Crash Conditions</t>
  </si>
  <si>
    <t>10.1109/TAES.1984.310475</t>
  </si>
  <si>
    <t>2-s2.0-0021517421</t>
  </si>
  <si>
    <t>['time domain', 'target support', 'system uses', 'system performance', 'recently installed', 'positioning system', 'permits conversion', 'particular interest', 'particular importance', 'measure phase', 'eventual operation', 'etc .)', 'electroscience laboratory', 'band measurement', 'also interfaced', '96 ghz', '30 ghz']</t>
  </si>
  <si>
    <t>The ElectroScience Laboratory at The Ohio State University has recently installed a new radar cross-section measurement system. The system uses a Scientific Atlanta compact range reflector (an offset parabolic reflector) to generate a far-field plane wave in the confines of a 40 X 20 X 60 ft anechoic chamber. The system uses a computer controlled microwave frequency synthesizer and a multichannel computer controlled receiver. The target support/positioning system and an optical target alignment system are also interfaced to the computer. The parameters of the system are 1) operation from 1 to 30 GHz (eventual operation to 96 GHz has been confirmed by field probing); 2) a plane wave volume (test area volume) of 1.3 m diameter; and 3) a sensitivity of ‚Äî 50 dBsm. Of particular importance is the ability of the system to measure phase as well as amplitude. This permits vector subtraction of the background and system calibration using a reference (sphere) target. The development of this system and the performance characteristics obtained so far will be discussed. Some results which demonstrate the system performance will be shown. Of particular interest is the broad-band measurement of both amplitude and phase. This permits conversion of the results to the time domain. Examples will be shown in which the various system components (antennas, reflector, walls, ceiling, etc.) are separated in the time domain by this technique. The development of the range is continuing and planned future improvements will also be discussed. ¬© 1984 IEEE</t>
  </si>
  <si>
    <t>1218-1223</t>
  </si>
  <si>
    <t>60003500;60003500</t>
  </si>
  <si>
    <t>24541951100;7408526953</t>
  </si>
  <si>
    <t>Walton, Eric K.;Young, Jonathan D.</t>
  </si>
  <si>
    <t>Walton E.</t>
  </si>
  <si>
    <t>The Ohio State University Compact Radar Cross-Section Measurement Range</t>
  </si>
  <si>
    <t>10.1109/TAP.1984.1143228</t>
  </si>
  <si>
    <t>2-s2.0-0021517720</t>
  </si>
  <si>
    <t>['test trajectories', 'radius 1', 'paraxial region', 'numerical evaluation', 'mutual coupling', 'modal solution', 'magnetic dipole', 'lee solution', 'four wavelengths', 'former solution', 'efficient form', 'convex surface', 'considerably less', 'best far', 'accurate near', '5 db', '3 ¬∞']</t>
  </si>
  <si>
    <t>In the analysis of mutual coupling in apertures on a convex surface, the surface field due to a magnetic dipole on a large conducting cylinder is an important canonical problem. Over the years a number of approximate asymptotic solutions have been described in the literature. In this paper the accuracy of five of the best solutions currently available is tested by comparing them with the exact modal solution. This comparison is accomplished by placing the modal solution in a more efficient form for numerical evaluation. From a study of four ray trajectories on cylinders of radius 1.5171 and four wavelengths it is concluded that two complementing solutions due to Boersma and Lee and the author have best overall accuracy. The former solution is most accurate near the source and in the paraxial region while the latter is best far from the source and off axis. The worst case errors observed for the test trajectories on the four wavelength cylinder were approximately 1 dB in magnitude and 3¬∞ in phase for the Boersma-Lee solution and 0.5 dB and 4¬∞, respectively, for the author's solution. Generally the errors are considerably less than these values. ¬© 1984 IEEE</t>
  </si>
  <si>
    <t>1237-1244</t>
  </si>
  <si>
    <t>Bird, Trevor S.</t>
  </si>
  <si>
    <t>Townsville</t>
  </si>
  <si>
    <t>James Cook University</t>
  </si>
  <si>
    <t>Bird T.</t>
  </si>
  <si>
    <t>Comparison of Asymptotic Solutions for the Surface Field Excited by a Magnetic Dipole on a Cylinder</t>
  </si>
  <si>
    <t>10.1109/TAP.1984.1143243</t>
  </si>
  <si>
    <t>2-s2.0-0021517775</t>
  </si>
  <si>
    <t>['subreflector corresponding', 'reflection point', 'physical optics', 'new technique', 'modified jacobi', 'main reflector', 'gregorian type', 'geometrical theory', 'geometrical optics', 'field pattern', 'design method', 'defocused mode', 'defocused feed', 'current density', 'cassegrain type', 'bessel series']</t>
  </si>
  <si>
    <t>A design method for an offset-fed, dual reflector antenna (Cassegrain type or Gregorian type) system with an axisymmetric main reflector is presented. Geometrical optics (GO) and the geometrical theory of diffraction (GTD) are used to find the surface-current density on the main reflector. A modified Jacobi-Bessel series (JBS) method is used to find the far-field pattern for the physical optics (PO) integral. In the defocused mode of operation, a new technique is developed to find the reflection point on the subreflector corresponding to the defocused feed and a general field point on the main reflector. Two sample systems are designed. ¬© 1984 IEEE</t>
  </si>
  <si>
    <t>1230-1236</t>
  </si>
  <si>
    <t>60029311;60029311</t>
  </si>
  <si>
    <t>7403319741;7005574913</t>
  </si>
  <si>
    <t>Chang, Dau Chyrh;Rusch, Willard V.T.</t>
  </si>
  <si>
    <t>An Offset-Fed Reflector Antenna with an Axially Symmetric Main Reflector</t>
  </si>
  <si>
    <t>10.1109/TAP.1984.1143242</t>
  </si>
  <si>
    <t>2-s2.0-0021517867</t>
  </si>
  <si>
    <t>['resistive part', 'regular configuration', 'reactive part', 'loop perimeter', 'input impedance', 'cases may', '8 œªfor', '5 œªfor']</t>
  </si>
  <si>
    <t>Simple closed formula is given to determine the resistive part of the loop antenna input impedance. An equivalent transmission line is used to determine the reactive part of the input impedance for the same loop, and the antenna in both cases may have any regular configuration. This method has proved to be accurate for a loop perimeter up to 0.5 Œªfor the resistive part and up to 0.8 Œªfor the reactive part. ¬© 1984 IEEE</t>
  </si>
  <si>
    <t>1248-1251</t>
  </si>
  <si>
    <t>60003419;60003419</t>
  </si>
  <si>
    <t>6602788136;6506771007</t>
  </si>
  <si>
    <t>Awadalla, Kamal H.;Sharshar, Abd El Mageed A.</t>
  </si>
  <si>
    <t>Shibin El Kom</t>
  </si>
  <si>
    <t>Minufiya University Faculty of Electronic Engineering</t>
  </si>
  <si>
    <t>Awadalla K.H.</t>
  </si>
  <si>
    <t>A Simple Method to Determine the Impedance of a Loop Antenna</t>
  </si>
  <si>
    <t>10.1109/TAP.1984.1143237</t>
  </si>
  <si>
    <t>2-s2.0-0021517942</t>
  </si>
  <si>
    <t>['stability appears', 'largely limited', 'copyright 1984', 'closure phases', '89 ghz']</t>
  </si>
  <si>
    <t>Very long baseline interferometry (VLBI) experiments at a frequency of 89 GHz (3.4‚Äêmm wavelength) using hydrogen maser frequency standards show that under good atmospheric conditions coherence can be maintained for times up to 700 s, corresponding to an Allan standard deviation of approximately 10‚àí14. The stability appears to be largely limited by the phase noise resulting from fluctuations in delay through the troposphere. Methods of estimating the interferometer fringe amplitudes and closure phases in the presence of large phase fluctuations are examined. The spectrum and the Allan standard deviation of the observed phase fluctuations are derived. Copyright 1984 by the American Geophysical Union.</t>
  </si>
  <si>
    <t>1552-1560</t>
  </si>
  <si>
    <t>November-December 1984</t>
  </si>
  <si>
    <t>7402815984;6505935785;7006653741;7402046134</t>
  </si>
  <si>
    <t>Rogers, A. E.E.;Moffet, A. T.;Backer, D. C.;Moran, J. M.</t>
  </si>
  <si>
    <t>Rogers A.</t>
  </si>
  <si>
    <t>Coherence limits in VLBI observations at 3‚Äêmillimeter wavelength</t>
  </si>
  <si>
    <t>10.1029/RS019i006p01552</t>
  </si>
  <si>
    <t>2-s2.0-0021517962</t>
  </si>
  <si>
    <t>['path ranges', 'large variety', 'gain measurements', 'forest vegetation', 'empirical model', 'assess quantitatively', 'antenna heights', 'antenna height', '800 mhz']</t>
  </si>
  <si>
    <t>Radio path loss measurements were conducted in various tropical rain forests of India at frequencies from 50 to 800 MHz, antenna heights from 1.5 m to 16.5 m above ground with both horizontally and vertically polarized emissions, and at a large variety of path ranges. The results from a series of antenna height-gain measurements in the forest vegetation are presented. Based on the data thus collected, an empirical model is suggested to assess quantitatively the antenna height gain as a function of frequency and antenna heights. ¬© 1984 IEEE</t>
  </si>
  <si>
    <t>1265-1268</t>
  </si>
  <si>
    <t>60069481;60069481;60020825</t>
  </si>
  <si>
    <t>57205779409;7005090013;7402899879</t>
  </si>
  <si>
    <t>Tewari, R. K.;Swarup, S.;Roy, Manujendra N.</t>
  </si>
  <si>
    <t>Dehradun;Kolkata</t>
  </si>
  <si>
    <t>Defence Electronics Applications Laboratory India;Jadavpur University</t>
  </si>
  <si>
    <t>60069481;60020825</t>
  </si>
  <si>
    <t>Tewari R.</t>
  </si>
  <si>
    <t>An Empirical Result for the Height Gain in Forest Medium</t>
  </si>
  <si>
    <t>10.1109/TAP.1984.1143232</t>
  </si>
  <si>
    <t>2-s2.0-0021518091</t>
  </si>
  <si>
    <t>['copyright 1984']</t>
  </si>
  <si>
    <t>Self‚Äêimpedance formulae for a small horizontal wire loop and for a short vertical dipole above the earth are derived by using the exact image principle. The resulting integrals appear extremely well behaved for low antenna elevations and give good results with the simplest numerical approximations. Copyright 1984 by the American Geophysical Union.</t>
  </si>
  <si>
    <t>1469-1474</t>
  </si>
  <si>
    <t>7004143659;7102492958</t>
  </si>
  <si>
    <t>Alanen, Esko;Lindell, Ismo V.</t>
  </si>
  <si>
    <t>Alanen E.</t>
  </si>
  <si>
    <t>Impedance of vertical electric and magnetic dipole above a dissipative ground</t>
  </si>
  <si>
    <t>10.1029/RS019i006p01469</t>
  </si>
  <si>
    <t>2-s2.0-0021518109</t>
  </si>
  <si>
    <t>['variational formulation', 'slab geometry', 'plasma radius', 'limiter frame', 'lateral frame', 'jet antenna', 'inhomogeneous plasma', 'full account', 'dual purpose', 'consistent currents', 'completely recessed', 'antenna impedance', 'antenna elements']</t>
  </si>
  <si>
    <t>The JET antenna has been conceived as a ‚Äòlimiter antenna‚Äô, completely recessed in a lateral frame which has the dual purpose of protecting the conductors and limiting the plasma radius. The coupling of this antenna is calculated in slab geometry, using a variational formulation which finds the self-consistent currents in the antenna elements. Full account is taken of the modes excited inside the limiter frame and of their coupling to waves in the inhomogeneous plasma. This yields the antenna impedance as a function of frequency and the field structure inside the plasma, including power fluxes and dispersion, as a function of penetration. ¬© 1984 IOP Publishing Ltd.</t>
  </si>
  <si>
    <t>1383-1392</t>
  </si>
  <si>
    <t>Theilhaber, K.</t>
  </si>
  <si>
    <t>Theory of the JET ICRH antenna</t>
  </si>
  <si>
    <t>10.1088/0029-5515/24/11/001</t>
  </si>
  <si>
    <t>2-s2.0-0021518180</t>
  </si>
  <si>
    <t>['typhoon 5', 'radar site', 'radar makes', 'radar beam', 'preliminary observation', 'kyoto university', 'interpulse period', 'copyright 1984', '19 yagis']</t>
  </si>
  <si>
    <t>The middle and upper atmosphere radar of Radio Atmospheric Science Center, Kyoto University, is now partly in operation. The facility will be complete in 1985. The active array antenna system of the radar makes it possible to steer the radar beam in an interpulse period, i.e., 400 Œºs. The antenna system consists of independently operative subgroups, each having 19 Yagis. We expect various sophisticated experiments by the system. A preliminary observation was successful to elucidate atmospheric motions during typhoon 5 which approached the radar site in August, 1983. Copyright 1984 by the American Geophysical Union.</t>
  </si>
  <si>
    <t>1475-1484</t>
  </si>
  <si>
    <t>35425453600;22968491200;35433785500;7403584142;7402952086;55398698300</t>
  </si>
  <si>
    <t>Kato, Susumu;Ogawa, Toru;Tsuda, Toshitaka;Sato, Toru;Kimura, Iwane;Fukao, Shoichiro</t>
  </si>
  <si>
    <t>Kato S.</t>
  </si>
  <si>
    <t>The middle and upper atmosphere radar: First results using a partial system</t>
  </si>
  <si>
    <t>10.1029/RS019i006p01475</t>
  </si>
  <si>
    <t>2-s2.0-0021518215</t>
  </si>
  <si>
    <t>['¬© 1984', 'wounding discs', 'undergo transdetermination', 'sensitive mutation', 'results suggest', 'results indicate', 'restrictive temperature', 'proliferative phase', 'number rather', 'nonmutant discs', 'large size', 'investigate properties', 'give rise', 'differential rate', 'cultured disc', 'cell division', 'autonomous property', 'additional proliferation']</t>
  </si>
  <si>
    <t>The heat-sensitive mutation of Drosophila melanogaster e(3)c43hs1, causes mutant larvae raised at a restrictive temperature to have abnormally large wing discs. The large size of these discs is a disc-autonomous property and results from an increase in the number rather than the size of wing disc cells. We have used wing discs from this mutant to further investigate properties of transdetermination which had previously been investigated with nonmutant discs. Transdetermination can occur in nonmutant discs when the proliferative phase of imaginal disc development is extended by wounding discs and culturing them in vivo. The results indicate that additional proliferation in the absence of wounding does not lead to transdetermination. There is a correlation between the extent of growth of a cultured disc and the probability that it will undergo transdetermination. The results suggest that this correlation does not depend on a differential rate of cell division. Finally, the results indicate that the cells which give rise to transdetermination are at an equivalent developmental stage no later than that characteristic of eye-antenna disc cells before the third larval instar. ¬© 1984.</t>
  </si>
  <si>
    <t>135-146</t>
  </si>
  <si>
    <t>Developmental Biology</t>
  </si>
  <si>
    <t>60005248;60005248;60005248;60005248</t>
  </si>
  <si>
    <t>7004253986;56429797200;7403214085;6601967106</t>
  </si>
  <si>
    <t>Shearn, Allen;Martin, Andrea;Davis, Katherine;Hersperger, Evelyn</t>
  </si>
  <si>
    <t>Baltimore</t>
  </si>
  <si>
    <t>Johns Hopkins University</t>
  </si>
  <si>
    <t>Shearn A.</t>
  </si>
  <si>
    <t>Genetic analysis of transdetermination in Drosophila. I. The effects of varying growth parameters using a temperature-sensitive mutation</t>
  </si>
  <si>
    <t>10.1016/0012-1606(84)90069-1</t>
  </si>
  <si>
    <t>2-s2.0-0021519052</t>
  </si>
  <si>
    <t>['weighting functions', 'using galerkin', 'stratified medium', 'sinusoidal expansion', 'relative permittivity', 'integral equation', 'input impedance', 'four layers', 'dielectric plate', 'dielectric cover', 'current located', 'current distribution', 'cover parameters', 'constant thickness', 'carefully considered']</t>
  </si>
  <si>
    <t>The effect of the thickness and relative permittivity of a dielectric cover on a printed microstrip dipole has been analyzed. It is shown that the current distribution and the input impedance are, in general, very sensitive to variations of the cover parameters. For a dielectric plate with a constant thickness the dipole resonant length decreases substantially with an increase of the relative permittivity. Because of the limited bandwidth presented by single-element microstrip antennas the effects of the dielectric cover on the design of these antennas have to be carefully considered. For the calculation of the current distribution, the Hertz vector potential associated with the problem was determined for an element of current located in a stratified medium with four layers. Pocklington's integral equation was solved for the currents, using Galerkin's method with piecewise-sinusoidal expansion and weighting functions. ¬© 1984 IEEE</t>
  </si>
  <si>
    <t>1149-1153</t>
  </si>
  <si>
    <t>60029570;60029570;60024989</t>
  </si>
  <si>
    <t>35617724800;7004822283;6508138133</t>
  </si>
  <si>
    <t>Soares, Antonio J.M.;Giarola, Attilio J.;De Assis Fonseca, Sergio Barroso</t>
  </si>
  <si>
    <t>Soares A.</t>
  </si>
  <si>
    <t>The Effect of a Dielectric Cover on the Current Distribution and Input Impedance of Printed Dipoles</t>
  </si>
  <si>
    <t>10.1109/TAP.1984.1143241</t>
  </si>
  <si>
    <t>2-s2.0-0021519150</t>
  </si>
  <si>
    <t>['teletext facilities', 'systems investigated', 'potential expansion', 'multiple dwellings', 'family homes', 'edtv ).', 'early part', 'direct broadcast', 'definition tv', 'commercially available', 'commercial needs', 'author describes']</t>
  </si>
  <si>
    <t>The author describes the B-MAC transmission format recently developed for direct broadcast by satellite (DBS) that meets both technical and commercial needs. The custom integrated circuits (ICs) necessary for decoding in this system are expected to be commercially available in the early part of 1985. Requirements beyond satellite transmission include capability of distribution on cable for single-family homes, through satellite master antenna TV systems for multiple dwellings, and via UHF terrestrial broadcast. Other considerations involve encryption of the material, scrambling of the video, teletext facilities, and potential expansion for extended-definition TV (EDTV). Several of the other systems investigated are discussed, together with the reasons for this choice.</t>
  </si>
  <si>
    <t>1034-1043</t>
  </si>
  <si>
    <t>SMPTE Journal</t>
  </si>
  <si>
    <t>Nov</t>
  </si>
  <si>
    <t>Lowry, John D.</t>
  </si>
  <si>
    <t>Willowdale</t>
  </si>
  <si>
    <t>Digital Video Systems Inc.</t>
  </si>
  <si>
    <t>Lowry J.</t>
  </si>
  <si>
    <t>B-MAC: AN OPTIMUM FORMAT FOR SATELLITE TELEVISION TRANSMISSION.</t>
  </si>
  <si>
    <t>10.5594/J16834</t>
  </si>
  <si>
    <t>2-s2.0-0021519177</t>
  </si>
  <si>
    <t>['sampling representation', 'required samples', 'reported showing', 'radiation integral', 'radiated field', 'projection technique', 'possibly shaped', 'numerical examples', 'new method', 'far field', 'deformed reflectors', 'approach particularly']</t>
  </si>
  <si>
    <t>A new method for computing the far field of a possibly shaped or deformed reflector antenna based on a sampling representation of the radiation integral is presented. Using a projection technique the required samples can be efficiently computed using a two-dimensional fast Fourier transform (FFT), whereas the radiated field is reconstructed via standard sampling expansion. Numerical examples and computation time analysis are reported showing the effectiveness of the approach particularly for deformed reflectors and/or plane-cut field evaluation. ¬© 1984 IEEE</t>
  </si>
  <si>
    <t>1259-1262</t>
  </si>
  <si>
    <t>60017293;60020261</t>
  </si>
  <si>
    <t>7006499276;57201738411</t>
  </si>
  <si>
    <t>Bucci, Ovidio M.;Di Massa, Giuseppe</t>
  </si>
  <si>
    <t>Rende;Naples</t>
  </si>
  <si>
    <t>Universit√† della Calabria;Universit√† degli Studi di Napoli Federico II</t>
  </si>
  <si>
    <t>60020261;60017293</t>
  </si>
  <si>
    <t>Bucci O.M.</t>
  </si>
  <si>
    <t>Exact Sampling Approach for Reflector Antennas Analysis</t>
  </si>
  <si>
    <t>10.1109/TAP.1984.1143230</t>
  </si>
  <si>
    <t>2-s2.0-0021519550</t>
  </si>
  <si>
    <t>['wide slit', 'two wedges', 'two semi', 'transmission coefficient', 'previous results', 'numerical results', 'isolation plus', 'interaction term', 'infinite wedges', 'good agreement', 'diffraction pattern', 'asymptotic expression', 'approximate technique']</t>
  </si>
  <si>
    <t>Following an approximate technique by Karp and Rnssek for the diffraction by a wide slit, an asymptotic expression for the far diffracted field to a plane wave incident on two semi-infinite wedges is derived in terms of the unperturbed field due to the two wedges in isolation plus an interaction term due to an equivalent inhomogeneous line source at each edge. Numerical results for the diffraction pattern, transmission coefficient, equivalent line source intensity, and interaction term are presented and are in good agreement with previous results. ¬© 1984 IEEE</t>
  </si>
  <si>
    <t>1262-1265</t>
  </si>
  <si>
    <t>7005949569;7103051886</t>
  </si>
  <si>
    <t>Elsherbeni, A. Z.;Hamid, Michael</t>
  </si>
  <si>
    <t>Elsherbeni A.</t>
  </si>
  <si>
    <t>Diffraction by a Wide Double Wedge</t>
  </si>
  <si>
    <t>10.1109/TAP.1984.1143231</t>
  </si>
  <si>
    <t>2-s2.0-0021519659</t>
  </si>
  <si>
    <t>['washington area', 'tokyo area', 'talking circuit', 'motorola system', 'major differences', 'japanese system', 'bell system']</t>
  </si>
  <si>
    <t>The three major small-cell mobile phone systems now entering commercial use are described. These are the Bell system in the greater Chicago area, the Motorola system in the Baltimore/Washington area, and the Japanese system in the Tokyo area. The Bell system is described in some detail, including its procedure when reducing cell size, and the steps in setting up and in handing off a talking circuit. The major differences in the other systems are stated. ¬© 1984 IEEE</t>
  </si>
  <si>
    <t>269-275</t>
  </si>
  <si>
    <t>Stocker, Arthur C.</t>
  </si>
  <si>
    <t>Stocker A.</t>
  </si>
  <si>
    <t>Small-Cell Mobile Phone Systems</t>
  </si>
  <si>
    <t>10.1109/T-VT.1984.24018</t>
  </si>
  <si>
    <t>2-s2.0-0021519727</t>
  </si>
  <si>
    <t>['urban area', 'three factors', 'theoretical analysis', 'polarization difference', 'mobile station', 'l values', 'generalized expressions', 'dual polarization', 'diversity branches', 'also carried', '900 mhz', '5 db']</t>
  </si>
  <si>
    <t>Base station polarization diversity reception in which signals are received by dual polarization (ex. ¬±45¬∞ polarization) is discussed. A theoretical analysis is presented on correlation coefficient p between diversity branches, and received signal level decrease L caused by polarization difference at the base and mobile station. The generalized expressions of p and L are then derived. Measurements were also carried out at 900 MHz in an urban area. Consequently, it was found that the p and L values are expressed by three factors, p is lower than 0.6 and L is smaller than 2.5 dB. It is concluded that this polarization diversity reception can be used as an effective diversity reception. ¬© 1984 IEEE</t>
  </si>
  <si>
    <t>56771829000;7005280804;7402113724</t>
  </si>
  <si>
    <t>Kozono, Shigeru;Tsuruhara, Toshinari;Sakamoto, Masayuki</t>
  </si>
  <si>
    <t>Kozono S.</t>
  </si>
  <si>
    <t>Base Station Polarization Diversity Reception for Mobile Radio</t>
  </si>
  <si>
    <t>10.1109/T-VT.1984.24022</t>
  </si>
  <si>
    <t>2-s2.0-0021519785</t>
  </si>
  <si>
    <t>U.S. Department of Energy</t>
  </si>
  <si>
    <t>DE-AC03-76SFO0098</t>
  </si>
  <si>
    <t>USDOE</t>
  </si>
  <si>
    <t>['widely used', 'sensitive detectors', 'present research', 'photolithographic techniques', 'noise thermometry', 'magnetic flux', 'improved sensitivity', 'focused largely', 'dc squids', 'current status', 'briefly reviewed']</t>
  </si>
  <si>
    <t>Both dc and rf Superconducting QUantum Interference Devices (SQUIDs) are widely used as ultra-sensitive detectors of magnetic flux. Present research is focused largely on thin-film dc SQUIDs fabricated with photolithographic techniques. The current status of this field is briefly reviewed. The impact of dc SQUIDs with improved sensitivity on noise thermometry and gravitational wave antennas is discussed.</t>
  </si>
  <si>
    <t>441-448</t>
  </si>
  <si>
    <t>126 B-C</t>
  </si>
  <si>
    <t>Physica B: Physics of Condensed Matter &amp; C: Atomic, Molecular and Plasma Physics, Optics</t>
  </si>
  <si>
    <t>Clarke, John</t>
  </si>
  <si>
    <t>ULTRASENSITIVE MEASURING DEVICES.</t>
  </si>
  <si>
    <t>10.1016/0378-4363(84)90199-2</t>
  </si>
  <si>
    <t>2-s2.0-0021520024</t>
  </si>
  <si>
    <t>['transport code', 'tracing calculations', 'tracing calculation', 'spatial spread', 'radial temperature', 'profile must', 'power launched', 'plug plasma', 'plasma edge', 'plasma build', 'plasma axis', 'multiple ray', 'may lead', 'electrons near', 'density profiles', 'artificially producing', 'absorption along']</t>
  </si>
  <si>
    <t>A mechanism has been developed by which a three-dimensional Electron Cyclotron Resonance Heating (ECRH) ray-tracing-absorption calculation may be coupled to a tandem mirror transport code. The radial temperature and density profiles of the transport code are expanded via flux conservation to provide the three-dimensional geometry required for the ray-tracing calculation. Absorption along the ray trajectory determines an equivalent radial ECRH power deposition profile for use by the transport code. This profile must be generated by using multiple ray-tracing calculations to simulate the spatial spread of the power launched from an antenna. A technique for artificially producing these multiple ray simulations is presented and compared with results where multiple ray-tracing calculations were performed. Examples of plasma build-up simulations for a tandem mirror using ECRH in the plug are provided. A positive feedback mechanism is identified which produces locally large electron temperatures. This occurs frequently near the plasma edge, shielding the electrons near the plasma axis from the incident ECRH power, and producing a hollow temperature profile. This may lead t o the collapse of the plug plasma. ¬© 1984 IOP Publishing Ltd.</t>
  </si>
  <si>
    <t>1393-1406</t>
  </si>
  <si>
    <t>60032179;60032179</t>
  </si>
  <si>
    <t>57216236867;57200000034</t>
  </si>
  <si>
    <t>Braun, D. G.;Emmert, G. A.</t>
  </si>
  <si>
    <t>Braun D.G.</t>
  </si>
  <si>
    <t>Time evolution of ECRH power deposition in a tandem mirror plasma</t>
  </si>
  <si>
    <t>10.1088/0029-5515/24/11/002</t>
  </si>
  <si>
    <t>2-s2.0-0021521167</t>
  </si>
  <si>
    <t>['snbstrate thickness', 'parasitically excited', 'method accounts', 'graphs permit', 'generalized solution', 'embedded inside', 'design procedure', 'design graphs', 'conductor thickness', 'analyzed accurately']</t>
  </si>
  <si>
    <t>A generalized solution for a class of printed circuit antennas excited by a strip transmission line is presented. The strip transmission line may be embedded inside or printed on the substrate. As an example, microstrip dipoles electromagnetically coupled (parasitically excited) to embedded strip transmission line have been analyzed accurately, and design graphs are provided for a specific substrate material. These graphs permit the establishment of a design procedure which yields the microstrip dipole length, overlap, offset, and snbstrate thickness with the goal of a desired input match for a given substrate material. The method accounts for conductor thickness and for arbitrary substrate parameters. Comparison with experiment shows excellent agreement. ¬© 1984 IEEE</t>
  </si>
  <si>
    <t>1179-1186</t>
  </si>
  <si>
    <t>7004624580;7004468161</t>
  </si>
  <si>
    <t>Katehi, Pisti B.;Alex√≥poulos, Nic√≥laos G.</t>
  </si>
  <si>
    <t>Katehi P.B.</t>
  </si>
  <si>
    <t>On the Modeling of Electromagnetically Coupled Microstrip Antennas‚ÄîThe Printed Strip Dipole</t>
  </si>
  <si>
    <t>10.1109/TAP.1984.1143235</t>
  </si>
  <si>
    <t>2-s2.0-0021521301</t>
  </si>
  <si>
    <t>['way transmissions', 'sidelobe level', 'matched filter', 'electronics engineers', 'distortions resulting', 'dispersion effects']</t>
  </si>
  <si>
    <t>The dispersion effects that are produced when wideband linear frequency modulation (FM) signals are transmitted through a circular phased array are considered for both one-way and two-way transmissions through the array. The distortions resulting at the output of a matched filter which is matched to the undistorted linear FM signal are studied. These distortions are 1) loss in peak pulse amplitude, 2) widening of the pulse, and 3) reduction in sidelobe level. Copyright ¬© 1984 by The Institute of Electrical and Electronics Engineers, Inc.</t>
  </si>
  <si>
    <t>817-821</t>
  </si>
  <si>
    <t>;60032730</t>
  </si>
  <si>
    <t>7403721202;7202894438</t>
  </si>
  <si>
    <t>Patel, M. R.;Arora, R. K.</t>
  </si>
  <si>
    <t>New Delhi</t>
  </si>
  <si>
    <t>Indian Institute of Technology Delhi</t>
  </si>
  <si>
    <t>Patel M.</t>
  </si>
  <si>
    <t>Dispersion Effects In A Circular Phased Array</t>
  </si>
  <si>
    <t>10.1109/TAES.1984.310465</t>
  </si>
  <si>
    <t>2-s2.0-0021521309</t>
  </si>
  <si>
    <t>['waves along', 'space harmonics', 'phase velocity', 'outer radius', 'modal matching', 'important factor', 'fourier transforming', 'copyright 1984', 'copolar beamwidth', 'aperture fields']</t>
  </si>
  <si>
    <t>The disc‚Äêon‚Äêrod antenna is analyzed as a traveling wave antenna. The propogation characteristics along the rod are predicted by modal matching, including the effect of space harmonics. The analysis is confirmed by an open resonant cavity experiment. A parametric study shows that the ratio of the inner to the outer radius is the most important factor in controlling the phase velocity of waves along the disc on rod. The far field radiation patterns are predicted by Fourier transforming the aperture fields. This enables the variation with frequency of the copolar beamwidth and the peak cross‚Äêpolar power to be studied. Copyright 1984 by the American Geophysical Union.</t>
  </si>
  <si>
    <t>1439-1444</t>
  </si>
  <si>
    <t>7006827241;7004192165;7005244140</t>
  </si>
  <si>
    <t>Olver, A. D.;Dubrovka, F. F.;Parini, C. G.</t>
  </si>
  <si>
    <t>Propagation and radiation characteristics of the disc‚Äêon‚Äêrod antenna</t>
  </si>
  <si>
    <t>10.1029/RS019i006p01439</t>
  </si>
  <si>
    <t>2-s2.0-0021521575</t>
  </si>
  <si>
    <t>['synthesis procedure', 'scanning performance', 'performance results', 'perfect focusing', 'offset design', 'improved beam', 'focal points', 'beam scan']</t>
  </si>
  <si>
    <t>A synthesis procedure and performance results for an offset dual reflector with perfect focusing at ¬± 8¬∞ of beam scan are presented. This bifocal antenna extends the theory of the previously reported symmetric system to an offset design. Approximations, such as the smearing of focal points into a ‚Äúfocal ring,‚Äù are eliminated, as is blockage. The offset design affords greater design flexibility, although the synthesis is more complex. Computed and experimental results demonstrate the improved beam-scanning performance of this antenna. ¬© 1984 IEEE</t>
  </si>
  <si>
    <t>1196-1204</t>
  </si>
  <si>
    <t>Rappaport, Carey M.</t>
  </si>
  <si>
    <t>Clarksburg</t>
  </si>
  <si>
    <t>Comsat Laboratories</t>
  </si>
  <si>
    <t>Rappaport C.</t>
  </si>
  <si>
    <t>An Offset Bifocal Reflector Antenna Design for Wide-Angle Beam Scanning</t>
  </si>
  <si>
    <t>10.1109/TAP.1984.1143227</t>
  </si>
  <si>
    <t>2-s2.0-0021521643</t>
  </si>
  <si>
    <t>['orthogonal polarization', 'illuminating source', 'horizontally oriented', 'horizontal plane', 'electronics engineers', 'chaff ).', 'arbitrary polarization', 'also found']</t>
  </si>
  <si>
    <t>Bistatic radar cross sections are determined for scattering from a cloud of randomly positioned resonant dipoles (chaff). Dipoles are assumed to be horizontally oriented with axes randomly oriented in the horizontal plane. The cloud is arbitrarily located relative to an illuminating source having an arbitrary (elliptical) polarization. Cloud cross section is found for an arbitrarily located receiver that views the cloud with an antenna of arbitrary polarization. Cross section applicable to the receiver's orthogonal polarization is also found. Copyright ¬© 1984 by The Institute of Electrical and Electronics Engineers, Inc.</t>
  </si>
  <si>
    <t>798-809</t>
  </si>
  <si>
    <t>Bistatic Radar Cross Sections Of Horizontally Oriented Chaff</t>
  </si>
  <si>
    <t>10.1109/TAES.1984.310463</t>
  </si>
  <si>
    <t>2-s2.0-0021521653</t>
  </si>
  <si>
    <t>['transient response', 'time history', 'time domain', 'theoretical response', 'simple formula', 'geometrical configuration', 'electromagnetic coupling', 'basic understanding']</t>
  </si>
  <si>
    <t>For a basic understanding of electromagnetic coupling in the time domain, transient response between a V-antenna and a collinear dipole antenna is measured. A simple formula of the theoretical response in the time domain is derived by using the transmission line approximation. The dependency of the time history of the response on the geometrical configuration of the antennas is discussed. ¬© 1984 IEEE</t>
  </si>
  <si>
    <t>1211-1217</t>
  </si>
  <si>
    <t>7405726997;7403248989</t>
  </si>
  <si>
    <t>Sato, Motoyuki;Sato, Risaburo</t>
  </si>
  <si>
    <t>Transient Responses Between a V-Antenna and a Collinear Dipole Antenna</t>
  </si>
  <si>
    <t>10.1109/TAP.1984.1143238</t>
  </si>
  <si>
    <t>2-s2.0-0021522213</t>
  </si>
  <si>
    <t>['resonator model', 'radiation patterns', 'principal planes', 'line model', 'far field', 'dimensional objects', 'circular cylinder', 'calculated using', 'analytical expressions']</t>
  </si>
  <si>
    <t>The radiation patterns for a quadratic microstrip antenna mounted on two-dimensional objects, the circular cylinder and the strip, have been calculated using both the transmission-line model and the resonator model. Analytical expressions for the far field are presented, and calculations are compared with measurements. All measurements clearly indicate that the resonator model is better than the transmission-line model in radiation pattern calculations outside the principal planes of the antenna. ¬© 1984 IEEE</t>
  </si>
  <si>
    <t>1255-1259</t>
  </si>
  <si>
    <t>Jakobsen, Kurt R.</t>
  </si>
  <si>
    <t>Jakobsen K.</t>
  </si>
  <si>
    <t>The Radiation from Rectangular Microstrip Antennas Mounted on Two-Dimensional Objects</t>
  </si>
  <si>
    <t>10.1109/TAP.1984.1143236</t>
  </si>
  <si>
    <t>2-s2.0-0021522881</t>
  </si>
  <si>
    <t>['rms error', 'rights reserved', 'results suggest', 'reducing root', 'paper examines', 'lower rms', 'larger facets', 'isotropic tension', 'inc .,', 'flat facets', 'exact solutions', 'equilateral triangular', 'equilateral triangles', 'corresponding best', 'comparable error', 'aspect ratio']</t>
  </si>
  <si>
    <t>This paper examines the potential for reducing root-mean-square surface error in shallow faceted reflectors by replacing flat facets with laterally curved membrane facets. Exact solutions are obtained for the small lateral deflections of equilateral triangular and rectangular membranes subject to isotropic tension and parabolic edge deflections. These solutions are used to minimize the rms error between a facet of a shallow paraboloidal surface and its approximating membrane facet. The resulting optimum placements and edge curvatures yield membrane facets which have significantly lower rms errors than the corresponding best-fit flat facets. The rms error reductions are about 55% for equilateral triangles and 25-93% for rectangles, depending on aspect ratio. The results suggest that replacement of flat facets with membrane facets conforming to curved structural members could yield reflectors with lower rms-error, or comparable error with larger facets and, hence, fewer structural members. ¬© 1984 American Institute of Aeronautics and Astronautics, Inc., All rights reserved.</t>
  </si>
  <si>
    <t>1679-1684</t>
  </si>
  <si>
    <t>Fichter, W. B.</t>
  </si>
  <si>
    <t>Fichter W.</t>
  </si>
  <si>
    <t>Reduction of root-mean-square error in faceted space antennas</t>
  </si>
  <si>
    <t>10.2514/3.8835</t>
  </si>
  <si>
    <t>2-s2.0-0021526457</t>
  </si>
  <si>
    <t>['variational formulation', 'transverse electromagnetic', 'resulting impedance', 'resistive portion', 'reactive portion', 'probes inserted', 'probe length', 'normally suffice', 'measure fields', 'largely capacitive', 'input impedance', 'gap perturbation', 'analyzed via']</t>
  </si>
  <si>
    <t>A2d | A3k | input impedance | lid | Probe antenna | TEM cell</t>
  </si>
  <si>
    <t>The input impedance of a probe antenna exciting a transverse electromagnetic (TEM) cell is analyzed via a variational formulation. The resulting impedance is shown to consist of two distinct terms; an ordinary rectangular waveguide contribution and a gap perturbation. Numerically generated curves for both are given and suggest that a simple algebraic approximation for the input impedance should normally suffice. The resistive portion is found to be proportional to the square of the probe length, while the reactive portion is largely capacitive. These results should enhance the use of probes inserted in TEM cells either to excite or to measure fields. ¬© 1984 IEEE</t>
  </si>
  <si>
    <t>154-161</t>
  </si>
  <si>
    <t>60023053;60023053;60000221</t>
  </si>
  <si>
    <t>7202444834;7404348667;7403319959</t>
  </si>
  <si>
    <t>Ma, Mark T.;Wilson, Perry F.;Chang, David C.</t>
  </si>
  <si>
    <t>Gaithersburg;Boulder</t>
  </si>
  <si>
    <t>National Institute of Standards and Technology;University of Colorado Boulder</t>
  </si>
  <si>
    <t>60023053;60000221</t>
  </si>
  <si>
    <t>Ma M.</t>
  </si>
  <si>
    <t>Input Impedance of a Probe Antenna in a TEM Cell</t>
  </si>
  <si>
    <t>10.1109/TEMC.1984.304216</t>
  </si>
  <si>
    <t>2-s2.0-0021529105</t>
  </si>
  <si>
    <t>['traffic capacity', 'successive satellites', 'state design', 'small master', 'six c', 'original series', 'operational network', 'modulation techniques', 'longer life', 'generation 24', 'first launch', 'electronics engineers', 'deploying four', 'continuous incorporation', 'competitive reduction', 'channel spacecraft', 'channel demands', 'band satellites', 'art technology', 'americom introduced']</t>
  </si>
  <si>
    <t>Channel demands on the RCA Americom domestic satellite communications system have continued to increase rapidly since the first launch in 1975. After deploying four of the first-generation 24-channel spacecraft, Americom introduced an advanced, all-solid-state design in 1982 which has more than twice the traffic capacity of the original series. To supplement the operational network of six C-band satellites, K-band satellites will be introduced in 1985 to serve the small master-antenna IV market and digital satellite networks. Accompanying the continuous incorporation of state-of-the-art technology into successive satellites to achieve increased traffic capacity and longer life, new terrestrial equipment and efficient signal processing/modulation techniques are being exploited to continue the competitive reduction of cost per satellite Circuit per year. Copyright ¬© 1984 by The Institute of Electrical and Electronics Engineers, Inc.</t>
  </si>
  <si>
    <t>1483-1505</t>
  </si>
  <si>
    <t>Braun, Walter H.</t>
  </si>
  <si>
    <t>Braun W.H.</t>
  </si>
  <si>
    <t>RCA Satellite Networks: High Technology and Low User Cost</t>
  </si>
  <si>
    <t>10.1109/PROC.1984.13045</t>
  </si>
  <si>
    <t>2-s2.0-0021529269</t>
  </si>
  <si>
    <t>['test setup', 'screened room', 'room using', 'rod antenna', 'moment radiate', 'free space', 'experimental results', 'dipole moment', 'dependent upon']</t>
  </si>
  <si>
    <t>A6 e/f | analysis | dipole sources | F4k | measurement | Radiated emissions | shielded enclosures</t>
  </si>
  <si>
    <t>The electric field measured in a screened (shielded) room using a 41-in rod antenna is dependent upon the geometry and size of the test setup, the type of source (electric or magnetic dipole), and the dipole moment. In this paper, experimental results and a computer model based on TEM wave propagation within the room are used to evaluate the differences between the dipole fields measured in a screened room, and the fields that dipoles of the same moment radiate in free space. A technique for identifying the type of source is suggested. ¬© 1984 IEEE</t>
  </si>
  <si>
    <t>149-153</t>
  </si>
  <si>
    <t>Marvin, A. C.</t>
  </si>
  <si>
    <t>Marvin A.</t>
  </si>
  <si>
    <t>The Use of Screened (Shielded) Rooms for the Identification of Radiation Mechanisms and the Measurement of Free-Space Emissions from Electrically Small Sources</t>
  </si>
  <si>
    <t>10.1109/TEMC.1984.304215</t>
  </si>
  <si>
    <t>2-s2.0-0021529273</t>
  </si>
  <si>
    <t>['various advantages', 'thus permitting', 'spot beams', 'satellite links', 'satellite antennas', 'numerous channels', 'narrow beams', 'launch ka', 'latter part', 'ka band', 'international agreement', 'follow suit', 'communications satellites', 'band satellites', 'band operation', 'another advantage', 'also considered', 'already applied', '30 ghz']</t>
  </si>
  <si>
    <t>The use of Ka band (17-30 GHz) is considered the next highest among a group of radio frequency bands allotted by international agreement to communications satellites. At least two commercial operators have already applied to the FCC for licenses to launch Ka-band satellites in the latter part of the decade. Others are expected to follow suit as C-band and Ku-band orbital space fills up. Various advantages of Ka-band for satellite links are discussed. One of them is in a frequency division multiple access (FDMA) mode of operation, the wider bandwidth would accommodate wider or more numerous channels. Another advantage of Ka-band operation is the use of spot beams, i. e. narrow beams by satellite antennas that decrease the dispersion, thus permitting a band to be reused in geographically separated areas. Other advantages of Ka-band are also considered.</t>
  </si>
  <si>
    <t>Whelan, C. Richard</t>
  </si>
  <si>
    <t>Whelan C.</t>
  </si>
  <si>
    <t>COMMUNICATIONS SATELLITES MOVE TO HIGHER FREQUENCIES.</t>
  </si>
  <si>
    <t>2-s2.0-0021529324</t>
  </si>
  <si>
    <t>['¬© 1984', 'two quantities', 'true brightness', 'results permit', 'regular array', 'receiver noise', 'radio brightness', 'partially deconvolves', 'observing time', 'measured points', 'measured point', 'measured data', 'measured brightness', 'large number', 'errors associated', 'conventional antennas', 'called restoration', 'antenna pattern']</t>
  </si>
  <si>
    <t>Radio astronomical measurements of radio brightness are made by pointing an antenna at a regular array of points in the sky and measuring the received noise power at each point. In the absence of receiver noise, the measured brightness is the convolution of the true brightness distribution with the antenna effective area (i.e., receiving power pattern), evaluated at the point of observation. Front‚Äêend noise in the radiometer receiver adds fluctuations inversely proportional to the observing time at each measured point. From such data, we calculate optimum mean‚Äêsquare estimates for two quantities: measured brightness between observations, and true brightness at and between observations. The first is interpolation; the second, called restoration, partially deconvolves the antenna pattern from the measured data. We determine the errors associated with each, as functions of: (1) receiving antenna pattern, (2) separation between observations, and (3) radiometer output signal‚Äêto‚Äênoise ratio. These results permit the construction of maps of measured and true brightness, with known mean‚Äêsquare errors. In this paper we study the one‚Äêdimensional version of this problem, assuming a large number of measured points. We find that measured points should be separated by about half the (full) 3‚ÄêdB beamwidth for conventional antennas. Restoration is more costly than interpolation. ¬© 1984 AT&amp;T Bell Laboratories Technical Journal</t>
  </si>
  <si>
    <t>1997-2031</t>
  </si>
  <si>
    <t>Rowe, H. E.</t>
  </si>
  <si>
    <t>Rowe H.</t>
  </si>
  <si>
    <t>Spatial Filtering Radio Astronomical Data: One‚ÄêDimensional Case</t>
  </si>
  <si>
    <t>10.1002/j.1538-7305.1984.tb00086.x</t>
  </si>
  <si>
    <t>2-s2.0-0021529379</t>
  </si>
  <si>
    <t>['uniform weight', 'specified value', 'sensor locations', 'proper choices', 'minimum set', 'large p', 'electronics engineers', 'design method', 'array pattern']</t>
  </si>
  <si>
    <t>A design method which minimizes the p-error of a weighted array pattern for nonuniform linear array is studied. The Fletcher‚ÄîPowell method is used to find the minimum set of sensor locations. With uniform weight and large p, the result has sidelobes of almost equal level. In addition, an array pattern with null(s) at some specified value can be designed with proper choices of weights. Copyright ¬© 1984 by The Institute of Electrical and Electronics Engineers, Inc.</t>
  </si>
  <si>
    <t>1654-1655</t>
  </si>
  <si>
    <t>Tantaratana, Sawasd</t>
  </si>
  <si>
    <t>Auburn</t>
  </si>
  <si>
    <t>Auburn University</t>
  </si>
  <si>
    <t>Tantaratana S.</t>
  </si>
  <si>
    <t>Minimum p-Error Design of Nonuniformly Spaced Linear Array</t>
  </si>
  <si>
    <t>10.1109/PROC.1984.13062</t>
  </si>
  <si>
    <t>2-s2.0-0021529556</t>
  </si>
  <si>
    <t>['utilizing high', 'using cs', 'telephone offices', 'speed tdma', 'small antennas', 'shaped beam', 'rain attenuation', 'quite significant', 'primary importance', 'paper describes', 'operational technology', 'nippon telegraph', 'motor vehicles', 'main islands', 'island routes', 'includes interregional', 'ghz band', 'first 30', 'electronics engineers', 'effectively covers', 'earth stations', 'compact antennas', 'commercial use', 'commercial system', 'center routes', 'board antenna', 'begun research', 'also enables', 'allow construction', '2s launched']</t>
  </si>
  <si>
    <t>Nippon Telegraph and Telephone Public Corporation (NTT) initiated the world's first 30/20-GHz domestic satellite communication system for commercial use, using CS-2s launched from Japan in 1983. This system utilizes TDMA digital communication in the trunk transmission route of the public communication network, which includes interregional-center routes and main-island-to-remote-island routes. Small transportable earth stations enable easy access to the public communication network from any place in Japan. The adoption of the 30/20-GHz band enables use of a compact on-board antenna that has a shaped beam that effectively covers the main islands of Japan. It also enables the use of high-performance, compact antennas at the earth stations. These antennas can easily be installed on the roof of telephone offices or set on motor vehicles. One apparent disadvantage of using the 30/20-GHz band is rain attenuation. However, NTT has realized a commercial system that is affected very little by rain attenuation. This was accomplished by utilizing high-performance radio equipment and by concentrating on appropriate system design. Adoption of the 30/20-GHz band is quite significant because the wide bandwidth available enables construction of high-capacity economical transmission systems. It also enables use of small antennas, which allow construction of high-speed digital direct-to-user transmission systems using small earth stations. These expand the application of the domestic satellite communication system to even small service areas. Therefore, NTT considers satellite communication to be of primary importance for its proposed digital communication network, and has begun research on a high-capacity, economical, multibeam communication satellite system using the 30/20- GHz band. This paper describes the 30/20-GHz band radio technology, digital communication technology utilizing high-speed TDMA, and operational technology in the public communication network. Copyright ¬© 1984 by The Institute of Electrical and Electronics Engineers, Inc.</t>
  </si>
  <si>
    <t>1637-1644</t>
  </si>
  <si>
    <t>Tanaka, Ryoichi</t>
  </si>
  <si>
    <t>Tanaka R.</t>
  </si>
  <si>
    <t>30/20-GHz Domestic Satellite Communication System in the Public Communication Network of Japan: Design and Operation</t>
  </si>
  <si>
    <t>10.1109/PROC.1984.13060</t>
  </si>
  <si>
    <t>2-s2.0-0021531818</t>
  </si>
  <si>
    <t>['typical 36', 'transponder nonlinearities', 'subsequently improved', 'simultaneous consideration', 'results show', 'particular eirp', 'orbital spacing', 'mhz c', 'margins must', 'higher capacity', 'fading conditions', 'existing alternatives', 'electronics engineers', 'common set', 'band transponder', '34 dbw']</t>
  </si>
  <si>
    <t>At the same time that Time-Division Multiple Access (TDMA) with Digital Speech Interpolation (DSI) is gaining wide acceptance, being planned for almost every modern satellite communication network as the basic transmission technique, a variation of the classical single sideband using companders (CSSB) has recently been proposed, accompanied by the claim of higher transponder capacities. The higher capacity of CSSB is supported under a variety of assumptions (lower speech levels, increased transponder linearity, benign interference environment) that hinders the comparison of CSSB with other well-established satellite transmission techniques such as FDM/FM or TDM/DSI. The purpose of this paper is to ‚Äúnormalize‚Äù CSSB to a common set of assumptions that permits its capacity to be calculated on the same bases that apply to other satellite transmission methods, and in this manner to identify the ranges of ground and space segment parameters that would render CSSB superior to existing alternatives. In particular, CSSB is compared with TDMA/DSI, using analytical approaches that permit the simultaneous consideration of the principal factors involved in the capacity of both systems. These factors are ‚Ä¢ speech and compander characteristics ‚Ä¢ ground segment parameters, G/T, and antenna sidelobe radiation ‚Ä¢ space segment parameters, in particular EIRP, the transponder nonlinearities, and orbital spacing. These factors have been quantified for a typical 36-MHz C-band transponder with EIRP = 34 dBW The results show that CSSB's claims of higher capacity are realizable only under idealized transponder characteristics or with larger ground segment antenna sizes. In addition, CSSB's performance degrades faster than TDMA/DSI under fading conditions, suggesting that margins must be subsequently improved for this technique. Copyright ¬© 1984 by The Institute of Electrical and Electronics Engineers, Inc.</t>
  </si>
  <si>
    <t>1548-1555</t>
  </si>
  <si>
    <t>60021366-115596193</t>
  </si>
  <si>
    <t>Laborde, Enrique</t>
  </si>
  <si>
    <t>Lowell;Vienna</t>
  </si>
  <si>
    <t>M/A-COM (MACOM);Telecom International, Inc.</t>
  </si>
  <si>
    <t>60021366;115596193</t>
  </si>
  <si>
    <t>Laborde E.</t>
  </si>
  <si>
    <t>Analytical Comparisons of CSSB and TDMA/DSI Satellite Transmission and Techniques</t>
  </si>
  <si>
    <t>10.1109/PROC.1984.13051</t>
  </si>
  <si>
    <t>2-s2.0-0021531819</t>
  </si>
  <si>
    <t>['virtually guarantee', 'unexpected aspects', 'transmitting sight', 'telephone number', 'telecommunications technologies', 'still tied', 'servicing concepts', 'service aspects', 'science present', 'science past', 'remarkable advance', 'paper reviews', 'new york', 'new revolution', 'new architectural', 'many channels', 'isaac asimov', 'intersatellite links', 'historical trends', 'first centuries', 'every person', 'electronics engineers', 'economic trends', 'economic forces', 'earth could', 'competitive technical', 'communications satellites', 'analysis reveals', 'advanced electronics', 'ace books', '21st century', '1981 .)', '1975 .)', '(‚ äúaugustine']</t>
  </si>
  <si>
    <t>This paper reviews the historical trends in the development of new communications satellite technology and the technical and economic forces that will drive a new revolution in wide-band communications services in the 1980s and 1990s. The following key technical and service aspects of the new satellite telenets of the 1980s and 1990s will be addressed: new digital services, new antenna designs, intersatellite links, on-board signal processing and regeneration, and new architectural and servicing concepts for long-lived ‚Äòsatellites. The possibility of non-Clarke orbit communications satellites in the 21st century will also be reviewed. Competitive technical and economic trends in other forms of telecommunications technologies will also be explored, in order to establish some economic and service ‚Äúfigures of merit‚Äù for the future. This analysis reveals some exciting and unexpected aspects about the new satellite telenets of the late-twentieth and early-twenty-first centuries. If messages are beamed to and from communications satellites by laser, there would be room for so many channels that every person on Earth could have his own, just as he has his own telephone number. He could reach everyone on Earth with no trouble, transmitting sight as well as sound ‚Ä¶ It is not unlikely that a good beginning toward laser satellite communications may be made by the end of the century‚Ä¶ If so, it will represent a remarkable advance, considering that at the beginning of the century, mankind was still tied to the wire. (Isaac Asimov, Science Past, Science Present. New York: Ace Books, 1975.) If you're willing to spend enough money on advanced electronics you can virtually guarantee they can be made to not work.‚ÄîOne of Augustine's Laws. (‚ÄúAugustine's Laws and major systems development programs, pt. 2,‚Äù Aeronautics and Astronautics, p. 49, Jan. 1981.) Copyright ¬© 1984 by The Institute of Electrical and Electronics Engineers, Inc.</t>
  </si>
  <si>
    <t>1445-1456</t>
  </si>
  <si>
    <t>Pelton, Joseph N.</t>
  </si>
  <si>
    <t>INTELSAT</t>
  </si>
  <si>
    <t>Pelton J.</t>
  </si>
  <si>
    <t>Satellite Telenets: A Techno-Economic Assessment of Major Trends for the Future</t>
  </si>
  <si>
    <t>10.1109/PROC.1984.13042</t>
  </si>
  <si>
    <t>2-s2.0-0021531820</t>
  </si>
  <si>
    <t>['time domain', 'general expressions', 'francis group', 'fourier analysis', 'fields produced', 'current radiator', 'current distribution', 'basic large']</t>
  </si>
  <si>
    <t>In this paper, general expressions for the fields produced by an arbitrarily variable charge and current distribution are derived in the time domain. The results are compared with those obtained by Fourier analysis. Starting from these results, the non-sinusoidal fields produced by the basic large-current radiator when fed by different excitation currents, are analysed. ¬© 1984 Taylor &amp; Francis Group, LLC.</t>
  </si>
  <si>
    <t>617-625</t>
  </si>
  <si>
    <t>60027844;60027844;60027844</t>
  </si>
  <si>
    <t>7003589064;57207871862;6508053624</t>
  </si>
  <si>
    <t>Martin, Rafael G√≥mez;Morente, Juan A.;Olmedo, Bernardo G.</t>
  </si>
  <si>
    <t>Spain</t>
  </si>
  <si>
    <t>Granada</t>
  </si>
  <si>
    <t>Universidad de Granada</t>
  </si>
  <si>
    <t>Martin R.</t>
  </si>
  <si>
    <t>Some thoughts about the radiation of antennas excited by non-sinusoidal currents</t>
  </si>
  <si>
    <t>10.1080/00207218408938944</t>
  </si>
  <si>
    <t>2-s2.0-0021532060</t>
  </si>
  <si>
    <t>['theoretical analyses', 'standard field', 'rotating field', 'receiving loops', 'often necessary', 'measured ones', 'magnetic fields', 'magnetic field', 'loop antennas', 'located arbitrarily', 'ideal arrangements', 'eulerian angles', 'calculated values', 'actual tests', '1 db']</t>
  </si>
  <si>
    <t>For testing the sensitivity of receivers having loop antennas, radiating and receiving loops have been located either coplanar or coaxial to each other. Theoretical analyses of the magnetic fields have been carried out for such alignments of loops. It is often necessary in the actual tests to estimate the effects of deviations from these ideal arrangements of the loops. In this paper, the radiating and receiving circular loops are located arbitrarily in direction, and a formula is derived to obtain the average normal component of the magnetic-field strength incident on the receiving loop using the Eulerian angles. The theory is applied to the design of a generator in which a rotating field is used as the standard field. In this case, the calculated values of the magnetic field are in agreement with the measured ones to within ¬± 0.1 dB. ¬© 1984 IEEE</t>
  </si>
  <si>
    <t>307-310</t>
  </si>
  <si>
    <t>General Formulas for the Average Magnetic Field at a Receiving Circular-Loop Antenna Placed Arbitrarily to a Radiating Loop</t>
  </si>
  <si>
    <t>10.1109/TIM.1984.4315229</t>
  </si>
  <si>
    <t>2-s2.0-0021542723</t>
  </si>
  <si>
    <t>['wiley blackwell', 'two conductors', 'three conductors', 'tape consists', 'tape coating', 'steel tape', 'situ probe', 'routinely allows', 'rights reserved', 'provides one', 'placed inside', 'physical resistance', 'outstanding chemical', 'organic liquid', 'optical device', 'ground level', 'given either', 'flat shape', 'electronics industry', 'dissolved oxygen', 'desired parameters', 'configuration allows', 'composite tape', 'bottom end', 'absolute conductivity', '16 signals']</t>
  </si>
  <si>
    <t>A composite tape has been developed which can be the link to various sensing devices for measuring ground water parameters. The tape consists of a standard steel engineering tape with two conductors at the edges of the tape, similar to a TV antenna wire. The tape coating is clear Tefzel¬Æ, which has outstanding chemical and physical resistance. At the bottom end of the tape is a probe which can sense either water level by conductivity, a layer of organic liquid by an optical device, temperature by advanced semiconductor temperature transducers, pH, dissolved oxygen, absolute conductivity, or any other measurement that can be made with a small in situ probe. The steel tape itself provides one of three conductors and, because of its thin, flat shape, provides an excellent ground plane for electronic noise reduction. A multiplexing circuit commonly used in the electronics industry is placed inside the probe tip housing and routinely allows up to 16 signals to be transmitted to the hub at ground level. Most probes can be powered with a common 9V rechargeable battery. Signals are given either by low power‚Äêconsuming light‚Äêemitting diodes (LEDs) ‚àº 5 milliamperes (mA), piezo‚Äêaudible alarms ‚àº 3mA, or liquid crystal displays ‚àº l‚Äê2mA This configuration allows for extremely accurate depth profiles of the desired parameters. Copyright ¬© 1984, Wiley Blackwell. All rights reserved</t>
  </si>
  <si>
    <t>39-42</t>
  </si>
  <si>
    <t>Groundwater Monitoring &amp; Remediation</t>
  </si>
  <si>
    <t>Sanders, Paul J.</t>
  </si>
  <si>
    <t>Sanders P.</t>
  </si>
  <si>
    <t>New Tape For Ground Water Measurements</t>
  </si>
  <si>
    <t>10.1111/j.1745-6592.1984.tb01217.x</t>
  </si>
  <si>
    <t>2-s2.0-0021560496</t>
  </si>
  <si>
    <t>['theory shows', 'theoretical model', 'sidelobes less', 'sidelobe performance', 'requires either', 'reflector consists', 'radiation properties', 'radiating aperture', 'phase aberrations', 'partial improvement', 'one side', 'one plane', 'feed alone', 'experimental torus', 'antenna geometry', 'amplitude distortions', '360 degree']</t>
  </si>
  <si>
    <t>The parabolic torus transreflector antenna is a circularly symmetric antenna which can be scanned through 360 degree by rotation of its feed alone. The reflector consists of a radome carrying 45 degree angled wires so that 45 degree polarized radiation is reflected on one side and transmitted by the other. A theoretical model has been developed to predict the radiation properties of this antenna for various feed configurations. An experimental torus has been constructed and tested, showing good agreement between theory and experiment. Good radiation patterns (sidelobes less than equivalent to minus 20 db) are obtained with limited aperture efficiency (about 25% of the horizontal aperture). The theory shows how the phase aberrations and amplitude distortions in the radiating aperture, due to the antenna geometry, limit the sidelobe performance for wider aperture illuminations with a single horn feed. A linear array feed, designed to correct phase aberrations in one plane, is found to offer only a partial improvement if the full vertical aperture is required. It is concluded that greater aperture efficiency ( approximately equals 45%), with sidelobes less than equivalent to minus 20 db, requires either a torus with a restricted vertical aperture, ( less than equivalent to 5 lambda //o), or a planar array feed.</t>
  </si>
  <si>
    <t>359-364</t>
  </si>
  <si>
    <t>6 pt H</t>
  </si>
  <si>
    <t>Dec</t>
  </si>
  <si>
    <t>60022148;60022148</t>
  </si>
  <si>
    <t>57197162481;55698377500</t>
  </si>
  <si>
    <t>Diaz, L. M.;Smith, M. S.</t>
  </si>
  <si>
    <t>University College London</t>
  </si>
  <si>
    <t>Diaz L.M.</t>
  </si>
  <si>
    <t>PARABOLIC TORUS TRANSREFLECTOR ANTENNA.</t>
  </si>
  <si>
    <t>10.1049/ip-h-1.1984.0074</t>
  </si>
  <si>
    <t>2-s2.0-0021574002</t>
  </si>
  <si>
    <t>[]</t>
  </si>
  <si>
    <t>A three output port variable power dual mode network is described. This network can be useful in driving a three element feed array feed of a communication satellite antenna to provide a dual mode reconfigurable shaped beam pattern. ¬© 1984 IEEE</t>
  </si>
  <si>
    <t>1382-1384</t>
  </si>
  <si>
    <t>Luh, Howard H.S.</t>
  </si>
  <si>
    <t>Space Systems Loral</t>
  </si>
  <si>
    <t>Luh H.</t>
  </si>
  <si>
    <t>A Variable Power Dual Mode Network for Reconfigurable Shaped Beam Antenna</t>
  </si>
  <si>
    <t>10.1109/TAP.1984.1143249</t>
  </si>
  <si>
    <t>2-s2.0-0021574286</t>
  </si>
  <si>
    <t>['relied upon', 'range 0', 'radiation patterns', 'paraboloidal reflectors', 'optimized feeds', 'experimental patterns', 'diameter ratios', 'design data', '30 db']</t>
  </si>
  <si>
    <t>Design data for optimized TE//1//1-TM//1//1 dual-mode coaxial prime focus feeds is presented. The optimized feeds have a crosspolarization below -30 db, an input reflection coefficient below 0. 1 and little phase error in their radiation patterns, over a 5% bandwidth. Experimental patterns are given that show that the theoretically derived design data can be relied upon. The optimized feeds are useful for paraboloidal reflectors with focal-length/diameter ratios in the range 0. 3 to 0. 5, and will give overall efficiencies as high as 70% or more with sidelobes below -30 db.</t>
  </si>
  <si>
    <t>405-410</t>
  </si>
  <si>
    <t>60000305;60000305</t>
  </si>
  <si>
    <t>7007033594;7101835311</t>
  </si>
  <si>
    <t>Collin, R. E.;Schilling, H. W.</t>
  </si>
  <si>
    <t>Collin R.E.</t>
  </si>
  <si>
    <t>DUAL-MODE COAXIAL FEED WITH LOW CROSSPOLARISATION.</t>
  </si>
  <si>
    <t>10.1049/ip-h-1.1984.0082</t>
  </si>
  <si>
    <t>2-s2.0-0021574475</t>
  </si>
  <si>
    <t>['water bath', 'theoretical study', 'system corresponds', 'results show', 'paper provides', 'paper describes', 'normal operation', 'measurement system', 'loss measurements', 'latter case', 'laboratory measurements', 'gain measurement', 'factory testing', 'compact method', 'compact configuration', 'antenna gain', 'antenna aperture', 'absolute determination', '12 ft', '1 db']</t>
  </si>
  <si>
    <t>The paper describes a compact method of making gain measurements on parabolic reflector antennas. The concept involves making return-loss measurements on the antenna when it is located in front of a plane reflecting screen mounted parallel to the antenna aperture. This compact configuration is convenient for laboratory measurements or factory testing and has been used on reflectors of up to 12 ft (3. 66 m) in diam (in the latter case, employing a water bath to represent the plane flat reflecting surface). The return-loss measurements provide information on the various loss mechanisms which degrade the normal operation of an antenna. The paper provides an experimental and theoretical study of such losses and their relation to the measurement system. The results show an accuracy of the order of 0. 1 db for gain measurement, aided by the fact that the system corresponds to a 2-way (transmit-and-receive) measurement on the antenna. The paper discusses various ways of using the measurement for comparative and absolute determination of antenna gain.</t>
  </si>
  <si>
    <t>371-378</t>
  </si>
  <si>
    <t>60022148;60022148;60022148</t>
  </si>
  <si>
    <t>55436576100;55698377500;55699254400</t>
  </si>
  <si>
    <t>Hoque, M.;Smith, M. S.;Davies, D. E.N.</t>
  </si>
  <si>
    <t>Hoque M.</t>
  </si>
  <si>
    <t>COMPACT GAIN MEASUREMENTS ON REFLECTOR ANTENNAS.</t>
  </si>
  <si>
    <t>10.1049/ip-h-1.1984.0076</t>
  </si>
  <si>
    <t>2-s2.0-0021574964</t>
  </si>
  <si>
    <t>['various coefficients', 'transition regions', 'surface curvature', 'special case', 'rigorous analysis', 'much larger', 'locality principle', 'incident modes', 'gtd form', 'geometrical theory', 'generally impossible', 'excited rays', 'engineering points', 'diffraction problems', 'diffraction phenomenon', 'diffraction ).', 'diffracted rays', 'considered separately', 'concave side', 'asymptotic methods']</t>
  </si>
  <si>
    <t>Diffraction of high-frequency electromagnetic fields is important from both the theoretical and engineering points of view. Generally, asymptotic methods are preferred for the solution of diffraction problems because rigorous analysis is generally impossible. The diffraction of whispering gallery modes by the edge of a conducting spherical reflector with soft and hard boundary conditions is considered separately, where the incident modes are assumed to be present in the concave side of the reflector. The analysis has been done for the special case when (ka) is much larger than 1 by using the locality principle of the GTD (geometrical theory of diffraction). The results are expressed the GTD form and various coefficients for the determination of edge-excited rays and surface ray fields are extracted. It is concluded that these coefficients can be used for the determination of diffracted rays and surface ray fields excited by apertures on arbitrarily curved surfaces. These coefficients are not valid in the transition regions, but they reveal the effect of surface curvature on the diffraction phenomenon.</t>
  </si>
  <si>
    <t>383-389</t>
  </si>
  <si>
    <t>Serbest, A. H.</t>
  </si>
  <si>
    <t>Adana</t>
  </si>
  <si>
    <t>√áukurova √úniversitesi</t>
  </si>
  <si>
    <t>Serbest A.H.</t>
  </si>
  <si>
    <t>DIFFRACTION COEFFICIENTS FOR A CURVED EDGE WITH SOFT AND HARD BOUNDARY CONDITIONS.</t>
  </si>
  <si>
    <t>10.1049/ip-h-1.1984.0078</t>
  </si>
  <si>
    <t>2-s2.0-0021574965</t>
  </si>
  <si>
    <t>['numerical results', 'monopole antenna', 'free space', 'disk radius', 'current distributions', 'circular disk']</t>
  </si>
  <si>
    <t>The sinusoidal-Galerkin moment method is developed for the impedance of a monopole antenna at the center of a circular disk in free space. Numerical results are presented for the impedance and current distributions as a function of the disk radius. ¬© 1984 IEEE</t>
  </si>
  <si>
    <t>1282-1287</t>
  </si>
  <si>
    <t>Richmond, Jack H.</t>
  </si>
  <si>
    <t>Richmond J.</t>
  </si>
  <si>
    <t>Monopole Antenna on Circular Disk</t>
  </si>
  <si>
    <t>10.1109/TAP.1984.1143254</t>
  </si>
  <si>
    <t>2-s2.0-0021575240</t>
  </si>
  <si>
    <t>['theoretical results', 'square antenna', 'side slots', 'rectangular antenna', 'radiation conductance', 'previous transmission', 'new model', 'line models', 'line model', 'input impedance', 'fully taken', 'equivalent slots', 'available experimental', 'account implicitly']</t>
  </si>
  <si>
    <t>An accurate and numerically efficient model for the rectangular microstrip antenna is presented. It concerns a transmission-line model which features the following three major improvements with respect to earlier such models: the mutual radiative coupling between the equivalent slots is fully taken into account; the influence of the side slots on the radiation conductance is taken into account implicitly; simple analytic expressions are introduced for all relevant model parameters. The new model is applied to antennas with a single microstrip feed line. Agreement is shown with available experimental and theoretical results for the input impedance of a rectangular antenna. The improvements with respect to previous transmission-line models are illustrated for a square antenna.</t>
  </si>
  <si>
    <t>334-340</t>
  </si>
  <si>
    <t>60000874;60000874</t>
  </si>
  <si>
    <t>6701605698;7003998197</t>
  </si>
  <si>
    <t>Pues, H.;Van de Capelle, A.</t>
  </si>
  <si>
    <t>Belgium</t>
  </si>
  <si>
    <t>Louvain-la-Neuve</t>
  </si>
  <si>
    <t>Universit√© Catholique de Louvain</t>
  </si>
  <si>
    <t>Pues H.</t>
  </si>
  <si>
    <t>ACCURATE TRANSMISSION-LINE MODEL FOR THE RECTANGULAR MICROSTRIP ANTENNA.</t>
  </si>
  <si>
    <t>10.1049/ip-h-1.1984.0071</t>
  </si>
  <si>
    <t>2-s2.0-0021575405</t>
  </si>
  <si>
    <t>['usual step', 'step derivation', 'polarization coordinates', 'greatly reduced', 'enables one', 'computation procedure', 'complete flowchart', 'antenna design']</t>
  </si>
  <si>
    <t>Coordinate transformations commonly encountered in antenna design and analysis are presented. The introduction of a new coordinate system, polarization coordinates, enables one to construct a complete flowchart which can be used to express any coordinate transformation matrix more directly and explicitly without going through the usual step-by-step derivation. Consequently, the computation procedure can often be greatly reduced by avoiding tedious manipulations. ¬© 1984 IEEE</t>
  </si>
  <si>
    <t>1292-1297</t>
  </si>
  <si>
    <t>Chang, Feng Cheng</t>
  </si>
  <si>
    <t>Chang F.C.</t>
  </si>
  <si>
    <t>Novel Coordinate Transformations for Antenna Applications</t>
  </si>
  <si>
    <t>10.1109/TAP.1984.1143258</t>
  </si>
  <si>
    <t>2-s2.0-0021575642</t>
  </si>
  <si>
    <t>['two regions', 'second minimum', 'radiation characteristics', 'monofilar conical', 'major contributor', 'input impedance', 'helix antenna', 'first minimum', 'feed point', 'decaying current', 'arm length', 'also found']</t>
  </si>
  <si>
    <t>The radiation characteristics of a monofilar conical-helix antenna are investigated on the basis of the theoretical current distribution. It is shown that the current distribution may be divided into two regions, and that a decaying current from the feed point to a point of the first minimum is the major contributor to the radiation. It is also found that the wideband usage requires the arm length to include the region up to the second minimum at the lowest operating frequency. Experimental data concerning the input impedance and radiation characteristics are presented.</t>
  </si>
  <si>
    <t>379-282</t>
  </si>
  <si>
    <t>55633340100;7007141512;57220533028</t>
  </si>
  <si>
    <t>Nakano, H.;Mikawa, T.;Yamauchi, J.</t>
  </si>
  <si>
    <t>MONOFILAR CONICAL-HELIX ANTENNA WITH LOW PITCH ANGLE.</t>
  </si>
  <si>
    <t>10.1049/ip-h-1.1984.0077</t>
  </si>
  <si>
    <t>2-s2.0-0021577279</t>
  </si>
  <si>
    <t>['¬© 1984', 'timely generation', 'satellite subtrack', 'satellite revolutions', 'offset feeds', 'ocean current', 'large number', 'interferometer pattern', 'first time', 'deployed cross']</t>
  </si>
  <si>
    <t>Since the GEOS-3 and SEAS AT-1 radar altimeters measured altitude over a narrow swath along the satellite subtrack, ocean current and mesoscale feature maps could only be generated after a large number of satellite revolutions. The present paper analyzes a new multibeam altimeter technique that has the potential to cover wide swaths. The multibeam altimeter uses two antenna elements, simple parabolic dishes with offset feeds, deployed cross-track on singly hinged booms into a fixed measurement geometry to generate an interferometer pattern over the desired swath extent. Range gating allows the isolation of a single interferometric lobe, and the desired altitude measurements are extracted by using a modified altitude tracker design. Implementing this sensor on future altimetry missions would allow the timely generation of ocean current and mesoscale feature maps for the first time. ¬© 1984 by Crane, Russak and Company, Inc.</t>
  </si>
  <si>
    <t>345-384</t>
  </si>
  <si>
    <t>1521060X</t>
  </si>
  <si>
    <t>Marine Geodesy</t>
  </si>
  <si>
    <t>60022054;60022054;60022054;60022054;116175224</t>
  </si>
  <si>
    <t>7102905774;7003735049;6506402939;6603812606;7202168406</t>
  </si>
  <si>
    <t>Bush, G. B.;Dobson, E. B.;Matyskiela, R.;Kilgus, C. C.;Walsh, E. J.</t>
  </si>
  <si>
    <t>Laurel;</t>
  </si>
  <si>
    <t>Johns Hopkins University Applied Physics Laboratory;NASA Goddard Space Flight Center Wallops Flight Facility Wallops Island</t>
  </si>
  <si>
    <t>60022054;116175224</t>
  </si>
  <si>
    <t>Bush G.B.</t>
  </si>
  <si>
    <t>An analysis of a satellite multibeam altimeter</t>
  </si>
  <si>
    <t>10.1080/15210608409379509</t>
  </si>
  <si>
    <t>2-s2.0-0021577911</t>
  </si>
  <si>
    <t>['tangential electric', 'surface sa', 'surface currents', 'sa agree', 'po current', 'physical optics', 'nearly cap', 'locally plane', 'illuminated surface', 'geometrical optics', 'franz integration', 'franz formulas', 'fields predicted', 'fields determined', 'far fields', 'equivalence theorem', 'closely approximated', 'aperture integration', 'aperture fields']</t>
  </si>
  <si>
    <t>The ‚Äúextinction theorem‚Äù is used to prove that the fields of reflector antennas determined by integration of the current on the illuminated surface of the reflector are identical to the fields determined by aperture field integration with the Kottler-Franz formulas over any surface Sa that caps the reflector. As a corollary to this equivalence theorem, the fields predicted by integration of the physical optics (PO) surface currents and the Kottler-Franz integration of the geometrical optics (GO) aperture fields on Sa agree to within the locally plane-wave approximation inherent in PO and GO. Moreover, within the region of accuracy of the fields predicted by PO current or GO aperture field integration, the far fields predicted by the Kottler-Franz aperture integration are closely approximated by the far fields obtained from aperture integration of the tangential electric or magnetic field alone. In particular, discrepancies in symmetry between the far fields of offset reflector antennas obtained from PO current and GO aperture field integrations disappear when the aperture of integration is chosen to cap (or nearly cap) the reflector. ¬© 1984 IEEE</t>
  </si>
  <si>
    <t>1355-1358</t>
  </si>
  <si>
    <t>Equivalence of Surface Current and Aperture Field Integrations for Reflector Antennas</t>
  </si>
  <si>
    <t>10.1109/TAP.1984.1143261</t>
  </si>
  <si>
    <t>2-s2.0-0021578475</t>
  </si>
  <si>
    <t>['well described', 'two years', 'statistical analyses', 'received power', 'one year', 'mie theory', 'inubo path', 'hiraiso path', 'brief discussion', 'antenna polarization', 'also presented', '3 ghz']</t>
  </si>
  <si>
    <t>A bistatic rain scatter experiment at 14.3 GHz was conducted on two scattering paths. The experiment was made for more than two years on the Kashima-Inubo path and for more than one year on the Kashima-Hiraiso path. Statistical analyses of the data were made to obtain, e.g., cumulative distributions of the received power, worst month statistics of the received power, and cumulative duration time distributions of the received power. It is found that the effect of rain attenuation reduces statistical variations of the received power. A brief discussion on the prediction of the received power is presented. Also presented are the experimental results showing that the effect of antenna polarization on the received power is well described by the Mie theory. ¬© 1984 IEEE</t>
  </si>
  <si>
    <t>1345-1350</t>
  </si>
  <si>
    <t>100385533;100385533;115993705;100328845</t>
  </si>
  <si>
    <t>7003434877;55505923400;7006711251;7101635472</t>
  </si>
  <si>
    <t>Awaka, Jun;Nakamura, Kenji;Kozu, Toshiaki;Inomata, Hideyuki</t>
  </si>
  <si>
    <t>Kimitsu, Chiba;Kashima;Koganei</t>
  </si>
  <si>
    <t>Telecommunications Satellite Corporation of Japan;Radio Research Laboratories;Radio Research Laboratories</t>
  </si>
  <si>
    <t>115993705;100385533;100328845</t>
  </si>
  <si>
    <t>Awaka J.</t>
  </si>
  <si>
    <t>Experimental Results on Bistatic Rain Scattering at 14.3 GHz</t>
  </si>
  <si>
    <t>10.1109/TAP.1984.1143251</t>
  </si>
  <si>
    <t>2-s2.0-0021578959</t>
  </si>
  <si>
    <t>['¬© 1984', 'temperature profiles', 'maxwellian plasma', 'electrical probes', 'driving frequency', 'detailed scrape', 'boundary plasma', '200 kw']</t>
  </si>
  <si>
    <t>Alfven wave heating | density fluctuation | plasma-antenna interaction | RF heating | scrape-off-layer</t>
  </si>
  <si>
    <t>Detailed scrape-off measurements during Alfv√©n wave heating experiments (PRF ~ 200 kW) in TCA are presented. The Measurements are performed by means of electrical probes and by deposition probes fixed onto the antennae. It is shown that different antenna designs strongly influence the behaviour of the boundary plasma. Even during low power RF heating experiments is it found that the plasma-antenna interaction leads to a non-Maxwellian plasma. Low frequency density fluctuations are associated with changes of the density and temperature profiles during RF. High frequency fluctuations at the driving frequency and their harmonics are observed. ¬© 1984.</t>
  </si>
  <si>
    <t>310-316</t>
  </si>
  <si>
    <t>C</t>
  </si>
  <si>
    <t>128-129</t>
  </si>
  <si>
    <t>Journal of Nuclear Materials</t>
  </si>
  <si>
    <t>60028186;60028186;60028186;60028186;60028186;60028186;60028186;60028186;60028186;60028186;60028186;60028186;60028186;60028186;60028186;60028186</t>
  </si>
  <si>
    <t>7004142866;57216266897;6603407182;6602620235;7202476002;57204260704;6701703963;7401434652;6701862164;7201547237;7102821596;7103047341;57203053484;22972829400;6602846941;7007084870</t>
  </si>
  <si>
    <t>de Chambrier, A.;Collins, G. A.;Duperrex, P. A.;Heym, A.;Hofmann, F.;Hollenstein, Ch;Joye, B.;Keller, R.;Lietti, A.;Lister, J. B.;Marcus, F. B.;Moret, J. M.;Nowak, S.;Pochelon, A.;Simm, W.;Vep≈ôek, S.</t>
  </si>
  <si>
    <t>de Chambrier A.</t>
  </si>
  <si>
    <t>Effect of RF heating on edge parameters in the TCA tokamak</t>
  </si>
  <si>
    <t>10.1016/0022-3115(84)90371-4</t>
  </si>
  <si>
    <t>2-s2.0-0021579088</t>
  </si>
  <si>
    <t>['¬© 1984', 'titanium released', 'special attention', 'sheath potential', 'metal impurities', 'limiter material', 'impurity behaviour', 'experimental results', 'antenna region', 'additional mechanism', '2m tokamak']</t>
  </si>
  <si>
    <t>ICRF heating | impurity | JFT-2M | scrape-off layer</t>
  </si>
  <si>
    <t>The impurity behaviour during the ICRF heating phase was studied in the JFT-2M tokamak. In this experiment, impurity behaviour during the ICRF heating phase was studied with special attention to the boundary electron temperature. From these experimental results, it was concluded that carbon (limiter material) impurity was released by an ion sputtering accelerated by the sheath potential. Metal impurities such as iron and titanium released from the antenna and/or near the antenna region are caused by some additional mechanism by applying the RF during the ICRF heating phase. ¬© 1984.</t>
  </si>
  <si>
    <t>298-303</t>
  </si>
  <si>
    <t>60015658;60015658;60015658;60015658;60015658;60015658;60015658;60015658;60015658;60015658;60015658;60015658;60015658;60015658;60015658;60015658;60015658;60015658;60015658;60015658;60015658;60015658;60015658;60015658;60015658</t>
  </si>
  <si>
    <t>35350459800;7003741997;57197251409;57083334700;7404269925;57209192153;7202141734;7401566496;7202656118;7006786190;7006148534;57082055000;56972296400;55473876000;57214216089;7403540088;7201706434;36063470300;7202344866;7007048412;7408533736;7401705258;55269260300;55624468974;36123162800</t>
  </si>
  <si>
    <t>Ogawa, H.;Odajima, K.;Ohtsuka, H.;Matsumoto, H.;Kimura, H.;Hoshino, K.;Kasai, S.;Kawakami, T.;Kawashima, H.;Maeno, M.;Matoba, T.;Matsuda, T.;Miura, Y.;Mori, M.;Ogawa, T.;Ohta, K.;Shoji, T.;Suzuki, N.;Tamai, H.;Uesugi, Y.;Yamamoto, S.;Yamauchi, T.;Yanagisawa, I.;Nakamura, H.;Katagari, M.</t>
  </si>
  <si>
    <t>Kashiwa</t>
  </si>
  <si>
    <t>Japan Atomic Energy Agency</t>
  </si>
  <si>
    <t>Ogawa H.</t>
  </si>
  <si>
    <t>Impurity behaviour during ICRF heating in JFT-2M</t>
  </si>
  <si>
    <t>10.1016/0022-3115(84)90369-6</t>
  </si>
  <si>
    <t>2-s2.0-0021580926</t>
  </si>
  <si>
    <t>['understand electron', 'paper discusses', 'experimental techniques', 'electronics engineers', 'depletion layers', 'antennas immersed', 'air conductivities', '0 mho']</t>
  </si>
  <si>
    <t>This paper discusses the response of antennas immersed in media in which the environment is much more severe; air conductivities up to a maximum of about 1.0 mho/meter were considered. Experimental techniques and results which can be used to investigate and understand electron-depletion layers and ionized air conductivity will also be presented. Copyright ¬© 1984 by The Institute of Electrical and Electronics Engineers, Inc.</t>
  </si>
  <si>
    <t>1305-1311</t>
  </si>
  <si>
    <t>IEEE Transactions on Nuclear Science</t>
  </si>
  <si>
    <t>60074055;60074055;60074055;60074055;60074055</t>
  </si>
  <si>
    <t>7005745790;55244517300;35616507900;7005577451;6508182358</t>
  </si>
  <si>
    <t>Bushell, M.;Kenyon, C.;Manriquez, R.;Merkel, G.;Miletta, J.</t>
  </si>
  <si>
    <t>Aberdeen</t>
  </si>
  <si>
    <t>U.S. Army Research, Development and Engineering Command</t>
  </si>
  <si>
    <t>Bushell M.</t>
  </si>
  <si>
    <t>Electron Depletion Layer Effecyts on Antenna Response</t>
  </si>
  <si>
    <t>10.1109/TNS.1984.4333501</t>
  </si>
  <si>
    <t>2-s2.0-0021587256</t>
  </si>
  <si>
    <t>['wiley company', 'usually used', 'transmission characteristics', 'shown theoretically', 'paper provides', 'metal mesh', 'mesh resonance', 'mesh appearing', 'inductive region', 'inc .,', 'filter designed', 'experimental studies', 'experimental results', 'design method', 'broadband diplexing', 'anomalous resonance', '4 ghz']</t>
  </si>
  <si>
    <t>This paper provides the results of theoretical and experimental studies to realize a broadband quasi‚Äêoptical diplexer with polarization‚Äêindependent characteristics, using multilayer rectangular metal meshes. A rectangular metal mesh is usually used in the inductive region below the mesh resonant frequency. In the theoretical analysis based on the mode matching method, it is concluded that the anomalous resonance of the mesh appearing below mesh resonant frequency in TM oblique incidence is caused by the higher‚Äêorder modes generated on the metal mesh surface. This phenomenon can not be explained by the equivalent circuit analysis, in which metal mesh is decomposed to two orthogonal metal strip gratings. A bricktype rectangular metal mesh is proposed in which the anomalous resonance can be eliminated from the operating frequency region. It is shown theoretically and experimentally that one can realize a new metal mesh of which the transmission characteristics below the mesh resonance do not vary in accordance with the incident polarization mode. A design method of quasi‚Äêoptical diplexer using this brick‚Äêtype metal mesh is described and the experimental results of the filter designed for diplexing the six, 4 GHz and fourteen, 11 GHz signals are reported. It is confirmed that broadband diplexing is possible with a stacked rectangular metal mesh and that the design method is legitimate. Copyright ¬© 1984 Wiley Periodicals, Inc., A Wiley Company</t>
  </si>
  <si>
    <t>60031293;60031293;60031293</t>
  </si>
  <si>
    <t>55031193900;6603949143;7102733819</t>
  </si>
  <si>
    <t>Sato, Ikuro;Tamagawa, Susumu;Iwata, Ryuichi</t>
  </si>
  <si>
    <t>NEC Corporation</t>
  </si>
  <si>
    <t>Sato I.</t>
  </si>
  <si>
    <t>Quasi‚Äêoptical diplexer by rectangular metallic mesh</t>
  </si>
  <si>
    <t>10.1002/ecja.4400671206</t>
  </si>
  <si>
    <t>2-s2.0-0021595931</t>
  </si>
  <si>
    <t>['zero input', 'zero asymptotically', 'trivial solution', 'rsrp might', 'rsrp ),', 'intuitive understanding', 'important result', 'essential condition', 'equation homogeneous', 'condition makes', 'array weighting', 'analyzed based']</t>
  </si>
  <si>
    <t>The adaptive least mean square (LMS) array, particularly an array using reference signal reproduction processor (RSRP), is analyzed based on investigations of Lyapunov stability properties for the array weighting. The operation of the array utilizing RSRP is formulated as a Volterra integrodifferential equation. It is assumed as an essential condition that zero input to RSRP implies zero output. This condition makes the equation homogeneous and leads to an important result that the trivial solution for the equation has the Lyapunov asymptotic stability. Namely, the weighting for the array with RSRP might be drived to zero asymptotically. The servomechanism viewpoint also provides an intuitive understanding for the result. ¬© 1984 IEEE</t>
  </si>
  <si>
    <t>1351-1354</t>
  </si>
  <si>
    <t>Ueno, Motoharu</t>
  </si>
  <si>
    <t>Lyapunov Stability of Adaptive LMS Array</t>
  </si>
  <si>
    <t>10.1109/TAP.1984.1143252</t>
  </si>
  <si>
    <t>2-s2.0-0021596369</t>
  </si>
  <si>
    <t>['waveguide radii', 'presented using', 'paraboloidal antennas', 'graphical results', 'coupling factor', 'contour integral', 'analytical solution']</t>
  </si>
  <si>
    <t>An analytical solution for a circular waveguide bifurcation with incident TE//1//1- and TM//1//1-modes is presented using the residue calculus method. It is shown how the coupling between the TE//1//n- and TM//1//n-modes can be taken into account by expressing the coupling factor as a contour integral, which is the key step enabling the residue calculus method to be applied. Graphical results for the scattering matrix parameters of the junction are given for a range of waveguide radii of interest in the design of dual-mode coaxial prime focus feeds for paraboloidal antennas.</t>
  </si>
  <si>
    <t>397-404</t>
  </si>
  <si>
    <t>7101835311;7007033594</t>
  </si>
  <si>
    <t>Schilling, H. W.;Collin, R. E.</t>
  </si>
  <si>
    <t>Schilling H.W.</t>
  </si>
  <si>
    <t>CIRCULAR WAVEGUIDE BIFURCATION FOR ASYMMETRIC MODES.</t>
  </si>
  <si>
    <t>10.1049/ip-h-1.1984.0081</t>
  </si>
  <si>
    <t>2-s2.0-0021596792</t>
  </si>
  <si>
    <t>['scalar horn', 'present problem', 'gregorian systems', 'existing method', 'arbitrarily prescribed']</t>
  </si>
  <si>
    <t>The design of an optically shaped dual offset reflector antenna, capable of illuminating a given elliptical aperture over which the phase is uniform and the power is arbitrarily prescribed when fed by a scalar horn, is described. A conformal mapping transforms the ellipse to a circle, allowing the present problem to be solved by an existing method. Designs based upon Cassegrainian and Gregorian systems are derived.</t>
  </si>
  <si>
    <t>365-370</t>
  </si>
  <si>
    <t>60025225;60025225;60025225</t>
  </si>
  <si>
    <t>7004261323;57198854932;6602206040</t>
  </si>
  <si>
    <t>Westcott, B. S.;Graham, R. K.;Brickell, F.</t>
  </si>
  <si>
    <t>Southampton</t>
  </si>
  <si>
    <t>University of Southampton</t>
  </si>
  <si>
    <t>SYSTEMATIC DESIGN OF A DUAL OFFSET REFLECTOR ANTENNA WITH AN ELLIPTICAL APERTURE.</t>
  </si>
  <si>
    <t>10.1049/ip-h-1.1984.0075</t>
  </si>
  <si>
    <t>2-s2.0-0021596997</t>
  </si>
  <si>
    <t>['¬© 1984', 'scattering mechanism', 'rights reserved', 'recorded holographically', 'particular site', 'multipath field', 'monopulse measurement', 'monopulse aperture', 'large errors', 'experimental investigation', 'electrical engineers', 'distant hill', 'different components', 'computer processing']</t>
  </si>
  <si>
    <t>Radar and radionavigation | Signal processing</t>
  </si>
  <si>
    <t>An experimental investigation is described of the scattering effect responsible for large errors in the azimuth bearing measurements obtained with a 1 GHz monopulse receiver on a particular site when the signal source occupied positions near the top of a distant hill. The received field distribution on a horizontal line directly in front of the monopulse aperture was sampled by means of a travelling probe antenna and recorded holographically. Computer processing of the holograms formed images that revealed the scattering mechanism. A simulation was used to study the effects of different components of the multipath field on the monopulse measurement. ¬© 1984, The Institution of Electrical Engineers. All rights reserved.</t>
  </si>
  <si>
    <t>695-708</t>
  </si>
  <si>
    <t>Lewis, P.</t>
  </si>
  <si>
    <t>Birmingham</t>
  </si>
  <si>
    <t>University of Birmingham</t>
  </si>
  <si>
    <t>Lewis P.</t>
  </si>
  <si>
    <t>Investigation of a radar site effect</t>
  </si>
  <si>
    <t>10.1049/ip-f-1.1984.0105</t>
  </si>
  <si>
    <t>2-s2.0-0021596998</t>
  </si>
  <si>
    <t>['¬© 1984', 'upper bounds', 'shannon limit', 'provide estimates', 'probability distributions', 'practically eliminate', 'particular application', 'hz less', 'hz higher', 'data rates', 'also given', '4 b', '3 b', '1 b']</t>
  </si>
  <si>
    <t>A theory of linear least‚Äêmean‚Äêsquares equalization in digital data communications operating over two coupled linear dispersive channels, with particular application to dually polarized terrestrial radio systems is presented. We jointly optimize transmitter and receiver matrix filters when the inputs are two independent quadrature‚Äêamplitude‚Äêmodulated data signals of fixed total average power. Formulas for minimum total mean‚Äêsquare error, upper bounds on probability of error, matched filter bounds, and the Shannon limit are provided. Using this theory in conjunction with a proposed propagation model for the dually polarized radio channel, we provide estimates of probability distributions of the data rates that can be supported by the optimum receiver structures as well as the jointly optimized transmitter‚Äêreceiver. The distribution of data rates predicted from the Shannon limit as well as from the matched filter bounds are also given. For the dually polarized radio channel, we find that linear equalization structures can practically eliminate the effects of cross‚Äêpolarization interference contributed by the antennas and their feeds. At very low outage probabilities, the combined‚Äêchannels data rate achieved with the jointly optimized structures is about 4 b/s/Hz less than predicted from their matched filter bounds. Also, the combined data rate associated with the Shannon limit is about 3 b/s/Hz higher than predicted by the matched filter bound at very low outage probabilities. Sensitivity analyses reveal that about 1 b/s/Hz can be gained for each 3‚ÄêdB increase in carrier‚Äêto‚Äênoise ratio. For each order‚Äêof‚Äêmagnitude decrease in the required error rate, about 0.3 b/s/Hz is given up. ¬© 1984 AT&amp;T Bell Laboratories Technical Journal</t>
  </si>
  <si>
    <t>2215-2259</t>
  </si>
  <si>
    <t>7003808036;7005389578</t>
  </si>
  <si>
    <t>Amitay, N.;Salz, J.</t>
  </si>
  <si>
    <t>Amitay N.</t>
  </si>
  <si>
    <t>Linear Equalization Theory in Digital Data Transmission Over Dually Polarized Fading Radio Channels</t>
  </si>
  <si>
    <t>10.1002/j.1538-7305.1984.tb00076.x</t>
  </si>
  <si>
    <t>2-s2.0-0021597021</t>
  </si>
  <si>
    <t>['¬© 1984', 'tokamak system', 'tf magnet', 'temperature regime', 'target plates', 'size tokamak', 'reduced parameters', 'proper steady', 'proper adjustment', 'probably icrh', 'primarily adapted', 'plasma energy', 'plasma current', 'plasma boundary', 'parameter dn', 'material structure', 'l configurations', 'impurity production', 'helium pumping', 'following features', 'first components', 'ensures reactor', 'elongated plasmas', 'detailed design', 'construction work', 'auxiliary heating', 'asdex upgrade', '8 antennae', '3 mw', '12 mw']</t>
  </si>
  <si>
    <t>divertor | double-null divertor | heat load | pump limiter | single-null divertor | tokamak</t>
  </si>
  <si>
    <t>ASDEX Upgrade, a medium-size tokamak, is characterized by the following features: a poloidal field system with all coils located outside the TF magnet; elongated plasmas up to s = 1.6 in double-null (DN), single-null (SN) or limiter-controlled (L) configurations; a plasma current of up to Ip ‚âà 2 MA, which ensures reactor-like plasma boundary parameters; auxiliary heating (probably ICRH, 12 MW, 8 antennae) producing a reactor-equal energy flux density of 0.3 MW/m2 in the plasma boundary. The vacuum vessel installation is primarily adapted to SN divertor operation using two toroidal divertor plate arrays ‚âà 3 m2 in area each. It allows DN divertor operation with reduced parameters. Proper adjustment of target plates, antennae and heat shields also allows full-parameter DN and L configurations to be studied. The aims of ASDEX Upgrade are to study the reactor-compatible open divertor configuration in the high-recycling, low-boundary-temperature regime. Boundary layer models promise adequate solutions for taking the plasma energy to the material structure in such a way that impurity production is kept sufficiently low and that proper steady-state plasma conditions can prevail. The condition for helium pumping can also be studied. The detailed design of the tokamak system is about to be completed; the first components have been ordered and construction work is scheduled for completion by the end of 1987. ¬© 1984.</t>
  </si>
  <si>
    <t>71-77</t>
  </si>
  <si>
    <t>60026838;60026838;60026838;60026838;60026838;60026838;60026838;60026838;60026838;60026838;60026838;60026838;60026838;60026838;60026838;60026838;60026838;60026838;60026838;60026838;60026838;60026838;60026838;60026838;60026838;60026838;60026838</t>
  </si>
  <si>
    <t>6602186966;6602453811;6507296053;22992384100;7005158232;6602589795;7202144199;6602778560;22962155800;6603119849;6701725660;57206543254;7005276942;7003267283;6602785385;6506554010;7004577889;6602587634;22964108200;55734293800;15082696800;22964415000;6508107918;6603734359;22973682200;7004287725;7005334906</t>
  </si>
  <si>
    <t>Vernickel, H.;Blaumoser, M.;Ennen, K.;Gruber, J.;Gruber, O.;Jandl, O.;Kaufmann, M.;Kollotzek, H.;K√∂ppend√∂rfer, W.;Kotzlowski, H.;Lackner, E.;Lackner, K.;Neuhauser, J.;Noterdaeme, J. M.;Pillsticker, M.;P√∂hlchen, R.;Preis, H.;Rauh, K. G.;R√∂hr, H.;Schneider, H.;Schneider, W.;Seidel, U.;Sombach, B.;Streibl, B.;Venus, G.;Wesner, F.;Wieczorek, A.</t>
  </si>
  <si>
    <t>Vernickel H.</t>
  </si>
  <si>
    <t>ASDEX upgrade: A poloidal divertor tokamak adapted to reactor requirements</t>
  </si>
  <si>
    <t>10.1016/0022-3115(84)90330-1</t>
  </si>
  <si>
    <t>2-s2.0-0021598012</t>
  </si>
  <si>
    <t>['udu decomposition', 'triangular matrix', 'null constraints', 'first row', 'fast algorithm', 'algorithm requires']</t>
  </si>
  <si>
    <t>A fast algorithm is given for computing the optimal weight vector in antenna array pattern synthesis having a set of null constraints. The algorithm requires only a UDU decomposition of an m plus 1 multiplied by m plus 1 real positive definite matrix and the computation of the first row of the inverse of a triangular matrix of the same dimension, where m is the number of null constraints.</t>
  </si>
  <si>
    <t>60011664;60011664</t>
  </si>
  <si>
    <t>7402229975;6602520025</t>
  </si>
  <si>
    <t>Ng, Tung Sang;Magdy, Moneeb A.</t>
  </si>
  <si>
    <t>Wollongong</t>
  </si>
  <si>
    <t>University of Wollongong</t>
  </si>
  <si>
    <t>Ng T.S.</t>
  </si>
  <si>
    <t>FAST ALGORITHM FOR OPTIMAL WEIGHT COMPUTATION IN LINEAR ARRAY PATTERN SYNTHESIS HAVING NULL CONSTRAINTS.</t>
  </si>
  <si>
    <t>10.1049/ip-h-1.1984.0080</t>
  </si>
  <si>
    <t>2-s2.0-0021603776</t>
  </si>
  <si>
    <t>['noaa series', 'automatic reception']</t>
  </si>
  <si>
    <t>A system for the automatic reception and recording of High-Resolution Picture Transmission (HRPT) signals from the NOAA series of satellites is described.-Authors</t>
  </si>
  <si>
    <t>425-435</t>
  </si>
  <si>
    <t>ESA Journal</t>
  </si>
  <si>
    <t>60008877;60008877</t>
  </si>
  <si>
    <t>35830228200;7004975035</t>
  </si>
  <si>
    <t>Brush, R. J.H.;Baylis, P. E.</t>
  </si>
  <si>
    <t>Dundee</t>
  </si>
  <si>
    <t>University of Dundee</t>
  </si>
  <si>
    <t>Brush R.</t>
  </si>
  <si>
    <t>An automatic high-resolution picture transmission receiving station.</t>
  </si>
  <si>
    <t>2-s2.0-0021604252</t>
  </si>
  <si>
    <t>['slots cut', 'nonradiating dielectric', 'mutual coupling', 'metal walls']</t>
  </si>
  <si>
    <t>A set of theoretical design equations for a slot array fed by nonradiating dielectric (NRD) waveguide is developed. Mutual coupling between the slots cut into one of the metal walls of the waveguide is taken into consideration for a design that can have a predetermined radiation pattern. The theoretical development follows that of Elliott. ¬© 1984 IEEE</t>
  </si>
  <si>
    <t>1335-1340</t>
  </si>
  <si>
    <t>Malherbe, Johannes A.G.</t>
  </si>
  <si>
    <t>The Design of a Slot Array in Nonradiating Dielectric Waveguide, Part I: Theory</t>
  </si>
  <si>
    <t>10.1109/TAP.1984.1143259</t>
  </si>
  <si>
    <t>2-s2.0-0021604272</t>
  </si>
  <si>
    <t>['various kinds', 'time delay', 'quantized phase', 'input ports', 'generalized curves', 'contiguous subarrays', 'amplitude taper']</t>
  </si>
  <si>
    <t>Simple approximate formulas and generalized curves to evaluate the grating lobe levels of various kinds of contiguous subarrays with uniform illumination within each subarray are presented. The cases considered include phase quantization due to discrete phase shifters, amplitude taper at subarray input ports and time delay at the subarray input ports. In addition, the work is generalized to include certain cases of quantized phase or time delay at the input ports in addition to amplitude taper at subarray input ports. ¬© 1984 IEEE</t>
  </si>
  <si>
    <t>1364-1368</t>
  </si>
  <si>
    <t>Mailloux, Robert J.</t>
  </si>
  <si>
    <t>Mailloux R.</t>
  </si>
  <si>
    <t>Array Grating Lobes due to Periodic Phase, Amplitude, and Time Delay Quantization</t>
  </si>
  <si>
    <t>10.1109/TAP.1984.1143262</t>
  </si>
  <si>
    <t>2-s2.0-0021604273</t>
  </si>
  <si>
    <t>['without detracting', 'theoretically calculated', 'theoretical analysis', 'support mast', 'moment method', 'measured values', 'matching condition', 'made according', 'favorable characteristics', 'comparative study', 'central part', 'broadside array', 'batwing radiator', 'antenna elements', 'actual measurements']</t>
  </si>
  <si>
    <t>All of the characteristics of the batwing radiator, which is the heart of the superturnstile antenna system, are theoretically calculated by using the moment method. The matching condition is obtained on the basis of the characteristics in the cases of changing the shape of the jumper and of changing the distance between the support mast and the antenna elements. In this paper, a comparative study on the results of theoretical analysis and actual measurements was conducted as to whether or not the construction of the batwing antenna could be simplified by eliminating the element at its central part, without detracting its favorable characteristics. Next, regarding the mutual radiation impedance when arranged as a broadside array, a theoretical analysis was made according to the moment method, and the results were compared with measured values. As a result, in the case where this antenna was positioned at a distance exceeding full wavelength, the value was in the order of a few ohms, and it was found that mutual radiation coupling effect was small. ¬© 1984 IEEE</t>
  </si>
  <si>
    <t>1318-1326</t>
  </si>
  <si>
    <t>60002784;60002784;100418077</t>
  </si>
  <si>
    <t>7202484181;7103403544;7102880714</t>
  </si>
  <si>
    <t>Kawakami, Haruo;Sato, Gentei;Masters, R. Wayne</t>
  </si>
  <si>
    <t>Tokyo;Beltsville</t>
  </si>
  <si>
    <t>Sophia University;Antenna Research Associates Inc</t>
  </si>
  <si>
    <t>60002784;100418077</t>
  </si>
  <si>
    <t>Kawakami H.</t>
  </si>
  <si>
    <t>Characteristics of TV Transmitting Batwing Antennas</t>
  </si>
  <si>
    <t>10.1109/TAP.1984.1143266</t>
  </si>
  <si>
    <t>2-s2.0-0021607319</t>
  </si>
  <si>
    <t>['nonradiating dielectric', 'metal wall', 'measurement procedures', 'making use', 'element input', 'design procedure']</t>
  </si>
  <si>
    <t>Measurement procedures for obtaining the self-impedance of an isolated inclined radiating slot in the metal wall of a nonradiating dielectric (NRD) waveguide are discussed. The design procedure for an antenna array fed by NRD-waveguide and making use of this information is described. As an example, the design, construction and evaluation of a ten-element input-matched broadside linear array is described. ¬© 1984 IEEE</t>
  </si>
  <si>
    <t>1341-1344</t>
  </si>
  <si>
    <t>60021902;60021902;60021902;60021902;60021902</t>
  </si>
  <si>
    <t>35565202000;6507716697;57195934300;57198126544;7005311898</t>
  </si>
  <si>
    <t>Malherbe, Johannes A.G.;L√ñSch, Ingo E.;Robson, Mark W.;Davidson, David B.;Cloete, Johannes H.</t>
  </si>
  <si>
    <t>The Design of a Slot Array in Nonradiating Dielectric Waveguide, Part II: Experiment</t>
  </si>
  <si>
    <t>10.1109/TAP.1984.1143268</t>
  </si>
  <si>
    <t>2-s2.0-0021607320</t>
  </si>
  <si>
    <t>['¬© 1984', 'wave absorption', 'total input', 'tokamak operation', 'recycling differ', 'radiative loss', 'problems related', 'one order', 'main limiter', 'magnitude higher', 'limiter bakeable', 'led us', 'large enhancement', 'inconel limiters', 'impurity content', 'icrh pulse', 'graphite limiters', 'created around', 'carbon limiters']</t>
  </si>
  <si>
    <t>graphite limiters | ICRF</t>
  </si>
  <si>
    <t>Graphite limiters have been used in TFR. They prove to be satisfactory for tokamak operation, when fixed as tightly bolted tiles. However, strong efforts must be undertaken to cope with the problems related to their large hydrogen content as well as their mediocre surface structure. This has led us to install a limiter bakeable to 600¬∞C in TFR. Radiofrequency antennae protection had also to be changed from inconel or titanium to graphite to avoid metallic redeposition on the main limiter. Conditions of recycling differ from those met with inconel limiters. The impurity content of the plasma is now dominated by carbon and oxygen. Moreover, large desorption occurs during the ICRH pulse. Strong toroidal asymmetries were noticed as far as the radiation and charge exchange power losses are concerned, with a large enhancement in the vicinity of the limiter. A high neutral pressure (one order of magnitude higher than elsewhere) is created around the limiter. A global energy balance of the discharge was deduced from both bolometric, spectroscopic and limiter surface temperature measurements. The radiative loss is increased when carbon limiters are used and may exceed 70% of the total input. ICRH experiments led to a noticeable power deposition in the scrape-off layer, independent of the mechanism of wave absorption in the bulk. ¬© 1984.</t>
  </si>
  <si>
    <t>292-297</t>
  </si>
  <si>
    <t>Graphite limiters use in TFR</t>
  </si>
  <si>
    <t>10.1016/0022-3115(84)90368-4</t>
  </si>
  <si>
    <t>2-s2.0-0021607487</t>
  </si>
  <si>
    <t>['¬© 1984', 'total radiation', 'titanium ions', 'significantly reduced', 'releasing oxygen', 'relatively abundant', 'much smaller', 'maximum intensity', 'less important', 'impurity source', 'impurity release', 'hœ ±', 'graphite limiters', 'faraday shield', 'energetic particles', 'energetic charge', 'dœ ±', 'deuterium recycling', 'briefly discussed']</t>
  </si>
  <si>
    <t>graphite limiter | ICRF heating | impurity | JIPP T-II U</t>
  </si>
  <si>
    <t>Replacing stainless steel limiters by graphite limiters, we found that radiations from iron and titanium ions were significantly reduced. Total radiation and loop voltage also decreased. This indicates that the limiters are the major impurity sources both in the ohmic and RF heating phases. Although titanium radiations increased with RF power injected by an antenna with a titanium Faraday shield, the maximum intensity was much smaller than in the experiment where the titanium-flashed stainless steel limiters were used. Thus it has been found that the Faraday shield is less important as an impurity source than limiters. Toroidal asymmetry observed for O II radiation suggest that the energetic charge-exchange neutrals play a role in releasing oxygen from the wall and that those energetic particles are relatively abundant in the toroidal sections near the antenna. The HŒ± + DŒ± radiation decreases during the RF pulse around the limiter, which may be due to the change in hydrogen/ deuterium recycling at the limiter. The reduction of HŒ± + DŒ± is greater with graphite limiters than with stainless steel limiters. The relation between recycling and impurity release is briefly discussed. ¬© 1984.</t>
  </si>
  <si>
    <t>304-309</t>
  </si>
  <si>
    <t>60000264;60000264;60000264;60000264;60000264;60000264;60000264;60000264;60000264;60000264;60000264;60000264;60000264;60000264;60000264</t>
  </si>
  <si>
    <t>7202781865;7102200764;7005809565;56353825200;55706124400;57082283400;7004968569;55664722000;7005595509;6506368419;57190193883;57082173700;7003514502;7007043532;57082247600</t>
  </si>
  <si>
    <t>Noda, N.;Watari, T.;Toi, K.;Kako, E.;Sato, K.;Ohkubo, K.;Kawahata, K.;Ogawa, I.;Tetsuka, T.;Tanahasi, S.;Hirokura, S.;Taniguchi, Y.;Kawasumi, Y.;Ando, R.;Fujita, J.</t>
  </si>
  <si>
    <t>Nagoya</t>
  </si>
  <si>
    <t>Nagoya University</t>
  </si>
  <si>
    <t>Noda N.</t>
  </si>
  <si>
    <t>Impurity origin during ICRF heating in the JIPP T-IIU tokamak</t>
  </si>
  <si>
    <t>10.1016/0022-3115(84)90370-2</t>
  </si>
  <si>
    <t>2-s2.0-0021608097</t>
  </si>
  <si>
    <t>['waveguide transmitter', 'receiver circuits', 'printed arrays', 'operational advantages', 'new concept', 'millimeter wavelengths', 'microstrip lines', 'microstrip elements', 'insular guide', 'hybrid microstrip', 'element travelling', 'element coupling', 'dissipative losses', 'dimensional tolerances', 'designed illustrating', 'conventional metal']</t>
  </si>
  <si>
    <t>A new concept of using dielectric guides as a replacement for microstrip lines in linear microstrip arrays is conceived as a means of reducing the antenna dissipative loss, while retaining many attractive manufacturing and operational advantages of printed arrays. This hybrid microstrip-dielectric array takes the form of an insular guide to which the microstrip elements are to be coupled. Precise field representations for the insular guide enable design data for dissipative losses and element coupling to be analyzed. For ease of manufacture and good coupling control, the microstrip elements take the form of proximity coupled resonant patch antennas, and measurements at both millimeter wavelengths and on microwave scaled models substantiate analytical results throughout. A 40-element travelling-wave hybrid array is designed illustrating the reduction in dissipative losses, the sensitivity to dimensional tolerances and the compatibility of the hybrid antenna concept with dielectric, as opposed to conventional metal, waveguide transmitter/receiver circuits.</t>
  </si>
  <si>
    <t>341-350</t>
  </si>
  <si>
    <t>60009658;60009658;60009658</t>
  </si>
  <si>
    <t>7403018268;7101865047;7403015676</t>
  </si>
  <si>
    <t>James, J. R.;John, G.;Hall, C. M.</t>
  </si>
  <si>
    <t>Swindon</t>
  </si>
  <si>
    <t>Defence College of Management and Technology</t>
  </si>
  <si>
    <t>James J.R.</t>
  </si>
  <si>
    <t>MILLIMETRE-WAVE HYBRID DIELECTRIC-MICROSTRIP ANTENNA ARRAY.</t>
  </si>
  <si>
    <t>10.1049/ip-h-1.1984.0072</t>
  </si>
  <si>
    <t>2-s2.0-0021612712</t>
  </si>
  <si>
    <t>['original author', 'incorrect conclusion', 'iee proc', '283 ).']</t>
  </si>
  <si>
    <t>The author draws attention to an incorrect conclusion from some results in D. E. N. Davies's communication (IEE Proc. H, Microwaves, Opt. &amp; Antennas, 1982, 129, (5), pp. 281-283). A response by the original author is included.</t>
  </si>
  <si>
    <t>Davies, D. E.N.</t>
  </si>
  <si>
    <t>Ukraine</t>
  </si>
  <si>
    <t>Kiev</t>
  </si>
  <si>
    <t>National Academy of Sciences in Ukraine</t>
  </si>
  <si>
    <t>Davies D.E.N.</t>
  </si>
  <si>
    <t>MUTUAL COUPLING COMPENSATION FOR SMALL, CIRCULARLY SYMMETRIC PLANAR ANTENNA ARRAYS.</t>
  </si>
  <si>
    <t>10.1049/ip-h-1.1984.0089</t>
  </si>
  <si>
    <t>2-s2.0-0021612716</t>
  </si>
  <si>
    <t>['tmmn modes', 'rigorously derived', 'real order', 'radiation patterns', 'integer degree', 'accurate calculation']</t>
  </si>
  <si>
    <t>The gain and the radiation patterns of a conical horn excited by a circular waveguide operating in the TEmn and TMmn modes are predicted. The expressions are rigorously derived by using the accurate calculation of the associated Legendre function with the real order and the integer degree. ¬© 1984 IEEE</t>
  </si>
  <si>
    <t>1288-1291</t>
  </si>
  <si>
    <t>Choung, Youn H.</t>
  </si>
  <si>
    <t>Choung Y.</t>
  </si>
  <si>
    <t>Sum and Tracking Radiation Patterns of a Conical Horn</t>
  </si>
  <si>
    <t>10.1109/TAP.1984.1143257</t>
  </si>
  <si>
    <t>2-s2.0-0021613472</t>
  </si>
  <si>
    <t>['wind conditions', 'vehicle sizing', 'sizing studies', 'rights reserved', 'receiving antenna', 'power transmission', 'performance analysis', 'payload weight', 'must fly', 'mission requirements', 'microwave powered', 'long endurance', 'inc .,', 'high altitude', 'flight mechanics', 'direct function']</t>
  </si>
  <si>
    <t>Performance analysis and sizing studies have been conducted for unmanned, microwave powered, low speed airplanes that must fly with long endurance at high altitude The necessity of locating the receiving antenna in the vehicle wing couples both vehicle sizing and flight mechanics with power transmission This leads to un conventional performance equations for flight modes using either continuous power transmission or boost glide flight paths Vehicle size is a direct function of payload weight and power requirements Analytic results indicate that a variety of strategies can be employed to enhance vehicle performance for a range of mission requirements and wind conditions. ¬© 1984 American Institute of Aeronautics and Astronautics, Inc., All rights reserved.</t>
  </si>
  <si>
    <t>966-970</t>
  </si>
  <si>
    <t>Journal of Aircraft</t>
  </si>
  <si>
    <t>60000854-117814479</t>
  </si>
  <si>
    <t>Morris, Charles E.K.</t>
  </si>
  <si>
    <t>Hampton;</t>
  </si>
  <si>
    <t>NASA Langley Research Center;Aerospace Engineer Aeronautical Systems Office</t>
  </si>
  <si>
    <t>60000854;117814479</t>
  </si>
  <si>
    <t>Morris C.</t>
  </si>
  <si>
    <t>Microwave-powered, unmanned, high-altitude airplanes</t>
  </si>
  <si>
    <t>10.2514/3.45070</t>
  </si>
  <si>
    <t>2-s2.0-0021614348</t>
  </si>
  <si>
    <t>['‚ äù', 'vast majority', 'utility poles', 'typical system', 'tht tuning', 'rise buildings', 'right reserved', 'remote control', 'problems consist', 'phases may', 'past year', 'paper represent', 'paper goes', 'overwhelming success', 'overall project', 'ordinary telephone', 'new technologies', 'new system', 'new instrumentation', 'nearby objects', 'major problems', 'major break', 'incidental routines', 'highly successful', 'field engineer', 'environmental distortions', 'encompassing remark', 'effort required', 'economic priorities', 'drastically reducing', 'directional arrays', 'desired values', 'complete monitor', 'companion reflectometer', 'closely held', 'body rather', 'adjustment work', '6 tower', '50 kw', '2 system']</t>
  </si>
  <si>
    <t>A new system has been developed for use with the conventional antenna monitor used to read and maintain desired complex current ratios in an A.M. directional antenna array. The desired target value of ratios and phases may be stored in a memory and observing them is simply a matter of listening for audio tone null conditions that indicate when the desired values have been reached as a result of control adjustments made to the system. The basic principles may be applied to an adaptor for existing antenna monitors or, as in the author‚Äôs case, integrated into a complete monitor. The latter is shown in Fig. 1. Over the past year, it has been an overwhelming success in tune-up adjustment work on several complex arrays. It includes an interface for a companion reflectometer to enable transmission line matching during which time the complex current ratios must be closely held at desired target values. Used as a permanently installed adaptor to an existing antenna monitor, it is a valuable maintainence tool for making ‚Äútrim‚Äù adjustments and even as a trouble alarm locally, by remote control or even a simple ‚Äúcall-up‚Äù from a remote point using an ordinary telephone. It is believed that the new technologies to be discussed in this paper represent a major break-through in A.M. directional antenna system adjustment by drastically reducing the time and effort required to set up and adjust the myriad of control networks involved in a typical system. Major problems of the present day consist mainly of increasingly harsh environments that these arrays must live in. These problems consist of less than ideal real estate upon which to build them and reradiation from nearby objects such as high-rise buildings, utility poles and towers, tall water tanks, rolling mountainous terrain and the like. As a result, the field engineer must devote the vast majority of his time and efforts to dealing with these ever increasing problems of environmental distortions to far field radiation patterns. The technologies and hardware to be discussed in this paper can allow the field engineer to reduce the chores of basic control network set-up and adjustment to the least of economic priorities in the overall project of adjusting the system to conform to present day F.C.C. rules and policies. The new instrumentation developments to be described in this paper allow control network adjustments to be reclassified as minor and incidental routines. Several years ago, the author had occasion to perform a very extensive broadbanding job on a 6 tower, 50 kW, DA-2 system. The results were highly successful but the chief engineer made the following very interesting and all encompassing remark. ‚ÄúThe problem with A.M. directional arrays is tht tuning and adjusting them is too much of an exercise of the body rather than an exercise of the mindl‚Äù How true this has been in the past and his classic remark deserves a place in the pages of history! The new instrumentation to be described in this paper goes a long way towards solving this problem. ¬© 1984 IEEE. All right reserved.</t>
  </si>
  <si>
    <t>117-122</t>
  </si>
  <si>
    <t>Colligan, Frank S.</t>
  </si>
  <si>
    <t>Telecommunications Consultant</t>
  </si>
  <si>
    <t>Colligan F.S.</t>
  </si>
  <si>
    <t>Antenna monitor telemetered data memory as an adjustment and maintenance tool for A.M. Directional antenna systems</t>
  </si>
  <si>
    <t>10.1109/TBC.1984.266540</t>
  </si>
  <si>
    <t>2-s2.0-0021614747</t>
  </si>
  <si>
    <t>['zero impedance', 'using floquet', 'scattering field', 'results show', 'numerical examples', 'lossy medium', 'lossy half', 'investigated theoretically', 'input impedance', 'greatly suppress', 'frequency 9', 'experimental data', 'concrete surface', 'array surface']</t>
  </si>
  <si>
    <t>The plane wave scattering from an infinite planar impedance-loaded dipole array buried in a lossy half-space is investigated theoretically and experimentally. Formulations for the scattering field and the input impedance of the dipole are derived by using Floquet's theorem and the induced electromotive force (EMF) method. In order to demonstrate the validity of these formulations, the numerical examples for a concrete as the lossy medium at frequency 9.32 (GHz) are compared with the experimental data. The results show that this array, even when loaded by zero impedance, can greatly suppress the radio wave reflection from the concrete surface by choosing the array dimensions properly and the depth of the array surface. ¬© 1984 IEEE</t>
  </si>
  <si>
    <t>1372-1375</t>
  </si>
  <si>
    <t>35577361100;7404921525;56779495700</t>
  </si>
  <si>
    <t>Mashiko, Takunori;Yamada, Syuichiro;Adachi, Saburo</t>
  </si>
  <si>
    <t>Mashiko T.</t>
  </si>
  <si>
    <t>Plane Wave Scattering from an Infinite Planar Dipole Array Buried in a Lossy Half-Space</t>
  </si>
  <si>
    <t>10.1109/TAP.1984.1143265</t>
  </si>
  <si>
    <t>2-s2.0-0021618624</t>
  </si>
  <si>
    <t>['shape control', 'determination problem', 'determination algorithms', 'derive solutions']</t>
  </si>
  <si>
    <t>This paper contains two parts. Part I presents a shape control or determination problem for a large space structure. Static shape control and determination algorithms are developed for one dimensional models and illustrated with simulations of flexible beam examples. Part II presents an integral operator approach used to derive solutions to static shape determination and control problems associated wih large space structures. Results are illustrated by simulations with a finite element model of a large space antenna.</t>
  </si>
  <si>
    <t>261-272</t>
  </si>
  <si>
    <t>Journal of Dynamic Systems, Measurement and Control, Transactions of the ASME</t>
  </si>
  <si>
    <t>Weeks, Connie J.</t>
  </si>
  <si>
    <t>Weeks C.J.</t>
  </si>
  <si>
    <t>STATIC SHAPE DETERMINATION AND CONTROL FOR LARGE SPACE STRUCTURES: PART I. THE FLEXIBLE BEAM; PART II. A LARGE SPACE ANTENNA.</t>
  </si>
  <si>
    <t>10.1115/1.3140683</t>
  </si>
  <si>
    <t>2-s2.0-0021619342</t>
  </si>
  <si>
    <t>['¬© 1984', 'transducer response', 'transducer design', 'thus possible', 'righrs reserved', 'relative contribution', 'noise ratio', 'new approach', 'lower sensitivity', 'infinitesimal elements', 'hence variations', 'foil thickness', 'five methods', 'electret microphone', 'effective airgap', 'easier construction', 'directional behavior', 'coherent sum', 'charge density', 'actual airgap', 'active width', 'acoustical society']</t>
  </si>
  <si>
    <t>A new approach to transducer design is introduced in which a transducer is viewed as a continuum of infinitesimal, locally reacting elements. The transducer response is the coherent sum of the responses of the infinitesimal elements. Hence variations in transducer response characteristics will be produced by variations in the relative contribution of each element. It is thus possible to produce designed transducer characteristics through selection of a suitable local sensitivity shading function. This new approach is used to design a foil electret acoustic antenna which achieves with a single transducer direction characteristics similar to these of a linear microphone array. Five methods for accomplishing sensitivity variation in the electret microphone have been identified: variation of active width, variation of charge density, variation of actual airgap, variation of foil thickness, and variation of effective airgap. It is shown that compared to a linear microphone array, the single transducer acoustic antenna offers advantages of lower sensitivity to small construction errors, directional behavior over a wider frequency range, easier construction, and potentially higher signal to noise ratio. ¬© 1984, Acoustical Society of America. All righrs reserved.</t>
  </si>
  <si>
    <t>1609-1616</t>
  </si>
  <si>
    <t>60021378;60021378;60021378</t>
  </si>
  <si>
    <t>56990240300;7402746449;56304490800</t>
  </si>
  <si>
    <t>Busch-Vishniac, Ilene J.;West, James E.;Wallace, R. L.</t>
  </si>
  <si>
    <t>Busch-Vishniac I.</t>
  </si>
  <si>
    <t>A New Approach To Transducer Design Applied To A Foil Electret Acoustic Antenna</t>
  </si>
  <si>
    <t>10.1121/1.391607</t>
  </si>
  <si>
    <t>2-s2.0-0021620239</t>
  </si>
  <si>
    <t>['thinned array', 'specified values', 'sidelobes effectively', 'several examples', 'reduce sidelobes', 'radiation pattern', 'quantitative relations', 'pattern change', 'nominal location', 'method devised', 'linear system', 'infinite number', 'general case', 'assumed random', 'array elements']</t>
  </si>
  <si>
    <t>Under study is a method devised to reduce sidelobes of thinned random antenna arrays over specified angular sectors. The thinned array is assumed random in the sense that the nominal location of the elements is known, but their actual position may vary randomly. It is shown that by imposing adequately dense pattern nulls, it is possible to reduce the sidelobes effectively in the region of the nulls. The problem is formulated as a set of points in the radiation pattern, which are constrained to specified values. The unknowns are the excitations, or weights, applied to the array elements. In the general case, the linear system of equations is consistent and has an infinite number of solutions. The solution selected optimizes the pattern in a minimum variance sense. Quantitative relations are derived for the pattern change and the gain cost associated with the imposed pattern nulls. Several examples are included to illustrate the results. ¬© 1984 IEEE</t>
  </si>
  <si>
    <t>1298-1307</t>
  </si>
  <si>
    <t>60014662-60021378;60014662-100451057</t>
  </si>
  <si>
    <t>35576601100;7005000103</t>
  </si>
  <si>
    <t>Bar-Ness, Yeheskel;Haimovich, Alexander M.</t>
  </si>
  <si>
    <t>Murray;Philadelphia;Lansdale</t>
  </si>
  <si>
    <t>Nokia Bell Labs;Drexel University;AEL Industries, Inc</t>
  </si>
  <si>
    <t>60021378;60014662;100451057</t>
  </si>
  <si>
    <t>Bar-Ness Y.</t>
  </si>
  <si>
    <t>Synthesis of Random Antenna Array Patterns with Prescribed Nulls</t>
  </si>
  <si>
    <t>10.1109/TAP.1984.1143255</t>
  </si>
  <si>
    <t>2-s2.0-0021620763</t>
  </si>
  <si>
    <t>['wavefront produced', 'unwanted scatterers', 'scanning probe', 'new approach', 'method exploits', 'high quality', 'field transformation', 'experimental results', 'environmental effects', 'effectively avoids']</t>
  </si>
  <si>
    <t>A new approach to the problem of environmental effects in microwave antenna pattern measurements is proposed. The method exploits the ability of a scanning probe to synthesize a high-quality, spatially selective wavefront which effectively avoids the illumination of unwanted scatterers. The development of a specialized planar array function is described, and the wavefront produced is demonstrated to be of high quality over the region of interest. An algorithm is presented to enable the procedure to be used for near-field/far-field transformation. Experimental results are provided as validation of the process.</t>
  </si>
  <si>
    <t>351-358</t>
  </si>
  <si>
    <t>60024825;60024825;60024825</t>
  </si>
  <si>
    <t>55426276900;7404251432;7403369332</t>
  </si>
  <si>
    <t>Pereira, J. F.R.;Bennett, J. C.;Anderson, A. P.</t>
  </si>
  <si>
    <t>Portugal</t>
  </si>
  <si>
    <t>Aveiro</t>
  </si>
  <si>
    <t>Universidade de Aveiro</t>
  </si>
  <si>
    <t>Pereira J.F.R.</t>
  </si>
  <si>
    <t>NEW PROCEDURE FOR NEAR-FIELD MEASUREMENTS OF MICROWAVE ANTENNAS WITHOUT ANECHOIC ENVIRONMENTS.</t>
  </si>
  <si>
    <t>10.1049/ip-h-1.1984.0073</t>
  </si>
  <si>
    <t>2-s2.0-0021622053</t>
  </si>
  <si>
    <t>['reduced considerably', 'physical size', 'normally present', 'narrow beamwidth', 'meniscus lens', 'lens surfaces', 'high crosspolarization', 'example radiotelescopes', 'aperture using']</t>
  </si>
  <si>
    <t>The physical size of a corrugated conical horn feed having narrow beamwidth can be reduced considerably by correcting the spherical phase front in the aperture using a meniscus lens. Measured and calculated radiation characteristics of such lens-corrected scalar horns are presented. It is shown that the horns can provide efficient aperture illuminations when used as feeds for conventional Cassegrain antennas, for example radiotelescopes. It is shown that the high crosspolarization, which is normally present in lens horn designs, can be reduced to that of the horn itself by corrugating the lens surfaces with holes. Improved design formulas for such holes are given.</t>
  </si>
  <si>
    <t>390-394</t>
  </si>
  <si>
    <t>60013141;60013141;60013141</t>
  </si>
  <si>
    <t>7101988263;7005413512;7404812629</t>
  </si>
  <si>
    <t>Kildal, P. S.;Jakobsen, K.;Rao, K. Sudhakar</t>
  </si>
  <si>
    <t>Kildal P.S.</t>
  </si>
  <si>
    <t>MENISCUS-LENS-CORRECTED CORRUGATED HORN: A COMPACT FEED FOR A CASSEGRAIN ANTENNA.</t>
  </si>
  <si>
    <t>10.1049/ip-h-1.1984.0079</t>
  </si>
  <si>
    <t>2-s2.0-0021624737</t>
  </si>
  <si>
    <t>['wide bandwidth', 'segmentation method', 'rectangular patch', 'reasonable agreement', 'radiation pattern', 'radiating edges', 'five times', 'experimental results']</t>
  </si>
  <si>
    <t>A method for increasing the bandwidth of microstrip patch antennas by incorporating two additional resonators which are gap-coupled to the radiating edges of a rectangular patch is described. A two-dimensional analysis using Green's function and segmentation method is used for analyzing the proposed antenna configurations. A bandwidth as large as five times a single rectangular patch is obtained in S-band. Changes in the radiation pattern over this wide bandwidth are discussed. Experimental results are in reasonable agreement with the analysis. ¬© 1984 IEEE</t>
  </si>
  <si>
    <t>1375-1379</t>
  </si>
  <si>
    <t>60009697;60000221</t>
  </si>
  <si>
    <t>7202418704;7402592343</t>
  </si>
  <si>
    <t>Kumar, Girish;Gupta, Kuldip C.</t>
  </si>
  <si>
    <t>Canada;United States</t>
  </si>
  <si>
    <t>Winnipeg;Boulder</t>
  </si>
  <si>
    <t>University of Manitoba;University of Colorado Boulder</t>
  </si>
  <si>
    <t>Kumar G.</t>
  </si>
  <si>
    <t>Broad-Band Microstrip Antennas Using Additional Resonators Gap-Coupled to the Radiating Edges</t>
  </si>
  <si>
    <t>10.1109/TAP.1984.1143264</t>
  </si>
  <si>
    <t>2-s2.0-0021625013</t>
  </si>
  <si>
    <t>['precautions necessary', 'new method', 'high degree', 'frequency measurement', 'also considered', 'accuracy obtainable']</t>
  </si>
  <si>
    <t>A method for swept-frequency measurement of the on-axis axial ratio of circularly polarized feed systems is described. The method is suitable for measuring the resultant axial ratio of a feed plus horn assembly. The performance of the feed (diplexer) alone may also be measured by using a simple terminating horn designed for very low reflection coefficient. A comparison with established techniques shows advantages for the new method, either in simplicity or accuracy. The precautions necessary to achieve the high degree of accuracy obtainable are also considered. ¬© 1984 IEEE</t>
  </si>
  <si>
    <t>1379-1382</t>
  </si>
  <si>
    <t>113069943;113069943</t>
  </si>
  <si>
    <t>35571713000;35571763900</t>
  </si>
  <si>
    <t>Greene, Kieran J.;Thomas, Bruce Maca</t>
  </si>
  <si>
    <t>Preston</t>
  </si>
  <si>
    <t>Greene K.J.</t>
  </si>
  <si>
    <t>An Accurate Technique for Measuring the On-Axis Axial Ratio of Circularly Polarized Feed Systems</t>
  </si>
  <si>
    <t>10.1109/TAP.1984.1143263</t>
  </si>
  <si>
    <t>2-s2.0-0021625014</t>
  </si>
  <si>
    <t>['¬© 1984', 'suprathermal electrons', 'significant loss', 'rf powers', 'machine operation', 'impurity generation', 'icrf experiments', 'feedthrough design', '3 mw']</t>
  </si>
  <si>
    <t>ICRF | LH | PWI</t>
  </si>
  <si>
    <t>Plasma-materials interactions studied in recent ICRF heating and lower hybrid current drive experiments are reviewed. The microscopic processes responsible for impurity generation are discussed. In ICRF experiments, improvements in machine operation and in antenna and feedthrough design have allowed efficient plasma heating at RF powers up to 3 MW. No significant loss of energy from the plasma core due to impurity radiation occurs. Lower hybrid current drive results in the generation and maintenance of hundreds of kiloamperes of plasma current carried by suprathermal electrons. The loss of these electrons and their role in impurity generation are assessed. Methods to avoid this problem are evaluated. ¬© 1984.</t>
  </si>
  <si>
    <t>280-291</t>
  </si>
  <si>
    <t>60018020;60018020;60018020;60018020;60018020;60018020;60018020;60018020;60018020;60018020;60018020;60018020;60018020;60018020;60018020;60018020;60018020;60018020</t>
  </si>
  <si>
    <t>7407662968;7003860036;22959964400;7401775759;7004002507;22966851300;6603941038;22967475100;56232015400;6603861054;24424496400;7005846878;7006106746;22969339500;7006849275;7003560134;7003999177;57207400874</t>
  </si>
  <si>
    <t>Cohen, S. A.;Bernabei, S.;Budny, R.;Chu, T. K.;Colestock, P.;Hinnov, E.;Hooke, W.;Hosea, J.;Hwang, D.;Jobes, F.;Manos, D.;Motley, R.;Ruzic, D.;Stevens, J.;Stratton, B.;Suckewer, S.;Von Goeler, S.;Wilson, R.</t>
  </si>
  <si>
    <t>Cohen S.A.</t>
  </si>
  <si>
    <t>Plasma-materials interactions during RF experiments in tokamaks</t>
  </si>
  <si>
    <t>10.1016/0022-3115(84)90367-2</t>
  </si>
  <si>
    <t>2-s2.0-0021626722</t>
  </si>
  <si>
    <t>['resistance product', 'nearby dipoles', 'electronics engineers', 'effective area', 'dipole vary', 'antenna factor']</t>
  </si>
  <si>
    <t>It is shown that the gain-resistance product of a half-wave dipole remains constant, although mutual effects of nearby dipoles, or nearby conducting planes, cause its resistance to vary. Thus the gain, the effective area, and the antenna factor of the dipole vary as well. Copyright ¬© 1984 by The Institute of Electrical and Electronics Engineers, Inc.</t>
  </si>
  <si>
    <t>1824-1826</t>
  </si>
  <si>
    <t>Bennett, W. Scott</t>
  </si>
  <si>
    <t>Hewlett-Packard Inc.</t>
  </si>
  <si>
    <t>Bennett W.</t>
  </si>
  <si>
    <t>The Gain‚ÄîResistance Product of the Half-Wave Dipole</t>
  </si>
  <si>
    <t>10.1109/PROC.1984.13097</t>
  </si>
  <si>
    <t>2-s2.0-0021628536</t>
  </si>
  <si>
    <t>['power radiated', 'optimal current', 'norm 1', 'boundary data', 'arbitrary surface', 'approximate currents', 'appropriate subsequence', 'antenna theory']</t>
  </si>
  <si>
    <t>We study an optimization problem arising in antenna theory: that of finding square integrable currents (boundary data) of norm 1 on an arbitrary surface which optimize the power radiated in a preassigned angular sector. Specifically we develop a constructive method using complete families of solutions of the exterior Helmholtz equation, which produces approximately optimal boundary data in terms of solutions of a generalized eigenvalue problem Bx equals lambda Gx. Convergence of an appropriate subsequence of approximate currents to the optimal current is established.</t>
  </si>
  <si>
    <t>1246-1257</t>
  </si>
  <si>
    <t>SIAM Journal on Applied Mathematics</t>
  </si>
  <si>
    <t>60023004;60023004</t>
  </si>
  <si>
    <t>7004135825;7005560094</t>
  </si>
  <si>
    <t>Angell, Thomas S.;Kleinman, Ralph E.</t>
  </si>
  <si>
    <t>Newark</t>
  </si>
  <si>
    <t>University of Delaware</t>
  </si>
  <si>
    <t>Angell T.</t>
  </si>
  <si>
    <t>GALERKIN PROCEDURE FOR OPTIMIZATION IN RADIATION PROBLEMS.</t>
  </si>
  <si>
    <t>10.1137/0144090</t>
  </si>
  <si>
    <t>2-s2.0-0021631922</t>
  </si>
  <si>
    <t>['within 8cm', 'within 12cm', 'tape recorder', 'system consisting', 'results showed', 'resonance problems', 'radar images', 'radar depth', 'penetrating radar', 'organic thickness', 'organic soil', 'graphic recorder', 'gpr using', 'gpr techniques', 'florida everglades', 'data extension', 'correlation coefficient', 'control unit', 'antenna advance', 'agricultural area', '120 mhz']</t>
  </si>
  <si>
    <t>A ground-penetrating radar (GPR) system consisting of a control unit, power distribution unit, graphic recorder, tape recorder, and an antenna with a center carrier frequency of 120 MHz was used to investigate the Florida Everglades' Agricultural Area (EAA) organic thickness. Seven important factors that affected the results of GPR were the speed of antenna advance, antenna frequency selection, soil depth determination, soil moisture content, resonance problems, triple bands appearance, and data extension. Two sites located in the EAA were chosen to demonstrate the application of GPR techniques. The results showed that the GPR using a 120 MHz antenna was applicable to investigate the thickness of organic soil in the EAA. The deviations between auger boring data and radar images were within 8cm in 91% of all samples, and within 12cm in all samples. The correlation coefficient between the boring and the radar depth was 0.84.-Authors</t>
  </si>
  <si>
    <t>Soil Science Society of America Journal</t>
  </si>
  <si>
    <t>60013959;60013959</t>
  </si>
  <si>
    <t>7201649353;7004454942</t>
  </si>
  <si>
    <t>Shih, S. F.;Doolittle, J. A.</t>
  </si>
  <si>
    <t>Shih S.F.</t>
  </si>
  <si>
    <t>Using radar to investigate organic soil thickness in the Florida Everglades.</t>
  </si>
  <si>
    <t>10.2136/sssaj1984.03615995004800030036x</t>
  </si>
  <si>
    <t>2-s2.0-0021634508</t>
  </si>
  <si>
    <t>['universal time', 'source positions', 'rotational motions', 'precession constant', 'polar motion', 'observed values', 'measuring crustal', 'last decade', 'geophysical parameters', 'february 1980', 'extract astrometric', 'delay rate', 'august 1971', '684 parameters']</t>
  </si>
  <si>
    <t>A series of experiments has been conducted during the last decade to develop a radio interferometry system capable of measuring crustal and rotational motions of the earth, as well as source positions for a reference frame based on compact extragalactic radio sources. Approximately 2400 observations of extragalactic radio sources were made between August 1971 and February 1980 during 48 separate sessions. A single multiparameter fit was applied to the observed values of delay and delay rate to extract astrometric and geophysical parameters from this sequence. The fit produced estimates of 684 parameters, including station locations, radio source positions, polar motion, universal time, the precession constant, and solid earth tides. -from Authors</t>
  </si>
  <si>
    <t>7597-7607</t>
  </si>
  <si>
    <t>B9</t>
  </si>
  <si>
    <t>Sovers, O. J.</t>
  </si>
  <si>
    <t>Sovers O.</t>
  </si>
  <si>
    <t>Radio interferometric determination of intercontinental baselines and earth orientation utilizing deep space network antennas: 1971 to 1980.</t>
  </si>
  <si>
    <t>10.1029/JB089iB09p07597</t>
  </si>
  <si>
    <t>2-s2.0-0021639381</t>
  </si>
  <si>
    <t>['wire antenna', 'thundercloud show']</t>
  </si>
  <si>
    <t>Measurements with an electric field mill beneath a thundercloud show that space charge produced by corona from a surrounding, horizontal, fine-wire antenna that is connected to the earth greatly reduces the electric field intensity.-Author</t>
  </si>
  <si>
    <t>1468-1470</t>
  </si>
  <si>
    <t>D1</t>
  </si>
  <si>
    <t>Vonnegut, B.</t>
  </si>
  <si>
    <t>Albany</t>
  </si>
  <si>
    <t>State University of New York Albany</t>
  </si>
  <si>
    <t>Vonnegut B.</t>
  </si>
  <si>
    <t>Reduction of thunderstorm electric field intensity produced by corona from a nearby object.</t>
  </si>
  <si>
    <t>10.1029/JD089iD01p01468</t>
  </si>
  <si>
    <t>2-s2.0-0021639573</t>
  </si>
  <si>
    <t>['multicylindrical medium', 'invaded boreholes', 'induction tool', 'formulated exactly', 'closely approximates', 'calculated using', 'also described']</t>
  </si>
  <si>
    <t>The problem of the radiation of a current loop antenna in a multicylindrical medium is formulated exactly in terms of an integral. The integrand is calculated using an iterative scheme making the integral more tenable to approximation. This closely approximates the response of a dielectric logging tool such as the deep propagation tool or an induction tool in invaded boreholes. Refinements and extensions of the method and their applications are also described. -after Author</t>
  </si>
  <si>
    <t>81-91</t>
  </si>
  <si>
    <t>Chew, W. C.</t>
  </si>
  <si>
    <t>Schlumberger-Doll Research Center</t>
  </si>
  <si>
    <t>Chew W.</t>
  </si>
  <si>
    <t>Response of a current loop antenna in an invaded borehole.</t>
  </si>
  <si>
    <t>10.1190/1.1441564</t>
  </si>
  <si>
    <t>2-s2.0-0021644558</t>
  </si>
  <si>
    <t>['¬© 1984', 'surgical instruments', 'resistant materials', 'relevant examples', 'protect metal', 'physically vapour', 'milling cutters', 'machine elements', 'jewelry pieces', 'intrinsic cohesion', 'industrial applications', 'increasingly used', 'fusion reactors', 'fuel pins', 'electrical contacts', 'deposited coatings', 'considerably increased', 'combinations thereof', 'coated tools', 'coated products', 'chemically vapour', 'chemical attack', 'body implants', 'bearing elements', 'base material', 'armatures especially', 'adhesive strength', 'adhesive failure']</t>
  </si>
  <si>
    <t>Chemically vapour-deposited and physically vapour-deposited coatings of hard and wear-resistant materials such as TiC, TiN, Ti(C, N), Cr7C3, Al2O3, SiO2 and TiO2 as well as other carbides, nitrides, borides, oxides and combinations thereof are increasingly used in industrial applications to protect metal, ceramic and in certain cases polymer parts against mechanical and chemical attack, sometimes with a decorative purpose also. Some relevant examples of coated products are cemented carbide throwaway cutting tips (TiC, TiN, Ti(C, N), Al2O3 etc.), high speed steel drills and milling cutters (TiN), hobs, deep drawing tools, ball-bearing elements, gears, machine elements, electrical contacts, body implants, surgical instruments and tools, cutlery, fuel pins and armatures especially for helium- and sodium-cooled nuclear reactors, low Z sputter-resistant protective coatings on parts (limiters, antennae etc.) and walls of the torus in fusion reactors (tokamak) and gold- or silver- or black-coloured watch cases and jewelry pieces. The life of such coated tools or machine elements as well as their performance are considerably increased, provided that the adhesive strength of the coating to the base material and the intrinsic cohesion of the coating are sufficient. Bad adhesion leads to flaking (adhesive failure) while poor cohesion causes chipping (cohesive failure). ¬© 1984.</t>
  </si>
  <si>
    <t>381-397</t>
  </si>
  <si>
    <t>Wear</t>
  </si>
  <si>
    <t>Hintermann, H. E.</t>
  </si>
  <si>
    <t>Neuchatel</t>
  </si>
  <si>
    <t>Laboratoire Suisse de Recherches Horlog√®res</t>
  </si>
  <si>
    <t>Hintermann H.</t>
  </si>
  <si>
    <t>Adhesion, friction and wear of thin hard coatings</t>
  </si>
  <si>
    <t>10.1016/0043-1648(84)90023-1</t>
  </si>
  <si>
    <t>2-s2.0-0021645425</t>
  </si>
  <si>
    <t>['two parts', 'tubular body', 'transition zone', 'stimulusconducting apparatus', 'sensory process', 'sensory cell', 'pedicellus joint', 'lcs possesses', 'found close', 'enveloping cells', 'distal part', 'complete absence', 'ciliary structures']</t>
  </si>
  <si>
    <t>A large mechanosensory campaniform sensillum (LCS) is found close to the flagellum/pedicellus joint in the antennae of the blowfly Calliphora erythrocephala. The LCS possesses a single sensory cell, enveloping cells and a cuticular stimulus‚Äêconducting structure. The distal part of the sensory process is developed as a tubular body and is connected to the two parts of the stimulusconducting apparatus. The sensory cell is characterized by the complete absence of ciliary structures in the transition zone between dendrite and sensory process. Copyright ¬© 1984 Wiley‚ÄêLiss, Inc.</t>
  </si>
  <si>
    <t>115-123</t>
  </si>
  <si>
    <t>7006062747;6508225618;7004648516</t>
  </si>
  <si>
    <t>Hallberg, Eric;H√∂gmo, Olle;N√§ssel, Dick R.</t>
  </si>
  <si>
    <t>Hallberg E.</t>
  </si>
  <si>
    <t>Antennal receptors in the blowfly Calliphora erythrocephala: II. Fine structure of the large pedicellar campaniform sensillum</t>
  </si>
  <si>
    <t>10.1002/jmor.1051820108</t>
  </si>
  <si>
    <t>2-s2.0-0021678262</t>
  </si>
  <si>
    <t>DE-AC02-ZERO-1338</t>
  </si>
  <si>
    <t>['¬© 1984', 'wavelength fluorescence', 'triton x', 'term solubilization', 'similar preparation', 'similar conditions', 'sds ),', 'protein band', 'prepared using', 'plant physiol', 'page ).', 'oligomeric form', 'minimal concentration', 'kda polypeptide', 'isolated photosystem', 'intact thylakoids', 'ii pigment', 'ii ).', 'harvesting complex', 'harvesting chlorophyll', 'free pigment', 'four pigment', 'febs lett', 'dissociating sds', 'derivative spectrum', 'data suggest', 'cpia band', 'cpi contained', 'containing bands', 'combined lhc', 'chlorophyll b', 'b pigment', 'antennae function', 'also serve', 'absorption maximum', '730 nm', '722 nm', '669 nm', '650 nm', '5 kda', '24 kda', '181 ],', '14 kda']</t>
  </si>
  <si>
    <t>Isolated photosystem I (PSI)-110 particles, prepared using a minimal concentration of Triton X-100 [J. E. Mullet, J. J. Burke, and C. J. Arntzen (1980) Plant Physiol.65, 814-822] and further subjected to short-term solubilization with sodium dodecyl sulfate (SDS), were resolved into four pigment-containing bands on polyacrylamide gel electrophoresis (PAGE). We have identified these in order of increasing electrophoretic mobility as being (a) CPIa, (b) CPI, (c) the light-harvesting complex of photosystem I (LHC-I), and (d) a free pigment-zone. LHC-I had an absorption maximum in the red at 668-669 nm and a shoulder at 650 nm, which was resolved by its first-derivative spectrum to indicate the presence of chlorophyll b. LHC-I exhibited a 77 ¬∞K fluorescence emission maximum at 729-730 nm. The 77¬∞K fluorescence emission maxima of CPIa and CPI, excised from the gel, were at 729 and 722 nm, respectively. The LHC-I band, excised from the gel and rerun on dissociating SDS-PAGE, was resolved into two polypeptide doublets of 24-22.5 and 21-20.5 kDa. The CPIa band under similar conditions was resolved into polypeptides of 68, 24, 22.5, 21, 20.5, 19, 15, and 14 kDa; on the contrary, CPI contained only the 68-kDa polypeptide. When intact thylakoids were subjected to "nondenaturing" SDS-PAGE, LHC-I comigrated with an oligomeric form (dimer) of the light-harvesting chlorophyll a/b pigment-protein that preferentially serves photosystem II (LHCP-II). When this combined LHC-I/ LHCP-II pigment-protein band was prepared by SDS-PAGE from isolated stroma lamellae, it exhibited a long-wavelength fluorescence band near 730 nm at 77 ¬∞K. When a similar preparation was obtained from sucrose density gradients containing SDS [J. Argyroudi-Akoyunoglou and H. Thomou (1981) FEBS Lett.135, 171-181], it was found to be enriched in a 21-kDa polypeptide. The data suggest that the 21-kDa polypeptide of LHC-I is the chlorophyll-containing polypeptide responsible for the long-wavelength fluorescence of LHC-I; other polypeptides in the complex (20.5, 22.5, and 24 kDa) presumably bind chlorophyll and also serve an antennae function. ¬© 1984.</t>
  </si>
  <si>
    <t>618-627</t>
  </si>
  <si>
    <t>Archives of Biochemistry and Biophysics</t>
  </si>
  <si>
    <t>60031707;60031707;60031707;60031707;60031707</t>
  </si>
  <si>
    <t>7004899916;6701441781;7102613947;16470990300;7004449268</t>
  </si>
  <si>
    <t>Kuang, T. Y.;Argyroudi-Akoyunoglou, J. H.;Nakatani, H. Y.;Watson, J.;Arntzen, C. J.</t>
  </si>
  <si>
    <t>East Lansing</t>
  </si>
  <si>
    <t>Michigan State University</t>
  </si>
  <si>
    <t>Kuang T.Y.</t>
  </si>
  <si>
    <t>The origin of the long-wavelength fluorescence emission band (77¬∞K) from photosystem I</t>
  </si>
  <si>
    <t>10.1016/0003-9861(84)90236-4</t>
  </si>
  <si>
    <t>2-s2.0-0021701751</t>
  </si>
  <si>
    <t>['universally correct', 'trans ).', 'soci √©', 'sialyl residues', 'scheme combines', 'recent evidence', 'possible compartmentation', 'normal tissues', 'modified scheme', 'golgi apparatus', 'glycoprotein synthesis', 'different cells', 'developed schemes', 'denser region', 'compartmentation data', 'antennae appear']</t>
  </si>
  <si>
    <t>This laboratory has developed schemes for the control of biosynthesis of N‚Äê and O‚Äêglycosyl oligosaccharides based on studies in cell‚Äêfree systems of glycosyl‚Äêtransferase substrate specificities. These schemes are based on assumptions that may not be universally correct. For example, we have ignored the possible compartmentation of reactions in different cells or in different organelles within a cell. Recent evidence has indicated that the Golgi apparatus has at least three functionally distinct regions (cis, medial and trans). The addition of galactosyl and sialyl residues to the antennae of complex and hybrid N‚Äêglycans probably occurs entirely within the trans‚Äêcisternae while the N‚Äêacetylglucosaminyl‚Äêtransferases which initiate these antennae appear to be located in a denser region of the Golgi (cis and/or medial cisternae). We have constructed a modified scheme for the biosynthesis of the antennae of N‚Äêglycans. This scheme combines our substrate specificity data (H. Schachter, S. Narasimhan, P. Gleeson and G. Vella, 1983, Can. J. Biochem. Cell Biol., 61, 1049‚Äê1066) with compartmentation data. It provides a basis for understanding the control of glycoprotein synthesis in normal tissues and in certain lectin‚Äêresistant mutant cell lines. 1984 Soci√©t√© Fran√ßaise des Microscopies and Soci√©t√© Biologie Cellulaire de France</t>
  </si>
  <si>
    <t>133-145</t>
  </si>
  <si>
    <t>1768322X</t>
  </si>
  <si>
    <t>Biology of the Cell</t>
  </si>
  <si>
    <t>Schachter, H.</t>
  </si>
  <si>
    <t>Schachter H.</t>
  </si>
  <si>
    <t>Coordination between enzyme specificity and intracellular compartmentation in the control of protein‚Äêbound oligosaccharide biosynthesis</t>
  </si>
  <si>
    <t>10.1111/j.1768-322X.1984.tb00292.x</t>
  </si>
  <si>
    <t>2-s2.0-0021712680</t>
  </si>
  <si>
    <t>['tv screens', 'symbols maps', 'satellite data', 'relative severity', 'goes ).', 'fl office', 'experimental link', 'computer subtraction', '1981 freeze']</t>
  </si>
  <si>
    <t>During the Winters of 1980-81 and 1981-82 the Satellite Frost Forecast System acquired infrared data through an experimental link to a Geostationary Operational Environmental Satellite (GOES). These data were presented to National Weather Service forecasters at the Ruskin, FL office and disseminated to County Agricultural Extension Centers as color-coded thermal maps on TV screens and as black-and-white 'symbols maps' or printouts of the satellite data. Computer subtraction of thermal map pixels is used to describe the relative severity of the Jan. 12, 1982 freeze versus the Jan. 13, 1981 freeze. Development of GOES satellite downlink antenna on the University of Florida campus offers a number of benefits, which are discussed in the article.</t>
  </si>
  <si>
    <t>The Citrus industry</t>
  </si>
  <si>
    <t>Martsolf, J. David</t>
  </si>
  <si>
    <t>Martsolf J.</t>
  </si>
  <si>
    <t>SATELLITE THERMAL MAPS PROVIDE DETAILED VIEWS AND COMPARISONS OF FREEZES.</t>
  </si>
  <si>
    <t>2-s2.0-0021714776</t>
  </si>
  <si>
    <t>['spatial configuration', 'soft cuticle', 'sensory cell', 'receptor function', 'proprioceptor sensitive', 'particularly susceptible', 'organ consists', 'lies within', 'lanthanum failed', 'hemolymph space', 'extremely thin', 'diverticle encloses', 'cryofixed preparations', 'artificial deformation', 'antennular tip']</t>
  </si>
  <si>
    <t>The structure of a subcuticular receptor organ in the antennular tip of the terrestrial isopod Porcellio scaber was examined in cryofixed and chemically fixed material. The organ consists of a single sensory cell and two enveloping cells lying beneath an area of soft cuticle. The dendritic outer segment of the sensory cell is unique in that it lies within an extraepidermal space curled around a fingerlike epidermal diverticle. This diverticle encloses an extension of the hemolymph space. The wall of the diverticle is extremely thin. Silver-protein and lanthanum failed to penetrate the overlying soft cuticle. The spatial configuration of the dendrite and cytoskeletal elements within the inner enveloping cell are particularly susceptible to artificial deformation and could only be demonstrated in cryofixed preparations. The structural characteristics suggest the receptor function as proprioceptor sensitive to hemolymph pressure changes. ¬© 1984 Academic Press, Inc.</t>
  </si>
  <si>
    <t>62-74</t>
  </si>
  <si>
    <t>Journal of Ultrasructure Research</t>
  </si>
  <si>
    <t>60030807;60030807</t>
  </si>
  <si>
    <t>7006022844;6603701874</t>
  </si>
  <si>
    <t>Haug, T.;Altner, H.</t>
  </si>
  <si>
    <t>Haug T.</t>
  </si>
  <si>
    <t>A cryofixation study of a subcuticular receptor organ in the antennular tip of the terrestrial isopod, Porcellio scaber Latr. (Crustacea)</t>
  </si>
  <si>
    <t>S0022-5320(84)90116-3</t>
  </si>
  <si>
    <t>10.1016/S0022-5320(84)90116-3</t>
  </si>
  <si>
    <t>2-s2.0-0021740720</t>
  </si>
  <si>
    <t>['‚ äê', 'weak antigenicity', 'tetraantennary glycans', 'soci √©', 'significantly enriched', 'rendering accessible', 'recently demonstrated', 'protein surface', 'protective shields', 'pentaantennary structures', 'peculiar behaviour', 'numerous glycoproteins', 'neutron scattering', 'modified thanks', 'membrane glycoproteins', 'making reachable', 'good agreement', 'four antennae', 'disposed parallely', 'biantennary glycan']</t>
  </si>
  <si>
    <t>Ten years ago, we anticipated future results by building the Y‚Äêshaped molecular model of a biantennary glycan. Progressively, this structure has been refined and modified thanks to experimental data obtained by using physical methods: X‚Äêray diffraction, electron spin resonance (EPR), nuclear magnetic resonance (NMR) including two‚Äêdimensional NMR and one‚Äêdimensional 1H‚Äênuclear Overhauser effect (NOE) experiments, neutron scattering and hard‚Äêsphere exo‚Äêanomeric (HSEA) calculations. So, the concept evolved successively from the Y‚Äê, to the T‚Äê, the bird‚Äê and the ‚Äúbroken wing‚Äù‚Äêconformation, until the demonstration, that these conformers are interconvertible. The bird‚Äêconformation as well as the concept of the mobility of antennae are in a good agreement with the reactivity of lectins, including membrane lectins, by rendering accessible any specific sugar structure, and with the activity of glycosyltransferases by making reachable the substitutable hydroxyl groups even in the case of pentaantennary structures. Along this line, we know now that the tetraantennary glycans adopt an ‚Äúumbrella conformation‚Äù in which the four antennae are disposed parallely to the protein surface and act as protective shields. So could be explained the resistance towards proteases and the weak antigenicity of numerous glycoproteins as well as the peculiar behaviour and resistance of metastatic cancerous cells since it has been recently demonstrated that membrane glycoproteins and fibronectin of this kind of cells are significantly enriched in tri‚Äê and tetraantennary glycans. 1984 Soci√©t√© Fran√ßaise des Microscopies and Soci√©t√© Biologie Cellulaire de France</t>
  </si>
  <si>
    <t>115-131</t>
  </si>
  <si>
    <t>Montreuil, J.</t>
  </si>
  <si>
    <t>Spatial conformation of glycans and glycoproteins</t>
  </si>
  <si>
    <t>10.1111/j.1768-322X.1984.tb00291.x</t>
  </si>
  <si>
    <t>2-s2.0-0021744087</t>
  </si>
  <si>
    <t>['yield photosystem', 'rights reserved', 'respective photosystem', 'reductant generation', 'reaction center', 'psiiœ ≤', 'psiiœ ±,', 'psi electron', 'plant biologists', 'optimally poised', 'nœ ≤', 'nœ ±', 'maize chloroplasts', 'lightharvesting antenna', 'light absorption', 'kinetic measurements', 'electrons faster', 'directly proportional', 'determined np700', 'chlorophyll molecules', '700 nm']</t>
  </si>
  <si>
    <t>Spectrophotometric and kinetic measurements were applied to yield photosystem (PS) stoichiometries and the functional antenna size of PSI, PSIIŒ±, and PSIIŒ≤ in Zea mays chloroplasts in situ. Concentrations of PSII and PSI reaction centers were determined from the amplitude of the light-induced absorbance change at 320 and 700 nm, which reflect the photoreduction of the primary electron acceptor Q of PSII and the photooxidation of the reaction center P700 of PSI, respectively. Determination of the functional chlorophyll antenna size (N) for each photosystem was obtained from the measurement of the rate of light absorption by the respective reaction center. Under the experimental conditions employed, the rate of light absorption by each reaction center was directly proportional to the number of light-harvesting chlorophyll molecules associated with the respective photosystem. We determined Np700 = 195, NŒ± = 230, NŒ≤ = 50 for the number of chlorophyll molecules in the lightharvesting antenna of PSI, PSIIŒ±, and PSIIŒ≤, respectively. The above values were used to estimate the PSII/PSI electron-transport capacity ratio (C) in maize chloroplasts. In mesophyll chloroplasts C &gt; 1.4, indicating that, under green actinic excitation when Chl a and Chi b molecules absorb nearly equal amounts of excitation, PSII has a capacity to turn over electrons faster than PSI. In bundle sheath chloroplasts C &lt; 1, suggesting that such chloroplasts are not optimally poised for linear electron transport and reductant generation. ¬© 1984 American Society of Plant Biologists. All rights reserved.</t>
  </si>
  <si>
    <t>993-998</t>
  </si>
  <si>
    <t>Plant Physiology</t>
  </si>
  <si>
    <t>60025038;60025038</t>
  </si>
  <si>
    <t>7004537244;57203081985</t>
  </si>
  <si>
    <t>Ghirardi, Maria L.;Melis, Anastasios</t>
  </si>
  <si>
    <t>Ghirardi M.</t>
  </si>
  <si>
    <t>Photosystem electron-transport capacity and light-harvesting antenna size in maize chloroplasts</t>
  </si>
  <si>
    <t>10.1104/pp.74.4.993</t>
  </si>
  <si>
    <t>2-s2.0-0037645178</t>
  </si>
  <si>
    <t>NOOO14-81-K-0276</t>
  </si>
  <si>
    <t>['¬© 1984', 'phase height', 'observations used', 'model assumptions', 'hf heating', 'downgoing wave', 'arecibo observatory']</t>
  </si>
  <si>
    <t>This paper describes new observations of the characteristics of ELF generation produced by modulation of the dynamo current system from HF heating of the ionospheric D-region. A model of the ELF antenna structure embedded in the D-region is described and stepped ELF frequency observations are shown to support the model assumptions. Presented are data on the phase height of the ELF ionospheric antenna versus ELF frequency, polarization of the downgoing wave and relationship to the dynamo current direction, correlation of ELF field strength with per cent cross-modulation, power linearity tests and duty cycle results. All observations used the high power heater facility of the Arecibo Observatory. ¬© 1984.</t>
  </si>
  <si>
    <t>855-865</t>
  </si>
  <si>
    <t>106014977;106014977;106014977;106014977;106014977;60001439</t>
  </si>
  <si>
    <t>7005220941;16421012500;6507515917;7202768205;7801612203;7201800929</t>
  </si>
  <si>
    <t>Ferraro, A. J.;Lee, H. S.;Allshouse, R.;Carroll, K.;Lunnen, R.;Collins, T.</t>
  </si>
  <si>
    <t>University Park;University Park</t>
  </si>
  <si>
    <t>Pennsylvania State University;Ionosphere Research Laboratory</t>
  </si>
  <si>
    <t>60001439;106014977</t>
  </si>
  <si>
    <t>Ferraro A.</t>
  </si>
  <si>
    <t>Characteristics of ionospheric ELF radiation generated by HF heating</t>
  </si>
  <si>
    <t>0021-9169(84)90025-4</t>
  </si>
  <si>
    <t>10.1016/0021-9169(84)90025-4</t>
  </si>
  <si>
    <t>2-s2.0-0038023326</t>
  </si>
  <si>
    <t>['¬© 1984', 'ionosphere waveguide', 'auroral ionosphere', '150 mw', '100 hz', '0 khz']</t>
  </si>
  <si>
    <t>The ELF currents produced in the auroral ionosphere by a powerful HF wave modulated at ELF are first computed using the method of Stubbe et al. The technique of reciprocity is then used to evaluate the efficiency of excitation of the Earth-ionosphere waveguide by this extended ionospheric current source Computations suggest that radiated powers ranging from a few milliwatts at 100 Hz to a few watts at 2.0 kHz can be expected for HF effective radiated powers of 150 MW. ¬© 1984.</t>
  </si>
  <si>
    <t>315-320</t>
  </si>
  <si>
    <t>60017695;60017695</t>
  </si>
  <si>
    <t>Gottingen</t>
  </si>
  <si>
    <t>Max Planck Institute for Solar System Research</t>
  </si>
  <si>
    <t>The 'polar electrojet antenna' as a source of ELF radiation in the Earth-ionosphere waveguide</t>
  </si>
  <si>
    <t>0021-9169(84)90115-6</t>
  </si>
  <si>
    <t>10.1016/0021-9169(84)90115-6</t>
  </si>
  <si>
    <t>2-s2.0-0043286987</t>
  </si>
  <si>
    <t>['sensory transduction', 'mechanical stimulation', 'feathered hairs', 'different type', 'coupled mechanically']</t>
  </si>
  <si>
    <t>Mechanical stimulation of feathered hairs on the crayfish antenna elicits spike activity in nerve bundles running in the flagellum. Electron microscopical studies showed, however, that these hairs are not innervated. Instead these hairs can be coupled mechanically with nearby innervated hairs of a different type, which perform the sensory transduction. ¬© 1984 Springer-Verlag.</t>
  </si>
  <si>
    <t>45-47</t>
  </si>
  <si>
    <t>Journal of Comparative Physiology A</t>
  </si>
  <si>
    <t>60007762;60007762;60025525</t>
  </si>
  <si>
    <t>16466961800;6604054552;7004559400</t>
  </si>
  <si>
    <t>Bender, Manfred;Gnatzy, Werner;Tautz, J√ºrgen</t>
  </si>
  <si>
    <t>Konstanz;Frankfurt am Main</t>
  </si>
  <si>
    <t>Universit√§t Konstanz;Goethe-Universit√§t Frankfurt am Main</t>
  </si>
  <si>
    <t>60025525;60007762</t>
  </si>
  <si>
    <t>Bender M.</t>
  </si>
  <si>
    <t>The antennal feathered hairs in the crayfish: a non-innervated stimulus transmitting system</t>
  </si>
  <si>
    <t>10.1007/BF00605388</t>
  </si>
  <si>
    <t>2-s2.0-0242346969</t>
  </si>
  <si>
    <t>['¬© 1984', 'wall thickness', 'ultrastructural differences', 'types b', 'tortricidae ).', 'three types', 'surface sculpturing', 'similar dimensions', 'sensilla trichodea', 'scaled region', 'one another', 'male g', 'likely sensilla', 'grapholitha molesta', 'free regions', 'free region', 'flexible base', 'electron density', 'cuticular pores', 'covered regions', 'covered region', 'c occurred', 'basiconica type', '3 types', '2 types', '001 ).']</t>
  </si>
  <si>
    <t>antennae | dendrite branches in sensilla | Oriental fruit moth | possible pheromone perceptors | Sensilla types | sexual dimorphism</t>
  </si>
  <si>
    <t>Three types of sensilla trichodea and 2 types of the shorter sensilla basiconica were identified on the antennae of Grapholitha molesta (Lepidoptera : Tortricidae). All possess a non-flexible base and cuticular pores. The 3 types of s. trichodea (A, B, and C) have similar dimensions and surface sculpturing, but differ in their ultrastructure and in being located in either the scale-covered or scale-free regions of the antennae. The 2 types of, s. basiconica (I and II) differ from one another in length, surface sculpturing, and location. Ultrastructural differences in wall thickness, number of neurons, number of dendrites and their branches and in the electron density of dendrites between the 3 types of s. trichodea and s. basiconica type I are described. All s. trichodea in the scaled region and 5 - 6% of those in the scale-free region were type A, while types B and C occurred only in the scale-free regions. Males had a significantly greater number of s. trichodea than females (P &lt; 0.001). The increased number occurred mainly in the scale-covered regions of the antennae, where males had 2200 more s. trichodea (all of type A) than females. In the scale-free region however, males only had 700 more s. trichodea (mainly types B and C) than females. Type A s. trichodea in the scale-covered region of the flagella of male G. molesta is a most likely sensilla for tests to confirm its role in the perception of female produced pheromone. ¬© 1984.</t>
  </si>
  <si>
    <t>157-170</t>
  </si>
  <si>
    <t>60010884;60010884</t>
  </si>
  <si>
    <t>57123560700;24496882100</t>
  </si>
  <si>
    <t>George, John A.;Nagy, B√©la A.L.</t>
  </si>
  <si>
    <t>The University of Western Ontario</t>
  </si>
  <si>
    <t>George J.</t>
  </si>
  <si>
    <t>Morphology, distribution, and ultrastructural differences of sensilla trichodea and basiconica on the antennae of the oriental fruit moth, Grapholitha molesta (Busck) (Lepidoptera : Tortricidae)</t>
  </si>
  <si>
    <t>0020-7322(84)90023-0</t>
  </si>
  <si>
    <t>10.1016/0020-7322(84)90023-0</t>
  </si>
  <si>
    <t>2-s2.0-0242723645</t>
  </si>
  <si>
    <t>['¬© 1984', 'show characteristics', 'sensory peg', 'sensory organs', 'sensory equipment', 'mechanosensory transduction', 'hair sensilla', 'distally joined', 'cytological features', 'chordotonal organs', 'allacma fusca', 'aiv ).', 'aiii peg', 'aiii ).', 'aiii ),', '5th cells', '2 problems']</t>
  </si>
  <si>
    <t>Insect sensilla | mechanoreception | sensory transduction</t>
  </si>
  <si>
    <t>The internal proprioceptive organs of the distal antennal segments of Allacma fusca (Collembola : Sminthuridae) were examined with light, scanning, and transmission electron microscopy. There are 2 such organs, each belonging to the sensory equipment of a sensory peg. These pegs are part of the sensory organs of the 3rd antennal segment (SO - AIII), and show characteristics of both hair sensilla and chordotonal organs. They have 5 sensory cells of which 4 can be regarded as chemoreceptors, because the walls of the pegs are pierced by pores. The 5th cells are the proprioceptors. Their dendritic outer segments are connected to the base of the SO - AIII peg but show no specializations. Their dendritic inner segments are distally joined to a thecogen cell containing a scolopale. Proximally, they span the hemolymph space within the antenna. The perikaryon of one of the organs is located on a muscle that deflects the 3rd antennal segment (IP - AIII). The perikaryon of the other is attached to the antennal nerve near a point where it is connected to a muscle that deflects the 4th antennal segment (IP - AIV). There is a conspicuous membrane system, associated with microtubules and a prominent ciliary rootlet within the dendritic inner segment of the IP - AIII. The cytological features of the organs are discussed with reference to 2 problems, the phylogeny of chordotonal organs and the process of mechanosensory transduction. ¬© 1984.</t>
  </si>
  <si>
    <t>315-330</t>
  </si>
  <si>
    <t>6603701874;6602498060</t>
  </si>
  <si>
    <t>Altner, Helmut;Thies, Gesa</t>
  </si>
  <si>
    <t>Altner H.</t>
  </si>
  <si>
    <t>Internal proprioceptive organs of the distal antennal segments in Allacma fusca (L.) (Collembola : Sminthuridae): Proprioceptors phylogenetically derived from sensillum-bound exteroceptors</t>
  </si>
  <si>
    <t>0020-7322(84)90008-4</t>
  </si>
  <si>
    <t>10.1016/0020-7322(84)90008-4</t>
  </si>
  <si>
    <t>2-s2.0-0343177141</t>
  </si>
  <si>
    <t>['¬© 1984', 'rights reserved', 'precursor complexes', 'possible use', 'possible backbones', 'polymetallic systems', 'polymetallic complexes', 'monodentate bridges', 'magnetic susceptibility', 'either mono', 'effective visible', 'bidentate ligand', '3 w', '2 mo', '1 ru', '1 co']</t>
  </si>
  <si>
    <t>There have been several recent articles concerning the synthesis and characterization of M(bpym)3-nL2n (where M = Cr,1 Co,2 Mo,3 W,1 Ru,4‚àí8 Fe9‚àí11 or Ni12 and bpym = 2,2'-bipyrimidine) systems and their possible use as precursor complexes for the formation of polymetallic systems. The 2,2'-bipyrimidine ligand serves as an effective bidentate ligand in either mono-or polymetallic systems, and results from previous studies indicate that this bidentate ligand is more effective at electronically communicating two metal centers than most of the monodentate bridges.13‚àí16 We report here the synthesis, electronic absorption spectroscopy, magnetic susceptibility, and electrochemistry of a series of Fe(bpym)3-n(CN)2n(2‚àí2n)+ complexes that, in addition to serving as possible backbones for polymetallic complexes, might also serve as effective visible-light-absorbing, energytransfer antenna fragments in intramolecular sensitization processes.6. ¬© 1984, American Chemical Society. All rights reserved.</t>
  </si>
  <si>
    <t>4380-4382</t>
  </si>
  <si>
    <t>1520510x</t>
  </si>
  <si>
    <t>Inorganic Chemistry</t>
  </si>
  <si>
    <t>60026610;60026610;60026610</t>
  </si>
  <si>
    <t>6602368164;15222892200;7401502717</t>
  </si>
  <si>
    <t>Ruminski, Ronald R.;Van Tassel, Kurt D.;Petersen, John D.</t>
  </si>
  <si>
    <t>Clemson</t>
  </si>
  <si>
    <t>Clemson University</t>
  </si>
  <si>
    <t>Ruminski R.</t>
  </si>
  <si>
    <t>Mixed-ligand iron(II) complexes containing 2.2&lt;sup&gt;'&lt;/sup&gt;-bipyrimidine. spectroscopic, electrochemical, arid coulombic modification of highly absorbing metal complexes by ligand substitution</t>
  </si>
  <si>
    <t>10.1021/ic00193a055</t>
  </si>
  <si>
    <t>2-s2.0-0542380416</t>
  </si>
  <si>
    <t>['¬© 1984', 'wing tracheation', 'ventral wall', 'tracheae arising', 'spiracular aperture', 'single series', 'segment vii', 'pterothoracic segments', 'pterothoracic segment', 'posterior tracheae', 'plan autapomorphy', 'phylogenetic aspects', 'partly supplied', 'muscle inserting', 'micropterigid genera', 'lever ".', 'lepidopteran ground', 'latter supplies', 'lateral connectives', 'greatly reduced', 'functional spiracles', 'downwards course', 'dorsal commissure', 'configuration may', 'closing lip', 'although present', 'abdominal spiracles', 'abdominal segments', '1st spiracle']</t>
  </si>
  <si>
    <t>Holometabola | phylogeny | Spiracles | tracheae</t>
  </si>
  <si>
    <t>The 1st thoracic spiracular atrium is closed by anterior and posterior muscle fibres extending between its dorsal and ventral wall. The 2nd thoracic spiracle has only a single (anterior) closing lip, movable by a muscle inserting on the wall below the spiracular aperture; this configuration may be a lepidopteran ground-plan autapomorphy. There are functional spiracles on abdominal segments I - VII, each with a closing "bow" and "lever". There are intrinsic occlusor muscles in all abdominal spiracles and the 1st spiracle has an extrinsic (ventral) dilator. Dorsal dilator muscles or ligaments are absent. A dorsal and a ventral tracheal trunk extend from the 1st thoracic spiracle into the head; the latter supplies the mouthparts and the antenna; there is no connection between the dorsal and ventral cephalic trunk systems. There is a single series of lateral connectives between the spiracles of each side. There is a ventral tracheal commissure in both pterothoracic segments, but none in the prothorax. In each pterothoracic segment an anterior and a posterior tracheal arch give off branches to the wing and anastomose with each other on their downwards course into the leg. Wing tracheation is greatly reduced. The anterior and posterior tracheae of each wing are independent of each other. There is a dorsal commissure in abdominal segment VIII; ventral abdominal commissures are lacking in Micropterix, although present in other micropterigid genera. The terminalia are partly supplied from tracheae arising in segment VII. Air sacs occur in the tibiae only. Phylogenetic aspects of holometabolan tracheation patterns are discussed. ¬© 1984.</t>
  </si>
  <si>
    <t>137-156</t>
  </si>
  <si>
    <t>Kristensen, Niels P.</t>
  </si>
  <si>
    <t>Copenhagen</t>
  </si>
  <si>
    <t>Zoological Museum, Copenhagen</t>
  </si>
  <si>
    <t>Kristensen N.</t>
  </si>
  <si>
    <t>Respiratory system of the primitive moth Micropterix calthella (Linnaeus) (Lepidoptera : Micropterigidae)</t>
  </si>
  <si>
    <t>0020-7322(84)90022-9</t>
  </si>
  <si>
    <t>10.1016/0020-7322(84)90022-9</t>
  </si>
  <si>
    <t>2-s2.0-1842821341</t>
  </si>
  <si>
    <t>SFB 87 I A4</t>
  </si>
  <si>
    <t>['wing amputation', 'warmer conditions', 'untreated controls', 'suboptimal temperatures', 'reproductive development', 'ovarian growth', 'mere consequence', 'least partly', 'francis group', 'endocrine system', 'endocrine glands', 'direct linkage', 'complete amputation', 'cerci removal', 'antennectomy mimics', 'animals reared']</t>
  </si>
  <si>
    <t>Antennectomy | Orthoptera | Oviposition | Temperature</t>
  </si>
  <si>
    <t>In Gryllus bimaculatus temperature receptors are located, at least partly, on the antenna. Complete amputation of both antennae in animals reared at suboptimal temperatures (17.5‚Äì23 ¬∞C) causes an increase in whole body weight due to ovarian growth and stimulates egg deposition. In addition, the onset of reproductive development in antennectomized insects preceded that in untreated controls. Further experiments (wing amputation, cerci removal) have shown that the effects are not a mere consequence of an unspecific stress due to an operation. It is suggested that antennectomy mimics an improved adult development under warmer conditions, by reducing cold sensory input on the reproductive system via cerebral neurosecretory cells and endocrine glands, although a direct linkage between antennectomy and the endocrine system has not yet been shown. ¬© 1984 Taylor &amp; Francis Group, LLC.</t>
  </si>
  <si>
    <t>237-247</t>
  </si>
  <si>
    <t>International Journal of Invertebrate Reproduction and Development</t>
  </si>
  <si>
    <t>60010819;60010819;60010819</t>
  </si>
  <si>
    <t>7004577867;6505695601;56238619200</t>
  </si>
  <si>
    <t>Behrens, W.;Espig, W.;Hoffmann, K. H.</t>
  </si>
  <si>
    <t>Universit√§tsklinikum Ulm</t>
  </si>
  <si>
    <t>Behrens W.</t>
  </si>
  <si>
    <t>Antennal amputations stimulate fecundity rate of crickets, gryllus bimaculatus, at suboptimal rearing temperatures</t>
  </si>
  <si>
    <t>10.1080/01688170.1984.10510096</t>
  </si>
  <si>
    <t>2-s2.0-23644460934</t>
  </si>
  <si>
    <t>['¬© 1984', 'variational principle', 'ponderomotive energy', 'magnetization current', 'frequency field', 'frequency evolution', 'frequency antenna', 'equilibrium equations', 'electromagnetic field', 'driven field', 'consistent modification', 'consistent description']</t>
  </si>
  <si>
    <t>A self-consistent description is obtained for the low-frequency evolution of a plasma, the electromagnetic field that confines it, and the amplitude of a high-frequency antenna-driven field. The ponderomotive energy of the system is related to the antenna reactive energy. Equilibrium equations and a variational principle for stability are given in terms of ion and electron ponderomotive forces, magnetization current, and self-consistent modification of the high-frequency field. ¬© 1984 The American Physical Society.</t>
  </si>
  <si>
    <t>1061-1064</t>
  </si>
  <si>
    <t>Physical Review Letters</t>
  </si>
  <si>
    <t>22968857800;7201910294</t>
  </si>
  <si>
    <t>Similon, Philippe L.;Kaufman, Allan N.</t>
  </si>
  <si>
    <t>Similon P.</t>
  </si>
  <si>
    <t>Theory of ponderomotive stabilization of a magnetically confined plasma</t>
  </si>
  <si>
    <t>10.1103/PhysRevLett.53.1061</t>
  </si>
  <si>
    <t>2-s2.0-24344452656</t>
  </si>
  <si>
    <t>['theoretical analysis', 'targets located', 'similar systems', 'satisfactory three', 'operating frequency', 'medical imaging', 'longitudinal directions', 'focusing resolutions', 'element spacing', 'dimensional focusing', 'array may', 'approximately œª', 'amplitude conjugations', '7 mm', '3 ghz']</t>
  </si>
  <si>
    <t>A water-immersed microwave array system for medical imaging is described, and a theoretical analysis of its local field pattern is presented. The theoretical study also applies to similar systems for medical therapy purposes. It is shown that, using a technique of phase and amplitude conjugations, a satisfactory three-dimensional focusing for targets located in the neighborhood of the array may be achieved. The focusing resolutions for transverse and longitudinal directions are approximately Œª /2 and X, respectively, where X is the wavelength in the dielectric. By increasing the element spacing of the array, the resolutions can be as good as 5.3 and 11.7 mm, respectively, at the operating frequency of 3 GHz. ¬© 1984 IEEE</t>
  </si>
  <si>
    <t>60022054;60022054;60012786</t>
  </si>
  <si>
    <t>Guo, Theodore C.;Guo, Wendy W.;Larsen, Lawrence Edwin</t>
  </si>
  <si>
    <t>Laurel;Silver Spring</t>
  </si>
  <si>
    <t>Johns Hopkins University Applied Physics Laboratory;Walter Reed Army Institute of Research</t>
  </si>
  <si>
    <t>60022054;60012786</t>
  </si>
  <si>
    <t>A Local Field Study of a Water-Immersed Microwave Antenna Array for Medical Imagery and Therapy</t>
  </si>
  <si>
    <t>10.1109/TMTT.1984.1132781</t>
  </si>
  <si>
    <t>2-s2.0-25144497180</t>
  </si>
  <si>
    <t>['¬© 1984', 'two ps', 'substantial recovery', 'rights reserved', 'results demonstrate', 'rate constant', 'preparation indicate', 'limiting conditions', 'harvesting antenna', 'functional role', 'functional light', 'former preparation', 'directly proportional', 'difference reflects', 'depleted ps', 'complex devoid', 'b complex', '700 rate', '700 photooxidation']</t>
  </si>
  <si>
    <t>Chlorophyll-protein complex | CP I | LHCP | light-harvesting chlorophyll-protein complex | Light-harvesting complex | P-700 | Photosystem I | Photosystem I | Photosystem I reaction center polypeptides | Photosystem II | PS I | PS II</t>
  </si>
  <si>
    <t>The functional role of a chlorophyll a/b complex associated with Photosystem I (PS I) has been studied. The rate constant for P-700 photooxidation, KP-700, which under light-limiting conditions is directly proportional to the size of the functional light-harvesting antenna, has been measured in two PS I preparations, one of which contains the chlorophyll a/b complex and the other lacking the complex. KP-700 for the former preparation is half of that of the preparation which has the chlorophyll a/b complex present. This difference reflects a decrease in the functional light-harvesting antenna in the PS I complex devoid of the chlorophyll a/b complex. Experiments involving reconstitution of the chlorophyll a/b complex with the antenna-depleted PS I preparation indicate a substantial recovery of the KP-700 rate. These results demonstrate that the chlorophyll a/b complex functions as a light-harvesting antenna in PS I. ¬© 1984, All rights reserved.</t>
  </si>
  <si>
    <t>505-509</t>
  </si>
  <si>
    <t>Biochimica et Biophysica Acta - Bioenergetics</t>
  </si>
  <si>
    <t>60025038;60025038;60025038;60025038</t>
  </si>
  <si>
    <t>7005702921;55740347900;7004537244;7102455882</t>
  </si>
  <si>
    <t>Ortiz, William;Lam, Eric;Ghirardi, Maria;Malkin, Richard</t>
  </si>
  <si>
    <t>Ortiz W.</t>
  </si>
  <si>
    <t>Antenna function of a chlorophyll a/b protein complex of Photosystem I</t>
  </si>
  <si>
    <t>10.1016/0005-2728(84)90267-6</t>
  </si>
  <si>
    <t>2-s2.0-26744464403</t>
  </si>
  <si>
    <t>['¬© 1984', 'z materials', 'wall interactions', 'two sections', 'total power', 'tore supra', 'three sets', 'thermal load', 'thermal flux', 'repel impurities', 'pumping speed', 'pumped limiters', 'present day', 'power exhaust', 'plasma purification', 'plasma density', 'plasma core', 'outer part', 'neutral injectors', 'neutral injection', 'main options', 'long operation', 'inner chamber', 'impurity influx', 'impurities back', 'cooling pipes', 'complete water', '80 m2', '8 mw', '200 w', '15 mw', '100 w', '000 1']</t>
  </si>
  <si>
    <t>pump limiter | superconductor | tokamak | TORE SUPRA</t>
  </si>
  <si>
    <t>The main options for the control of the power exhaust, plasma-wall interactions and impurities in TORE SUPRA are: 1. (1) A complete water-cooled first wall for long operation (30 s) at 250 ¬∞C during baking plasma heating operations and 15 MW of radiated power load on the inner chamber of 80 m2. 2. (2) (a) Six conventional poloidal limiters covered with low-Z materials (graphite) bolted or brazed on the cooling pipes which are designed to handle up to 200 W/cm2 of thermal flux and 8 MW of total power. (b) A low-Z material wall located 3 cm behind the main limiter radius to sustain a thermal load of 50 to 100 W/cm2. This wall includes thermal shields facing the neutral injectors and protectors for inner RF antennae. 3. (3) The recycling of impurities and the plasma density during the neutral injection are controlled by two sections of moving and pumped limiters with a pumping speed of 30,000 1/s each. 4. (4) Plasma purification by rotation effects appears to be usable at the present day to repel impurities from the plasma core. Reduction of the impurity influx is envisaged by the use of three sets of ergodic divertors located in the outer part of the torus. The use of an ergodic divertor could increase the boundary layer thickness, decrease the plasma edge temperature at the wall and drag the impurities back to the wall through a large-scale hydrogen recycling. ¬© 1984.</t>
  </si>
  <si>
    <t>38-47</t>
  </si>
  <si>
    <t>60009386;60009386;60009386;60009386</t>
  </si>
  <si>
    <t>22974710000;7006188085;7004299359;6701899463</t>
  </si>
  <si>
    <t>Deschamps, P.;Grosman, A.;Lipa, M.;Samain, A.</t>
  </si>
  <si>
    <t>Deschamps P.</t>
  </si>
  <si>
    <t>Power exhaust and plasma-surface interaction control in TORE SUPRA</t>
  </si>
  <si>
    <t>002231158490326X</t>
  </si>
  <si>
    <t>10.1016/0022-3115(84)90326-X</t>
  </si>
  <si>
    <t>2-s2.0-2742604913</t>
  </si>
  <si>
    <t>['strong signals', 'shuttle potential', 'magnetic antennas', 'instabilities triggered', 'emitted waves', 'electron gyrofrequency', 'electron beams', 'beam emissions']</t>
  </si>
  <si>
    <t>The effects of electron beam emissions from Spacelab were recorded with onboard diagnostic instruments. The variation of the Spacelab-shuttle potential with respect to the ambient plasma near the scientific air lock was investigated. Data on the waves and instabilities triggered by the electron beams are discussed. Within the electron gyrofrequency and electron plasma frequency range, strong signals were detected by both electric and magnetic antennas during the beam emissions. The frequencies of the emitted waves were compared to the characteristic plasma frequencies to enable mode identification.</t>
  </si>
  <si>
    <t>188-191</t>
  </si>
  <si>
    <t>Science</t>
  </si>
  <si>
    <t>60002930;60031159;60068732;60068732;60068732;119101482</t>
  </si>
  <si>
    <t>56115724600;7102957082;23080814000;23156433400;6602844522;7801483532</t>
  </si>
  <si>
    <t>Beghin, C.;Lebreton, J. P.;Maehlum, B. N.;Troim, J.;Ingsoy, P.;Michau, J. L.</t>
  </si>
  <si>
    <t>Norway;Netherlands;France;</t>
  </si>
  <si>
    <t>Skedsmokorset;Noordwijk aan Zee;Orleans;</t>
  </si>
  <si>
    <t>Norwegian Defence Research Establishment;ESTEC - European Space Research and Technology Centre;Laboratoire de Physique et de Chimie de l'Environnement et de l'Espace (LPC2E);Laboratoire de Physique et Chimie de l'Environnement</t>
  </si>
  <si>
    <t>60068732;60031159;60002930;119101482</t>
  </si>
  <si>
    <t>Beghin C.</t>
  </si>
  <si>
    <t>Phenomena induced by charged particle beams</t>
  </si>
  <si>
    <t>10.1126/science.225.4658.188</t>
  </si>
  <si>
    <t>2-s2.0-3042818452</t>
  </si>
  <si>
    <t>['yaw angles', 'yaw angle', 'vector abstraction', 'unique function', 'two joints', 'two antennae', 'transverse plane', 'strong influence', 'stimulus direction', 'stance adopted', 'response characteristics', 'progressive restriction', 'produces outputs', 'platform oscillation', 'platform movement', 'platform axis', 'phase changes', 'pattern different', 'particular legs', 'ordinated pattern', 'opposite sign', 'one group', 'omnidirectional characteristics', 'observed responses', 'neuronal circuitry', 'longitudinal plane', 'legs 4', 'legs 1', 'leg proprioceptors', 'j1 joints', 'differing strengths', 'correspond closely', 'antennal response', 'antennal movements', 'animal fixed', 'animal divides', '9 ).', '8 ).', '6 ).', '5 ).', '3 ).', '12 ).', '1 ),']</t>
  </si>
  <si>
    <t>1. Antennal movements at two joints of the spiny lobster antenna, which act in the transverse plane (J1) and longitudinal plane (J2) were measured in response to platform oscillation beneath the legs, with the animal fixed at different positions relative to the axis of platform movement. 2. The stance adopted by the animal divides its legs into anterior (legs 1, 2, 3) and posterior (legs 4, 5) groups (Fig. 1), and determines their response characteristics at a given yaw angle (Fig. 3). 3. Responses at the J1 joints of the two antennae, defined by their amplitude and phase with respect to the platform oscillation (Fig. 2), change with yaw angle to produce a co-ordinated pattern of movement which is a unique function of stimulus direction (Figs. 4, 5). 4. Phase changes in the J1 response correspond closely to the stepping of particular legs over the platform axis (Fig. 6). Progressive restriction of the stimulus to certain legs demonstrates that the ipsilateral front legs have a strong influence (Figs. 7, 8), although others contribute with differing strengths, and one group with opposite sign (Fig. 9). 5. Responses at the J2 joints also change with yaw angle, but with a pattern different from that for J1 (Fig. 8). The sign and strength of inputs from the various leg groups also differ (Fig. 9). 6. A simple algebraic model of the system, incorporating the experimentally derived parameters, produces outputs which correspond closely to the observed responses of the antenna at all yaw angles, and under different experimental conditions (Figs. 10, 11, 12). 7. These results are discussed in terms of the omnidirectional characteristics of the antennal response, the mechanism of vector abstraction by the system of legs, and the implications for neuronal circuitry between leg proprioceptors and the antennal motor system. ¬© 1984 Springer-Verlag.</t>
  </si>
  <si>
    <t>351-363</t>
  </si>
  <si>
    <t>60005460;60005460;60005460;60005460;60005460</t>
  </si>
  <si>
    <t>7005407253;16473594100;7004101030;16474999900;16656809200</t>
  </si>
  <si>
    <t>Neil, D. M.;Priest, T. D.;Miyan, J. A.;Wotherspoon, R. M.;Sch√∂ne, H.</t>
  </si>
  <si>
    <t>Pocking</t>
  </si>
  <si>
    <t>Max Planck Institute for Ornithology</t>
  </si>
  <si>
    <t>Neil D.</t>
  </si>
  <si>
    <t>Co-ordinated equilibrium responses at two joints in the spiny lobster antenna in relation to the pattern of movements imposed upon the legs</t>
  </si>
  <si>
    <t>10.1007/BF00610589</t>
  </si>
  <si>
    <t>2-s2.0-33645910818</t>
  </si>
  <si>
    <t>['¬© 1984', 'voltage across', 'sufficient detail', 'rms value', 'rights reserved', 'result obtained', 'receiving antenna', 'radiation resistance', 'physics teachers', 'intuitive approximation', 'incident radiation', 'directive gain', 'basic theory', 'american association']</t>
  </si>
  <si>
    <t>antennas | electric dipoles | electric potential | electromagnetic fields | electronic circuits | television</t>
  </si>
  <si>
    <t>The basic theory of a receiving antenna is presented in sufficient detail to permit the calculation of the voltage across the load of an optimally designed TV antenna circuit. The rms load voltage is given by VL=ŒªH(30RrD)1/2, where Œª is the wavelength of the incident radiation, H is the rms value of the magnetic field intensity, Rr is the radiation resistance of the antenna, and D is the directive gain. The result obtained from this formula for a typical monopole TV antenna is compared with that obtained from a simple, intuitive approximation. The reasons for the difference in the results are discussed. ¬© 1984, American Association of Physics Teachers. All rights reserved.</t>
  </si>
  <si>
    <t>535-538</t>
  </si>
  <si>
    <t>American Journal of Physics</t>
  </si>
  <si>
    <t>Benumof, Reuben</t>
  </si>
  <si>
    <t>College of Staten Island</t>
  </si>
  <si>
    <t>Benumof R.</t>
  </si>
  <si>
    <t>The receiving antenna</t>
  </si>
  <si>
    <t>10.1119/1.13614</t>
  </si>
  <si>
    <t>2-s2.0-33646668004</t>
  </si>
  <si>
    <t>['¬© 1984', 'vivo aggregate', 'specific polypeptides', 'sequestered localization', 'rights reserved', 'reaction centers', 'reaction center', 'quaternary structure', 'proteolytic cleavage', 'proteolytic attack', 'propionimidate ),', 'one polypeptide', 'never photolabeled', 'mr 5800', 'mr 5300', 'mr 3700', 'minor quantities', 'major polypeptide', 'linking pattern', 'k .,', 'isolated according', 'highest purity', 'high yield', 'fourth polypeptide', 'dimethyl 3', 'cytoplasmic membrane', 'could additionally', 'chlorosome interior', 'chloroflexus aurantiacus', 'bchl c', 'antenna bchl', 'antenna bacteriochlorophyll', '84 ],', '3700 ),', '2 copies', '16 molecules', '11 000']</t>
  </si>
  <si>
    <t>The isolation and identification of reaction center, antenna bacteriochlorophyll a (Bchl a), and chlorosome antenna Bchl c polypeptides of Chloroflexus aurantiacus have been described. Subsequently, the localization of the chlorosome- and pigment-specific polypeptides was probed in two subcellular fractions. Reaction centers, located in the cytoplasmic membrane, were isolated according to the method of Pierson and Thornber [Pierson, B. K., &amp; Thornber, J. P. (1983) Proc. Natl. Acad. Sci. U.S.A. 80, 80-84], The reaction center preparation contained a major polypeptide with an apparent molecular weight of 26000. The antenna Bchl a (B808-866) complex, also a cytoplasmic membrane constituent, was isolated by hydrophobic interaction chromatography on phenyl-Sepharose. In fractions with the highest purity and still native absorption properties, only one polypeptide of Mr 5300 was found. Purified chlorosomes contained three major proteins (Mr 18 000, 11 000, and 3700), and a fourth polypeptide (Mr 5800) was present in minor quantities. The Mr 3700 polypeptide was found to be associated with the antenna Bchl c. The two larger chlorosome proteins were accessible to proteinase K proteolyses and could additionally be modified with the membrane surface specific photolabel 3-azido-2,7-naphthalenedisulfonate. From the resistance against proteolytic cleavage and the lack of photolabeling, we surmised that the antenna Bchl c polypeptide (Mr 3700) is located in the chlorosome interior. Upon chemical cross-linking with dimethyl 3,3‚Ä≤-dithiobis(propionimidate), only dimers of the Mr 3700 protein were formed in high yield. According to our calculations, this dimer was comprised of 2 copies of the Mr 3700 protein and 10-16 molecules of Bchl c. The cross-linking pattern of the B808-866 antenna Bchl a protein (Mr 5300) indicated a quaternary structure of a trimer, which should be part of a penta- or hexameric in vivo aggregate. Under the experimental conditions used, the Mr 5300 antenna protein was never photolabeled and together with the reaction center protein resisted any proteolytic attack, indicating a more sequestered localization in the cytoplasmic membrane. ¬© 1984, American Chemical Society. All rights reserved.</t>
  </si>
  <si>
    <t>3693-3700</t>
  </si>
  <si>
    <t>56209665900;35593628100</t>
  </si>
  <si>
    <t>Feick, Reiner G.;Fuller, R. Clinton</t>
  </si>
  <si>
    <t>Feick R.</t>
  </si>
  <si>
    <t>Topography of the Photosynthetic Apparatus of Chloroflexus aurantiacus</t>
  </si>
  <si>
    <t>10.1021/bi00311a019</t>
  </si>
  <si>
    <t>2-s2.0-33845470551</t>
  </si>
  <si>
    <t>['¬© 1984', 'stronger coupling', 'scale antennas', 'noise temperature', 'flexural rigidity', 'experimental tests', 'end motion', 'cylindrical antenna', 'consequent decrease', 'also increased', 'algorithm used']</t>
  </si>
  <si>
    <t>In an effort to increase the coupling between a gravitational radiation antenna and transducer the ends of a small cylindrical prototype antenna were tapered to magnify the end motion by a factor of 20. Flexural rigidity was maintained by tapering the inside of the cylindrical antenna. The algorithm used to calculate the taper is described. Experimental tests on the prototype antenna confirm the correctness of the algorithm. Results thus obtained indicate that much larger amplification is possible in full-scale antennas. The consequent decrease in the noise temperature is shown to be sufficient to improve the sensitivity of a resonant-mass gravitational radiation detector by at least an order of magnitude. As a result of the stronger coupling, the bandwidth is also increased. ¬© 1984 The American Physical Society.</t>
  </si>
  <si>
    <t>2031-2035</t>
  </si>
  <si>
    <t>60027165-60074845</t>
  </si>
  <si>
    <t>Karim, Munawar</t>
  </si>
  <si>
    <t>Rochester;Rochester</t>
  </si>
  <si>
    <t>St. John Fisher College;University of Rochester</t>
  </si>
  <si>
    <t>60074845;60027165</t>
  </si>
  <si>
    <t>Karim M.</t>
  </si>
  <si>
    <t>Tapered cylinder antenna for gravitational radiation: Design and tests of a prototype</t>
  </si>
  <si>
    <t>10.1103/PhysRevD.30.2031</t>
  </si>
  <si>
    <t>2-s2.0-35949017989</t>
  </si>
  <si>
    <t>['¬© 1984', 'voltage steps', 'v curve', 'typical steps', 'step widths', 'state theory', 'report investigations', 'presumably extrinsic', 'pb layers', 'overdamped junction', 'noise temperature', 'noise rounding', 'noise currents', 'measured ic', 'josephson effect', 'increasing resistance', 'icrn product', 'found experimentally', 'entire 1', 'effective increase', 'computer simulation', 'also developed', '5 mv', '30 k', '1971 )]']</t>
  </si>
  <si>
    <t>We report investigations of the effect of noise on the Josephson effect in small-area tunnel junctions, both at dc and when the junction is irradiated by 604-GHz laser radiation. The junctions were made of Sn-SnO-Pb layers of ~1 Œºm2 area, fabricated on crystal quartz substrates with integral planar resonant dipole antennas. The observed systematic falloff of the IcRn product with increasing resistance can be accounted for by the thermal activation model (transition-state theory) if an effective noise temperature (presumably extrinsic) of 8¬±1 K is assumed. The noise rounding of the high-voltage steps can be fitted with the analytic results obtained by P. A. Lee [J. Appl. Phys.42,325 (1971)] for an overdamped junction, but using a fictitious elevated noise temperature of ~eV/k (~20-30 K for typical steps at ~5 mV) to incorporate the nonthermal shot noise as an effective increase in noise temperature. We have also developed a computer simulation which builds in the effects of the nonlinear quasiparticle resistance of the junctions as well as the voltage-dependent shot noise; it can account for the entire 1-V curve, including the photon-assisted tunneling steps. Noise currents are found to have much less effect on the finite-voltage Josephson steps than in reducing the IcRn product, which explains the anomalously high ratios of step widths to measured Ic that are found experimentally. ¬© 1984 The American Physical Society.</t>
  </si>
  <si>
    <t>2503-2516</t>
  </si>
  <si>
    <t>Physical Review B</t>
  </si>
  <si>
    <t>60009982-60025038;60009982-60033202;60009982-60078549;60009982-60026591;60009982</t>
  </si>
  <si>
    <t>7006711679;7404333456;6701537889;6701477947;16501091700</t>
  </si>
  <si>
    <t>Danchi, W. C.;Hansen, J. Bindslev;Octavio, M.;Habbal, F.;Tinkham, M.</t>
  </si>
  <si>
    <t>Venezuela;Denmark;United States;United States;United States</t>
  </si>
  <si>
    <t>Caracas;Copenhagen;Cambridge;Berkeley;Cambridge</t>
  </si>
  <si>
    <t>Fundac√≥n Instituto De Ingenier√≠a, Caracas;H. C. √òrsted Institute;Polaroid Corporation;University of California, Berkeley;Harvard University</t>
  </si>
  <si>
    <t>60078549;60033202;60026591;60025038;60009982</t>
  </si>
  <si>
    <t>Danchi W.</t>
  </si>
  <si>
    <t>Effects of noise on the dc and far-infrared Josephson effect in small-area superconducting tunnel junctions</t>
  </si>
  <si>
    <t>10.1103/PhysRevB.30.2503</t>
  </si>
  <si>
    <t>2-s2.0-4243316187</t>
  </si>
  <si>
    <t>['¬© 1984', 'transient reflectors', 'primarily due', 'previous workers', 'often seen', 'october 1982', 'occur preferentially', 'observing site', 'isoionic contours', 'gravity waves', 'e clouds', 'direct comparison', 'diffraction patterns', 'detailed analysis', 'certain properties', 'also play', '98 mhz', '7 days', '27 ¬∞', '20 ¬∞']</t>
  </si>
  <si>
    <t>The steerable beam Bribie Island radar (152¬∞E, 27¬∞S) operating at a frequency of 1.98 MHz was used to obtain data relevant to reflection conditions near 100 km altitude on 7 days during June-October 1982. The rapid signal fading commonly observed is primarily due to transient reflectors with lifetimes of a few seconds, often seen up to angles of 20¬∞ from the zenith. Longer lived moving reflectors (presumed to be sporadic-E clouds) also play a part. Certain properties of the transient reflectors are consistent with a turbulent generation mechanism. However, any theory of their origin must explain why, for about a third of the time, they tend to occur preferentially to the north and east of the observing site. A direct comparison of velocities using Doppler and spaced antenna drifts methods shows reasonable agreement when the data is averaged over quarter hour periods. However, conclusions by previous workers, on the basis of observations of motions of diffraction patterns, that the ionospheric structure responsible for the diffraction pattern observed on the ground is undulations of the isoionic contours by gravity waves, is not supported by a detailed analysis of the data. ¬© 1984.</t>
  </si>
  <si>
    <t>1179-1191</t>
  </si>
  <si>
    <t>Jones, K. L.</t>
  </si>
  <si>
    <t>Jones K.</t>
  </si>
  <si>
    <t>Structures responsible for rapid fading of medium frequency radio reflections from the day-time E-layer</t>
  </si>
  <si>
    <t>10.1016/0021-9169(84)90108-9</t>
  </si>
  <si>
    <t>2-s2.0-48549112758</t>
  </si>
  <si>
    <t>U.S. Army Corps of Engineers</t>
  </si>
  <si>
    <t>['¬© 1984', 'winter refrigeration', 'vhf band', 'tunnel ceiling', 'transmitter cable', 'transmissions across', 'temperatures well', 'surface silts', 'results agree', 'propagation along', 'permafrost tunnel', 'naturally occurring', 'natural conditions', 'interior alaska', 'ice wedge', 'ceiling section', 'attempted transmissions', 'approximately 12', 'approximate value', 'antenna polarization', 'also gave', '0 depending']</t>
  </si>
  <si>
    <t>Radiowave propagation experiments utilizing short pulses in the VHF band were conducted in the permafrost tunnel at Fox, Alaska. The purpose was to measure dielectric properties of this naturally occurring, perennially frozen organic silt which is common to much of interior Alaska and for which ice content varies between about 54 and 79% by volume. Transmissions across a septum dividing two drifts gave relative dielectric permittivity values between 3.9 and 7.3. The low values resulted when transmission was predominantly through an ice wedge. Propagation along the septum gave values of 3.3 and 5.0 depending on antenna polarization. This propagation was influenced by the dry, surface silts, as was propagation along a ceiling section, which also gave an approximate value of 3.3. The data from attempted transmissions from the ground surface directly above the tunnel to the tunnel ceiling (approximately 12 m distance) are ambiguous, as signals that propagated indirectly along the transmitter cable through a nearby ventilation shaft may or may not have masked direct transmission through the permafrost. The results agree with previous laboratory investigations conducted at temperatures well below that of naturally occurring materials in interior Alaska suggesting that winter refrigeration of the tunnel by circulated outside air greatly affected the natural conditions at this site. ¬© 1984.</t>
  </si>
  <si>
    <t>29-37</t>
  </si>
  <si>
    <t>0165232X</t>
  </si>
  <si>
    <t>Cold Regions Science and Technology</t>
  </si>
  <si>
    <t>60006051;60006051</t>
  </si>
  <si>
    <t>7005508584;7004291820</t>
  </si>
  <si>
    <t>Arcone, S. A.;Delaney, A. J.</t>
  </si>
  <si>
    <t>Hanover</t>
  </si>
  <si>
    <t>U.S. Army Cold Regions Research and Engineering Laboratory</t>
  </si>
  <si>
    <t>Arcone S.</t>
  </si>
  <si>
    <t>Field dielectric measurements of frozen silt using VHF pulses</t>
  </si>
  <si>
    <t>0165-232X(84)90045-4</t>
  </si>
  <si>
    <t>10.1016/0165-232X(84)90045-4</t>
  </si>
  <si>
    <t>2-s2.0-48549114706</t>
  </si>
  <si>
    <t>['¬© 1984', 'used successfully', 'stations range', 'simple design', 'remote experiments', 'readily constructed', 'primarily intended', 'field stations', 'canadian archipelago', 'also presented']</t>
  </si>
  <si>
    <t>The feasibility of using the GOES satellite time signal is discussed for field stations at high Arctic latitudes. Results are presented for three ground stations on islands in the Canadian Archipelago. The stations range in latitude from 74 to 81¬∞ 30' N. At all locations, time code reception was found to be satisfactory and capable of providing accurate time reference for remote experiments. A simple design for a high gain helical antenna, used successfully at these latitudes for time signal reception, is also presented. The antenna, primarily intended for a small research field station, is portable, inexpensive and readily constructed. ¬© 1984.</t>
  </si>
  <si>
    <t>Holtham, P. M.</t>
  </si>
  <si>
    <t>Ottawa</t>
  </si>
  <si>
    <t>Defence Research and Development Canada</t>
  </si>
  <si>
    <t>Holtham P.M.</t>
  </si>
  <si>
    <t>GOES satellite timekeeping for field stations at high Arctic latitudes</t>
  </si>
  <si>
    <t>10.1016/0021-9169(84)90114-4</t>
  </si>
  <si>
    <t>2-s2.0-48749134623</t>
  </si>
  <si>
    <t>NAG-I-258</t>
  </si>
  <si>
    <t>['¬© 1984', 'small motion', 'nonhorizontal reference', 'maypole hoop', 'involves linearization', 'horizontal reference', 'equilibrium position', 'column antenna', 'careful derivation']</t>
  </si>
  <si>
    <t>We give a careful derivation of the 1-dimensional classical scalar "string" equation which involves linearization about a horizontal reference or equilibrium position. We then derive a model for "small motion" about a nonhorizontal reference. The implications of our findings to modelling of flexible antenna surfaces such as that in the Maypole Hoop/Column antenna are discussed. ¬© 1984.</t>
  </si>
  <si>
    <t>103-115</t>
  </si>
  <si>
    <t>Mathematical Modelling</t>
  </si>
  <si>
    <t>60011460;60011460</t>
  </si>
  <si>
    <t>7102104096;6603146254</t>
  </si>
  <si>
    <t>Banks, H. T.;Majda, G.</t>
  </si>
  <si>
    <t>Providence</t>
  </si>
  <si>
    <t>Brown University</t>
  </si>
  <si>
    <t>Banks H.</t>
  </si>
  <si>
    <t>Modelling of flexible surfaces: a preliminary study</t>
  </si>
  <si>
    <t>0270-0255(84)90019-8</t>
  </si>
  <si>
    <t>10.1016/0270-0255(84)90019-8</t>
  </si>
  <si>
    <t>2-s2.0-48749136961</t>
  </si>
  <si>
    <t>['¬© 1984', 'transmission modes', 'technical knowledge', 'suitable receiver', 'spoken text', 'right equipment', 'rich source', 'reception techniques', 'propagation variations', 'programme schedules', 'international broadcasting', 'good antenna', 'fll requires', 'equipment must', 'basic knowledge']</t>
  </si>
  <si>
    <t>International broadcasting is a potentially very rich source of spoken text. However, making the most of this material for FLL requires a basic knowledge of the technology: types of broadcasts, times, frequency/wavelength, transmission modes, propagation variations, reception techniques, programme schedules. Optimum exploitation also means choosing, setting up and using the right equipment: minimally a suitable receiver and a good antenna. Choice and use of equipment must, in turn, be informed by that technical knowledge. ¬© 1984.</t>
  </si>
  <si>
    <t>151-167</t>
  </si>
  <si>
    <t>0346251X</t>
  </si>
  <si>
    <t>System</t>
  </si>
  <si>
    <t>Crookall, David</t>
  </si>
  <si>
    <t>La Garde</t>
  </si>
  <si>
    <t>Universite du Sud Toulon - Var</t>
  </si>
  <si>
    <t>Crookall D.</t>
  </si>
  <si>
    <t>Rigs and posts: Radio reception technology for FLL</t>
  </si>
  <si>
    <t>0346-251X(84)90025-3</t>
  </si>
  <si>
    <t>10.1016/0346-251X(84)90025-3</t>
  </si>
  <si>
    <t>2-s2.0-48749137327</t>
  </si>
  <si>
    <t>['¬© 1985', 'rubrum chromatophores', 'reduced r', 'redox state', 'reaction centres', 'quantum yield', 'oxidized r', 'model ).', 'collecting antenna', 'chromatophores practically', 'chemical additions', 'charge separation', 'c .)', 'bm coincides']</t>
  </si>
  <si>
    <t>The authors have investigated the influence of the redox state of the reaction centres (r.c.) on the kinetics of deactivation of excitation in the minor spectral form (BM) of the light-collecting antenna (l.c.a.) of the Rh. rubrum chromatophores. It is shown that the quantum yield of charge separation with an energy of less than 3 √ó 1014 photons¬∑cm-2 ( Nkv Nr¬∑c¬∑ &lt; 1¬∑0) exceeds 0¬∑5 (condition of natural photosynthesis). It has been established that in these conditions with reduced r.c. the kinetics of deactivation of the excitations in BM coincides with the kinetics of the appearance of oxidized r.c. On oxidation of the r.c. by constant saturating illumination or by chemical additions the kinetics of deactivation of excitations in BM of the chromatophores practically does not change. The results contradict current notions on the transfer of excitations from the l.c.a. to the r.c. (in particular, the Vrendenberg-Duisens' model). ¬© 1985.</t>
  </si>
  <si>
    <t>436-441</t>
  </si>
  <si>
    <t>Biophysics</t>
  </si>
  <si>
    <t>60007457-60059987;60007457-60059987;60007457-60059987;60007457-60059987;60007457-60059987;60007457-60059987</t>
  </si>
  <si>
    <t>15049241600;23121768400;6603094877;7006569102;6603436020;6701655918</t>
  </si>
  <si>
    <t>Borisov, A. Yu;Gadonas, R. A.;Danelyus, R. V.;Piskarskas, A. S.;Razzhivin, A. P.;Rotomskis, R. I.</t>
  </si>
  <si>
    <t>Lithuania;Russian Federation</t>
  </si>
  <si>
    <t>Vilnius;Moscow</t>
  </si>
  <si>
    <t>Vilniaus Universitetas;Lomonosov Moscow State University</t>
  </si>
  <si>
    <t>60059987;60007457</t>
  </si>
  <si>
    <t>Borisov A.</t>
  </si>
  <si>
    <t>Study of the kinetics of deactivation of excited states in the antenna of the chromatophores of Rhodospirillum rubrum by picosecond differential spectrophotometry</t>
  </si>
  <si>
    <t>2-s2.0-48749138761</t>
  </si>
  <si>
    <t>['resonant transducer', 'made using', 'lagrangian formalism', 'good agreement', 'general mode', 'general analysis', 'finding results', 'experimental behaviour', 'cryogenic gravitational']</t>
  </si>
  <si>
    <t>Experimental tests of genral relativity and observations of gravitational radiation</t>
  </si>
  <si>
    <t>A general analysis of the characteristics of a resonant transducer for gravitational-wave antennas whose resonator has a general mode of vibration has been made using a Lagrangian formalism. The method has been applied to investigate the characteristics of the resonant capacitive transducer developed at the University of Rome and mounted on the cryogenic gravitational-wave antenna built at CERN, finding results in good agreement with the experimental behaviour. ¬© 1984 Societ√† Italiana di Fisica.</t>
  </si>
  <si>
    <t>21-34</t>
  </si>
  <si>
    <t>Il Nuovo Cimento C</t>
  </si>
  <si>
    <t>60032350-60021660;60032350-60021660</t>
  </si>
  <si>
    <t>56302630900;7003636273</t>
  </si>
  <si>
    <t>Ogawa, Y.;Rapagnani, P.</t>
  </si>
  <si>
    <t>Rome;Rome</t>
  </si>
  <si>
    <t>Sapienza Universit√† di Roma;Istituto Nazionale di Fisica Nucleare - INFN</t>
  </si>
  <si>
    <t>60032350;60021660</t>
  </si>
  <si>
    <t>Lagrangian formalism for resonant capacitive transducers for gravitational-wave antennas</t>
  </si>
  <si>
    <t>10.1007/BF02507194</t>
  </si>
  <si>
    <t>2-s2.0-51249182073</t>
  </si>
  <si>
    <t>['slightly different', 'short bursts', 'resonant frequency', 'optimum performance', 'noise temperature', 'gravitational radiation', 'general case', 'detailed analysis']</t>
  </si>
  <si>
    <t>Experimental tests of general relativity and observations of gravitational radiation</t>
  </si>
  <si>
    <t>The detailed analysis of the behaviour of a gravitational-wave antenna coupled to a passive resonant transducer has been performed for short bursts of gravitational radiation. An expression for the noise temperature of the system is given for the general case of a transducer with resonant frequency and mechanical quality factor different from those of the antenna. The analysis of the optimum noise temperature obtainable for a given system shows that the optimum performance is obtained when the frequency of the transducer is slightly different from that of the antenna. ¬© 1984 Societ√† Italiana di Fisica.</t>
  </si>
  <si>
    <t>60082962-60021660;60032350-60021660</t>
  </si>
  <si>
    <t>7103181547;56236475400</t>
  </si>
  <si>
    <t>Castellano, M. G.;Cosmelli, C.</t>
  </si>
  <si>
    <t>Italy;Italy;Italy</t>
  </si>
  <si>
    <t>Rome;Rome;Rome</t>
  </si>
  <si>
    <t>Istituto di Fisica dello Spazio Interplanetario, Rome;Sapienza Universit√† di Roma;Istituto Nazionale di Fisica Nucleare - INFN</t>
  </si>
  <si>
    <t>60082962;60032350;60021660</t>
  </si>
  <si>
    <t>Castellano M.</t>
  </si>
  <si>
    <t>Sensitivity improvement of a two-mode gravitational-radiation detector through the use of a transducer not perfectly tuned to the antenna</t>
  </si>
  <si>
    <t>10.1007/BF02507193</t>
  </si>
  <si>
    <t>2-s2.0-51649158410</t>
  </si>
  <si>
    <t>['5db higher']</t>
  </si>
  <si>
    <t>A method of analysing the short backfire antenna is proposed. With this method, a new type backfire antenna is developed. Its gain is about 2.5dB higher than that of a normal short backfire antenna. ¬© 1984 Science Press.</t>
  </si>
  <si>
    <t>Journal of Electronics (China)</t>
  </si>
  <si>
    <t>60005465;</t>
  </si>
  <si>
    <t>24790114100;24789254900</t>
  </si>
  <si>
    <t>Changlu, Lin;Ximing, Song</t>
  </si>
  <si>
    <t>Chengdu</t>
  </si>
  <si>
    <t>University of Electronic Science and Technology of China</t>
  </si>
  <si>
    <t>Changlu L.</t>
  </si>
  <si>
    <t>Research on the short backfire antenna</t>
  </si>
  <si>
    <t>10.1007/BF02824093</t>
  </si>
  <si>
    <t>2-s2.0-51649162609</t>
  </si>
  <si>
    <t>['¬© 1984', 'rise time', 'radial width', 'magnetohydrodynamical theory', 'include toroidicity', 'external antennas']</t>
  </si>
  <si>
    <t>Experiments in Tokapole II demonstrate the shear Alfv√©n resonance in a tokamak by direct probe measurement of the wave magnetic field within the plasma. The resonance is driven by external antennas and is identified as radially localized enhancements of the poloidal wave magnetic field. The radial location agrees with calculations which include toroidicity and noncircularity of the plasma cross section. Other properties such as polarization, radial width, rise time, and wave enhancement also agree with magnetohydrodynamical theory. ¬© 1984 The American Physical Society.</t>
  </si>
  <si>
    <t>1559-1562</t>
  </si>
  <si>
    <t>60032179;60032179;60032179</t>
  </si>
  <si>
    <t>6602615754;7006251285;7004365996</t>
  </si>
  <si>
    <t>Witherspoon, F. D.;Prager, S. C.;Sprott, J. C.</t>
  </si>
  <si>
    <t>Witherspoon F.</t>
  </si>
  <si>
    <t>Experimental observation of the shear Alfv√©n resonance in a tokamak</t>
  </si>
  <si>
    <t>10.1103/PhysRevLett.53.1559</t>
  </si>
  <si>
    <t>2-s2.0-6744263450</t>
  </si>
  <si>
    <t>NS16323</t>
  </si>
  <si>
    <t>['¬© 1984', 'significant deviation', 'results suggest', 'particular mounting', 'normal animals', 'intact members', 'intact males', 'intact females', 'intact animals', 'information important', 'female cockroaches', 'experimental pairs', 'experimental pairings', 'deantennated females', 'copulation attempts', 'behavioural flexibility', 'antennal movements', 'antennal inputs', 'antennae bilaterally']</t>
  </si>
  <si>
    <t>The role of the antennae in courtship was studied by removing the antennae bilaterally from both male and female cockroaches, which were then paired with intact animals. These experimental pairings were compared with each other and with pairings of normal animals. Significant deviation from normal behaviour occurs in both the deantennated and the intact members of experimental pairs. When males are deantennated and paired with intact females the timing of courtship is prolonged and male cockroaches misdirect many of their copulation attempts. Under these conditions the intact female cockroaches perform some behaviours more frequently, in particular mounting and palpation. When deantennated females are paired with intact males, very little courtship ensues. The results suggest that information important to the progress of courtship is provided by both antennal inputs and antennal movements, and that the cockroaches are capable of some behavioural flexibility when deprived of this information. ¬© 1984.</t>
  </si>
  <si>
    <t>204-209</t>
  </si>
  <si>
    <t>Animal Behaviour</t>
  </si>
  <si>
    <t>60016247;60007776</t>
  </si>
  <si>
    <t>36946939800;7403461255</t>
  </si>
  <si>
    <t>Fraser, Jean;Nelson, Margaret C.</t>
  </si>
  <si>
    <t>Waltham;Ithaca</t>
  </si>
  <si>
    <t>Brandeis University;Cornell University</t>
  </si>
  <si>
    <t>Fraser J.</t>
  </si>
  <si>
    <t>Communication in the courtship of a madagascan hissing cockroach. II. Effects of deantennation</t>
  </si>
  <si>
    <t>S0003-3472(84)80338-3</t>
  </si>
  <si>
    <t>10.1016/S0003-3472(84)80338-3</t>
  </si>
  <si>
    <t>2-s2.0-7444247524</t>
  </si>
  <si>
    <t>['¬© 1984', 'rights reserved', 'pycnidiospores matching', 'metathoracic legs', 'macdonaldii internally', 'inoculated adults', 'incubated adults', 'fungal hyphae', 'four percent', 'entomological society']</t>
  </si>
  <si>
    <t>The presence of the fungus Phoma macdonaldii Boerema on the exocuticle of the adult stem weevil Apion occidentale Fall, was verified using isolation techniques and scanning electron microscopy. Pycnidiospores matching those of P. macdonaldii in size and shape were observed on the antennae, meso- and metathoracic legs of both field-collected and Phoma-incubated adults. Fungal hyphae were observed on the rostrum of both field-collected and laboratory-inoculated adults. Four percent of the weevils carried P. macdonaldii internally. ¬© 1984, Entomological Society of Canada. All rights reserved.</t>
  </si>
  <si>
    <t>1267-1273</t>
  </si>
  <si>
    <t>0008347X</t>
  </si>
  <si>
    <t>The Canadian Entomologist</t>
  </si>
  <si>
    <t>60032270;60032270</t>
  </si>
  <si>
    <t>57189674159;16504792800</t>
  </si>
  <si>
    <t>Gaudet, M. D.;Schulz, J. T.</t>
  </si>
  <si>
    <t>Fargo</t>
  </si>
  <si>
    <t>North Dakota State University</t>
  </si>
  <si>
    <t>Gaudet M.</t>
  </si>
  <si>
    <t>Association between a sunflower fungal pathogen, phoma macdonaldii, and a stem weevil, apion occidentale (coleoptera: curculionidae)</t>
  </si>
  <si>
    <t>10.4039/Ent1161267-9</t>
  </si>
  <si>
    <t>2-s2.0-84857636169</t>
  </si>
  <si>
    <t>['usual situation', 'secondary mirror', 'rotation contains', 'rotation axis', 'prime focus', 'main mirror', 'focal point', 'electronics engineers', 'considerable improvement', 'cassegrain type', 'best position', 'beam quality']</t>
  </si>
  <si>
    <t>The best position for the rotation axis of the wobbling secondary mirror in a Cassegrain type of antenna is through the focal point of the main mirror: the prime focus. Compared to the usual situation, where the axis of rotation contains the vertex of the secondary mirror, this means a considerable improvement of beam quality, especially at large wobble angles. Copyright ¬© 1984 by The Institute of Electrical and Electronics Engineers. Inc.</t>
  </si>
  <si>
    <t>1128-1129</t>
  </si>
  <si>
    <t>VAN De Stadt, Herman</t>
  </si>
  <si>
    <t>Utrecht</t>
  </si>
  <si>
    <t>Sterrekundig Instituut Utrecht</t>
  </si>
  <si>
    <t>VAN De Stadt H.</t>
  </si>
  <si>
    <t>Optimum Location of the Wobble Axis of Secondary Mirrors in Cassegrain-Type Telescopes</t>
  </si>
  <si>
    <t>10.1109/TAP.1984.1143202</t>
  </si>
  <si>
    <t>2-s2.0-84914917041</t>
  </si>
  <si>
    <t>15-16</t>
  </si>
  <si>
    <t>IEEE Antennas and Propagation Society Newsletter</t>
  </si>
  <si>
    <t>Schrank, Hal</t>
  </si>
  <si>
    <t>Pittsburgh</t>
  </si>
  <si>
    <t>Westinghouse Electric Company</t>
  </si>
  <si>
    <t>Schrank H.</t>
  </si>
  <si>
    <t>Antenna Designer's Notebook</t>
  </si>
  <si>
    <t>10.1109/MAP.1984.27752</t>
  </si>
  <si>
    <t>2-s2.0-84939027594</t>
  </si>
  <si>
    <t>10.1109/MAP.1984.27770</t>
  </si>
  <si>
    <t>2-s2.0-84939033877</t>
  </si>
  <si>
    <t>10.1109/MAP.1984.27781</t>
  </si>
  <si>
    <t>2-s2.0-84939046423</t>
  </si>
  <si>
    <t>23-24</t>
  </si>
  <si>
    <t>10.1109/MAP.1984.27742</t>
  </si>
  <si>
    <t>2-s2.0-84939052570</t>
  </si>
  <si>
    <t>10.1109/MAP.1984.27762</t>
  </si>
  <si>
    <t>2-s2.0-84939319882</t>
  </si>
  <si>
    <t>20-21</t>
  </si>
  <si>
    <t>10.1109/MAP.1984.27731</t>
  </si>
  <si>
    <t>2-s2.0-84939379437</t>
  </si>
  <si>
    <t>['wave bands', 'upconversion system', 'unconventional approach', 'two emitter', 'tuned receivers', 'spurious sensitivities', 'source capacitance', 'production costs', 'order intermodulation', 'novel type', 'novel method', 'noise match', 'new type', 'linear double', 'gain pairs', 'gain distribution', 'driven variable', 'distortion performance', 'conventional varactor', 'conventional 400mhz', 'constant level', 'completely eliminated', 'complete long', 'channel selectivity', 'band switches', 'automatically optimizes', 'amplitude control', '100db range']</t>
  </si>
  <si>
    <t>A new type of monolithic AM receiver has been designed and integrated in a conventional 400MHz-fT bipolar process. Adjustments and band switches are completely eliminated, and production costs can be reduced considerably thanks to the unconventional approach, which uses an upconversion system. A wideband, low-noise and low-distortion input amplifier providing a noise match to the source capacitance (antenna and cable) is followed by a low-pass filter suppressing the image and spurious sensitivities. The complete long-wave and medium-wave bands are converted to a 10.7MHz intermediate frequency in a linear double-balanced switching mixer, driven from a low-phase-noise negative resistance oscillator with a novel type of amplitude control. Channel selectivity is obtained by low-cost quartz filters. The i.f. amplifier is realized with negative-feedback current amplifiers alternated by two emitter-driven variable-gain pairs. A low-level envelope detector completes the circuit. A constant level of the audio signal together with a constant AGC speed are obtained by a novel method which automatically optimizes the gain distribution with respect to noise and distortion performance. The properties of the complete receiver favorably compete with those of conventional varactor-tuned receivers. The dynamic range exceeds 120dB and is free of second- and third-order intermodulation over an 80 and 100dB range, respectively. ¬© 1984 IEEE</t>
  </si>
  <si>
    <t>544-549</t>
  </si>
  <si>
    <t>CE-30</t>
  </si>
  <si>
    <t>IEEE Transactions on Consumer Electronics</t>
  </si>
  <si>
    <t>7004108361;7004772283</t>
  </si>
  <si>
    <t>Nordholt, E. H.;Nauta, H. C.</t>
  </si>
  <si>
    <t>Nordholt E.</t>
  </si>
  <si>
    <t>A new integrated high-performance am receiver for car radio</t>
  </si>
  <si>
    <t>10.1109/TCE.1984.354103</t>
  </si>
  <si>
    <t>2-s2.0-84939383533</t>
  </si>
  <si>
    <t>Emendation to ‚ÄúDetermination of Antenna Direction Using TV Signal-Strength Data‚Äù</t>
  </si>
  <si>
    <t>10.1109/TAES.1984.310478</t>
  </si>
  <si>
    <t>2-s2.0-84939386183</t>
  </si>
  <si>
    <t>Brittain, James E.</t>
  </si>
  <si>
    <t>Brittain J.</t>
  </si>
  <si>
    <t>A Schelkunoff Contribution to Antenna Theory</t>
  </si>
  <si>
    <t>10.1109/PROC.1984.12995</t>
  </si>
  <si>
    <t>2-s2.0-84939720070</t>
  </si>
  <si>
    <t>['tropospheric scatter', 'satellites could', 'polar orbit', 'noise temperature', 'noise ratio', 'mutually visible', 'interesting alternative', 'electronics engineers', 'db signal', 'could provide', '85 kw', '6000 mc', '5 kw', '25 ¬∞', '2000 mc']</t>
  </si>
  <si>
    <t>The existence of artificial earth satellites and of very low-noise maser amplifiers makes microwave links using spherical satellites as passive reflectors seem an interesting alternative to cable or tropospheric scatter for broad-band transatlantic communication. A satellite in a polar orbit at a height of 3000 miles would be mutually visible from Newfoundland and the Hebrides for 22.0 per cent of the time and would be over 7.25¬∞ above the horizon at each point for 17.7 per cent of the time. Out of 24 such satellites, some would be mutually visible over 7.25¬∞ above the horizon 99 per cent of the time. With 100-foot diameter spheres, 150-foot diameter antennas, and a noise temperature of 20¬∞K, 85 kw at 2000 mc or 9.5 kw at 6000 mc, could provide a 5-mc base band with a 40-db signal-to-noise ratio. The same system of satellites could be used to provide further communication at other frequencies or over other paths. Copyright ¬© 1984 by The Institute of Electrical and Electronics Engineers, Inc.</t>
  </si>
  <si>
    <t>1705-1713</t>
  </si>
  <si>
    <t>106667386;106667386</t>
  </si>
  <si>
    <t>22989408300;56907896700</t>
  </si>
  <si>
    <t>Pierce, J. R.;Kompfner, R.</t>
  </si>
  <si>
    <t>Murray Hill</t>
  </si>
  <si>
    <t>Bell Telephone Laborataries, Inc.</t>
  </si>
  <si>
    <t>Pierce J.</t>
  </si>
  <si>
    <t>Transoceanic Communication by Means of Satellites</t>
  </si>
  <si>
    <t>10.1109/PROC.1984.13078</t>
  </si>
  <si>
    <t>2-s2.0-84939741826</t>
  </si>
  <si>
    <t>['wave lengths', 'transmitting speed', 'technical possibilities', 'stations operate', 'second part', 'rather limited', 'radio engineers', 'radio communication', 'present maintained', 'placed upon', 'paper describes', 'paper defines', 'new brunswick', 'multiple antenna', 'modulating system', 'large scale', 'intelligently used', 'generating modulating', 'general theory', 'frequency alternator', 'first time', 'electronics engineers', 'directive reception', 'different messages', 'closer spacing', 'become associated', 'author predicts', '000 meters']</t>
  </si>
  <si>
    <t>The paper defines the state of the art of today which is the result of developments during the war. Transatlantic radio communication is at present maintained by five first class stations, two in America and three in Europe. These stations operate at wave lengths between 12,500 and 17,000 meters. The range of wave lengths suited for such traffic is rather limited, the desirable wave length being included between the limits of 10,000 to 20,000 meters. New developments indicate three methods for increasing the radio traffic without interference between the different messages. These methods are increase of the transmitting speed, closer spacing of wave lengths and directive reception. If these technical possibilities are intelligently used, the author predicts that radio communication will be equal to all demands that will be placed upon it. The second part of the paper describes the radio transmitting system for the development of which the author is responsible. This system is represented by the naval radio station, New Brunswick, N. J. and comprises new means for generating modulating, and radiating the continuous wave energy. The generator is the high-frequency alternator with which the author's name has become associated. The modulating system is the ‚Äúmagnetic amplifier‚Äù which is described in a paper by the author before the Institute of Radio Engineers. The ‚Äúmultiple antenna‚Äù system of radiation is described in this paper for the first time. The general theory and figures for the increased radiation efficiency are given. The author also predicts that the multiple antenna will make possible directive radiation on a large scale. Copyright ¬© 1984 by The Institute of Electrical and Electronics Engineers, Inc.</t>
  </si>
  <si>
    <t>626-633</t>
  </si>
  <si>
    <t>Transoceanic radio communication</t>
  </si>
  <si>
    <t>10.1109/PROC.1984.12902</t>
  </si>
  <si>
    <t>2-s2.0-84941443096</t>
  </si>
  <si>
    <t>['various types', 'short wavelengths', 'plate voltage', 'part ii', 'great importance', 'frequency output', 'external connections', 'electronics engineers', 'devoted chiefly', '200 cm']</t>
  </si>
  <si>
    <t>Part I of this paper is devoted to a description of various experiments performed at wavelengths below 200 cm. Curves are given to show the effect of the earth and various types of inductively excited antennas called ‚Äúwave directors.‚Äù Part I is concluded with a discussion of beam and horizontally polarized radiation. Part II is devoted chiefly to the magnetron tubes used for the production of very short wavelengths (as low as 12 cm.) and the circuit arrangements employed. It is shown that the geometry of the tube and its external connections are of great importance. The effect of variation of plate voltage, magnetic field strength and other factors on the high-frequency output, is described. Copyright ¬© 1984 by The Institute of Electrical and Electronics Engineers, Inc.</t>
  </si>
  <si>
    <t>635-645</t>
  </si>
  <si>
    <t>Beam transmission of ultra short waves</t>
  </si>
  <si>
    <t>10.1109/PROC.1984.12904</t>
  </si>
  <si>
    <t>2-s2.0-84941455652</t>
  </si>
  <si>
    <t>Larsen, Flemming Holm</t>
  </si>
  <si>
    <t>Larsen F.</t>
  </si>
  <si>
    <t>Probe-Corrected Spherical Near-Field Antenna Measurement</t>
  </si>
  <si>
    <t>10.1109/TAP.1984.1143445</t>
  </si>
  <si>
    <t>2-s2.0-84941523757</t>
  </si>
  <si>
    <t>['test setup', 'statistical analysis', 'standard rf', 'required accuracy', 'different contributors', 'circuit design', 'allowable phase']</t>
  </si>
  <si>
    <t>In this paper a statistical analysis of the impact of phase- and amplitude-distortions on the performance of active antenna arrays for mobile communication base stations is presented. The cause and influence of different contributors to these distortions is described and the allowable phase- and amplitude-margins that need to be reached for mobile communication base station applications are derived. Finally a test setup of a distributed active antenna is implemented and it is shown, that the required accuracy can be achieved with standard RF-circuit design and components. ¬©2010 IEEE</t>
  </si>
  <si>
    <t>IEEE Engineering Management Review</t>
  </si>
  <si>
    <t>60021378;60021378</t>
  </si>
  <si>
    <t>7801419079;55576678800</t>
  </si>
  <si>
    <t>Pivit, Florian;Markert, Daniel</t>
  </si>
  <si>
    <t>Pivit F.</t>
  </si>
  <si>
    <t>Analysis of the Impact of Phase- and Amplitude Distortions on the Beam Accuracy of Active Antenna Arrays for Mobile Communication</t>
  </si>
  <si>
    <t>10.1109/EMR.1984.4306071</t>
  </si>
  <si>
    <t>2-s2.0-84944998345</t>
  </si>
  <si>
    <t>['francis group', 'fluid equations', 'far field', 'experiment conducted', 'closed form']</t>
  </si>
  <si>
    <t>The diffraction of planar ion‚Äìacoustic waves, both linear and nonlinear by a single rectangular aperture has been investigated. The results of an experiment conducted in a double plasma device have been compared with the predictions of an application of the fluid equations and Poisson's equation to the antenna‚Äìin‚Äìa‚Äìplasma problem, solved in closed form for the far field. It is found that linear Ion‚Äìacoustic waves are diffracted by rectangular apertures qualitatively the same as any other longitudinal or transverse wave Nonlinear waves exhibit less propensity to diffract and have a tendency to localize. ¬© 1984 Taylor &amp; Francis Group, LLC.</t>
  </si>
  <si>
    <t>55-62</t>
  </si>
  <si>
    <t>60024324;60024324;60024324</t>
  </si>
  <si>
    <t>6506174187;6508110008;7006243174</t>
  </si>
  <si>
    <t>Bulson, Jeffrey M.;Gabl, Edward F.;Lonngren, Karl E.</t>
  </si>
  <si>
    <t>Iowa City</t>
  </si>
  <si>
    <t>University of Iowa</t>
  </si>
  <si>
    <t>Bulson J.</t>
  </si>
  <si>
    <t>Diffraction of linear and nonlinear ion-acoustic waves by a rectangular aperture</t>
  </si>
  <si>
    <t>10.1080/02726348408908104</t>
  </si>
  <si>
    <t>2-s2.0-84950874542</t>
  </si>
  <si>
    <t>['¬© 1984', 'verus brown', 'siberian rather', 'scandinavian specimens', 'revisional notes', 'paykull ),', 'formerly identified', 'entomologica scandinavica', 'col 053', 'clavicornis sharp', 'antennatus leech']</t>
  </si>
  <si>
    <t>Agabus vereschaginae sp. n. is described and its systematic position discussed in the light of revisional notes on A. serricornis (Paykull), A. clavicornis Sharp and A. antennatus Leech. The synonymy of A. clavicornis and A. verus Brown is confirmed. A British Pleistocene fossil, formerly identified as A. clavicornis, is shown to belong to A. serricornis, but its pronotal sculpture resembles that found in Siberian rather than Scandinavian specimens. ¬© 1984, Entomologica Scandinavica (COL 053)</t>
  </si>
  <si>
    <t>193-202</t>
  </si>
  <si>
    <t>1876312X</t>
  </si>
  <si>
    <t>1399560X</t>
  </si>
  <si>
    <t>Insect Systematics and Evolution</t>
  </si>
  <si>
    <t>Angus, Robert B.</t>
  </si>
  <si>
    <t>Egham</t>
  </si>
  <si>
    <t>Royal Holloway, University of London</t>
  </si>
  <si>
    <t>Angus R.B.</t>
  </si>
  <si>
    <t>A new Siberian Agabus Leach, with notes on the other species with clubbed male antennae (Coleoptera: Dytiscidae)</t>
  </si>
  <si>
    <t>10.1163/187631284X00154</t>
  </si>
  <si>
    <t>2-s2.0-84965981708</t>
  </si>
  <si>
    <t>GR3/4136</t>
  </si>
  <si>
    <t>['¬© 1984', 'water flows', 'water flow', 'water enters', 'ventilatory pauses', 'ventilatory behaviour', 'united kingdom', 'significant increase', 'scaphognathite activity', 'rights reserved', 'regular periods', 'pumping water', 'pause pa', 'pause duration', 'partially buried', 'oxygen carried', 'o2had fallen', 'o2gradually declined', 'normal direction', 'many decapods', 'lactate content', 'digging backwards', 'defined rhythm', 'deeply buried', 'closely synchronized', 'central receptors', 'cardiac arrest', 'branchial chambers', 'branchial blood', 'blood system', 'atelecyclus buries', 'antennal tube', 'antennae protrude', 'also maintained', '21 torr', '20 torr']</t>
  </si>
  <si>
    <t>Atelecyclus buries itself by digging backwards into the sand, sometimes until only the antennae protrude above the sand. In this position it is difficult for the animal to maintain an adequate respiratory current through the branchial chambers by pumping water in the normal direction. Studies of the ventilatory behaviour of Atelecyclus have shown that, when on the surface of the sand, water flows through the branchial chambers as in most other crabs i.e. water enters the chambers at the base of the limbs and the exhalant water leaves anteriorly. This direction of flow is also maintained when the crabs are only partially buried but when more deeply buried, the direction of water flow is reversed by the reversal of the direction of beat of the scaphognathites and water is drawn down the antennal tube and leaves the branchial chambers at the base of the limbs. Inactive Atelecyclus show a well-defined rhythm of pumping in which regular periods of active pumping alternate with periods during which the scaphognathites stop beating and ventilation of the branchial chambers ceases. The rhythm of ventilation is regular but the duration of the ventilatory pauses (apnoea) may vary considerably between animals. During pausing, the activity of the scaphognathites and of the heart are closely synchronized. The cessation of scaphognathite activity is accompanied by a period of cardiac arrest, although single heart beats may sometimes occur during a pause. As in many decapods, the Po2of the post-branchial blood was high (Pao2‚Äî 92 torr, Pv, o2=21 torr) but during a pause Pa, o2gradually declined. In samples taken 10 min after the start of a pause, Pa, o2had fallen to 20 torr (Pvo2=12 torr). There was, however, no significant increase in the lactate content of the blood which suggests that the oxygen carried by the blood may act as a store to enable aerobic respiration to be maintained at a basal rate throughout the pause. Control of pause duration is thought to result from changes in the PO2(and/or Pco2) of the blood affecting either peripheral receptors associated with the blood system or central receptors. ¬© 1984, Marine Biological Association of the United Kingdom. All rights reserved.</t>
  </si>
  <si>
    <t>Journal of the Marine Biological Association of the United Kingdom</t>
  </si>
  <si>
    <t>Taylor, A. C.</t>
  </si>
  <si>
    <t>Glasgow</t>
  </si>
  <si>
    <t>University of Glasgow</t>
  </si>
  <si>
    <t>Taylor A.</t>
  </si>
  <si>
    <t>Branchial ventilation in the burrowing crab, atelecyclus rotundatus</t>
  </si>
  <si>
    <t>10.1017/S0025315400059609</t>
  </si>
  <si>
    <t>2-s2.0-84974078273</t>
  </si>
  <si>
    <t>['‚ äêlinks', '‚ äê', 'would involve', 'spectrum available', 'spectrum allocations', 'spacecraft transponders', 'spacecraft antennas', 'service reliability', 'reduced construction', 'reach 99', 'propagation phenomena', 'precise information', 'optimal solutions', 'operational costs', 'lower frequencies', 'intrinsic imbalance', 'data reveals', 'currently available', 'corrective means', 'certain parts', 'antenna design', 'alternative approaches', '30 ghz', '20 ghz']</t>
  </si>
  <si>
    <t>Frequency allocation | Link budgets | Propagation</t>
  </si>
  <si>
    <t>Notwithstanding the additional spectrum allocations of the 1979 World Administrative Radio Conference (WARC '79) and the ever‚Äêincreasing sophistication of spacecraft antennas which allow more intensive spectrum reuse, saturation of the 6/4 and 14/11 GHz bands is foreseeable by the late‚Äê1990s. The next available frequency bands at 30/20 GHz were allocated at WARC '71, when knowledge of propagation phenomena and their effect on satellite communications systems performance was fragmentary. During the past 8 years, numerous experimental programmes have led to the acquisition of more precise information about hydrometeor‚Äêinduced propagation disturbances. Analysis of the data reveals that even with corrective means such as diversity and coding, service reliability of satellite communications systems with up‚Äêlinks at 30 GHz and down‚Äêlinks at 20 GHz could not reach 99.99 per cent as currently available at the lower frequencies and could be 98.0 per cent, or lower, in certain parts of the world. Since the conventionally proposed use of the 30/20 GHz bands does not lead to optimal solutions, alternative approaches are needed. An approach which would involve a revision of the spectrum allocations at 30/20 GHz is proposed. Placing both up‚Äê and down‚Äêlinks around 20 GHz and redistributing the spectrum available at 20 GHz would prevent the intrinsic imbalance of the up‚Äê and down‚Äêlinks with consequent higher reliability, reduced earth‚Äêstation transmitter power, reduced construction and operational costs, and simplification of the spacecraft transponders and antenna design. The use of frequencies around 30 GHz could be postponed until the 20 GHz bands became saturated. When the 30 GHz bands would eventually be used, there would be no imbalance of up‚Äê and down‚Äêlinks. Copyright ¬© 1984 John Wiley &amp; Sons, Ltd.</t>
  </si>
  <si>
    <t>101-106</t>
  </si>
  <si>
    <t>International Journal of Satellite Communications</t>
  </si>
  <si>
    <t>April/June 1984</t>
  </si>
  <si>
    <t>Bargellini, Pier L.</t>
  </si>
  <si>
    <t>Bargellini P.</t>
  </si>
  <si>
    <t>A reassessment of satellite communications in the 20 and 30 GHz bands</t>
  </si>
  <si>
    <t>10.1002/sat.4600020204</t>
  </si>
  <si>
    <t>2-s2.0-84981566417</t>
  </si>
  <si>
    <t>['wiley blackwell', 'synthetic enantiomers', 'simultaneously stimulated', 'rights reserved', 'responses elicited', 'response characteristic', 'pheromone production', 'nun moths', 'nun moth', 'monacha l', 'hexane extracts', 'gypsy moth', 'female glands', 'either species', 'different concentrations', 'cells responded', 'almost 100', '(+)‚ äêdisparlure']</t>
  </si>
  <si>
    <t>disparlure | enantiomeric discrimination | gypsy moth | Lymantria | nun moth | pheromone production | single cell recordings</t>
  </si>
  <si>
    <t>ABSTRACT. Two odour receptor cells were physiologically identified within male antennal hair sensillae of the gypsy moth, Lymantria dispar L, and the nun moth, L. monacha L. In the gypsy moth, one cell responded to (+)‚Äêdisparlure, while a neighbouring cell responded to (‚Äê)‚Äêdisparlure. In the nun moth both cells responded to (+)‚Äêdisparlure. The lack of sensitivity to (‚Äê)‚Äêdisparlure in the nun moth was corroborated by electroantennogram (EAG) recordings, which indicated no affinity to this enantiomer. Single cell responses of male gypsy moth to different concentrations of the synthetic enantiomers of disparlure were then compared to responses elicited by hexane extracts of female glands of both species. The gypsy moth's extracts stimulated almost exclusively the receptor cell specialized for (+)‚Äêdisparlure, while both cells were simultaneously stimulated by the extracts of the nun moths. From the response characteristic of the cells it is estimated that pheromone production of the nun moth is about 10% (+) and 90% (‚Äê)‚Äêdisparlure, and that of the gypsy moth is almost 100% (+)‚Äêdisparlure. Stimulation of the antenna of each species by female gland extracts of both species did not indicate the presence of receptors for other hexane elutable pheromone components in either species. Copyright ¬© 1984, Wiley Blackwell. All rights reserved</t>
  </si>
  <si>
    <t>Physiological Entomology</t>
  </si>
  <si>
    <t>HANSEN, KURT</t>
  </si>
  <si>
    <t>HANSEN K.</t>
  </si>
  <si>
    <t>Discrimination and production of disparlure enantiomers by the gypsy moth and the nun moth</t>
  </si>
  <si>
    <t>10.1111/j.1365-3032.1984.tb00676.x</t>
  </si>
  <si>
    <t>2-s2.0-84981583634</t>
  </si>
  <si>
    <t>['paper concepts', 'optimized beam', 'given territory', 'described briefly']</t>
  </si>
  <si>
    <t>Computer program | Elliptical beam | Spacecraft antennas</t>
  </si>
  <si>
    <t>Elliptical antenna beams are used for planning of direct broadcast satellite systems. In this paper concepts of the beam optimization process are described briefly. A method of plotting the optimized beam on a suitable map projection is discussed. An interactive computer program, which can be used for the optimization and plotting of beams on a given territory, is described with the help of examples. Copyright ¬© 1984 John Wiley &amp; Sons, Ltd.</t>
  </si>
  <si>
    <t>263-268</t>
  </si>
  <si>
    <t>October/December 1984</t>
  </si>
  <si>
    <t>Richharia, M.</t>
  </si>
  <si>
    <t>Bengaluru</t>
  </si>
  <si>
    <t>Indian Space Research Organization</t>
  </si>
  <si>
    <t>Richharia M.</t>
  </si>
  <si>
    <t>An interactive computer program for elliptical beam optimization</t>
  </si>
  <si>
    <t>10.1002/sat.4600020406</t>
  </si>
  <si>
    <t>2-s2.0-84981621688</t>
  </si>
  <si>
    <t>['presents results', 'paper investigates', 'intelsat system', 'dualpolarization frequency', 'depolarization performance']</t>
  </si>
  <si>
    <t>Cross‚Äêpolarization | Earth‚Äêstation | Radomes</t>
  </si>
  <si>
    <t>Radomes have traditionally only been used in military satellite systems. However, higher availability civil applications are demanding their consideration in the higher frequency bands and for dualpolarization frequency re‚Äêuse systems. This paper investigates the depolarization performance of metal space frame radomes and presents results of XPD for radome covered antennas in the 4/6 and 11/14 GHz bands and for antennas of 30, 11, 5 and 3 m diameters. It is demonstrated that current polarization specifications adopted in the INTELSAT system should be able to be met by radome covered earth‚Äêstations using conventional antennas. Copyright ¬© 1984 John Wiley &amp; Sons, Ltd.</t>
  </si>
  <si>
    <t>61-72</t>
  </si>
  <si>
    <t>January/March 1984</t>
  </si>
  <si>
    <t>60001359;60021097</t>
  </si>
  <si>
    <t>6506567818;55806265000</t>
  </si>
  <si>
    <t>Rwabona‚ÄêKatashaya, S.;Evans, B. G.</t>
  </si>
  <si>
    <t>Guildford;Colchester</t>
  </si>
  <si>
    <t>University of Surrey;University of Essex</t>
  </si>
  <si>
    <t>60021097;60001359</t>
  </si>
  <si>
    <t>Rwabona‚ÄêKatashaya S.</t>
  </si>
  <si>
    <t>Depolarization properties of metal space frame radomes for use in satellite communication systems</t>
  </si>
  <si>
    <t>10.1002/sat.4600020109</t>
  </si>
  <si>
    <t>2-s2.0-84981642565</t>
  </si>
  <si>
    <t>['‚ äêlink', 'voice services', 'telecom 1', 'simon nora', 'remote printing', 'purpose ),', 'paper describes', 'offshore voice', 'new service', 'main peculiarity', 'main characteristics', 'italsat uses', 'higher grade', 'ground segment', 'future interconnection', 'fixed antennas', 'five systems', 'five networks', 'first time', 'exclusive use', 'electronic mail', 'different services', 'data services', 'data distribution', 'alain minc', '75 ghz', '64 kb', '5 use', '4 satellites', '32 kb', '2048 kb', '20 ghz', '12 ghz']</t>
  </si>
  <si>
    <t>Europe | Satellite | Special services | Telematic services | Telematics</t>
  </si>
  <si>
    <t>The word ‚Äòtelematics‚Äô was used for the first time in France in 1978 by Simon Nora and Alain Minc; it is a contraction of the French words ‚Äòt√©t√©communications‚Äô and ‚Äòinformatique‚Äô, and defines a marriage between computers and data transmission networks. This paper describes the five systems which will be implemented to provide telematic services via satellite in Europe during the next few years: EUTELSAT, TELECOM 1, UNISAT, DFS and ITALSAT. The main characteristics of the ‚Äòspecial service‚Äô transponders are presented, showing that, in Europe, (a) 2 to 5 transponders per satellite will be devoted to the special (telematic) services; (b) 4 satellites out of the 5 use the 12.5‚Äì12.75 GHz down‚Äêlink band for this purpose (only ITALSAT uses the 20 GHz down‚Äêlink for the same purpose), and (c) e.i.r.p.s at 12 GHz are in the range 40‚Äì49 dBW. The ground and space segments corresponding to this new service are presented. The main peculiarity of the ground segment is the exclusive use of ‚Äòsmall‚Äô earth‚Äêstations equipped with fixed antennas and SCPC or 25‚Äì60 Mb/s TDMA multiple access equipment. Telematic services include videoconference at 2048 kb/s, voice services, computer‚Äêto‚Äêcomputer transfer of data, data distribution, remote printing, electronic mail, high‚Äêspeed facsimile, offshore voice and data services, digital network overflow, transatlantic digital business etc‚Ä¶ Customer bit rates start from 2.4, 4.8, 9.6 and 32 kb/s (for TELECOM 1) up to 2048 kb/s by 64 kb/s steps. Bit error rates are maintained below 10‚àí6 (standard) or 10‚àí10 (higher grade) during 99 per cent of the year using FEC. The five networks for telematics via satellite in Europe are independent. A large efficiency improvement of the different services should be obtained through a future interconnection of the various networks via intersatellite links. Copyright ¬© 1984 John Wiley &amp; Sons, Ltd.</t>
  </si>
  <si>
    <t>13-22</t>
  </si>
  <si>
    <t>106793573;106793573</t>
  </si>
  <si>
    <t>57190611171;7004250147</t>
  </si>
  <si>
    <t>Goumy, C.;Golden, E.</t>
  </si>
  <si>
    <t>Toulouse</t>
  </si>
  <si>
    <t>Matra Space Branch</t>
  </si>
  <si>
    <t>Goumy C.</t>
  </si>
  <si>
    <t>Telematic services via satellite in Europe</t>
  </si>
  <si>
    <t>10.1002/sat.4600020105</t>
  </si>
  <si>
    <t>2-s2.0-84981655702</t>
  </si>
  <si>
    <t>['‚ äêexamined', 'wiley blackwell', 'tribal arrangement', 'three subfamilies', 'sister group', 'rights reserved', 'originally proposed', 'male genitalia', 'four tribes', 'bombini ).', 'antenna cleaner', 'among others', '1977 ).']</t>
  </si>
  <si>
    <t>ABSTRACT. The relationships between the four tribes in the bee family Apidae are re‚Äêexamined. Characteristics of the postgena, presternum, antenna cleaner, arolium, female hind tibia and male genitalia, among others, support the placement of these tribes in three subfamilies: Meliponinae (Meliponini), Apinae (Apini) and Bombinae (Euglossini + Bombini). The Apinae is the sister group of the Bombinae. This tribal arrangement was originally proposed, using different characteristics, by Winston &amp; Michener (1977). Copyright ¬© 1984, Wiley Blackwell. All rights reserved</t>
  </si>
  <si>
    <t>435-441</t>
  </si>
  <si>
    <t>Systematic Entomology</t>
  </si>
  <si>
    <t>SIRIKIMSEY, LYNN</t>
  </si>
  <si>
    <t>Davis</t>
  </si>
  <si>
    <t>University of California, Davis</t>
  </si>
  <si>
    <t>SIRIKIMSEY L.</t>
  </si>
  <si>
    <t>A re‚Äêevaluation of the phylogenetic relationships in the Apidae (Hymenoptera)</t>
  </si>
  <si>
    <t>10.1111/j.1365-3113.1984.tb00519.x</t>
  </si>
  <si>
    <t>2-s2.0-84981661941</t>
  </si>
  <si>
    <t>['wide range', 'two outputs', 'satellite power', 'promising configurations', 'predict accurately', 'performance objectives', 'paper describes', 'overall system', 'model antenna', 'link performance', 'frequency spectrum', 'comparative survey', 'basic limitations', 'background work', 'antenna types', 'antenna requirements']</t>
  </si>
  <si>
    <t>Business services | Communications satellites | Frequency re‚Äêuse | Multibeam antennas</t>
  </si>
  <si>
    <t>Demands for increased channel capacity in future communication satellite systems coupled with basic limitations in terms of satellite power and frequency spectrum will lead to requirements for advanced multiple‚Äêbeam antenna systems with frequency re‚Äêuse capability. This paper describes the results of a study of multiple‚Äêbeam antenna systems suitable for an advanced European business services satellite. Initially, background work is described which serves to define the overall system, analyse the link performance and specify the antenna requirements. A generalized parametric study of the capabilities of a model antenna is discussed to set the bounds of feasibility, as it was appreciated that some specification targets might prove impossible to attain. In parallel, a comparative survey of a wide range of antenna types is presented to determine the most promising configurations. Based on these two outputs, candidate antenna configurations are analysed in detail to predict accurately the capability of the more promising antenna types to meet the range of performance objectives. Finally, detailed electrical design studies are performed for specific example missions. Copyright ¬© 1984 John Wiley &amp; Sons, Ltd.</t>
  </si>
  <si>
    <t>41-60</t>
  </si>
  <si>
    <t>60011897;60031159;60011897</t>
  </si>
  <si>
    <t>6701798634;6603244529;6701722050</t>
  </si>
  <si>
    <t>Claydon, B.;Dinwiddy, S. E.;Adatia, N.</t>
  </si>
  <si>
    <t>Netherlands;United Kingdom</t>
  </si>
  <si>
    <t>Noordwijk aan Zee;Leatherhead</t>
  </si>
  <si>
    <t>ESTEC - European Space Research and Technology Centre;ERA Technology Ltd</t>
  </si>
  <si>
    <t>60031159;60011897</t>
  </si>
  <si>
    <t>Claydon B.</t>
  </si>
  <si>
    <t>Multiple‚Äêbeam antennas for contiguous coverage of europe for business service applications</t>
  </si>
  <si>
    <t>10.1002/sat.4600020108</t>
  </si>
  <si>
    <t>2-s2.0-84981669950</t>
  </si>
  <si>
    <t>['wiley company', 'temperature via', 'temperature distribution', 'shorting plunger', 'realized even', 'radiometric frequency', 'observation frequency', 'microwave range', 'inc .,', 'human body', 'five applicators', 'dielectric material', 'data obtained', 'brightness temperature', 'body directly', 'applicator consists', 'antenna measuring', '2 db', '10 ghz']</t>
  </si>
  <si>
    <t>Attempts have been made to measure the brightness temperature of the electromagnetic waves radiated by the human body in response to its temperature via a radiometer with multiple observation frequencies (radiometric frequency) in the microwave range, and to estimate the temperature distribution in the body from the data obtained. Five applicators at 1.1, 1.7, 2.8, 4.6 and 10 GHz have been developed which satisfy conditions required for the antenna measuring the brightness temperature by contacting the body directly. Each applicator consists of a flanged open‚Äêended X‚Äêband waveguide filled with a dielectric material with its dielectric constant decreasing in proportion to the inverse of the square of the radiometric frequency so that the body surface spatial resolution is not dependent on the observation frequency. By means of a stub and a shorting plunger, good impedance matching is realized even when the location of the measurement is changed. A temperature‚Äêcontrol setup is included so that the applicator temperature accurately follows the variation of the body surface temperature. This makes possible highly accurate temperature measurement. The body surface spatial resolution is 3 √ó 3 cm2 and the maximum mismatch loss to the body is less than 0.2 dB. Copyright ¬© 1984 Wiley Periodicals, Inc., A Wiley Company</t>
  </si>
  <si>
    <t>117-124</t>
  </si>
  <si>
    <t>Miyakawa, Michio</t>
  </si>
  <si>
    <t>Electrotechnical Laboratory</t>
  </si>
  <si>
    <t>Miyakawa M.</t>
  </si>
  <si>
    <t>1 ‚àº 10 GHz microwave applicators for medical applications</t>
  </si>
  <si>
    <t>10.1002/ecja.4400670514</t>
  </si>
  <si>
    <t>2-s2.0-84984317920</t>
  </si>
  <si>
    <t>['primary process', 'higher plants', 'corresponding mechanism', 'appendix discusses', 'antenna effect', 'also described']</t>
  </si>
  <si>
    <t>The arrangement of membrane‚Äêbound pigments, proteins, and lipids in the thylakoids of higher plants is described, and the role of the membrane in preventing the back‚Äêreaction is discussed. The photosynthetic bacterium halobacterium halobium is also described. A simplified quantum‚Äêmechanical picture of the primary process in photosynthesis is presented, and the mechanism of electron‚Äêhole separation in this picture is compared with the corresponding mechanism in a silicon solar cell. An appendix discusses the application of Frenkel exciton theory to the antenna effect. Copyright ¬© 1984 John Wiley &amp; Sons, Inc.</t>
  </si>
  <si>
    <t>917-931</t>
  </si>
  <si>
    <t>1097461X</t>
  </si>
  <si>
    <t>International Journal of Quantum Chemistry</t>
  </si>
  <si>
    <t>Avery, John</t>
  </si>
  <si>
    <t>H. C. √òrsted Institute</t>
  </si>
  <si>
    <t>Avery J.</t>
  </si>
  <si>
    <t>A model of the primary process in photosynthesis</t>
  </si>
  <si>
    <t>10.1002/qua.560260527</t>
  </si>
  <si>
    <t>2-s2.0-84987094750</t>
  </si>
  <si>
    <t>['wiley blackwell', 'ventral appendages', 'thoracic legs', 'rights reserved', 'pygidial legs', 'lamellar spines', 'closely spaced', 'cephalic legs', 'also smaller', '9 (?)', '4 pairs', '4 kopfbeinpaare', '11 thorakalbeinpaare', '11 pairs', '1 pair']</t>
  </si>
  <si>
    <t>A specimen of the dalmanitacean trilobite Rhenops sp. cf. R. anserinus with ventral appendages is described and discussed. It is shown to have 1 pair of antennae, 4 pairs of cephalic legs, 11 pairs of thoracic legs, and 9(?) pairs of pygidial legs. The pygidial legs differ clearly from those of the thorax in their construction and are also smaller and more closely spaced. Of the outer appendage branch a few sets of lamellar spines are visible. D Trilobita, appendages, segmentation. Vom dalmanitiden Trilobiten Rhenops sp. cf. R. anserinus wird ein Exemplar mit ventralen Extremitaten beschrieben und diskutiert. Es hat 1 Antennenpaar, 4 Kopfbeinpaare, 11 Thorakalbeinpaare, und 9(?) Pygidium‚ÄêBeinpaare. Die Pygidium‚ÄêBeinpaare unterscheiden sich in ihrer Konstruktion klar von den Thorakalbeinpaaren. Sie sind kiirzer, und der Abstand zueinander ist schmaler. Lamellendornen (sogen‚Äêannte ‚ÄòKiemenanhange‚Äô) sind an einigen wenigen Aussenasten sichtbar. Copyright ¬© 1984, Wiley Blackwell. All rights reserved</t>
  </si>
  <si>
    <t>67-72</t>
  </si>
  <si>
    <t>Lethaia</t>
  </si>
  <si>
    <t>60029441;118888512</t>
  </si>
  <si>
    <t>35290468100;25122302400</t>
  </si>
  <si>
    <t>BERGSTROM, JAN;BRASSEL, GUNTHER</t>
  </si>
  <si>
    <t>Sweden;Germany</t>
  </si>
  <si>
    <t>Uppsala;Flensburg</t>
  </si>
  <si>
    <t>Geological Survey of Sweden;Osterallee 75 M√ºrwik</t>
  </si>
  <si>
    <t>BERGSTROM J.</t>
  </si>
  <si>
    <t>Legs in the trilobite Rhenops from the Lower Devonian Hunsr√ºck Slate</t>
  </si>
  <si>
    <t>10.1111/j.1502-3931.1984.tb00668.x</t>
  </si>
  <si>
    <t>2-s2.0-84987171988</t>
  </si>
  <si>
    <t>['‚ àí2', 'wiley blackwell', 'unifoliolate leaf', 'ultrastructural differences', 'rights reserved', 'photosystem ii', 'membrane polypeptides', 'grana structure', 'glycine max', 'electron transport', 'decreased synthesis', 'decreased chlorophyll', 'continuous red', 'clark y9y9', 'clark l1', 'chloroplast thylakoids', '9 w', '11 w']</t>
  </si>
  <si>
    <t>Gel‚Äêelectrophoresis | Glycine max | light‚Äêharvesting complex | membrane polypeptides | photosystem I | photosystem II | ultrastructure</t>
  </si>
  <si>
    <t>Clark L1, a normal green soybean [Glycine max (L.) Merrill] and Clark y9y9, a backross‚Äêdeveloped isoline exhibiting pigment deficiency, were grown under continuous red (11 W m‚àí2 and far‚Äêred (9 W m‚àí2) light. Chloroplast thylakoids from the unifoliolate leaf (9‚Äì10 days old) were isolated and analyzed for pigments, pigment‚Äêprotein, membrane polypeptides, electron transport and ultrastructural differences. Chloroplasts of soybean plants grown under far‚Äêred light have decreased chlorophyll a to chlorophyll b ratio, increased light‚Äêharvesting complexes, and grana structure with few stroma‚Äêtype thylakoids. Photosystem II/photosystem I ratios (PSII/PSI) are higher in far‚Äêred due to decreased synthesis of PSI reaction center and/or less antenna associated with PSI. Copyright ¬© 1984, Wiley Blackwell. All rights reserved</t>
  </si>
  <si>
    <t>351-356</t>
  </si>
  <si>
    <t>Physiologia Plantarum</t>
  </si>
  <si>
    <t>60027678;60032270</t>
  </si>
  <si>
    <t>6701510759;6602664554</t>
  </si>
  <si>
    <t>Eskins, Kenneth;Duysen, Murray</t>
  </si>
  <si>
    <t>Fargo;Peoria</t>
  </si>
  <si>
    <t>North Dakota State University;USDA ARS National Center for Agricultural Utilization Research</t>
  </si>
  <si>
    <t>60032270;60027678</t>
  </si>
  <si>
    <t>Eskins K.</t>
  </si>
  <si>
    <t>Chloroplast structure in normal and pigment‚Äêdeficient soybeans grown in continuous red or far‚Äêred light</t>
  </si>
  <si>
    <t>10.1111/j.1399-3054.1984.tb06339.x</t>
  </si>
  <si>
    <t>2-s2.0-84989682330</t>
  </si>
  <si>
    <t>['wiley blackwell', 'uncoupler nigericin', 'transition suggest', 'thylakoid membrane', 'state ii', 'small extent', 'slow phase', 'several minutes', 'rights reserved', 'plastoquinone pool', 'photosystem ii', 'oxygen yield', 'model calculations', 'light intensity', 'lhc ii', 'intact leaves', 'fluorescence parameters', 'fast phase', 'f complex', 'experiments indicate', 'electrophoretic analysis', 'cytochrome b6', 'chlorophyll fluorescence', 'antenna size', '12 %.']</t>
  </si>
  <si>
    <t>Abstract The short‚Äêterm adaptation of intact leaves to an increase in light intensity was studied by an analysis of chlorophyll fluorescence and oxygen evolution monitored by photoacoustics. An increase in light intensity led to an oxygen ‚Äúgush‚Äù. This ‚Äúgush‚Äù was followed by a large (up to 120%) biphasic increase in the yield of oxygen evolution characterized by a fast phase (T = 0.5‚Äì2 min) and a slow phase (T = 4‚Äì20 min). The fast phase of the increase in oxygen yield was coupled to a decrease of fluorescence, whereas the slow phase was accompanied by a parallel fluorescence increase. A comparison of fluorescence parameters with oxygen yield indicates that the slow phase of the increase in oxygen yield was coupled to an increase in the antenna size of photosystem II. The slow phase was not inhibited by the uncoupler Nigericin but it was absent in chlorophyll‚Äêb‚Äêless barley mutants dencient in the light harvesting chlorophyll a/b protein complex of photosystem II (LHC II). These experiments indicate that changes in the LHC II mediated energy distribution, which occur in the time‚Äêrange of several minutes, are involved in the adaptation to changing light intensities. Moreover, electrophoretic analysis of 32P orthophosphate labeled leaf discs adapted to low and high light intensities suggests that the slow phase of the increase in oxygen evolution involves dephosphorylation of the 25 kDa polypeptide of LHC II, by a small extent of 12%. The trigger for the slow phase of the increase in oxygen yield does not involve the oxidation of the plastoquinone pool. It was found that in response to the increased light intensity, the plastoquinone pool became more reduced as judged by model calculations. Experiments with the uncoupler Nigericin suggest that the control of the slow phase of adaptation to increased light intensity was also not exerted by the pH gradient across the thylakoid membrane. The similarities between the adaptation to increased light intensity and the state II to state I transition suggest that both adaptation phenomena involve LHC II dephosphorylation possibly triggered by the cytochrome b6/f complex. Copyright ¬© 1984, Wiley Blackwell. All rights reserved</t>
  </si>
  <si>
    <t>873-885</t>
  </si>
  <si>
    <t>Photochemistry and Photobiology</t>
  </si>
  <si>
    <t>60015277;60030398</t>
  </si>
  <si>
    <t>7003923099;6602112112</t>
  </si>
  <si>
    <t>Dau, Holger;Canaani, Ora</t>
  </si>
  <si>
    <t>Philadelphia;Philadelphia</t>
  </si>
  <si>
    <t>Temple University;Thomas Jefferson University</t>
  </si>
  <si>
    <t>60030398;60015277</t>
  </si>
  <si>
    <t>Dau H.</t>
  </si>
  <si>
    <t>SHORT‚ÄêTERM ADAPTATION OF HIGHER PLANTS TO CHANGING LIGHT INTENSITIES AND EVIDENCE FOR THE INVOLVEMENT OF PHOSPHORYLATION OF THE LIGHT HARVESTING CHLOROPHYLL alb PROTEIN COMPLEX OF PHOTOSYSTEM II</t>
  </si>
  <si>
    <t>10.1111/j.1751-1097.1984.tb08397.x</t>
  </si>
  <si>
    <t>2-s2.0-84989696200</t>
  </si>
  <si>
    <t>['wiley blackwell', 'wild type', 'takes place', 'still quenchers', 'saturating light', 'rights reserved', 'result suggests', 'remain important', 'reaction centers', 'reaction center', 'mechanism leading', 'mechanism governing', 'lower efficiency', 'low temperature', 'intrinsic quenchers', 'fluorescence yields', 'fluorescence yield', 'fluorescence lifetime', 'excitation energy', 'energy trapping', 'energy transfer', 'data arise', 'b850 complex', 'already known', '85 ns', '77 k', '65 ns', '3 ns', '1 ns']</t>
  </si>
  <si>
    <t>Abstract‚Äî Spectra of the fluorescence lifetime and intensity of chromatophores from the wild type Rhodopseudomonas sphaeroides, from the C 71 reaction center‚Äêless mutant and of the B800‚Äì850 light harvesting pigment‚Äêprotein complex have been studied by phase fluorimetry techniques at different light modulation frequencies at room and low temperature. As already known, closed reaction centers (saturating light) are still quenchers of antenna fluorescence although with a lower efficiency than when they are opened. The fluorescence yields and lifetimes of both the C 71 mutant strain and the B800‚Äì850complex are found to increase by about 30% between room and low temperature. The fluorescence lifetimes obtained for the C 71 strain (0.65 ns at 20C; 0.85 ns at 77 K) and for the B850 complex (1 ns at 20C; 1.3 ns at 77 K) indicate that the non‚Äêradiative deactivation pathways, in the antenna, remain important in the absence of the reaction centers even at low temperature. We suggest that these data arise from the presence of special antenna molecules which act as intrinsic quenchers of the B875 antenna fluorescence. Between room and low temperature, the fluorescence yield and lifetime of the wild type are found roughly constant. This result suggests that the energy trapping by the reaction centers is independent of the temperature. The mechanism governing the energy transfer from the antenna to the reaction centers may differ from the mechanism leading to the energy transfer within the antenna. We suggest that a partially irreversible trapping of the excitation energy, on its way to the reaction center, takes place in the vicinity of the reaction center. Copyright ¬© 1984, Wiley Blackwell. All rights reserved</t>
  </si>
  <si>
    <t>247-253</t>
  </si>
  <si>
    <t>60027679;60008134;60027679</t>
  </si>
  <si>
    <t>7004140450;7801430388;7003638379</t>
  </si>
  <si>
    <t>SEBBAN, PIERRE;JOLCHINE, GENEVIEVE;MOYA, ISMAEL</t>
  </si>
  <si>
    <t>Gif-sur-Yvette;Paris</t>
  </si>
  <si>
    <t>SOLEIL Synchrotron;CNRS Centre National de la Recherche Scientifique</t>
  </si>
  <si>
    <t>60027679;60008134</t>
  </si>
  <si>
    <t>SEBBAN P.</t>
  </si>
  <si>
    <t>SPECTRA OF FLUORESCENCE LIFETIME AND INTENSITY OF Rhodopseudomonas sphaeroides AT ROOM AND LOW TEMPERATURE. COMPARISON BETWEEN THE WILD TYPE, THE C 71 REACTION CENTER‚ÄêLESS MUTANT AND THE B800‚Äì850 PIGMENT‚ÄêPROTEIN COMPLEX</t>
  </si>
  <si>
    <t>10.1111/j.1751-1097.1984.tb03434.x</t>
  </si>
  <si>
    <t>2-s2.0-84989738206</t>
  </si>
  <si>
    <t>['œ ∑.', 'œ ∑,', 'œ ∑', 'œ ®', 'wiley blackwell', 'various pathways', 'variable parameter', 'upper limit', 'specific value', 'rights reserved', 'reaction centers', 'reaction center', 'rate constants', 'rate constant', 'psiiœ ≤', 'psiiœ ±', 'permissible values', 'overall yields', 'nonradiative decay', 'minimum yields', 'maximum yield', 'given values', 'exciton detrapping', 'excitation energy', 'energy dissipation', 'detrapping could', 'case r', 'assumed value', 'antenna decreases', 'antenna chlorophyll', 'also examined', '90 ).', '0 ),']</t>
  </si>
  <si>
    <t>Abstract A simple photochemical model of photosystem II consisting of antenna chlorophyll and a reaction center was used to examine the phenomenon of exciton detrapping, i.e. the transfer of excitation energy from open reaction centers back to the antenna. Œ∑, the ratio of the probability of detrapping when the reaction centers are all open, Œ®t(o) to the probability when the centers are closed, Œ®t(x) was used as a variable parameter to examine the various pathways of energy dissipation in a system in which P, the yield of photochemistry, and R, the ratio of the maximum to the minimum yields of fluorescence, were assumed to be known (e.g. R= 4.0 and P= 0.90). It is shown that Œ∑ must fall within a range of values between 0 and R (1 ‚ÄìP) and that, for given values of R and P, Œ®t(o) and the ratio of the rate constant for photochemistry at the reaction center, kp, to the rate constant for energy transfer back to the antenna, kt, can be determined for any assumed value of Œ∑. Even though detrapping occurs at open reaction centers, it is the magnitude of the yield of nonradiative decay at closed reaction centers, Œ®a(x) which sets the upper limit on Œ∑. Equations for the overall yields of fluorescence and nonradiative decay in the antenna chlorophyll and of nonradiative decay at the reaction center chlorophyll, under conditions of both open and closed reaction centers, were derived in conventional probability terms and in terms of R, P and Œ∑. As Œ∑ increases within its range of permissible values, energy dissipation in the antenna decreases and nonradiative decay at the reaction center increases. The determination of a specific value of Œ∑ or of the ratio kpkt would require additional information such as the value of the maximum yield of fluorescence and the ratio of the rate constants for fluorescence and nonradiative decay in the antenna chlorophyll. The characteristics of a system in which there is no nonradiative decay in the reaction center (i.e. kd= 0), in which case R (1 ‚ÄìP) = 1.0, were also examined. In this case the yield of detrapping has no influence on energy dissipation in the system. Finally, the question of heterogeneity in PSII was considered. It is suggested that Œ®d(x) may be greater in PSIIŒ≤ than in PSIIŒ± so that the probability of detrapping could be greater in the PSIIŒ± fraction. Copyright ¬© 1984, Wiley Blackwell. All rights reserved</t>
  </si>
  <si>
    <t>513-518</t>
  </si>
  <si>
    <t>Butler, Warren L.</t>
  </si>
  <si>
    <t>University of California, San Diego</t>
  </si>
  <si>
    <t>Butler W.</t>
  </si>
  <si>
    <t>EXCITON TRANSFER OUT OF OPEN PHOTOSYSTEM II REACTION CENTERS</t>
  </si>
  <si>
    <t>10.1111/j.1751-1097.1984.tb04626.x</t>
  </si>
  <si>
    <t>2-s2.0-84989741839</t>
  </si>
  <si>
    <t>['wiley blackwell', 'various pigments', 'step pcapc', 'spectrum changes', 'special form', 'rights reserved', 'rate constants', 'ps laser', 'pigment system', 'observed successively', 'intact cells', 'fluorescence spectra', 'fluorescence component', 'decay curve', 'anacystis nidulans']</t>
  </si>
  <si>
    <t>Abstract‚Äî Time‚Äêresolved fluorescence spectra of intact cells of red and blue‚Äêgreen algae Porphyridium cruentum and Anacystis nidulans were measured by means of a ps laser and a time‚Äêcorrelated photon counting system. Fluorescence spectra were observed successively from various pigments in the light harvesting system in the order of phycoerythrin (PE), phycocyanin (PC), allophycocyanin (APC) and chlorophyll a (Chl a). The spectrum changes with time in the range of0‚Äì400 ps in P. cruentum and of0‚Äì1000 ps in A. nidulans. The time‚Äêresolved spectra were analyzed into components to obtain the rise and decay curve of each fluorescence component. Overall time behaviors of the sequential fluorescence emissions from various pigments can be interpreted with a decay kinetics ofexp(‚Äì2kt¬Ω). The rate constants of the energy transfer show that the energy transfer takes place much faster in the red alga P. cruentum than in the blue‚Äêgreen alga A. nidulans, particularly in the step PCAPC. Results also indicated that a special form of APC, far‚Äêemitting APC, exists in the pigment system of A. nidulans, but it does not mediate a main energy transfer from phycobilisome to Chl a. Copyright ¬© 1984, Wiley Blackwell. All rights reserved</t>
  </si>
  <si>
    <t>233-240</t>
  </si>
  <si>
    <t>60033235;60028586;60033235;60033235;60033235;60028586</t>
  </si>
  <si>
    <t>24586425300;7006461138;23031684300;35396822600;7201407979;35462746400</t>
  </si>
  <si>
    <t>YAMAZAKI, I.;MIMURO, M.;MURAO, T.;YAMAZAKI, T.;YOSHIHARA, K.;FUJITA, Y.</t>
  </si>
  <si>
    <t>Okazaki;Okazaki</t>
  </si>
  <si>
    <t>National Institutes of Natural Sciences - Institute for Molecular Science;National Institutes of Natural Sciences - National Institute for Basic Biology</t>
  </si>
  <si>
    <t>60033235;60028586</t>
  </si>
  <si>
    <t>YAMAZAKI I.</t>
  </si>
  <si>
    <t>EXCITATION ENERGY TRANSFER IN THE LIGHT HARVESTING ANTENNA SYSTEM OF THE RED ALGA Porphyridium cruentum AND THE BLUE‚ÄêGREEN ALGA Anacystis nidulans: ANALYSIS OF TIME‚ÄêRESOLVED FLUORESCENCE SPECTRA</t>
  </si>
  <si>
    <t>10.1111/j.1751-1097.1984.tb03432.x</t>
  </si>
  <si>
    <t>2-s2.0-84989743881</t>
  </si>
  <si>
    <t>['wasps wrestle', 'waiting time', 'unten ).', 'two types', 'time distribution', 'sucrose solution', 'solution withdrawal', 'show aggression', 'preening movements', 'parts preened', 'paravespula germanica', 'paper wasps', 'observed even', 'oben ).', 'numerous combats', 'mutual inhibition', 'interpretation corresponds', 'indicate disinhibition', 'greift man', 'food source', 'following activities', 'experimental situation', 'drinking tendency', 'drinking interruption', 'drinking due', 'disturbed visits', 'disturbance corresponds', 'displacement activities', 'disinhibition hypothesis', 'decisive significance', 'dead foragers', 'conflicting tendencies', 'black rod', 'antennae position', 'aggressive tendency', 'aggressive behaviour', '6 ).', '5 ).', '4 ).', '2 ).']</t>
  </si>
  <si>
    <t>The Conflict between Aggression and Drinking Tendency in Paper Wasps. Experiments at an Artificial Food Source At a food source giving sucrose solution several activities were measured for Paravespula germanica and P. vulgaris. In some visits the wasp was experimentally disturbed either by releasing aggressive behaviour (using a black rod or another captive wasp) or by withdrawing the sucrose solution for a while. The following activities were examined: ‚Äúwaiting time‚Äù (Saugwartezeit), position of the antennae, duration of the interruption of drinking due to the disturbance, the number of preening movements, their time distribution during a visit and parts preened. Visual stimuli release aggressive behaviour and the movement of the object is of decisive significance. Aggressive behaviour can be released at any time during the visit. The duration of the interruption in drinking does not change in the course of the visit. If wasps wrestle at the food source no dead foragers are observed even after numerous combats. If drinking is disturbed, the frequency of all released preening movements does not depend upon aggressive release or withdrawal of solution. When the preening movements appear depends upon the two types of disturbance. Preening before departure does not differ for the disturbed visits and controls. Parts preened during the drinking interruption differ for each experimental situation. Spatial distributions occurring after the interruption and before departure are not different for aggressive behaviour and solution withdrawal. Waiting time is interpreted as representative of the drinking tendency and antennae position of the tendency to depart. Duration of the drinking interruption after disturbance corresponds to the strength of the aggressive tendency. Preening movements are thought to indicate disinhibition of the preening tendency owing to mutual inhibition of conflicting tendencies (1) to show aggression or drink, (2) to depart or drink. The interpretation corresponds to the disinhibition hypothesis for displacement activities. An einer Saccharosel√∂sung spendenden Futterquelle wurden im Verlauf eines Besuchs sich √§ndernde Verhaltensweisen von Sammelwespen (Paravespula germanica und P. vulgaris) gemessen. Bei unbeeinflu√üten Besuchen wurden registriert: Saugwartezeit, F√ºhlerstellung, Anzahl der Putzbewegungen und ihre Verteilung auf die K√∂rperpartien. Bei anderen Besuchen wurde in den Saugvorgang experimentell eingegriffen, indem entweder durch eine St√∂rung aggressives Verhalten ausgel√∂st oder die Zuckerl√∂sung eine Zeitlang entzogen wurde. Dabei wurden aufgezeichnet: Dauer der durch die St√∂rung ausgel√∂sten Saugunterbrechung, Anzahl der Putzbewegungen, das zeitliche Auftreten der Putzbewegungen w√§hrend des Besuchs und ihre Verteilung auf die K√∂rperpartien. Visuelle Reize l√∂sen aggressives Verhalten aus; dabei ist die Bewegung des Objekts von entscheidender Bedeutung. K√§mpfen Wespen an der Futterquelle miteinander, gibt es auch nach zahlreichen K√§mpfen keine toten Sammlerinnen. Aggressives Verhalten l√§√üt sich durch eine St√∂rung zu jedem Zeitpunkt des Besuchs ausl√∂sen. Die Dauer der so hervorgerufenen Saugunterbrechung √§ndert sich im Verlauf des Besuchs nicht (Abb. 2). Die Saugwartezeit ist w√§hrend eines gro√üen Zeitabschnitts der Saugdauer etwa gleich lang, gegen Saugende wird sie k√ºrzer (Abb. 3, oben). Die Wespe h√§lt ihre F√ºhlergei√üeln w√§hrend des gesamten Besuchs von der Kapillare weit weg (Abb. 3, unten). Greift man in den Saugvorgang experimentell ein, putzt sich die Wespe in der ausgel√∂sten Saugunterbrechung, unmittelbar nach dieser und ‚Äî wie bei unbeeinflu√üten Besuchen ‚Äî kurz vor dem Abflug. Die H√§ufigkeit der insgesamt ausgel√∂sten Putzbewegungen unterscheidet sich bei Besuchen mit St√∂rung nicht von der bei Besuchen mit L√∂sungsentzug. Dagegen ist das Zeitmuster der Putzbewegungen w√§hrend des Besuchs in beiden F√§llen unterschiedlich (Abb. 4). Das Putzen kurz vor dem Abflug unterscheidet sich bei Besuchen mit experimentellem Eingreifen nicht von dem bei unbeeinflu√üten Besuchen. ‚Äî Die in der Saugunterbrechung auftretenden Putzbewegungen sind bei verschiedenartigem experimentellen Eingreifen unterschiedlich auf die K√∂rperpartien verteilt. Die r√§umlichen Verteilungen der sonst im Verlauf des Besuchs auftretenden Putzbewegungen unterscheiden sich bei Besuchen mit St√∂rung nicht signifikant von denen bei Besuchen mit L√∂sungsentzug (Abb. 5). ‚Äî L√∂st man aggressives Verhalten statt durch einen bewegten Stift durch eine ‚ÄúWespe unter Glas‚Äù aus, so unterscheiden sich die in beiden F√§llen registrierten Verteilungen der Putzbewegungen auf die K√∂rperpartien nicht signifikant (Abb. 6). Die Saugwartezeit dr√ºckt die Saugtendenz aus, die F√ºhlerstellung die Abflugtendenz. Die St√§rke der Angriffstendenz spiegelt sich in der Dauer der durch eine St√∂rung hervorgerufenen Saugunterbrechung wider. Das Zustandekommen der bei experimentellem Eingreifen auftretenden Putzbewegungen wird erkl√§rt durch Enthemmung der Putzbereitschaft infolge gegenseitiger Hemmung von Angriffs‚Äê und Saugtendenz einerseits bzw. Abflug‚Äê und Saugtendenz andererseits. Die Deutung entspricht der Enthemmungshypothese f√ºr √úbersprunghandlungen. 1984 Blackwell Verlag GmbH</t>
  </si>
  <si>
    <t>147-162</t>
  </si>
  <si>
    <t>Zeitschrift f√ºr Tierpsychologie</t>
  </si>
  <si>
    <t>January‚ÄêDecember 1984</t>
  </si>
  <si>
    <t>Pflumm, Walter</t>
  </si>
  <si>
    <t>Kaiserslautern</t>
  </si>
  <si>
    <t>Technische Universit√§t Kaiserslautern</t>
  </si>
  <si>
    <t>Pflumm W.</t>
  </si>
  <si>
    <t>Papierwespen im Konflikt zwischen Angriffs‚Äê und Saugtendenz Versuche an einer k√ºnstlichen Futterquelle</t>
  </si>
  <si>
    <t>10.1111/j.1439-0310.1984.tb00356.x</t>
  </si>
  <si>
    <t>2-s2.0-85005560560</t>
  </si>
  <si>
    <t>['therefore conclude', 'solid food', 'similar behavior', 'several min', 'salivary secretion', 'recently signaled', 'queen goes', 'predicted result', 'polistes species', 'nest cells', 'hypothesis yielded', 'feeding prey', 'experimental test', 'drumming signal', 'drumming lasts', 'drummed cell', 'cell rims', 'average frequency', 'average burst', 'audible sound', 'antennal drumming']</t>
  </si>
  <si>
    <t>Antennal drumming, in which Polistes queens rapidly beat the antennae on the rims of nest cells, is described in detail for P. fuscatus and shown to be performed in the context of feeding prey to the larvae. Following the distribution of solid food to the larvae, the queen goes from cell to cell on the nest, drumming her antennae on the cell rims, producing an audible sound. After several min of this, each drum on a cell is followed by contact with a larva, usually the one in the drummed cell, during which the queen regurgitates prey juice to the larva. The average burst of drumming lasts just under one s. The two antennal flagella strike the cell rim together at an average frequency of 29 strokes per s. Similar behavior is documented in 10 other Polistes species. We hypothesize that antennal drumming communicates to the larva that it is about to receive liquid food from the adult and should withhold the release of salivary secretion. This predicts that a larva that has received the drumming signal will exude less secretion than if it has not been recently signaled. An experimental test of this hypothesis yielded the predicted result, and we therefore conclude that our hypothesis is supported. 1984 Blackwell Verlag GmbH</t>
  </si>
  <si>
    <t>177-188</t>
  </si>
  <si>
    <t>6603303776;7004451533</t>
  </si>
  <si>
    <t>Pratte, Michel;Jeanne, Robert L.</t>
  </si>
  <si>
    <t>Pratte M.</t>
  </si>
  <si>
    <t>Antennal Drumming Behavior in Polistes Wasps (Hymenoptera: Vespidae)</t>
  </si>
  <si>
    <t>10.1111/j.1439-0310.1984.tb01364.x</t>
  </si>
  <si>
    <t>2-s2.0-85005665504</t>
  </si>
  <si>
    <t>['¬© 1984', 'upper wall', 'stopped behind', 'several seconds', 'rights reserved', 'plusia agnata', 'photoperiod regime', 'pheromone gland', 'observation vessel', 'mating behavior', 'lower part', 'japanese society', 'female protruded', 'female curved', 'applied entomology', 'abdomen toward', '14 l']</t>
  </si>
  <si>
    <t>The mating behavior of Plusia agnata was observed in the laboratory under a 14 L-10 D photoperiod regime at 25¬∞C. The female protruded her pheromone gland and fanned her wings as she settled on the upper wall of an observation vessel. The male, fanning his wings, came from the lower part of the vessel, stopped behind the female and touched her abdomen with his antennae. After several seconds the male moved alongside the female, then the female curved her abdomen toward the male and copulated with him. Mating was observed most frequently around two hours before light on. ¬© 1984, JAPANESE SOCIETY OF APPLIED ENTOMOLOGY AND ZOOLOGY. All rights reserved.</t>
  </si>
  <si>
    <t>282-283</t>
  </si>
  <si>
    <t>Japanese Journal of Applied Entomology and Zoology</t>
  </si>
  <si>
    <t>100380626;100380626</t>
  </si>
  <si>
    <t>7004150878;26541228100</t>
  </si>
  <si>
    <t>Kitamura, Chikayoshi;Koyama, Juro</t>
  </si>
  <si>
    <t>Chikugo</t>
  </si>
  <si>
    <t>Kyushu National Agricultural Experiment Station</t>
  </si>
  <si>
    <t>Kitamura C.</t>
  </si>
  <si>
    <t>Mating Behavior of the Three Spotted Plusia, Plusia Agnata Staudinger (Lepidoptera: Noctuidae)</t>
  </si>
  <si>
    <t>10.1303/jjaez.28.282</t>
  </si>
  <si>
    <t>2-s2.0-85006124267</t>
  </si>
  <si>
    <t>['¬© 1984', 'various pigments', 'time behaviors', 'spectrum changes', 'rights reserved', 'resolved spectra', 'rate constants', 'porphyridium cruentum', 'pigment system', 'picosecond laser', 'observed successively', 'intact cells', 'green algea', 'green alga', 'fluorescence spectra', 'fluorescence component', 'emitting apc', 'decay kinetics', 'decay curve', 'chid ).', 'chemical society', 'anacystics nidulans', '400 ps']</t>
  </si>
  <si>
    <t>Time-resolved fluorescence spectra of intact cells of red and blue-green algea, Porphyridium cruentum and Anacystics nidulans, were measured by means of a picosecond laser and a time-correlated photon counting system. Fluorescence spectra were observed successively from various pigments in the light harvesting system in the order of phycoerythrin (PE), phycocyanin (PC), allophycocyanin (APC) and chlorophyll a (Chid). The spectrum changes with time in the range of 0~400 ps in P. cruentum and of 0-~1000 ps in A. nidulans. The time-resolved spectra were analyzed into components to obtain the rise and decay curve of each fluorescence component. The time behaviors of sequential fluorescence emissions from the pigment system can be interpreted with the decay kinetics of an exp (-2kt1/2) type. The rate constants of the energy transfer show that the energy transfer takes place much faster in the red alga P. cruentum than in the blue-green alga A. nidulans, particularly in the PC‚ÜíAPC step. The results also indicate that a far-emitting APC (APC B etc) does not mediate a main energy transfer from phycobilisome to Chi a. ¬© 1984, The Chemical Society of Japan. All rights reserved.</t>
  </si>
  <si>
    <t>75-81</t>
  </si>
  <si>
    <t>Nippon Kagaku Kaishi</t>
  </si>
  <si>
    <t>60033235;60033235;60033235;60033235;60028586;60028586</t>
  </si>
  <si>
    <t>24586425300;23031684300;35396822600;7201407979;35462746400;7006461138</t>
  </si>
  <si>
    <t>Yamazaki, Iwao;Murao, Toshiro;Yamazaki, Tomoko;Yoshihara, Keitaro;Fujita, Yoshihiko;Mimuro, Mamoru</t>
  </si>
  <si>
    <t>Yamazaki I.</t>
  </si>
  <si>
    <t>Picosecond Time-Resoved Fluorescence Spectroscopy of Excitation Energy Transfer‚ÄîPhotoexcitation Transport in Light-harvesting Antenna System in Algae ‚Äî</t>
  </si>
  <si>
    <t>10.1246/nikkashi.1984.75</t>
  </si>
  <si>
    <t>2-s2.0-85016538665</t>
  </si>
  <si>
    <t>['using modes', 'solutions reduce', 'solution algorithms', 'modal expansions', 'linear self', 'linear equations', 'discrete points', 'derive solutions', 'control forces']</t>
  </si>
  <si>
    <t>An integral operator approach is used to derive solutions to static shape determination and control problems associated with large space structures. Problem assumptions include a linear self-adjoint system model, observations and control forces at discrete points, and quadratic performance criteria for the comparison of estimates or control forces. Solutions reduce to the solution of linear equations of dimension on the order of the numbers of observations or control forces. Results are illustrated by simulations with a finite element model of a large space antenna. Modal expansions for terms in the solution algorithms are presented, using modes from the static or associated dynamic model. These expansions provide approximate solutions in the event that a closed form analytical solution to the system boundary value problem is not available. ¬© 1984 ASME.</t>
  </si>
  <si>
    <t>267-272</t>
  </si>
  <si>
    <t>Static shape determination and control of large space structures: II. A large space antenna</t>
  </si>
  <si>
    <t>10.1115/1.3140684</t>
  </si>
  <si>
    <t>2-s2.0-85024616191</t>
  </si>
  <si>
    <t>['without setae', 'without lenses', 'wiley blackwell', 'trichopteran synapomorphy', 'trichopt .).', 'three ).', 'tentorial muscle', 'tentative table', 'stemma structure', 'rights reserved', 'retrocerebral complex', 'probably stout', 'primitive groups', 'panorpid larva', 'oral arm', 'open gutter', 'one suite', 'neither hypostomal', 'musculature must', 'mouth parts', 'larval head', 'labial palp', 'hypostomal ridges', 'extrinsic muscles', 'entity comprising', 'dorsal arms', 'discrete cardo', 'differs considerably', 'cranial setae', 'corpora cardiaca', 'available evidence', 'another shared', 'agathiphaga vitiensis', 'adfrontal ridges', '3rd symp']</t>
  </si>
  <si>
    <t>Abstract. The larval head of Agathiphaga vitiensis is described. There is a complete hypostomal bridge but no hypostomal ridges. Adfrontal ridges and distinct ecdysial lines are absent. There are two vestigial stemmata (without lenses) on each side. The antenna is one‚Äêsegmented. All ‚Äòtypical lepidopteran‚Äô head setae have been identified. The corporotentorium is very slender; dorsal tentorial arms are present. Intrinsic labral muscles are lacking. The mandible has retained a tentorial muscle. The maxilla is without a discrete cardo and has but a single endite lobe; ‚Äòintrinsic maxillary muscles‚Äô and the ‚Äòcranial flexor of the dististipes‚Äô are lacking. The postlabium is undivided and without setae, the labial palp is one‚Äêsegmented and the lateral prelabio‚Äêhypopharyngeal sclerotization is continued into an oral arm. Some of the ventral pharyngeal dilators arise on the tentorium; mouth‚Äêangle retractors and dorsal post‚Äêcerebral pharynx dilators are absent. The two brain lobes have almost parallel long axes and are united by a narrow (almost pure neuropile) bridge. The corpora cardiaca and callata are contiguous. The aorta is an open gutter in front of the retrocerebral complex. Available evidence on the ground plan structure of the lepidopteran larval head is reviewed. The ancestral head supposedly was prognathous and was autapomorphic in having the cranio‚Äêcardinal articulation far behind the mandible; it had a complete hypostomal bridge but neither hypostomal nor adfrontal ridges, its tentorium was probably stout and with dorsal arms. Paulus &amp; Schmid (1978, Z. zool. Syst. EvolForsch. 16) described a lepidopteran/trichopteran synapomorphy in stemma structure. A tentative table of homologies between cranial setae in Lepidoptera and Trichoptera is presented; it differs considerably from the scheme of Williams &amp; Wiggins (1981, Proc. 3rd Symp. Trichopt.). The mouth parts and their musculature must have been overall very primitive for a panorpid larva, but the number of maxillary palp segments was reduced (three). The ‚Äòdististipes‚Äôsensu Hinton is considered to consist of complexly fused parts of the stipes and basal palp segments. The cephalic stomodaeum must have possessed all primitive groups of extrinsic muscles. The incomplete available information on Micropterigidae impedes reconstruction of some details of the lepidopteran ground plan. Larval head structures support the monophyly of an entity comprising the Agathiphagidae + Heterobathmiidae + Glossata. There is one suite of derived characters shared by Heterobathmiidae and Agathiphagidae only and another shared by Heterobathmiidae and the Glossata only; one of these must represent parallelisms. Copyright ¬© 1984, Wiley Blackwell. All rights reserved</t>
  </si>
  <si>
    <t>63-81</t>
  </si>
  <si>
    <t>KRISTENSEN, NIELS P.</t>
  </si>
  <si>
    <t>KRISTENSEN N.</t>
  </si>
  <si>
    <t>The larval head of Agathiphaga (Lepidoptera, Agathiphagidae) and the lepidopteran ground plan</t>
  </si>
  <si>
    <t>10.1111/j.1365-3113.1984.tb00502.x</t>
  </si>
  <si>
    <t>2-s2.0-85032070294</t>
  </si>
  <si>
    <t>['subsystems required', 'several wavelengths', 'sea parameters', 'radiometer receivers', 'power system', 'package within', 'operational orbit', 'instruments capable', 'entire package', 'design resulted', 'conceptually designed', 'conceptual design', 'cargo bay', 'autonomous spacecraft', 'automatically deployed', '700 kilometers', '120 meters']</t>
  </si>
  <si>
    <t>Remote sensing missions have been synthesized which could contribute significantly to the understanding of global environmental parameters. Instruments capable of sensing important land and sea parameters are combined with a large antenna designed to passively quantify surface emitted radiation at several wavelengths. A conceptual design for this large deployable antenna has been developed. All subsystems required to make the antenna an autonomous spacecraft have been conceptually designed. The entire package, including necessary orbit transfer propulsion, is folded to package within the Space Transportation System (STS) cargo bay. After separation, the antenna, its integral feed mast, radiometer receivers, power system, and other instruments are automatically deployed and transferred to the operational orbit. The design resulted in an antenna with a major antenna dimension of 120 meters, weighing 7650 kilograms, and operating at an altitude of 700 kilometers.</t>
  </si>
  <si>
    <t>NASA Contractor Reports</t>
  </si>
  <si>
    <t>7202207642;6505635086;7801683245</t>
  </si>
  <si>
    <t>Herbert, James J.;Postuchow, J. R.;Schartel, Wilfred A.</t>
  </si>
  <si>
    <t>Herbert J.</t>
  </si>
  <si>
    <t>TECHNOLOGY NEEDS OF ADVANCED EARTH OBSERVATION SPACECRAFT.</t>
  </si>
  <si>
    <t>2-s2.0-85040301495</t>
  </si>
  <si>
    <t>['vibration frequencies', 'three methods', 'swept wing', 'structural parameters', 'stiffened cylinder', 'space radiometer', 'sectional areas', 'paper describes', 'mode shapes', 'general purpose', 'four examples', 'dynamic structural', 'computer time', 'calculating derivatives', 'buckling loads', 'box beam', 'antenna truss']</t>
  </si>
  <si>
    <t>This paper describes the implementation of static and dynamic structural-sensitivity derivative calculations in a general purpose, finite-element computer program denoted the Engineering Analysis Language (EAL) System. Derivatives are calculated with respect to structural parameters, specifically, member sectional properties including thicknesses, cross-sectional areas, and moments of inertia. Derivatives are obtained for displacements, stresses, vibration frequencies and mode shapes, and buckling loads and mode shapes. Three methods for calculating derivatives are implemented (analytical, semianalytical, and finite differences), and comparisons of computer time and accuracy are made. Results are presented for four examples: a swept wing, a box beam, a stiffened cylinder with a cutout, and a space radiometer-antenna truss.</t>
  </si>
  <si>
    <t>NASA Technical Memorandum</t>
  </si>
  <si>
    <t>6603903214;7102463776</t>
  </si>
  <si>
    <t>Camarda, Charles J.;Adelman, Howard M.</t>
  </si>
  <si>
    <t>Camarda C.</t>
  </si>
  <si>
    <t>STATIC AND DYNAMIC STRUCTURAL-SENSITIVITY DERIVATIVE CALCULATIONS IN THE FINITE-ELEMENT-BASED ENGINEERING ANALYSIS LANGUAGE (EAL) SYSTEM.</t>
  </si>
  <si>
    <t>2-s2.0-85040302565</t>
  </si>
  <si>
    <t>['power supply', 'optional features', 'one means', 'intended function', 'frequency range', 'equipment configuration', 'control box', 'additional functions', '000 mhz']</t>
  </si>
  <si>
    <t>Minimum operational performance standards for airborne radio communications equipment operating in the radio-frequency range of 117. 975 to 137. 000 MHz are recommended. These standards specify system characteristics that should be useful to designers, manufacturers, installers and users of the equipment. Compliance with these standards is recommended as one means of assuring that the equipment will perform its intended function(s) satisfactorily under all conditions normally encountered in routine aeronautical operations. An equipment configuration is consider of that of a receiver, transmitter, control box, power supply and an antenna. Additional functions and components that refer to expanded equipment capabilities are identified as optional features.</t>
  </si>
  <si>
    <t>Radio Technical Commission for Aeronautics, Document</t>
  </si>
  <si>
    <t>;;;;;;;;;;;;;;</t>
  </si>
  <si>
    <t>6508024774;57197601951;7202816453;6504106662;55419866900;6504569089;6508195851;6507306945;57094038500;7101863366;7801376256;57196640037;6505865066;6506881468;7004001715</t>
  </si>
  <si>
    <t>Hanneman, C. K.;Alexander, W.;Bauer, B.;Beffort, B.;Bell, G. D.;Beningfield, W.;Beseke, K.;Bierach, K. F.;Bohren, J.;Bowers, R. L.;Burtt, D. M.;Chapman, W.;Climie, B. R.;Cram, C. W.;Crumrine, R. J.</t>
  </si>
  <si>
    <t>Hanneman C.</t>
  </si>
  <si>
    <t>MINIMUM OPERATIONAL PERFORMANCE STANDARDS FOR AIRBORNE RADIO COMMUNICATIONS EQUIPMENT OPERATING WITHIN THE RADIO-FREQUENCY RANGE 117. 975 - 137. 000 MHz.</t>
  </si>
  <si>
    <t>2-s2.0-85040499325</t>
  </si>
  <si>
    <t>['type data', 'parametric form', 'modes controlled', 'loop dynamics', 'flexible modes', 'final design', 'data illustrate', 'control system', 'control results', 'control requirements', 'control actuators', 'compares decoupled', 'brief analysis', 'body modes']</t>
  </si>
  <si>
    <t>A study has been conducted of the feasibility of employing decoupling procedures to control a large flexible space antenna. Control involves commanding changes in the rigid-body modes or nulling initial disturbances in the flexible modes. The study is intended to provide preliminary engineering-type data, in parametric form, which would be useful in the final design of a large space antenna control system. The data illustrate the effect on control requirements of the number of modes controlled; of the number, type, and location of control actuators; and of variations in the closed-loop dynamics of the control system. A brief analysis is included which compares decoupled-control results with those obtained by using a linear quadratic regulator approach.</t>
  </si>
  <si>
    <t>NASA Technical Paper</t>
  </si>
  <si>
    <t>56299817600;7003446272;56307117300</t>
  </si>
  <si>
    <t>Young, John W.;Hamer, Harold A.;Johnson, Katherine G.</t>
  </si>
  <si>
    <t>Young J.</t>
  </si>
  <si>
    <t>DECOUPLED-CONTROL ANALYSIS OF A LARGE FLEXIBLE SPACE ANTENNA WITH LINEAR QUADRATIC REGULATOR COMPARISONS.</t>
  </si>
  <si>
    <t>2-s2.0-85040499424</t>
  </si>
  <si>
    <t>['technical characteristics', 'paper presents', 'interference ratios', 'downlink plan', 'allowable carrier', '17 ghz', '12 ghz']</t>
  </si>
  <si>
    <t>This paper presents the technical characteristics of a plan involving broadcasting satellites at 12 GHz and the associated feeder links at 17 GHz. The applicable technical parameters, such as satellite antenna characteristics, earth station requirements, bandwidths, channelization, and allowable carrier-to-interference ratios are discussed. An overview of the downlink plan is given, including a histogram of the transmitter power requirements.</t>
  </si>
  <si>
    <t>Miller, Edward F.</t>
  </si>
  <si>
    <t>Miller E.</t>
  </si>
  <si>
    <t>BROADCASTING SATELLITES AT 12 GHz FOR REGION 2 - TECHNICAL CHARACTERISTICS.</t>
  </si>
  <si>
    <t>2-s2.0-85040500770</t>
  </si>
  <si>
    <t>['unknown quantity', 'resonant frequency', 'radiation pattern', 'present formulation', 'galerkin method', 'differential equations', 'dielectric substrate', 'design data', 'current distribution', 'coupled integro', 'conducting patch', 'also presented']</t>
  </si>
  <si>
    <t>The problem of microstrip antennas covered by a dielectric substrate is formulated in terms of coupled integro-differential equations with the current distribution on the conducting patch as an unknown quantity. The Galerkin method is used to solve for the unknown patch current. Using the present formulation, the radiation pattern, the resonant frequency, and the bandwidth of a rectangular microstrip antenna are computed. Design data for a rectangular microstrip antenna are also presented.</t>
  </si>
  <si>
    <t>7401639390;7102211143</t>
  </si>
  <si>
    <t>Bailey, M. C.;Deshpande, M. D.</t>
  </si>
  <si>
    <t>ANALYSIS OF RECTANGULAR MICROSTRIP ANTENNAS.</t>
  </si>
  <si>
    <t>2-s2.0-85040501808</t>
  </si>
  <si>
    <t>['presented highlighting', 'passive components', 'initial design', 'design goals', 'associated active']</t>
  </si>
  <si>
    <t>The development of fully monolithic gallium arsenide (GaAs) receive and transmit modules suitable for phased array antenna applications in the 30/20 gigahertz bands is presented. Specifications and various design approaches to achieve the design goals are described. Initial design and performance of submodules and associated active and passive components are presented. A tradeoff study summary is presented highlighting the advantages of distributed amplifier approach compared to the conventional single power source designs.</t>
  </si>
  <si>
    <t>6603602016;6507027569;7007073731;56130854000;7102929356</t>
  </si>
  <si>
    <t>Anzic, G.;Kascak, T. J.;Downey, A. N.;Liu, D. C.;Connolly, D. J.</t>
  </si>
  <si>
    <t>Anzic G.</t>
  </si>
  <si>
    <t>MICROWAVE MONOLITHIC INTEGRATED CIRCUIT DEVELOPMENT FOR FUTURE SPACEBORNE PHASED ARRAY ANTENNAS.</t>
  </si>
  <si>
    <t>2-s2.0-85040502161</t>
  </si>
  <si>
    <t>['wideband system', 'technique used', 'radar video', 'provided via', 'phase 1', 'ines system', 'gives details', 'clearscan system', 'bright display', 'also provided']</t>
  </si>
  <si>
    <t>Phase 1 of the new radar system planned for Antwerp requires two remote, unmanned HR 18 harbour radars, with 18 ft slotted waveguide antennas. Transmission of the radar video is by coaxial cable using a wideband system. Control and signalling uses narrow band channels. Gives details of the Digital Scan Conversion (DSC) technique used in this Racal Marine Radar/INES system. Range/bearing measurement together with mapping and other facilities are provided via a minicomputer (Map Store Control Processor). The Clearscan system is also provided. Notes the bright display/high grade slave display feature of the system.</t>
  </si>
  <si>
    <t>9 , Sep. 1984, p.26-27.</t>
  </si>
  <si>
    <t>DREDGING &amp; PORT CONSTR.</t>
  </si>
  <si>
    <t>New Racal radar system at Antwerp.</t>
  </si>
  <si>
    <t>2-s2.0-85040803458</t>
  </si>
  <si>
    <t>['wave theory', 'wave heating', 'value comparable', 'using fast', 'toroidal eigen', 'tokamak experiments', 'simple model', 'qualitative agreement', 'pure second', 'mode waves', 'mode conversion', 'minority heating', 'less ecrh', 'icrf power', 'harmonic heating', 'first time', 'experimentally observed', 'electrons could', 'electron temperatures', 'electron density', 'effective heating', 'determined using', '550 kw', '230 ev', '15 ms']</t>
  </si>
  <si>
    <t>In the Heliotron E device, a non-axisymmetric helical system, ICRF heating experiments were carried out for the first time, using fast-mode and slow-mode waves. In the fast-wave heating experiment, ICRF power of up to 550 kW was emitted during 15 ms by four antenna loops. Effective heating of a current-less ECRH-produced target plasma was observed over a wide density range. The plasma loading resistance of an antenna loop reached about 5. This is a value comparable with that of tokamak experiments. The increments of ion and electron temperatures by fast-wave heating were about 200-230 eV at an electron density of about 3 √ó 1019m‚àí3. Minority heating and pure second-harmonic heating have almost the same efficiency ((1-2) √ó 1019eV¬∑m‚àí3¬∑kW‚àí1) during the short RF pulse used (t &lt; 15 ms). The energy transfer rate from the waves to ions and electrons could be explained by mode conversion. The signals of toroidal eigen-modes were experimentally observed and radial mode numbers could be determined using a simple model. In the slow-wave heating experiment, the upper density limit of effective heating appeared to be in qualitative agreement with wave theory. ¬© 1984 IOP Publishing Ltd.</t>
  </si>
  <si>
    <t>1003-1012</t>
  </si>
  <si>
    <t>60011001;60011001;60011001;60011001;60011001;60011001;60011001;60011001;60011001;60011001;60011001;60011001;60011001;60011001;60011001;60011001</t>
  </si>
  <si>
    <t>55573145200;15822549600;35351740600;7402545022;37063742600;7005390985;57083346200;7101859687;7007079289;7006016766;57206190368;7005875364;6701477198;7005932873;35354801800;36153872200</t>
  </si>
  <si>
    <t>Mutoh, T.;Okada, H.;Motojima, O.;Morimoto, S.;Sato, M.;Zushi, H.;Kondo, K.;Sudo, S.;Besshou, S.;Mizuuchi, T.;Kaneko, H.;Sano, F.;Iima, M.;Obiki, T.;Iiyoshi, A.;Uo, K.</t>
  </si>
  <si>
    <t>Kyoto</t>
  </si>
  <si>
    <t>Kyoto University</t>
  </si>
  <si>
    <t>Mutoh T.</t>
  </si>
  <si>
    <t>ICRF heating of currentless plasma in Heliotron E</t>
  </si>
  <si>
    <t>10.1088/0029-5515/24/8/005</t>
  </si>
  <si>
    <t>2-s2.0-85047696187</t>
  </si>
  <si>
    <t>['pure modes', 'preferentially excited', 'negative helicity', 'including finite', 'hall current', 'either positive', 'cylindrical theory']</t>
  </si>
  <si>
    <t>The performance of a modular helical antenna for Alfv√©n wave heating is analysed in the framework of 1-D cylindrical theory, including finite-frequency (i.e. Hall current) effects. It is shown that modes with either positive or negative helicity can be preferentially excited in the plasma by tilting the antenna with respect to the poloidal magnetic field. Excitation of pure modes, which is crucial for optimizing the power deposition profile, can be achieved with surprisingly small tilt angles. ¬© 1984 IOP Publishing Ltd.</t>
  </si>
  <si>
    <t>1679-1682</t>
  </si>
  <si>
    <t>7202476002;7003823426;56277076300</t>
  </si>
  <si>
    <t>Hofmann, F.;Appert, K.;Villard, L.</t>
  </si>
  <si>
    <t>Hofmann F.</t>
  </si>
  <si>
    <t>A modular helical antenna for Alfv»≥n wave heating in tokamaks</t>
  </si>
  <si>
    <t>10.1088/0029-5515/24/12/009</t>
  </si>
  <si>
    <t>2-s2.0-85047698725</t>
  </si>
  <si>
    <t>['wave solution', 'tracing technique', 'simplified cases', 'ray tracing', 'procedures leading', 'present approach', 'plasma species', 'phase surface', 'numerical checks', 'minor radius', 'meridian plane', 'initial conditions', 'fully discussed', 'front concept', 'field side', 'field distribution', 'different features', 'complete model', 'centred around', 'antenna near', 'antenna constrains']</t>
  </si>
  <si>
    <t>The wave-front concept in conjunction with the ray-tracing technique is applied to solving the problem of fast-wave ion cyclotron resonance heating of tokamaks, leading to realistic power deposition profiles. The different features of the complete model are reviewed, including the 2-D computation of the antenna near-field, the concept of a constant-phase surface and the derivation of the initial conditions for ray tracing, the geometric optics expansion scheme, the ray and power transport equations and their implementation in general toroidal geometry, as well as the procedures leading to the production of final power deposition profiles for the various plasma species. The validity and consistency of the approach are investigated both by means of numerical checks and by using analytic asymptotic expansions in simplified cases. The range of validity and the limitations of the present approach are fully discussed. Using asymptotic theory, it is possible to bridge the gap between the antenna coupling theory (a full-wave solution) and ray tracing (a geometric optics solution), showing how the power spectrum radiated by the antenna constrains the field distribution over a constant-phase surface. Examples of power deposition profiles for the plasma species are generated for several minority heating scenarios of JET in which the antenna is located on the low-field side. In most cases, a very peaked power deposition profile is obtained, which is centred around the minor radius at which the cyclotron layer cuts the meridian plane of the tokamak. ¬© 1984 IOP Publishing Ltd.</t>
  </si>
  <si>
    <t>955-976</t>
  </si>
  <si>
    <t>60004280;60004280;60004280-116316443;60004280;60004280-116316493</t>
  </si>
  <si>
    <t>7102660576;7403189436;6507117956;7102543123;7004079277</t>
  </si>
  <si>
    <t>Bhatnagar, V. P.;Koch, R.;Geilfus, P.;Kirkpatrick, R.;Weynants, R. R.</t>
  </si>
  <si>
    <t>Belgium;Belgium;Belgium</t>
  </si>
  <si>
    <t>Brussels;;Brussels</t>
  </si>
  <si>
    <t>Koninklijke Militaire School - Ecole Royale Militaire;Senior Research Associate;Societe d‚ÄôInformatique Europeenne</t>
  </si>
  <si>
    <t>60004280;116316493;116316443</t>
  </si>
  <si>
    <t>Bhatnagar V.P.</t>
  </si>
  <si>
    <t>Ray-tracing modelling of the ICRF heating of large tokamaks</t>
  </si>
  <si>
    <t>10.1088/0029-5515/24/8/001</t>
  </si>
  <si>
    <t>2-s2.0-85047699840</t>
  </si>
  <si>
    <t>['¬© 1984', 'trs using', 'trs ).', 'saw filters', 'rights reserved', 'receive switch', 'one correspondence', 'experimental results', 'electrical engineers']</t>
  </si>
  <si>
    <t>Directional couplers | SAW filters | Ultrasonics | Unidirectional transducers</t>
  </si>
  <si>
    <t>In the letter we describe and demonstrate a completely new application of SAW filters in present-day communication systems, to realise a kind of transmit-receive switch (TRS). The TRS using the SAW filter works well up to expectations, replacing the required two bandpass filters and an antenna directional coupler. To do this the undesired reverse propagation sidelobe (higher) of a group-type unidirectional transducer (GUDT) has been used to advantage. The theoretical and experimental results are found to be in one-to-one correspondence. ¬© 1984, The Institution of Electrical Engineers. All rights reserved.</t>
  </si>
  <si>
    <t>25-27</t>
  </si>
  <si>
    <t>Electronics Letters</t>
  </si>
  <si>
    <t>57217844945;7102345643;55481489100</t>
  </si>
  <si>
    <t>Gautam, J. K.;Meguro, T.;Yamanouchi, K.</t>
  </si>
  <si>
    <t>Gautam J.K.</t>
  </si>
  <si>
    <t>Novel realisation of an automatic transmit-receive switch and two bandpass filters by a single SAW filter</t>
  </si>
  <si>
    <t>10.1049/el:19840019</t>
  </si>
  <si>
    <t>2-s2.0-0021755309</t>
  </si>
  <si>
    <t>Appalachian Regional Commission</t>
  </si>
  <si>
    <t>ARC</t>
  </si>
  <si>
    <t>['¬© 1984', 'ps ii', 'proteoliposomes containing', 'protein complexes', 'increase effectively', 'harvesting complexes', 'harvesting chlorophyll', 'following reconstitution', 'dichlorophenolindophenol reduction', 'antenna size']</t>
  </si>
  <si>
    <t>Light-harvesting chlorophyll-protein complex | Photosystem II complex | Proteoliposome | Reconstitution</t>
  </si>
  <si>
    <t>Isolated Photosystem II (PS II) complexes and light-harvesting chlorophyll-protein complexes have been reconstituted, both separately and together, into soybean phosphatidylcholine liposomes. PS II activity, as measured by dichlorophenolindophenol reduction, increased by 70% following reconstitution of PS II complexes. Proteoliposomes containing both PS II and light-harvesting chlorophyll-protein complexes also exhibited enhanced quantum efficiencies at sub-saturating light intensities. This indicates that the light-harvesting complexes are interacting with the PS II complexes in proteoliposomes, to increase effectively their antenna size. ¬© 1984.</t>
  </si>
  <si>
    <t>151-155</t>
  </si>
  <si>
    <t>FEBS Letters</t>
  </si>
  <si>
    <t>60001881;60001881;60159889</t>
  </si>
  <si>
    <t>7404062677;24513539400;7004861271</t>
  </si>
  <si>
    <t>Murphy, Denis J.;Crowther, David;Woodrow, Ian E.</t>
  </si>
  <si>
    <t>Australia;United Kingdom</t>
  </si>
  <si>
    <t>Canberra;Sheffield</t>
  </si>
  <si>
    <t>ANU Research School of Biology;The University of Sheffield</t>
  </si>
  <si>
    <t>60159889;60001881</t>
  </si>
  <si>
    <t>Murphy D.J.</t>
  </si>
  <si>
    <t>Reconstitution of light-harvesting chlorophyll-protein complexes with Photosystem II complexes in soybean phosphatidylcholine liposomes. Enhancement of quantum efficiency at sub-saturating light intensities in the reconstituted liposomes</t>
  </si>
  <si>
    <t>001457938480160X</t>
  </si>
  <si>
    <t>10.1016/0014-5793(84)80160-X</t>
  </si>
  <si>
    <t>2-s2.0-48749137505</t>
  </si>
  <si>
    <t>['¬© 1984', 'simple procedure', 'rights reserved', 'low crosspolarisation', 'feed parameters', 'electrical engineers']</t>
  </si>
  <si>
    <t>Antennas | Reflector antennas</t>
  </si>
  <si>
    <t>A simple procedure for designing offset dual reflectors with low crosspolarisation is presented. It provides simple guidelines by which the subdish and the feed parameters can be specified once the main dish geometry is known. The method is most suitable for upgrading existing offset systems with poor crosspolarisation characteristics. ¬© 1984, The Institution of Electrical Engineers. All rights reserved.</t>
  </si>
  <si>
    <t>64-66</t>
  </si>
  <si>
    <t>Sydney</t>
  </si>
  <si>
    <t>UNSW Sydney</t>
  </si>
  <si>
    <t>Design procedure for offset dual reflectors with low crosspolarisation</t>
  </si>
  <si>
    <t>10.1049/el:19840045</t>
  </si>
  <si>
    <t>2-s2.0-0021206225</t>
  </si>
  <si>
    <t>['¬© 1984', 'treated sample', 'still capable', 'redox conditions', 'ph 10', 'partially restored', 'observed depending', 'mentioned changes', 'major band', 'lower temperature', 'intense illumination', 'f705 indicates', 'f705 could', 'f705 according', 'f655 ),', 'extended thawing', 'extended period', 'extended illumination', 'excitation spectrum', 'excitation energy', 'essentially constant', 'electron acceptors', 'completely restored', 'charge recombination', 'changed little', 'center complex', 'briefly thawed', 'became prominent', 'anaerobic condition', 'almost disappeared', 'acta 764', 'accompanying paper', '655 nm', '468 nm', '20 min']</t>
  </si>
  <si>
    <t>(Spinach chloroplast) | Chlorophyll-protein complex | Fluorescence | Photosystem I | Reaction center</t>
  </si>
  <si>
    <t>Fluorescence changes following sequential reduction of the electron acceptors in the 160 kDa Photosystem-I reaction-center complex (Ikegami, I. and Ke, B. (1984) Biochim. Biophys. Acta 764, 70-79, accompanying paper) were studied. Three major fluorescence bands, designated as F675, F655 and F705 according to their peak wavelength positions, were observed depending on the redox conditions. F675 is essentially constant under all redox conditions, suggesting that it originates from the remaining antenna chlorophyll molecules in the complex. In the oxidized sample containing 0.5 mM ferricyanide, little F705 appeared, but it became prominent after the addition of 10 mM dithionite to the complex at pH 10 under anaerobic condition. Maximum F705 developed upon a brief intense illumination of the dithionite-treated sample, prior to freezing. On the other hand, F705 almost disappeared after extended illumination (20 min) of the sample at a lower temperature (approx. -40¬∞C), in which A1, the primary electron acceptor of Photosystem I, is assumed to be reduced. F705 could be completely restored when the above sample was briefly thawed and refrozen. The excitation spectrum of F705 indicates that its emitter had an absorption peak near 455 nm, which changed little in its shape through the above-mentioned changes of F705. We have interpreted these results by proposing the charge recombination between P700+ and A-1 as the origin of F705. In the oxidized complex containing 0.5 mM ferricyanide, 470 nm excitation brought out an additional emission band at 655 nm (F655), which almost disappeared after intense illumination of the complex in the presence of 10 mM dithionite at pH 10 under anaerobic condition, either for a brief period near 0¬∞C or for an extended period at approx. -40¬∞C. F655 was partially restored after extended thawing in the dark of the complex in which A2 was reduced. The excitation spectrum of F655 has a major band at 468 nm, which is attributed to the chlorophyll b molecule remaining in the complex. Both emission and excitation spectra showed that the chlorophyll b molecule is still capable of transferring its excitation energy to the emitters of both F675 and F705. ¬© 1984.</t>
  </si>
  <si>
    <t>80-85</t>
  </si>
  <si>
    <t>BBA - Bioenergetics</t>
  </si>
  <si>
    <t>60016881;60016881</t>
  </si>
  <si>
    <t>55974981900;7005716029</t>
  </si>
  <si>
    <t>Ikegami, Isamu;Ke, Bacon</t>
  </si>
  <si>
    <t>Yellow Springs</t>
  </si>
  <si>
    <t>Charles F. Kettering Research Laboratory</t>
  </si>
  <si>
    <t>Ikegami I.</t>
  </si>
  <si>
    <t>A 160-kilodalton Photosystem-I reaction-center complex. Low-temperature fluorescence spectroscopy</t>
  </si>
  <si>
    <t>0005-2728(84)90143-9</t>
  </si>
  <si>
    <t>10.1016/0005-2728(84)90143-9</t>
  </si>
  <si>
    <t>2-s2.0-4244113299</t>
  </si>
  <si>
    <t>['western part', 'various parts', 'type material', 'third generation', 'taxonomical status', 'spinule patterns', 'spinosus sp', 'spine pattern', 'sars ),', 'salinus onabamiro', 'related taxa', 'receptaculum seminis', 'rarus kiefer', 'press ).', 'present study', 'paludosus lindberg', 'oriental region', 'one taxon', 'ogunnus onabamiro', 'northern asia', 'n .,', 'maxillulary palp', 'major sars', 'madagascan representatives', 'kieferi sp', 'kiefer ).', 'junk publishers', 'hyaline membrane', 'geographical range', 'geographical distribution', 'genital segment', 'future one', 'furcal rami', 'eleven taxa', 'dussarti sp', 'diagnostic characteristics', 'daday ),', 'critically reconsider', 'copepod taxonomy', 'connecting lamella', 'briefly mentioned', 'breeding experiments', 'arabian peninsula', 'apical spines', 'antennular segments', 'also found', 'african species', 'african continent', 'aequatorialis aequatorialis', 'abdominal segments']</t>
  </si>
  <si>
    <t>Africa | Copepoda | Mesocyclops | revision | taxonomy | zoogeography</t>
  </si>
  <si>
    <t>A revision is made of the African Mesocyclops species, based on type material (when extant) and on collections from various parts in Africa. Diagnostic characteristics are: presence or absence of spinule patterns on antennular segments, structure of the hyaline membrane of the 17th antennular segment, spine pattern on the basipodite of the antenna, armature of the maxillulary palp, presence or absence of a spine on the basipodite of P1, armature of the connecting lamella, coxopodite and basipodite of P4, armature of the apical spines of Enp3P4, armature of the last thoracic segment, genital segment and the other abdominal segments, armature of the furcal rami and structure of the receptaculum seminis. First, the taxonomical status of M. leuckarti (Claus) is redefined; this species does not occur in Africa and its geographical range is restricted to Europe and the western part of Northern Asia. On the African continent, twelve other taxa are found. Four are described as new to science: M. kieferi sp.n., M. dussarti sp.n., M. spinosus sp.n. and M. aequatorialis similis subsp.n. The remainder are: M. major Sars, M. tenuisaccus (Sars), M. paludosus Lindberg, M. salinus Onabamiro, M. ogunnus Onabamiro, M. aspericornis (Daday), M. rarus Kiefer and M. aequatorialis aequatorialis (Kiefer). Their geographical distribution is discussed. Eleven taxa are restricted to the African continent (including the Arabian Peninsula and the Canary Islands). One taxon is also found in the Oriental Region. Madagascan representatives are briefly mentioned. The importance of breeding and cross-breeding experiments should be stressed in copepod taxonomy. Experiments were performed on African species and M. leuckarti to evaluate the morphological characters used in the present study, and intraspecific morphological variability was examined up to and including the third generation (Van de Velde, in press). In future one should critically reconsider the so-called cosmopolitan species; they may indeed represent a complex of related taxa, each with a geographical range more restricted than that of the species-complex itself. ¬© 1984 Dr W. Junk Publishers.</t>
  </si>
  <si>
    <t>Hydrobiologia</t>
  </si>
  <si>
    <t>Van de Velde, Isabella</t>
  </si>
  <si>
    <t>Ghent</t>
  </si>
  <si>
    <t>Universiteit Gent</t>
  </si>
  <si>
    <t>Van de Velde I.</t>
  </si>
  <si>
    <t>Revision of the African species of the genus Mesocyclops Sars, 1914 (Copepoda: Cyclopidae)</t>
  </si>
  <si>
    <t>10.1007/BF00006297</t>
  </si>
  <si>
    <t>2-s2.0-0001876049</t>
  </si>
  <si>
    <t>RSA MH-00129</t>
  </si>
  <si>
    <t>['¬© 1984', 'would appear', 'soluble matrix', 'small proportion', 'sialic acid', 'previously found', 'one branch', 'oligosaccharide moieties', 'molar ratio', 'membrane gangliosides', 'mannose oligosaccharides', 'lentil lectin', 'glycoprotein carbohydrate', 'glycolylneuraminic acid', 'core n', 'chromogranins isolated', 'carbohydrate concentration', 'approximately 2', 'approximately 1', 'almost 40', 'agarose demonstrated', 'affinity chromatography']</t>
  </si>
  <si>
    <t>Dopamine Œ≤-hydroxylase present in the soluble matrix of bovine adrenal medullary chromaffin granules contains biantennary complex oligosaccharides and high-mannose oligosaccharides in a molar ratio of approximately 2:1. The high-mannose oligosaccharides contain an average of six mannose residues. The largest biantennary oligosaccharides (40% of the total) have two complete peripheral branches consisting of sialic acid-galactose-N-acetylglucosamine, but an equal proportion lack sialic acid on one branch and the remainder lack N-acetylglucosamine and/or galactose. Affinity chromatography on lentil lectin-agarose demonstrated that 84% of the dopamine Œ≤-hydroxylase biantennary oligosaccharides are substituted by fucose on the core N-acetylglucosamine which is linked to asparagine. Based on carbohydrate concentration and the proportions of biantennary and high-mannose oligosaccharides, it would appear that the four dopamine Œ≤-hydroxylase subunits of Mr ‚âÖ 75,000 are not identical with respect to their oligosaccharide moieties. In chromaffin granule membranes, high-mannose and biantennary oligosaccharides comprise 20 and 35%, respectively, of the glycoprotein carbohydrate. Almost 40% is present in the form of large complex oligosaccharides with three or more antennas, less than 3% of which have both a core fucose residue and a 2,6-substituted Œ±-linked mannose residue. Chromaffin granule membranes also contain a small proportion (approximately 6%) of O-glycosidically linked glycoprotein oligosaccharides which are predominantly monosialyl derivatives of galactosylN-acetylgalactosamine. The ratio of N-acetyl- to N-glycolylneuraminic acid in dopamine Œ≤-hydroxylase and the glycoproteins of chromaffin granule membranes is approximately 1.5:1, which is within the same range as that previously found in membrane gangliosides and in the chromogranins isolated from the soluble granule matrix. ¬© 1984.</t>
  </si>
  <si>
    <t>443-449</t>
  </si>
  <si>
    <t>60023247-60002952-60032105;60023247-60002952-60032105;60023247-60002952-60032105;60023247-60002952-60032105</t>
  </si>
  <si>
    <t>7201421117;7006345766;7006105834;7201421016</t>
  </si>
  <si>
    <t>Margolis, Ren√©e K.;Finne, Jukka;Krusius, Tom;Margolis, Richard U.</t>
  </si>
  <si>
    <t>United States;United States;Finland</t>
  </si>
  <si>
    <t>New York;New York;Helsinki</t>
  </si>
  <si>
    <t>NYU Langone Health;SUNY Downstate Health Sciences University;Helsingin Yliopisto</t>
  </si>
  <si>
    <t>60032105;60023247;60002952</t>
  </si>
  <si>
    <t>Margolis R.K.</t>
  </si>
  <si>
    <t>Structural studies on glycoprotein oligosaccharides of chromaffin granule membranes and dopamine Œ≤-hydroxylase</t>
  </si>
  <si>
    <t>0003-9861(84)90009-2</t>
  </si>
  <si>
    <t>10.1016/0003-9861(84)90009-2</t>
  </si>
  <si>
    <t>2-s2.0-0021332715</t>
  </si>
  <si>
    <t>['wire circuits', 'suppression system', 'radio interference', 'minimum level', 'magnetic antenna', 'external noise', 'disturbing station', 'antenna makes', 'adaptive radio']</t>
  </si>
  <si>
    <t>Reducing the level of radio interference in the two-wire circuits of balanced trunk cables is considered and the development of an adaptive radio-suppression system is reported. In the interference suppression equipment a magnetic antenna is used as an interference collecting circuit, which is tuned to the frequency of the disturbing station. The use of this antenna makes it possible to obtain a signal with minimum level of external noise.</t>
  </si>
  <si>
    <t>Kurshev, N. V.</t>
  </si>
  <si>
    <t>Kurshev N.</t>
  </si>
  <si>
    <t>ADAPTIVE COMPENSATION FOR RADIO INTERFERENCE IN TELECOMMUNICATION CABLE LINES.</t>
  </si>
  <si>
    <t>2-s2.0-0021370489</t>
  </si>
  <si>
    <t>['useful zone', 'transmitting antennas', 'transmitting antenna', 'smooth ionosphere', 'rebounding trajectories', 'less energy', 'irradiated zone', 'ionospheric scattering', 'important role', 'field strength', 'beam approximation', 'area exposed']</t>
  </si>
  <si>
    <t>Generally, when calculating the short-wave coverage zone, a smooth ionosphere, free from inhomogeneities, is assumed. In reality, however, scattering by a statistical ionospheric inhomogeneity plays an important role in establishing the zone and the field strength, and leads to blurring of the contours of the irradiated zone and to partial energy transfer into the rebounding trajectories. Such transfer, in turn, results in less energy being present in the useful zone and reduces the efficiency of the transmitting antenna. Furthermore, along short paths the inclination of the reflecting layers significantly changes the position and the size of the area exposed to radiation. The beam approximation is used to estimate the energy loss due to ionospheric scattering as a function of the degree of scattering and the characteristics of the transmitting antennas.</t>
  </si>
  <si>
    <t>16-24</t>
  </si>
  <si>
    <t>Chernov, Yu A.</t>
  </si>
  <si>
    <t>Chernov Y.</t>
  </si>
  <si>
    <t>EFFECT OF IONOSPHERIC INHOMOGENEITY ON THE OPERATION OF SHORT-WAVE TRANSMITTING ANTENNAS.</t>
  </si>
  <si>
    <t>2-s2.0-0021372715</t>
  </si>
  <si>
    <t>['significant role', 'many cases', 'coupled antennas']</t>
  </si>
  <si>
    <t>It has been shown that mutual impedance plays a significant role in the impedance and performance of coupled antennas. In many cases, the designer is tempted to use inaccurate graphical data because the solution of the integrals for calculating mutual impedance is complex. This calculator program makes it possible to obtain the data very easily, using the Hewlett Packard 15C calculator.</t>
  </si>
  <si>
    <t>82-h, 82</t>
  </si>
  <si>
    <t>Malherbe, J. A.G.</t>
  </si>
  <si>
    <t>CALCULATOR PROGRAM FOR MUTUAL IMPEDANCE.</t>
  </si>
  <si>
    <t>2-s2.0-0021372807</t>
  </si>
  <si>
    <t>127-129</t>
  </si>
  <si>
    <t>Measurement Techniques</t>
  </si>
  <si>
    <t>;;;;;;;</t>
  </si>
  <si>
    <t>6508193100;6602854835;6505749556;6504822559;16473248000;6507030118;16478007700;57217614016</t>
  </si>
  <si>
    <t>Nizhenskii, A. D.;Volkonskii, V. B.;Zhukinskii, I. N.;Kodryanskii, V. M.;Kononenko, A. G.;Masyurenko, Yu A.;Popov, Yu V.;Yakovlev, V. V.</t>
  </si>
  <si>
    <t>Nizhenskii A.D.</t>
  </si>
  <si>
    <t>Phase-type laser range finder</t>
  </si>
  <si>
    <t>10.1007/BF00828658</t>
  </si>
  <si>
    <t>2-s2.0-0021381770</t>
  </si>
  <si>
    <t>['various ways', 'useful dual', 'signals collected', 'seen data', 'overall system', 'mode spirals', 'mode former', 'general overview', 'first introduced', 'finding systems', 'early developments', 'channel direction', 'arm spirals']</t>
  </si>
  <si>
    <t>Early developments in wideband, two-channel direction-finding systems is traced. The overall system is first introduced in a general overview from antenna, through mode former, to the detectors. A more detailed discussion follows on the design and characteristics of four-, six- and eight-arm spirals, with emphasis on the most practical left bracket n equals 4 right bracket design. Seldom-seen data such as spiral radiation impedances and reference surface left bracket plane right bracket rotation for dual-mode spirals is presented. The utility of still another spiral type left bracket classical hyperbolic right bracket , is for the first time introduced as a useful dual-mode radiating structure. A discussion is then presented on various ways that the arithmetic subsystem may be implemented to process the signals collected by the multi-filament radiator leading finally to detection.</t>
  </si>
  <si>
    <t>INTRODUCTION TO WIDEBAND, TWO-CHANNEL DIRECTION-FINDING SYSTEMS. PART I: GENERAL SYSTEM OVERVIEW, RADIATOR, AND ARITHMETIC SUBSYSTEMS.</t>
  </si>
  <si>
    <t>2-s2.0-18544395749</t>
  </si>
  <si>
    <t>['tracking issue', 'mobile platform', 'ehf randomes', 'antenna structures', 'absolutely paramount']</t>
  </si>
  <si>
    <t>Part Two considers antenna pointing and tracking, antenna structures, EHF randomes, an example of a mobile platform and a description of an EHF hybrid scan array. The pointing and tracking issue is absolutely paramount in the selection of an EHF antenna system approach. The narrow beams make even the fixed terminal antennas difficult tracking applications.</t>
  </si>
  <si>
    <t>60025522;60025522</t>
  </si>
  <si>
    <t>Varley, Robert F.;Conn, James K.</t>
  </si>
  <si>
    <t>Harris Corporation</t>
  </si>
  <si>
    <t>EHF SATCOM TERMINAL ANTENNAS. PART II.</t>
  </si>
  <si>
    <t>2-s2.0-18744417665</t>
  </si>
  <si>
    <t>['¬© 1984', 'studying compact', 'site close', 'radio sources', 'pulsar search', 'proposed instrument', 'observing galactic', 'metre wavelengths', 'interplanetary medium', 'diffuse features']</t>
  </si>
  <si>
    <t>A giant radio telescope for observing galactic and extragalactic radio sources at metre wavelengths is proposed. By locating a parabolic cylindrical antenna at a site close to the Equator such that its axis lies parallel to earth's axis, it is possible to construct a large collecting area economically. The proposed instrument will be very powerful for studying compact and diffuse features of radio sources, monitoring their variability, recombination and deuterium line work, studies of interplanetary medium and pulsar search. ¬© 1984 D. Reidel Publishing Company.</t>
  </si>
  <si>
    <t>403-407</t>
  </si>
  <si>
    <t>1572946X</t>
  </si>
  <si>
    <t>0004640X</t>
  </si>
  <si>
    <t>Astrophysics and Space Science</t>
  </si>
  <si>
    <t>60031855;60031855-60069382;60031855</t>
  </si>
  <si>
    <t>7003365109;16472758100;7005133442</t>
  </si>
  <si>
    <t>Swarup, G.;Hidayat, B.;Sukumar, S.</t>
  </si>
  <si>
    <t>Indonesia;India</t>
  </si>
  <si>
    <t>Bandung;Mumbai</t>
  </si>
  <si>
    <t>Institut Teknologi Bandung;Tata Institute of Fundamental Research, Mumbai</t>
  </si>
  <si>
    <t>60069382;60031855</t>
  </si>
  <si>
    <t>Swarup G.</t>
  </si>
  <si>
    <t>Giant Equatorial Radio Telescope</t>
  </si>
  <si>
    <t>10.1007/BF00650263</t>
  </si>
  <si>
    <t>2-s2.0-34250135659</t>
  </si>
  <si>
    <t>['‚ âßcompound', '¬© 1985', 'tetradecadienyl acetate', 'strongly suppressed', 'rights reserved', 'partially suppressed', 'mixture ratio', 'japanese society', 'eag responses', 'eag response', 'decadienyl acetate', 'continuous exposure', 'compound b', 'applied entomology']</t>
  </si>
  <si>
    <t>Electroantennogram (EAG) responses of the Spodoptera litura male to female sex pheromone components, (Z, E)-9, 11-tetradecadienyl acetate (compound A) and (Z, E)-9, 12-tetra-decadienyl acetate (compound B) were recorded. The order of amplitude of the EAG responses were compounds A+B (9: 1) ‚âßcompound A&gt;compound B. No increase in response was observed when the mixture ratio of the compounds was changed. In adapta tion experiments, continuous exposure of an antenna to air containing compound A strongly suppressed the subsequent EAG response to both compounds A and B. Air containing compound B similarly suppressed the EAG response to compound B, though the responsiveness to compound A was only partially suppressed. ¬© 1985, JAPANESE SOCIETY OF APPLIED ENTOMOLOGY AND ZOOLOGY. All rights reserved.</t>
  </si>
  <si>
    <t>82-87</t>
  </si>
  <si>
    <t>1347605x</t>
  </si>
  <si>
    <t>Applied Entomology and Zoology</t>
  </si>
  <si>
    <t>Kawasaki, Kenjiro</t>
  </si>
  <si>
    <t>Ibaraki</t>
  </si>
  <si>
    <t>Institute for Agro-Environmental Sciences, NARO</t>
  </si>
  <si>
    <t>Kawasaki K.</t>
  </si>
  <si>
    <t>Electroantennogram Responses of Spodoptera Litura (F.) (Lepidoptera: Noctuidae) Male Moth to Two Female Sex Pheromone Components</t>
  </si>
  <si>
    <t>10.1303/aez.20.82</t>
  </si>
  <si>
    <t>2-s2.0-85004245704</t>
  </si>
  <si>
    <t>['¬© 1984', 'wave propagation', 'theoretical values', 'tem mode', 'rights reserved', 'experimental results', 'electrical engineers', 'close agreement']</t>
  </si>
  <si>
    <t>Antennas | Dipole antennas | Microstrip</t>
  </si>
  <si>
    <t>Assuming a quasi-TEM mode of wave propagation and using a conformal transformation technique, accurate and simple analytic expressions for the characteristic wave resistance and the effective dielectric constant of the microstrip dipole antenna in the mixed dielectric medium have been derived. The theoretical values are in close agreement with the experimental results. ¬© 1984, The Institution of Electrical Engineers. All rights reserved.</t>
  </si>
  <si>
    <t>116-118</t>
  </si>
  <si>
    <t>60014153;60014153</t>
  </si>
  <si>
    <t>6507391930;7403488898</t>
  </si>
  <si>
    <t>Sabhnani, N. H.;Rao, B. V.</t>
  </si>
  <si>
    <t>Mumbai</t>
  </si>
  <si>
    <t>Indian Institute of Technology Bombay</t>
  </si>
  <si>
    <t>Sabhnani N.</t>
  </si>
  <si>
    <t>Analysis of a microstrip dipole antenna</t>
  </si>
  <si>
    <t>10.1049/el:19840079</t>
  </si>
  <si>
    <t>2-s2.0-0021753345</t>
  </si>
  <si>
    <t>['¬© 1984', 'thereby limited', 'stub widths', 'split comb', 'sidelobe performance', 'rights reserved', 'microstrip travelling', 'large range', 'giving 12', 'element array', 'electrical engineers', 'cannot readily', 'calculated sidelobes', 'amplitude taper', 'achieved using', '5 db', '30 db', '20 db']</t>
  </si>
  <si>
    <t>Antenna arrays | Antennas</t>
  </si>
  <si>
    <t>The sidelobe performance of a microstrip travelling-wave antenna array is limited by the crosspolarised lobes produced if a comb-line is used with a large range of stub widths.1, 2 The amplitude taper which can be applied is thereby limited to ‚âÖ 6-7.5 dB, so that very low sidelobes (&lt; -30 dB) cannot readily be achieved. Here a technique is described which offers copolar sidelobe reduction without excessive crosspolarisation, with calculated sidelobes &lt; 30 dB for a 32-element array. An amplitude taper of 20 dB is achieved using a split comb-line (giving 12-15 dB taper) plus partially random weighting. ¬© 1984, The Institution of Electrical Engineers. All rights reserved.</t>
  </si>
  <si>
    <t>126-128</t>
  </si>
  <si>
    <t>7501758936;55698377500</t>
  </si>
  <si>
    <t>Wang, W. L.;Smith, M. S.</t>
  </si>
  <si>
    <t>Wang W.</t>
  </si>
  <si>
    <t>Sidelobe reduction for a microstrip travelling-wave antenna array using partially random weighting</t>
  </si>
  <si>
    <t>10.1049/el:19840085</t>
  </si>
  <si>
    <t>2-s2.0-0021753347</t>
  </si>
  <si>
    <t>['¬© 1984', 'rights reserved', 'microstrip antenna', 'ground plane', 'electrical engineers', 'centre frequency', 'approximately double', 'antenna bandwidth']</t>
  </si>
  <si>
    <t>Antennas | Microstrip antennas</t>
  </si>
  <si>
    <t>A microstrip antenna is described that produces good circular polarisation out to wide-scan angles without adjustments to the ground plane. A two-layer dielectric structure is used to realise the optimum dielectric constant and to permit the centre frequency of the antenna to be adjusted over a small frequency range of approximately double the antenna bandwidth. ¬© 1984, The Institution of Electrical Engineers. All rights reserved.</t>
  </si>
  <si>
    <t>181-182</t>
  </si>
  <si>
    <t>7005802654;56301800600</t>
  </si>
  <si>
    <t>Ness, J.;Young, R.</t>
  </si>
  <si>
    <t>Ness J.</t>
  </si>
  <si>
    <t>Two-layer circularly polarised microstrip antenna</t>
  </si>
  <si>
    <t>10.1049/el:19840121</t>
  </si>
  <si>
    <t>2-s2.0-0021373081</t>
  </si>
  <si>
    <t>['¬© 1984', 'using high', 'two types', 'rights reserved', 'resolution photolithographic', 'good agreement', 'electrical engineers', 'design predictions', 'antenna pattern']</t>
  </si>
  <si>
    <t>Antenna arrays | Waveguides</t>
  </si>
  <si>
    <t>94 GHz nonresonant shunt and series slot waveguide arrays have been fabricated by using high-resolution photolithographic and chemical etching techniques. The antenna pattern, efficiency and input reflection coefficient for the two types of arrays have been measured and are in good agreement with design predictions. ¬© 1984, The Institution of Electrical Engineers. All rights reserved.</t>
  </si>
  <si>
    <t>155-156</t>
  </si>
  <si>
    <t>Rao, B. Rama</t>
  </si>
  <si>
    <t>Blue Bell</t>
  </si>
  <si>
    <t>Unisys Corporation</t>
  </si>
  <si>
    <t>Rao B.</t>
  </si>
  <si>
    <t>94 GHz slotted waveguide array fabricated by photolithographic techniques</t>
  </si>
  <si>
    <t>10.1049/el:19840104</t>
  </si>
  <si>
    <t>2-s2.0-0021374407</t>
  </si>
  <si>
    <t>['widely used', 'transmitting antennas', 'standard versions', 'rhombic antennas', 'radio centers', 'new method', 'electrical characteristics', 'decameter band']</t>
  </si>
  <si>
    <t>Rhombic antennas (RA) are widely used in radio centers as transmitting antennas in trunk radio links in the decameter band. A new method of calculating the electrical characteristics of rhombic antennas based on rigorous initial assumptions is discussed. The results of calculations of the electrical characteristics of standard versions of rhombic antennas are given.</t>
  </si>
  <si>
    <t>80-82</t>
  </si>
  <si>
    <t>Zhurbenko, E. M.</t>
  </si>
  <si>
    <t>Zhurbenko E.</t>
  </si>
  <si>
    <t>ELECTRICAL CHARACTERISTICS OF RHOMBIC ANTENNAS.</t>
  </si>
  <si>
    <t>2-s2.0-0021384319</t>
  </si>
  <si>
    <t>['radiation capacity', 'multimode one', 'frequency feed', 'feeder waveguide']</t>
  </si>
  <si>
    <t>The radiation of waveguide slot arrays is most often analyzed assuming single-frequency feed with a single wave mode propagating along the feeder waveguide. However, in practice, an oscillator also excites the feeder at frequencies which are multiples of the operating frequency f//0 and for those frequencies the waveguide is a multimode one. In this paper we estimate the radiation capacity of a waveguide antenna slot array (ASA) at frequencies at which the feeder waveguide is a multimode one.</t>
  </si>
  <si>
    <t>83-86</t>
  </si>
  <si>
    <t>6505895357;7006461984;6603894580</t>
  </si>
  <si>
    <t>Babkin, N. I.;Polishchuk, I. M.;Shvaiko, I. G.</t>
  </si>
  <si>
    <t>Babkin N.</t>
  </si>
  <si>
    <t>RADIATION FROM SLOT ARRAYS AT HARMONICS.</t>
  </si>
  <si>
    <t>2-s2.0-0021384332</t>
  </si>
  <si>
    <t>['transverse cross', 'relative thickness', 'power splitting', 'phase shifting', 'odd modes', 'many occasions', 'l sides', 'electrolytic tank', 'distributed constants', 'dimensional ratios', 'constants analogs', 'characteristic impedances']</t>
  </si>
  <si>
    <t>There are many occasions when the use of devices with distributed constants, constructed using coupled lines, for such functions as power splitting, phase shifting, etc. , in shortwave transmitting antenna systems, is preferable to the use of their lumped-constants analogs. In this paper we present experimental curves of the characteristic impedances of the even and odd modes in two-conductor coupled lines of transverse cross-section as a function of the dimensional ratios D/b, s/b, for a ratio of the L sides of a/b equals 1 or a/b equals 0. 47, and a relative thickness t/b equals 0. 05. The measurements were carried out by the 'electrolytic tank' method.</t>
  </si>
  <si>
    <t>56-58</t>
  </si>
  <si>
    <t>Bychkov, V. V.</t>
  </si>
  <si>
    <t>Bychkov V.</t>
  </si>
  <si>
    <t>TWO-CONDUCTOR COUPLED LINES BUILT USING L-SHAPED CONDUCTORS.</t>
  </si>
  <si>
    <t>2-s2.0-0021384342</t>
  </si>
  <si>
    <t>179-184</t>
  </si>
  <si>
    <t>Surin, A. M.</t>
  </si>
  <si>
    <t>Surin A.</t>
  </si>
  <si>
    <t>Quasistatic impedance of a thin conductor in a moving isotropic collisional plasma</t>
  </si>
  <si>
    <t>10.1007/BF01035033</t>
  </si>
  <si>
    <t>2-s2.0-0021384512</t>
  </si>
  <si>
    <t>['¬© 1984', 'rights reserved', 'multipole representation', 'legendre functions', 'electrical engineers', 'direct summation']</t>
  </si>
  <si>
    <t>Antennas</t>
  </si>
  <si>
    <t>A multipole representation for the response of an arbitrary receiving antenna is derived that allows the formulation of probe-corrected spherical near-field scanning simply in terms of conventional vector spherical harmonics. Both the representation and formulation are free of rotational and translational addition theorems. A sampling theorem derived for Legendre functions is used to evaluate the resulting orthogonality integrals by direct summation in a computer time proportional to (ka)3. ¬© 1984, The Institution of Electrical Engineers. All rights reserved.</t>
  </si>
  <si>
    <t>195-196</t>
  </si>
  <si>
    <t>Yaghjian, A. D.</t>
  </si>
  <si>
    <t>Simplified approach to probe-corrected spherical near-field scanning</t>
  </si>
  <si>
    <t>10.1049/el:19840129</t>
  </si>
  <si>
    <t>2-s2.0-0021385491</t>
  </si>
  <si>
    <t>['section length', 'radiowave propagation', 'present paper', 'nonlinear crosstalk', 'noise power', 'fading statistics', 'antenna feeders']</t>
  </si>
  <si>
    <t>The purpose of the present paper is to determine the optimum section length for analog radio relay links, so that the noise power at the output of a channel is not exceeded for more than 20% of the time. We take into account the fading statistics in the 2-8 GHz frequency band, which is most favorable for radiowave propagation, as well as the fact that the losses and the nonlinear crosstalk in the antenna feeders are functions of the section length.</t>
  </si>
  <si>
    <t>34-41</t>
  </si>
  <si>
    <t>Kalinin, A. A.</t>
  </si>
  <si>
    <t>Kalinin A.</t>
  </si>
  <si>
    <t>OPTIMUM SECTION LENGTHS FOR LINE-OF-SIGHT RADIO RELAY LINKS.</t>
  </si>
  <si>
    <t>2-s2.0-0021386896</t>
  </si>
  <si>
    <t>['zero current', 'system consisting', 'single dipole', 'mutual impedances', 'conducting medium', 'comparative analysis', 'arbitrary value']</t>
  </si>
  <si>
    <t>The input and mutual impedances of a system consisting of two parallel dipoles are obtained for an arbitrary value of current at the ends of the dipoles, and of a system of two collinear dipoles for zero current at their ends. The dipoles are located in an infinite, isotropic, conducting medium. The results of the calculations can be used for a comparative analysis of the fields of an array and a single dipole in a conducting medium.</t>
  </si>
  <si>
    <t>86-87</t>
  </si>
  <si>
    <t>6701457590;6701343701</t>
  </si>
  <si>
    <t>Korchagin, Yu A.;Verkhovtseva, E. E.</t>
  </si>
  <si>
    <t>Korchagin Y.</t>
  </si>
  <si>
    <t>MUTUAL IMPEDANCE OF DIPOLES IN A CONDUCTING MEDIUM.</t>
  </si>
  <si>
    <t>2-s2.0-0021387031</t>
  </si>
  <si>
    <t>225-231</t>
  </si>
  <si>
    <t>7004594616;57220594662;7103292821;55354871700</t>
  </si>
  <si>
    <t>Veksler, N. V.;Kalinin, A. V.;Korotkov, V. S.;Turchin, V. I.</t>
  </si>
  <si>
    <t>Veksler N.V.</t>
  </si>
  <si>
    <t>Measurement of antenna beam patterns in polarization and phase and of amplitude-phase distributions by the correlation method using extraterrestrial sources of radio emission</t>
  </si>
  <si>
    <t>10.1007/BF01035042</t>
  </si>
  <si>
    <t>2-s2.0-0021387347</t>
  </si>
  <si>
    <t>['¬© 1984', 'study shows', 'rights reserved', 'mutual coupling', 'identical helixes', 'experimentally investigated', 'electrical engineers']</t>
  </si>
  <si>
    <t>Antenna radiation patterns | Antennas</t>
  </si>
  <si>
    <t>A 1.5-Œºm balanced helical antenna is numerically and experimentally investigated. It is found that the helix has a smoothly decaying current distribution to radiate a circularly polarised wave. Further study shows how the mutual coupling between a pair of identical helixes can be reduced by rotating one helix with respect to another. ¬© 1984, The Institution of Electrical Engineers. All rights reserved.</t>
  </si>
  <si>
    <t>202-204</t>
  </si>
  <si>
    <t>Nakano, H.;Asaka, N.;Yamauchi, J.</t>
  </si>
  <si>
    <t>Radiation characteristics of short helical antenna and its mutual coupling</t>
  </si>
  <si>
    <t>10.1049/el:19840134</t>
  </si>
  <si>
    <t>2-s2.0-0021389024</t>
  </si>
  <si>
    <t>['reverse directions', 'parasitic radiation', 'offset version', 'lattice mast', 'directional characteristics']</t>
  </si>
  <si>
    <t>The paper calculates radiation patterns of the mast and its parts in the offset version of a periscopic antenna system. The analysis of the directional characteristics of antenna equipment demonstrates that the dominant parasitic radiation towards stations in the forward and reverse directions is caused by the lattice mast. Recommendations for reducing the parasitic radiation are given.</t>
  </si>
  <si>
    <t>46-50</t>
  </si>
  <si>
    <t>Gusev, V. V.</t>
  </si>
  <si>
    <t>Gusev V.</t>
  </si>
  <si>
    <t>INTERFERENCE PROTECTION OF A LATTICE MAST WITH A PERISCOPIC ANTENNA (OFFSET VERSION).</t>
  </si>
  <si>
    <t>2-s2.0-0021389743</t>
  </si>
  <si>
    <t>['use throughout', 'planar antennas', 'bolometer materials', 'bismuth microbolometer']</t>
  </si>
  <si>
    <t>bolometers | far-infrared detectors | integrated detectors</t>
  </si>
  <si>
    <t>The bismuth microbolometer is a simple, easily made detector suitable for use throughout the far-infrared, which has been integrated with a variety of planar antennas. The general thermal properties of these devices and some of the constraints on bolometer materials are discussed. The fabrication and performance of several different types of microbolometers and microthermocouples are described. ¬© 1984 Plenum Publishing Corporation.</t>
  </si>
  <si>
    <t>245-278</t>
  </si>
  <si>
    <t>60031581;60031581;60031581</t>
  </si>
  <si>
    <t>7006694199;56980760600;7102803490</t>
  </si>
  <si>
    <t>Neikirk, D. P.;Lam, Wayne W.;Rutledge, D. B.</t>
  </si>
  <si>
    <t>California Institute of Technology</t>
  </si>
  <si>
    <t>Neikirk D.</t>
  </si>
  <si>
    <t>Far-infrared microbolometer detectors</t>
  </si>
  <si>
    <t>10.1007/BF01009656</t>
  </si>
  <si>
    <t>2-s2.0-0021390306</t>
  </si>
  <si>
    <t>['system performance', 'planetary sources', 'new interstellar', 'made possible', 'detailed description', 'continued improvements', 'co j', 'antenna coupling', '691 ghz', '434 œºm', '4000 k']</t>
  </si>
  <si>
    <t>heterodyne radiometry | laser local oscillator | quasi-optics | Schottky diode mixer | submillimeter astronomy</t>
  </si>
  <si>
    <t>Observations of the CO J=6‚Üí5 transition at 691 GHz (434 Œºm) in new interstellar and planetary sources have been made. The heterodyne receiver uses an optically pumped laser local oscillator and a quasi-optical Schottky diode mixer, with measured noise temperatures consistently under 4000 K (double sideband). Continued improvements in system performance and antenna coupling have made possible the mapping of 434 Œºm emission from W3, and the detection of CO J=5‚Üí6 absorption in the atmosphere of Venus. A detailed description of the instrumentation and recent observational data are provided. ¬© 1984 Plenum Publishing Corporation.</t>
  </si>
  <si>
    <t>329-340</t>
  </si>
  <si>
    <t>60022195;60022195;60006337;60006337;60006337</t>
  </si>
  <si>
    <t>7102375011;7006388096;7003799353;7102677087;6701725007</t>
  </si>
  <si>
    <t>Peck, D. D.;Fetterman, H. R.;Buhl, D.;Chin, G.;Petuchowski, S.</t>
  </si>
  <si>
    <t>Cambridge;Greenbelt</t>
  </si>
  <si>
    <t>Massachusetts Institute of Technology;NASA Goddard Space Flight Center</t>
  </si>
  <si>
    <t>60022195;60006337</t>
  </si>
  <si>
    <t>Peck D.</t>
  </si>
  <si>
    <t>Molecular astronomy using heterodyne detection at 691 GHz</t>
  </si>
  <si>
    <t>10.1007/BF01009661</t>
  </si>
  <si>
    <t>2-s2.0-0021392711</t>
  </si>
  <si>
    <t>Biotelemetry | Microwaves | Monitoring | Transponder</t>
  </si>
  <si>
    <t>187-189</t>
  </si>
  <si>
    <t>Medical &amp; Biological Engineering &amp; Computing</t>
  </si>
  <si>
    <t>60016218;60016218;60016218</t>
  </si>
  <si>
    <t>7101618795;56614382200;55307289000</t>
  </si>
  <si>
    <t>Austin, B. A.;Glajchen, D. M.;Hirson, D.</t>
  </si>
  <si>
    <t>Johannesburg</t>
  </si>
  <si>
    <t>University of the Witwatersrand, Johannesburg</t>
  </si>
  <si>
    <t>Austin B.A.</t>
  </si>
  <si>
    <t>Feasibility of in vivo temperature monitoring using a passive microwave transponder</t>
  </si>
  <si>
    <t>10.1007/BF02446825</t>
  </si>
  <si>
    <t>2-s2.0-0021403682</t>
  </si>
  <si>
    <t>['unidentified matter', 'slender setae', 'sensory function', 'penaeus monodon', 'numerous tufts', 'mouth parts', 'like setae', 'junk publishers', 'inner edges', 'gustatory function', 'food selection', 'feeding behaviour', 'carry long', 'algal material', 'adults feed']</t>
  </si>
  <si>
    <t>chemoreception | food | food selection | Penaeus | Sudan</t>
  </si>
  <si>
    <t>A study of food and food selection of Penaeus monodon (Fabricius) on the Sudanese Red Sea coast was carried out. Juveniles feed mainly on algal material. Adults feed on crustacea, annelids, algae, mud and unidentified matter. Adults were opportunistic in their feeding behaviour, but their preference was towards animal protein. Antennae, mouth parts and fore-chelipeds were found to carry long, slender setae which are probably of sensory function. Some setae on the carpus of the endopodite were serrated and seem to be used in grooming. Numerous tufts of setae in the chela of the fore periopods may hold a gustatory function. The inner edges of the chela are lined with a row of peg-like setae, which are probably another site of reception. ¬© 1984 Dr.W. Junk Publishers.</t>
  </si>
  <si>
    <t>213-217</t>
  </si>
  <si>
    <t>El Hag, E. A.</t>
  </si>
  <si>
    <t>Sudan</t>
  </si>
  <si>
    <t>Khartoum</t>
  </si>
  <si>
    <t>Khartoum University</t>
  </si>
  <si>
    <t>El Hag E.</t>
  </si>
  <si>
    <t>Food and food selection of the Penaeid prawn Penaeus monodon (Fabricius)</t>
  </si>
  <si>
    <t>10.1007/BF00025792</t>
  </si>
  <si>
    <t>2-s2.0-0021554413</t>
  </si>
  <si>
    <t>['triton x', 'thereby leading', 'specific assays', 'sialylated bi', 'ricr21 cells', 'hybrid structures', 'golgi compartment', 'glycans found', 'glycan synthesis', 'decreased n', 'complex n', '34 ).', '100 extracts']</t>
  </si>
  <si>
    <t>hybrid oligosaccharides | lectin | N-acetylglucosaminyltransferase | ricin-resistant mutants</t>
  </si>
  <si>
    <t>The ricin-resistant mutant baby hamster kidney (BHK) cell line RICR21 is unable to make the sialylated bi- or triantennary complex N-glycans found in wild type cells and accumulates instead non-bisected hybrid structures containing three Man residues and one or two sialylated antennae (Hughes et al 1983, Carbohydr Res 120215-34). Specific assays for N-acetylglucosaminyltransferases I, II, III and IV were applied to Triton X-100 extracts of wild type BHK, RICR14 and RICR21 cells. It was shown that RICR21 cell extracts had a decreased N-acetylglucosaminyltransferase II specific activity (17 to 27% of wild type values). It is suggested that in wild type cells N-acetylglucosaminyltransferase II action proceeds quickly, leading to complex N-glycan synthesis, while in RICR21 cells potential substrates for N-acetylglucosaminyltransferase II move into the trans-Golgi compartment before the transferase can act, thereby leading to hybrid structures. ¬© 1984 Glycoconjugate Journal.</t>
  </si>
  <si>
    <t>Glycoconjugate Journal</t>
  </si>
  <si>
    <t>60030319;60030319;60023477;60030319</t>
  </si>
  <si>
    <t>7103035768;7403049955;7404305073;7005997960</t>
  </si>
  <si>
    <t>Narasimhan, Saroja;Allen, Stephen;Hughes, R. Colin;Schachter, Harry</t>
  </si>
  <si>
    <t>Canada;United Kingdom</t>
  </si>
  <si>
    <t>Toronto;London</t>
  </si>
  <si>
    <t>Hospital for Sick Children University of Toronto;MRC National Institute for Medical Research</t>
  </si>
  <si>
    <t>60030319;60023477</t>
  </si>
  <si>
    <t>Narasimhan S.</t>
  </si>
  <si>
    <t>Decreased UDP-GlcNAc:Glycopeptide Œ≤-2-N-Acetylglucosaminyltransferase II activity in a ricin-resistant mutant of baby hamster kidney (BHK) cells</t>
  </si>
  <si>
    <t>10.1007/BF01875412</t>
  </si>
  <si>
    <t>2-s2.0-0021721597</t>
  </si>
  <si>
    <t>['v r', 'several hz', 'resonant antenna', 'relative contributions', 'fast pulsars', 'detection system', 'brownian noise', 'band width', '2300 kg', '107 measuring', '1 k']</t>
  </si>
  <si>
    <t>Experimental tests of general relativity and observations of gravitational radiation | Instrumentation and techniques for geophysical research</t>
  </si>
  <si>
    <t>The response of a resonant antenna to monochromatic gravitational waves of the type that can be expected from fast pulsars is studied. It is shown that the band width of the detection system is not limited by the mechanical band width (v R/Q) of the bar but depends on the relative contributions of the Brownian noise and of the electronic amplifier noise; a band width of several Hz can thus be obtained. A resonant antenna at a temperature T=0.1 K, mass M=2300 kg, merit factor Q=107 measuring over a time t=1 month allows us to detect monochromatic gravitational waves with h‚àº10-26. ¬© 1984 Societ√° Italiana di Fisica.</t>
  </si>
  <si>
    <t>155-168</t>
  </si>
  <si>
    <t>60032350-60016340-60082962;60032350-60016340-60082962</t>
  </si>
  <si>
    <t>7004243218;7003386560</t>
  </si>
  <si>
    <t>Pallottino, G. V.;Pizzella, G.</t>
  </si>
  <si>
    <t>Rome;Rome;Frascati</t>
  </si>
  <si>
    <t>Istituto di Fisica dello Spazio Interplanetario, Rome;Sapienza Universit√† di Roma;INFN, Laboratori Nazionali Di Frascati</t>
  </si>
  <si>
    <t>60082962;60032350;60016340</t>
  </si>
  <si>
    <t>Pallottino G.</t>
  </si>
  <si>
    <t>Sensitivity of a weber-type resonant antenna to monochromatic gravitational waves</t>
  </si>
  <si>
    <t>10.1007/BF02667715</t>
  </si>
  <si>
    <t>2-s2.0-51249185905</t>
  </si>
  <si>
    <t>University of Calgary</t>
  </si>
  <si>
    <t>U of C</t>
  </si>
  <si>
    <t>['¬© 1984', 'physical model', 'paper techniques', 'necessarily identical', 'modulating functions', 'modulating function', 'modes excited', 'linear structures', 'freedom systems', 'exponential envelope', 'excitations applied', 'excitation realizations', 'examined quantivatively', 'different locations', 'dependent variance', 'definite influence', 'coupling terms', 'best fit', 'base excitation']</t>
  </si>
  <si>
    <t>In this paper techniques for the analysis of non-stationary random responses of linear structures, discretized by the finite element method so that they can be analyzed as multi-degree of freedom systems, subjected to non-stationary random excitation are developed. The non-stationary random excitation is represented as a product of (a) an exponentially decaying function and a white noise process, and (b) a modulating function in the form of an exponential envelope and a white noise process. Closed form expressions for the time-dependent variance and covariance of response of structures are presented. Application of these expressions is made for the analysis of non-stationary random responses of a physical model of a class of mast antenna structures subjected to base excitation. It is concluded that (a) the coupling terms do have a definite influence on the response; the magnitude of the influence is proportional to the amount of damping in the structure and proximity of the modes excited; (b) the non-stationary random excitations considered are general in that the modulating functions are not necessarily identical, and therefore the influence of various modulating functions of the excitations applied to different locations of the structure on responses can be examined quantivatively; and (c) for a given damping parameter the magnitudes of the modulating function parameters cannot be chosen arbitrarily though the shapes of normalized modulating functions can be selected to best fit the excitation realizations. ¬© 1984.</t>
  </si>
  <si>
    <t>135-156</t>
  </si>
  <si>
    <t>0022460X</t>
  </si>
  <si>
    <t>Journal of Sound and Vibration</t>
  </si>
  <si>
    <t>To, C. W.S.</t>
  </si>
  <si>
    <t>Calgary</t>
  </si>
  <si>
    <t>To C.</t>
  </si>
  <si>
    <t>Time-dependent variance and covariance of responses of structures to non-stationary random excitations</t>
  </si>
  <si>
    <t>0022460X84903559</t>
  </si>
  <si>
    <t>10.1016/0022-460X(84)90355-9</t>
  </si>
  <si>
    <t>2-s2.0-0021757555</t>
  </si>
  <si>
    <t>['¬© 1984', 'visible regions', 'two chlorophyll', 'spinach thylakoids', 'protein complex', 'optical activities', 'named lhcpib', 'lhcpia shows', 'fluorescence maximum', 'depleted ps', 'denser fraction', 'containing complexes', 'circular dichroism', 'b ratio', 'b complexes', 'absorption spectra', '77 k', '730 nm', '680 nm', '340 nm', '22 kda']</t>
  </si>
  <si>
    <t>Chlorophyll b | Circular dichroism | Low-temperature fluorescence | Photosystem I | Pigment protein</t>
  </si>
  <si>
    <t>The chlorophyll a/b-protein complex (LHCPI) associated with Photosystem I (PS I) has been isolated from spinach thylakoids and further fractionated into two chlorophyll-containing complexes by sucrose gradient centrifugation. The lighter fraction contains two polypeptides with relative molecular masses of 23 and 22 kDa and has been designated as LHCPIa. The denser fraction is enriched in a 20 kDa polypeptide and has been named LHCPIb. Both fractions have a chlorophyll a/b ratio of 3.5 ¬± 0.5. The absorption spectra and 77 K fluorescence emission spectra of the fractions show distinct characteristics with LHCPIb having a fluorescence maximum at 730 nm at 77 K while LHCPIa shows a maximum at 680 nm. The optical activities of the chlorophyll a/b complexes and the antenna-depleted PS I have been examined by circular dichroism (CD) in the near-UV and visible regions of the spectrum. All the LHCPI complexes show strong CD signals at 648, 485 and 340 nm which are absent in the antenna-depleted PS I complex. ¬© 1984.</t>
  </si>
  <si>
    <t>60025038;60025038;60025038</t>
  </si>
  <si>
    <t>55740347900;7005702921;7102455882</t>
  </si>
  <si>
    <t>Lam, Eric;Ortiz, William;Malkin, Richard</t>
  </si>
  <si>
    <t>Lam E.</t>
  </si>
  <si>
    <t>Chlorophyll a/b proteins of Photosystem I</t>
  </si>
  <si>
    <t>10.1016/0014-5793(84)80197-0</t>
  </si>
  <si>
    <t>2-s2.0-0002608226</t>
  </si>
  <si>
    <t>['¬© 1984', 'third resonance', 'theoretical results', 'theoretical model', 'several arrays', 'rights reserved', 'radiation admittance', 'largest bandwidth', 'high gain', 'good agreement', 'flat dipole', 'experiments realised', 'electrical engineers']</t>
  </si>
  <si>
    <t>Antennas | Dipoles</t>
  </si>
  <si>
    <t>A theoretical model, equivalent to several lossy transmission lines acting at quasi TEM mode, is given to explain the bandwidth and the radiation admittance of the flat symmetrical folded dipole. We deduced that the flat dipole is acting at its third resonance with the largest bandwidth. Theoretical results are in good agreement with experiments realised on a model already used in several arrays of high gain or low sidelobe level. ¬© 1984, The Institution of Electrical Engineers. All rights reserved.</t>
  </si>
  <si>
    <t>252-253</t>
  </si>
  <si>
    <t>60030553;60030553;60104081</t>
  </si>
  <si>
    <t>7006052449;6506331252;6507448733</t>
  </si>
  <si>
    <t>Dubost, G.;Beauquet, G.;Vinatier, C.</t>
  </si>
  <si>
    <t>Issy-les-Moulineaux;Rennes</t>
  </si>
  <si>
    <t>Orange Labs;Universite de Rennes 1</t>
  </si>
  <si>
    <t>60104081;60030553</t>
  </si>
  <si>
    <t>Dubost G.</t>
  </si>
  <si>
    <t>Theoretical radiation admittance of a large bandwidth flat symmetrical folded dipole</t>
  </si>
  <si>
    <t>10.1049/el:19840169</t>
  </si>
  <si>
    <t>2-s2.0-0021393256</t>
  </si>
  <si>
    <t>['submillimeter wavelengths', 'submillimeter wavelength', 'corner cube', 'antenna patterns', '45 ¬∞']</t>
  </si>
  <si>
    <t>antenna characteristic | corner reflector antenna | open structure mixer | submillimeter heterodyne receiver</t>
  </si>
  <si>
    <t>To verify the enhancement in sensitivity of a Schottky barrier diode using a 90¬∞ corner reflector at submillimeter wavelength a 65:1 scaled model of the open structure mixer was constructed and investigated at 2.8 cm wavelength. The results show clearly the advantage of a 90¬∞ corner reflector, the reality of the deviations for 45¬∞ and 60¬∞ corner reflectors found for submillimeter wavelengths, and the equality of the antenna patterns for a 90¬∞ corner reflector and a "cat-eye" (corner cube) reflector. ¬© 1984 Plenum Publishing Corporation.</t>
  </si>
  <si>
    <t>451-463</t>
  </si>
  <si>
    <t>60001754;60001754;60001754</t>
  </si>
  <si>
    <t>7005332875;7201361703;6602118486</t>
  </si>
  <si>
    <t>Sauter, E.;Schultz, G. V.;Wohlleben, R.</t>
  </si>
  <si>
    <t>Bonn</t>
  </si>
  <si>
    <t>Max Planck Institute for Radio Astronomy</t>
  </si>
  <si>
    <t>Sauter E.</t>
  </si>
  <si>
    <t>Antenna patterns of an open structure mixer at a submillimeter wavelength and of its scaled model</t>
  </si>
  <si>
    <t>10.1007/BF01010144</t>
  </si>
  <si>
    <t>2-s2.0-0021405783</t>
  </si>
  <si>
    <t>['¬© 1984', 'unusual shape', 'uniform corona', 'trailing edge', 'time profiles', 'source region', 'rotates together', 'rise time', 'repeated reflection', 'preceding short', 'multiple echoes', 'maximum values', 'main pulse', 'lived bursts', 'like burst', 'initial narrow', 'incident radiation', 'frequency harmonic', 'fine structures', 'final stage', 'exceed 0', 'echo tail', 'echo maximum', 'double events', 'band burst', 'also showing', 'active region', 'abrupt decay', '2 antenna']</t>
  </si>
  <si>
    <t>Echo-type solar radio bursts are associated with preceding short-lived bursts in double events. The peculiar and rather rare decameter echoes are observed with a UTR-2 antenna. The initial narrow-band burst is followed, some 5 to 10 s later, by an echo-like burst at the same frequency. The observational data obtained for decameter echo evens are, on the whole, consistent with the model of a pulsed source emitting radio signals at the plasma-frequency harmonic, which is placed in a non-uniform corona and rotates together with the Sun. Intensity-time profiles of 25 MHz echo bursts are of an unusual shape, featuring an extended leading edge and an abrupt decay at the trailing edge and also showing some fine structures in the form of an additional, weakly pronounced maximum or a 'step' at the final stage of the burst. Time parameters characterizing the profiles are evaluated. The 'step' is delayed with respect to the main pulse at about two times longer than the principal echo maximum. At the same time, the time delays depend essentially on the heliolongitude of the active region and achieve their maximum values at the meridian. The 'step' height does not exceed 0.5 of the echo maximum. At this level, the echo-decay time almost coincides with the initial burst duration but is about 1.7 times less than the echo-rise time. The feature at the echo tail can be interpreted as a result of a repeated reflection of the burst from the source region. The causes and conditions for the formation of multiple echoes are discussed. The extended leading edge of the echo permits us to assume a quasi-radial fibrous structure of the corona, capable of back-scattering the incident radiation. ¬© 1984 D. Reidel Publishing Company.</t>
  </si>
  <si>
    <t>383-398</t>
  </si>
  <si>
    <t>1573093X</t>
  </si>
  <si>
    <t>Solar Physics</t>
  </si>
  <si>
    <t>60068535;60068535;60011774;60008673;60008673</t>
  </si>
  <si>
    <t>6602712774;6506613157;7202078489;7004426162;6507347221</t>
  </si>
  <si>
    <t>Abranin, E. P.;Bazelyan, L. L.;Zaitsev, V. V.;Rapoport, V. O.;Tsybko, Ya G.</t>
  </si>
  <si>
    <t>Ukraine;Russian Federation;Russian Federation</t>
  </si>
  <si>
    <t>Kharkiv;Nizhny Novgorod;Nizhny Novgorod</t>
  </si>
  <si>
    <t>O. Ya. Usikov Institute for Radiophysics and Electronics of the National Academy of Sciences of Ukraine;Institute of Applied Physics of the Russian Academy of Sciences;Lobachevsky State University of Nizhni Novgorod</t>
  </si>
  <si>
    <t>60068535;60011774;60008673</t>
  </si>
  <si>
    <t>Abranin E.P.</t>
  </si>
  <si>
    <t>Multiple radio echoes in the solar corona</t>
  </si>
  <si>
    <t>10.1007/BF00146307</t>
  </si>
  <si>
    <t>2-s2.0-34250134534</t>
  </si>
  <si>
    <t>['radiation pattern', 'proposal includes', 'order mentioned', 'modern communications', 'beam networks', 'adaptive techniques', 'adaptive multi', 'adaptive arrays']</t>
  </si>
  <si>
    <t>The multi-beam antenna systems have become increasingly important in modern communications. In this paper, the author proposes according to the properties of array radiation space the use of the LMS' adaptive techniques in multi-beam antenna systems. This proposal includes the radiation pattern of three-dimensional adaptive arrays, the evolution of the radiation pattern of adaptive arrays, the signal-to-interference plus noise ratio of the array system output, and the structure of the adaptive multi-beam networks. These will be discussed in the order mentioned. ¬© 1984 Science Press.</t>
  </si>
  <si>
    <t>65-74</t>
  </si>
  <si>
    <t>Zhenwei, Liu</t>
  </si>
  <si>
    <t>Beijing</t>
  </si>
  <si>
    <t>China Academy of Space Technology</t>
  </si>
  <si>
    <t>Zhenwei L.</t>
  </si>
  <si>
    <t>Three-dimensional multi-beam adaptive arrays</t>
  </si>
  <si>
    <t>10.1007/BF02822839</t>
  </si>
  <si>
    <t>2-s2.0-51649160757</t>
  </si>
  <si>
    <t>['radiation performances', 'radiation patterns', 'phase loss', 'peak values', 'large number', 'engineering use', 'beam waveguide']</t>
  </si>
  <si>
    <t>Equations for calculation of the radiation performances of modified high efficiency dual reflector antenna fed by beam waveguide are derived. Using them, one can predict the performance of the antenna, such as the radiation patterns, the peak values of copolarization and depolarization, the factor of half power beamwidth, the phase loss and so on. These equations have been modified to meet the requirements of general engineering computation. A large number of calculations for general engineering use has been made, and the conclusion is that they are convenient, for engineering use. ¬© 1984 Science Press.</t>
  </si>
  <si>
    <t>106239671;106239671</t>
  </si>
  <si>
    <t>6505632598;6504767863</t>
  </si>
  <si>
    <t>Rirong, Zhang;Hanli, Wang</t>
  </si>
  <si>
    <t>Shijiazhuang Communications Laboratories</t>
  </si>
  <si>
    <t>Rirong Z.</t>
  </si>
  <si>
    <t>Radiation performance of high efficiency dual reflector antenna fed by beam waveguide</t>
  </si>
  <si>
    <t>10.1007/BF02822840</t>
  </si>
  <si>
    <t>2-s2.0-51649166208</t>
  </si>
  <si>
    <t>['¬© 1984', 'rights reserved', 'pseudosampling technique', 'procedure retains', 'multifeed illuminations', 'method improves', 'electrical engineers', 'dichroic surfaces', 'computer time', 'complex geometries', 'available technique', 'arbitrary surface']</t>
  </si>
  <si>
    <t>Antennas | Fresnel field | Subreflector analysis</t>
  </si>
  <si>
    <t>An iterative procedure based on pseudosampling is presented for the analysis of subreflector Fresnel fields on an arbitrary surface. The method improves the efficiency of the subreflector PO analysis which, today, is the only available technique for dichroic surfaces. The procedure retains all the advantages of the pseudosampling technique with respect to the computer time, mainly for multifeed illuminations and complex geometries. ¬© 1984, The Institution of Electrical Engineers. All rights reserved.</t>
  </si>
  <si>
    <t>332-334</t>
  </si>
  <si>
    <t>60021199;60017293;60017293</t>
  </si>
  <si>
    <t>7103082097;56963446400;57193642949</t>
  </si>
  <si>
    <t>D'elia, G.;Leone, G.;Pierri, R.</t>
  </si>
  <si>
    <t>D'elia G.</t>
  </si>
  <si>
    <t>Analysis of Fresnel field of a subreflector by an optimal use of FFT</t>
  </si>
  <si>
    <t>10.1049/el:19840225</t>
  </si>
  <si>
    <t>2-s2.0-0021406813</t>
  </si>
  <si>
    <t>['¬© 1984', 'storage requirements', 'rights reserved', 'pseudosampling representations', 'matrix inversion', 'fresnel small', 'field reconstruction', 'electrical engineers', 'angle approximation']</t>
  </si>
  <si>
    <t>Antennas | Near-field/far-field</t>
  </si>
  <si>
    <t>The letter is concerned with the near-field/far-field transformation based on the pseudosampling representations of fields. In the Fresnel small-angle approximation the present procedure allows the far-field reconstruction from near-field samples without requiring a matrix inversion. The approach drastically reduces the storage requirements of the method. ¬© 1984, The Institution of Electrical Engineers. All rights reserved.</t>
  </si>
  <si>
    <t>342-343</t>
  </si>
  <si>
    <t>60021199;60017293;60017293;60017293</t>
  </si>
  <si>
    <t>7103082097;56963446400;57193642949;7003330705</t>
  </si>
  <si>
    <t>D'elia, G.;Leone, G.;Pierri, R.;Schirinzi, G.</t>
  </si>
  <si>
    <t>New method of far-field reconstruction from Fresnel field</t>
  </si>
  <si>
    <t>10.1049/el:19840232</t>
  </si>
  <si>
    <t>2-s2.0-0021408180</t>
  </si>
  <si>
    <t>['¬© 1984', 'transmitted without', 'rights reserved', 'oddsymmetry field', 'elementary aperture', 'electrical engineers', 'described qualitatively', 'antenna theory']</t>
  </si>
  <si>
    <t>Integrated optics | y-junctions</t>
  </si>
  <si>
    <t>The behaviour of an optical y-junction can be described qualitatively in terms of elementary aperture-antenna theory. It is then straightforward to understand why an oddsymmetry field is radiated into the substrate and an even symmetry field cannot be transmitted without any loss. ¬© 1984, The Institution of Electrical Engineers. All rights reserved.</t>
  </si>
  <si>
    <t>349-350</t>
  </si>
  <si>
    <t>Someda, C. G.</t>
  </si>
  <si>
    <t>Padua</t>
  </si>
  <si>
    <t>Universit√† degli Studi di Padova</t>
  </si>
  <si>
    <t>Someda C.</t>
  </si>
  <si>
    <t>Simple way to understand the behaviour of an optical y junction</t>
  </si>
  <si>
    <t>10.1049/el:19840237</t>
  </si>
  <si>
    <t>2-s2.0-0021412020</t>
  </si>
  <si>
    <t>['¬© 1984', 'rights reserved', 'pyramidal horns', 'experimental results', 'electrical engineers', 'beam patterns', '460 ghz']</t>
  </si>
  <si>
    <t>Antennas | Horns</t>
  </si>
  <si>
    <t>Calculations and measurements of the beam patterns of pyramidal horns at 460 GHz are given. The calculated patterns show excellent agreement with experimental results. ¬© 1984, The Institution of Electrical Engineers. All rights reserved.</t>
  </si>
  <si>
    <t>Ediss, G. A.</t>
  </si>
  <si>
    <t>Ediss G.</t>
  </si>
  <si>
    <t>Pyramidal horns at 460 GHz</t>
  </si>
  <si>
    <t>10.1049/el:19840234</t>
  </si>
  <si>
    <t>2-s2.0-0021412182</t>
  </si>
  <si>
    <t>['¬© 1984', 'thin dipoles', 'thicker ones', 'rights reserved', 'reference 1', 'order theory', 'middleton second', 'electrical engineers', 'edge capacitance']</t>
  </si>
  <si>
    <t>Antennas | Cylindrical antennas | Gap problem | King-Middleton second-order theory</t>
  </si>
  <si>
    <t>The ‚Äògap problem‚Äô associated with the King-Middleton second-order theory has been solved by King et al. The empirically determined susceptance values of the knife-edge capacitance as given in Reference 1 were found to be reliable for thin dipoles, but not for thicker ones. The cause of this imperfection is determined and a table of the corrected values included in this letter. ¬© 1984, The Institution of Electrical Engineers. All rights reserved.</t>
  </si>
  <si>
    <t>340-342</t>
  </si>
  <si>
    <t>Lau, K. H.</t>
  </si>
  <si>
    <t>Lau K.</t>
  </si>
  <si>
    <t>Gap problem in king-middleton second-order theory for dipole admittance calculations</t>
  </si>
  <si>
    <t>10.1049/el:19840231</t>
  </si>
  <si>
    <t>2-s2.0-0021412439</t>
  </si>
  <si>
    <t>['¬© 1984', 'yig slab', 'saturation magnetisation', 'rights reserved', 'pass bandwidths', 'pass bandwidth', 'operation frequency', 'frequency range', 'filter vary', 'electrical engineers', '8 ghz', '55 mhz', '1100 gs']</t>
  </si>
  <si>
    <t>Magnetic devices | Magnetostatic waves</t>
  </si>
  <si>
    <t>The characteristics of a magnetically tunable wideband filter utilising the property of a pass bandwidth of magnetostatic surface waves (MSSW) are given. The pass bandwidths of MSSW obtained experimentally through the Ga-YIG slab having the saturation magnetisation, 1100 Gs and the ordinary transducers consisting of wire antenna vary from 230 to 55 MHz for the operation frequency, 1 to 8 GHz, corresponding to the external static magnetic field. These results could fully be explained by the theory. Loaded Q values of this filter vary from 20 to 270 at the same frequency range as above. ¬© 1984, The Institution of Electrical Engineers. All rights reserved.</t>
  </si>
  <si>
    <t>357-358</t>
  </si>
  <si>
    <t>Chang, N. S.</t>
  </si>
  <si>
    <t>Neyagawa</t>
  </si>
  <si>
    <t>Osaka Electro-Communication University</t>
  </si>
  <si>
    <t>Chang N.</t>
  </si>
  <si>
    <t>Magnetically tunable wideband magnetostatic-surface-wave filter using Ga-YIG film</t>
  </si>
  <si>
    <t>10.1049/el:19840244</t>
  </si>
  <si>
    <t>2-s2.0-0021407660</t>
  </si>
  <si>
    <t>['wall pores', 'thin dendrites', 'smallest distances', 'sinuous course', 'sensilla trichodea', 'run straight', 'rather follow', 'probable range', 'pore tubules', 'outer dimensions', 'hair walls', 'hair tip', 'frequently two', 'following parameters', 'dendritic membranes', 'dendrite diameter', 'decreases towards', 'basal region']</t>
  </si>
  <si>
    <t>Olfactory trichoid hairs on the antennae of male Antheraea silkmoths were reconstructed with respect to the following parameters: number, shape, course, and dimensions of outer dendritic segments as well as the numbers of their microtubules; inner and outer dimensions of the cuticular hair shafts; and number and distribution of pores and pore tubules in the hair walls. The smallest distances between dendritic membranes and inner hair surfaces were determined with respect to the possibility of pore tubule contacts. It was shown that most hairs contain one thick and one, or frequently two, thin dendrites. The number of microtubules in the dendrites is correlated with dendrite diameter, which decreases towards the hair tip. The dendrites form numerous swellings and constrictions: this "beading" occurs especially along the thin dendrites. The dendrites do not run straight, but rather follow a sinuous course in the hairs. The density of wall pores is lowest in the basal region of the hairs. Only in relatively few places do the dendritic membranes get near enough the hair walls to come into the probable range of the pore tubules. In the sensilla trichodea of A. polyphemus, the hairs as well as the dendrites have markedly smaller diameters than in A. pernyi. ¬© 1984 Springer-Verlag.</t>
  </si>
  <si>
    <t>147-156</t>
  </si>
  <si>
    <t>1432234X</t>
  </si>
  <si>
    <t>0720213X</t>
  </si>
  <si>
    <t>Zoomorphology</t>
  </si>
  <si>
    <t>Keil, T. A.</t>
  </si>
  <si>
    <t>Keil T.</t>
  </si>
  <si>
    <t>Reconstruction and morphometry of silkmoth olfactory hairs: A comparative study of sensilla trichodea on the antennae of male Antheraea polyphemus and Antheraea pernyi (Insecta, Lepidoptera)</t>
  </si>
  <si>
    <t>10.1007/BF00312133</t>
  </si>
  <si>
    <t>2-s2.0-0000074133</t>
  </si>
  <si>
    <t>['tandem running', 'tandem pair', 'pygidial gland', 'pheromone produced', 'pachycondyla obscuricornis', 'occur prior', 'grooming behaviors', 'gland cells', 'gland appears', 'following ant', 'communicative bond', 'close contact', 'chemically mediated', 'chemical signal', '7th tergites']</t>
  </si>
  <si>
    <t>chemical communication | Formicidae | Hymenoptera | nest emigration behavior | Pachycondyla obscuricornis | pygidial gland | tandem running</t>
  </si>
  <si>
    <t>Communication during tandem running in Pachycondyla obscuricornis is chemically mediated by a pheromone produced in the pygidial gland, which is composed of a cluster of gland cells and an associated reservoir located beween the 6th and 7th tergites of the gaster. The secretion of the gland appears to be transferred to the hindlegs of a tandem pair leader by a series of self-grooming behaviors that occur prior to the formation of a tandem pair. During tandem running, the antennae of the following ant are kept in close contact with the leader's hindlegs and therefore with the chemical signal that provides a communicative bond between individuals. ¬© 1984 Plenum Publishing Corporation.</t>
  </si>
  <si>
    <t>783-794</t>
  </si>
  <si>
    <t>Journal of Chemical Ecology</t>
  </si>
  <si>
    <t>60019674;60009982</t>
  </si>
  <si>
    <t>7003795745;7005715910</t>
  </si>
  <si>
    <t>Traniello, James F.A.;H√∂lldobler, Bert</t>
  </si>
  <si>
    <t>Boston;Cambridge</t>
  </si>
  <si>
    <t>Boston University;Harvard University</t>
  </si>
  <si>
    <t>Traniello J.</t>
  </si>
  <si>
    <t>Chemical communication during tandem running in Pachycondyla obscuricornis (Hymenoptera: Formicidae)</t>
  </si>
  <si>
    <t>10.1007/BF00988543</t>
  </si>
  <si>
    <t>2-s2.0-0010045013</t>
  </si>
  <si>
    <t>['noise characteristics']</t>
  </si>
  <si>
    <t>The noise characteristics of active antennas using feedback to increase the system dynamic range are discussed.</t>
  </si>
  <si>
    <t>125-126</t>
  </si>
  <si>
    <t>6602078947;6603335482</t>
  </si>
  <si>
    <t>Kontorovich, M. I.;Lyapunova, N. M.</t>
  </si>
  <si>
    <t>Kontorovich M.</t>
  </si>
  <si>
    <t>EFFECTIVENESS OF INTEGRATED ACTIVE ANTENNAS.</t>
  </si>
  <si>
    <t>2-s2.0-0021420484</t>
  </si>
  <si>
    <t>['widely employed', 'wave impedance', 'spin waves', 'piezoelectric material', 'ferromagnetic materials', 'excited quasi']</t>
  </si>
  <si>
    <t>Linear electric dipoles are widely employed in microwave integrated circuits as the exciters of quasi-static slow waves, such as surface acoustic waves in piezoelectric material, spin waves in ferromagnetic materials, and space charge waves in semiconductors. In order to match these exciters with external waveguide structures, one must know the wave impedance of the dipole. Using an electrodynamic analysis simple relations are derived for calculating the wave impedance of a plane, linear electric dipole employed in microwave integrated circuits to excited quasi-static slow waves.</t>
  </si>
  <si>
    <t>127-128</t>
  </si>
  <si>
    <t>56036209000;6505449695</t>
  </si>
  <si>
    <t>Barybin, A. A.;Firyago, Ye V.</t>
  </si>
  <si>
    <t>Barybin A.</t>
  </si>
  <si>
    <t>WAVE IMPEDANCE OF A PLANE LINEAR DIPOLE.</t>
  </si>
  <si>
    <t>2-s2.0-0021420632</t>
  </si>
  <si>
    <t>363-368</t>
  </si>
  <si>
    <t>6604073550;6602441748;7402290021;7202005701;6603283232;6507091143;7004253208</t>
  </si>
  <si>
    <t>Aslanyan, A. M.;Gulyan, A. G.;Kozlov, A. N.;Tarasov, V. B.;Martirosyan, R. M.;Grishmanovskii, V. A.;Sergeev, B. G.</t>
  </si>
  <si>
    <t>Aslanyan A.</t>
  </si>
  <si>
    <t>Measurements of the main parameters of the RT-70 antenna</t>
  </si>
  <si>
    <t>10.1007/BF01044780</t>
  </si>
  <si>
    <t>2-s2.0-0021423572</t>
  </si>
  <si>
    <t>419-429</t>
  </si>
  <si>
    <t>7003720048;7003714089</t>
  </si>
  <si>
    <t>Kaplun, V. A.;Kulish, V. G.</t>
  </si>
  <si>
    <t>Kaplun V.</t>
  </si>
  <si>
    <t>Diffraction of electromagnetic waves by array of cylindrical semiconductor rods embedded in plane dielectric layer</t>
  </si>
  <si>
    <t>10.1007/BF01044789</t>
  </si>
  <si>
    <t>2-s2.0-0021423885</t>
  </si>
  <si>
    <t>['time properties', 'noise immunity', 'interference field', 'existing algorithms', 'decision rule', 'comparative analysis', 'antenna aperture']</t>
  </si>
  <si>
    <t>The problem of detecting a signal against a background of spatially dispersed interference and uncorrelated Gaussian noise is solved. To obtain maximum detection efficiency in synthesizing a decision rule, use is made of the space-time properties of the signal-interference field in the antenna aperture. A comparative analysis of the noise immunity of the proposed and existing algorithms is given.</t>
  </si>
  <si>
    <t>85-87</t>
  </si>
  <si>
    <t>7004174037;57218938126</t>
  </si>
  <si>
    <t>Bogdanovich, V. A.;Vostretsov, A. G.</t>
  </si>
  <si>
    <t>Bogdanovich V.A.</t>
  </si>
  <si>
    <t>SIGNAL DETECTION AGAINST A BACKGROUND OF SPATIALLY DISPERSED INTERFERENCE.</t>
  </si>
  <si>
    <t>2-s2.0-0021425817</t>
  </si>
  <si>
    <t>405-411</t>
  </si>
  <si>
    <t>57205479252;6603083962;6508302841;57205242331;7005177292</t>
  </si>
  <si>
    <t>Kuraev, A. A.;Luk, L. N.;Plotkina, S. M.;Slepyan, A. Ya;Slepyan, G. Ya</t>
  </si>
  <si>
    <t>Kuraev A.</t>
  </si>
  <si>
    <t>Compensation of phase distortions of wave fields with irregular-periodic diffraction structures</t>
  </si>
  <si>
    <t>10.1007/BF01044787</t>
  </si>
  <si>
    <t>2-s2.0-0021425967</t>
  </si>
  <si>
    <t>['¬© 1984', 'various type', 'unspecified conditions', 'two groups', 'stability characterizes', 'spectral varieties', 'solar radiation', 'second one', 'second group', 'related frequencies', 'related chains', 'ranges 25', 'period 1973', 'peculiar type', 'octave apart', 'observational data', 'middle corona', 'limb variant', 'iiid chains', 'iiib chains', 'iii pairs', 'iii bursts', 'harmonic origin', 'harmonic h', 'h components', 'first group', 'essential result', 'echo component', 'earlier conclusions', 'dynamic spectra', 'drift delays', 'drift delay', 'distinctly divided', 'diffuse striae', 'decametric observations', 'decametric chains', 'decametric bursts', 'burst generation', 'burst chains', 'also used', '5 mhz', '20 mhz', '2 antenna', '10 years', '10 mhz']</t>
  </si>
  <si>
    <t>Type-IIIb, IIId, and III solar decametric radio bursts, being distinguished by the typical negative drift rate of their dynamic spectra, are compared. Observational data were obtained with a UTR-2 antenna during the period 1973-1982. During the analysis of the bursts of all these spectral varieties, the frequency drift time (drift delay) was measured in the ranges 25 to 12.5 MHz, 25 to 20 MHz, and 12.5 to 10 MHz. Durations of type-III bursts were determined at the harmonically-related frequencies of 25 and 12.5 MHz; radio source locations were also used. It is shown that these decametric bursts are distinctly divided into two groups: (1)type-IIIb chains of simple stria bursts and also normal type-III storm bursts observed at central regions constitute a group of events with a fast drifting spectrum; (2) type-III bursts from type-IIIb-III pairs and the limb variant of normal III bursts, as well as peculiar type-IIId chains of diffuse striae and related chains with an echo component, constitute a second group of events with comparatively slow drift rates. The first group of the phenomena is associated with the fundamental F frequency and the second one, with the harmonic H of the coronal plasma frequency. The results of the present investigation agree well with earlier conclusions on the harmonic origin of decametric chains and type-III bursts. Measurements of drift delays in narrow frequency ranges, an octave apart, as well as type-III burst durations at harmonically-related frequencies confirm the existence of both F and H components in the solar radiation. The essential result of 10 years of decametric observations is that the frequency drift rates and durations are rather stable parameters for the various type-III bursts and stria-burst chains. The stability characterizes some unspecified conditions of burst generation in the middle corona. ¬© 1984 D. Reidel Publishing Company.</t>
  </si>
  <si>
    <t>299-315</t>
  </si>
  <si>
    <t>Tsybko, Ya G.</t>
  </si>
  <si>
    <t>Nizhny Novgorod</t>
  </si>
  <si>
    <t>Lobachevsky State University of Nizhni Novgorod</t>
  </si>
  <si>
    <t>Tsybko Y.</t>
  </si>
  <si>
    <t>Harmonic components of decametric solar radio bursts</t>
  </si>
  <si>
    <t>10.1007/BF00157253</t>
  </si>
  <si>
    <t>2-s2.0-0040778132</t>
  </si>
  <si>
    <t>['whose input', 'two normal', 'turn ratio', 'tests performed', 'report also', 'one month', 'noise amplifier', 'mode frequencies', 'helium temperature', 'helium container', 'fet low', 'electrical field', 'dc squid', 'calculated values', 'brownian noise', 'antenna cold', '234 hz', '160 hz', '106 v']</t>
  </si>
  <si>
    <t>Astronomical observations (listed by technique of observation) | Experimental tests of general relativity and observations of gravitational radiation</t>
  </si>
  <si>
    <t>We report on the cooling at liquid-helium temperature of our 2270 kg 5056 Al bar at CERN. The liquid-helium container had been filled up to 1500 liters ensuring to keep the antenna cold for more than one month. The antenna is equipped with a resonant capacitive transducer operating at constant electrical charge with a FET low-noise amplifier. The transducer is tuned to the antenna within less than I Hz and the two normal-mode frequencies are ŒΩ-=908.160 Hz and ŒΩ+=924.234 Hz with an applied electrical field in the transducer of 106 V/m. The corresponding overall merit factors are Q -=5.20¬∑106 and Q +=7.25¬∑106. The transducer has been tested up to an electrical field of 6¬∑106 V/m: in this condition we have Œ≤Q‚âà104. The antenna has been in operation for several weeks giving, for the Brownian noise, values in agreement with the calculated values. We report also on the results of tests performed on a DC SQUID, whose input was connected to a commercial capacitor via a transformer with turn ratio of 1000. ¬© 1984 Societ√† Italiana di Fisica.</t>
  </si>
  <si>
    <t>338-354</t>
  </si>
  <si>
    <t>60032350-60021660;60032350-60021660;60032350-60021660;60032350-60021660;60032350-60021660;60032350-60021660;60032350-60021660;60021660-60082962;60021660-60082962;60021660-60082962;60021660;60021199;60021199;60019778;60021660-60027075;60021660-60027509;60032350-60021660-60027509</t>
  </si>
  <si>
    <t>24785703100;7005568912;56236475400;56302630900;7003386560;7003636273;7103269533;7004641893;7103181547;55880048200;6603642397;55385270200;7003507432;6701785659;55750488400;7003738313;7004243218</t>
  </si>
  <si>
    <t>Amaldi, E.;Coccia, E.;Cosmelli, C.;Ogawa, Y.;Pizzella, G.;Rapagnani, P.;Ricci, F.;Bonifazi, P.;Castellano, M. G.;Vannaroni, G.;Bronzini, F.;Carelli, P.;Foglietti, V.;Cavallari, G.;Habel, R.;Modena, I.;Pallottino, G. V.</t>
  </si>
  <si>
    <t>Italy;Italy;Italy;Italy;Italy;Italy;Switzerland</t>
  </si>
  <si>
    <t>Rome;Rome;Rome;Frascati;Rome;Rome;Geneva</t>
  </si>
  <si>
    <t>Istituto di Fisica dello Spazio Interplanetario, Rome;Sapienza Universit√† di Roma;Universit√† degli Studi di Roma "Tor Vergata";ENEA Centro Ricerche Frascati;Istituto Nazionale di Fisica Nucleare - INFN;Consiglio Nazionale delle Ricerche;European Organization for Nuclear Research</t>
  </si>
  <si>
    <t>60082962;60032350;60027509;60027075;60021660;60021199;60019778</t>
  </si>
  <si>
    <t>Amaldi E.</t>
  </si>
  <si>
    <t>Initial operation at liquid-helium temperature of the M=2270 kg Al 5056 gravitational-wave antenna of the Rome group</t>
  </si>
  <si>
    <t>10.1007/BF02507677</t>
  </si>
  <si>
    <t>2-s2.0-51649169434</t>
  </si>
  <si>
    <t>['¬© 1984', 'useful power', 'transition region', 'successful operation', 'studies reveal', 'rf power', 'recent success', 'recent proposal', 'mirror reactors', 'magnetic fields', 'm2 ).', 'ion density', 'icrf antennas', 'extensive use', 'electron energy', 'cm2 ).', '500 khz', '4 mw', '300 w']</t>
  </si>
  <si>
    <t>Recent success in tandem mirror physics experiments has led to several conceptual reactor designs. These studies reveal that there are at least 4 areas in which unique materials problems appear for mirror reactors. The necessity to produce very high magnetic fields (20-24 T) requires the design, construction, and operation of normal copper coils in the intense radiation field of the plasma. A recent proposal to use rapidly changing (50-500 kHz) magnetic fields to reduce the ion density in the transition region has also required Cu coils in the vicinity of the plasma. A third new area is the collection of ion and electron energy and conversion of that energy into useful power. The direct convertor region of tandem mirrors requires the successful operation of very high heat flux components (200-300 W/cm2). Finally, the heating of electrons as well as plasma startup scenarios dictate the extensive use of RF power. The most severe problems seem to be associated with the placement of ICRF antennas at the edge of the plasma and in the vicinity of high neutron wall loadings (1-4 MW/m2). These problems are discussed in light of the recent MARS reactor study. ¬© 1984.</t>
  </si>
  <si>
    <t>29-36</t>
  </si>
  <si>
    <t>Kulcinski, G. L.</t>
  </si>
  <si>
    <t>Kulcinski G.</t>
  </si>
  <si>
    <t>Materials engineering for tandem mirror reactors</t>
  </si>
  <si>
    <t>10.1016/0022-3115(84)90571-3</t>
  </si>
  <si>
    <t>2-s2.0-0020745880</t>
  </si>
  <si>
    <t>['¬© 1984', 'ps ii', 'new chlorophyll', 'harvesting chl', 'fluorescence properties', 'complex differs', 'complex corresponds', 'b ratio', 'apoprotein composition']</t>
  </si>
  <si>
    <t>Chlorophyll-protein complex | Chlorophyllb | Electrophoresis | Light-harvesting complex Chlorophyll antenna | Photosystem I</t>
  </si>
  <si>
    <t>A new chlorophyll a/b-protein complex designated as LHCPx was separated by SDS-PAGE. This complex differs from the light-harvesting chl a/b-protein of PS II, by its chl a/b ratio, its fluorescence properties and its apoprotein composition. Evidence is provided that this complex corresponds to a part of PS I antenna. ¬© 1984.</t>
  </si>
  <si>
    <t>174-180</t>
  </si>
  <si>
    <t>60008134;60008134</t>
  </si>
  <si>
    <t>7004191830;6506571180</t>
  </si>
  <si>
    <t>Remy, R.;Ambard-Bretteville, F.</t>
  </si>
  <si>
    <t>CNRS Centre National de la Recherche Scientifique</t>
  </si>
  <si>
    <t>Remy R.</t>
  </si>
  <si>
    <t>Evidence for a chlorophyll a/b-protein complex associated with Photosystem II</t>
  </si>
  <si>
    <t>10.1016/0014-5793(84)81394-0</t>
  </si>
  <si>
    <t>2-s2.0-48549111944</t>
  </si>
  <si>
    <t>['¬© 1984', 'wave resonance', 'theoretical predictions', 'rights reserved', 'periodic array', 'new class', 'large bandwidth', 'good agreement', 'flat short', 'electrical engineers', '5 ghz']</t>
  </si>
  <si>
    <t>A new class of microstrip travelling wave antenna of large bandwidth is described. The log-periodic array is composed of flat short-circuited half dipoles acting at quarter-wave resonance and fed in series by means of a high characteristic impedance microstrip line. A model has been constructed and tested. A large squinted main beam is obtained between 0.75 and 4.5 GHz. The constant experimental radioelectric properties are in good agreement with the theoretical predictions. ¬© 1984, The Institution of Electrical Engineers. All rights reserved.</t>
  </si>
  <si>
    <t>411-413</t>
  </si>
  <si>
    <t>60030553;60030553;60019269</t>
  </si>
  <si>
    <t>7006052449;6508021299;6508108499</t>
  </si>
  <si>
    <t>Dubost, G.;Gueho, S.;Bizouard, A.</t>
  </si>
  <si>
    <t>Rennes;Puteaux</t>
  </si>
  <si>
    <t>Universite de Rennes 1;Thales Group</t>
  </si>
  <si>
    <t>60030553;60019269</t>
  </si>
  <si>
    <t>Log-periodic flat short-circuited dipole array with a squinted beam</t>
  </si>
  <si>
    <t>10.1049/el:19840285</t>
  </si>
  <si>
    <t>2-s2.0-0021422064</t>
  </si>
  <si>
    <t>['¬© 1984', 'rights reserved', 'form expression', 'flare angle', 'excellent agreement', 'exact values', 'electrical engineers', 'conical waveguides', 'approximate closed']</t>
  </si>
  <si>
    <t>Antennas | Conical horn antennas | Dual modes | Eigenvalues</t>
  </si>
  <si>
    <t>Approximate closed-form expression for the eigenvalues of TE11- and TM11-modes in conical waveguides have been developed. The accuracy of these expressions is a function of the flare angle of the horn, being in excellent agreement with exact values. ¬© 1984, The Institution of Electrical Engineers. All rights reserved.</t>
  </si>
  <si>
    <t>389-390</t>
  </si>
  <si>
    <t>Lier, E.</t>
  </si>
  <si>
    <t>Lier E.</t>
  </si>
  <si>
    <t>Eigenvalues of TE&lt;inf&gt;11&lt;/inf&gt;- and TM&lt;inf&gt;11&lt;/inf&gt;-modes in conical horn antennas</t>
  </si>
  <si>
    <t>10.1049/el:19840269</t>
  </si>
  <si>
    <t>2-s2.0-0021427508</t>
  </si>
  <si>
    <t>['¬© 1984', 'wide bandwidth', 'uniform substrate', 'series reactance', 'rights reserved', 'propagation constant', 'production tolerances', 'periodic bandwidth', 'periodic action', 'frequency dependence', 'equivalent circuit', 'electrical engineers', 'direct coupling', 'bandwidth limitations']</t>
  </si>
  <si>
    <t>Log periodic arrays | Microstrip antennas | Wide bandwidth</t>
  </si>
  <si>
    <t>Results are presented for the frequency dependence of the propagation constant of uniform microstrip patch arrays that allow the bandwidth limitations of log-periodic patch arrays to be deduced. It is found that direct coupling of the patch to the feed line limits the log-periodic bandwidth to about a 2:1 frequency range. However, the introduction of series reactance into the equivalent circuit such as by the use of overlaid patches indicate that log-periodic action over a very wide bandwidth is possible which will then be limited by the uniform substrate and production tolerances. ¬© 1984, The Institution of Electrical Engineers. All rights reserved.</t>
  </si>
  <si>
    <t>437-438</t>
  </si>
  <si>
    <t>Hall, P. S.</t>
  </si>
  <si>
    <t>Bandwidth limitations of log-periodic microstrip patch antenna arrays</t>
  </si>
  <si>
    <t>10.1049/el:19840303</t>
  </si>
  <si>
    <t>2-s2.0-0021422040</t>
  </si>
  <si>
    <t>['¬© 1984', 'rights reserved', 'optimum geometry', 'new type', 'maximum directivity', 'like patterns', 'input impedance', 'experimental results', 'electrical engineers', 'dipole characteristics', 'antenna structure', 'also compared']</t>
  </si>
  <si>
    <t>A new type of antenna structure that has a radiation performance similar to those of shaped wire antennas with maximum directivity is presented. The optimum geometry of the dipole with maximum directivity is found by applying the method of moments and the pattern search method. In addition, the dipole characteristics, like patterns and input impedance, are calculated and also compared with experimental results. ¬© 1984, The Institution of Electrical Engineers. All rights reserved.</t>
  </si>
  <si>
    <t>468-469</t>
  </si>
  <si>
    <t>60008919;60008919</t>
  </si>
  <si>
    <t>57194905928;24459891600</t>
  </si>
  <si>
    <t>Jia-cong, Du;Zhong-pei, Zhang</t>
  </si>
  <si>
    <t>Guilin</t>
  </si>
  <si>
    <t>Guilin University of Electronic Technology</t>
  </si>
  <si>
    <t>Jia-cong D.</t>
  </si>
  <si>
    <t>Tribroken-line dipole</t>
  </si>
  <si>
    <t>10.1049/el:19840327</t>
  </si>
  <si>
    <t>2-s2.0-0021422725</t>
  </si>
  <si>
    <t>['¬© 1984', 'wide application', 'rights reserved', 'pattern synthesis', 'optimal directivities', 'following technique', 'excitation amplitudes', 'electrical engineers', 'broadside array', 'array antenna']</t>
  </si>
  <si>
    <t>The augmented Lagrangian algorithm is applied to the optimisation of an array antenna. As examples, the optimal directivities of a broadside array with constraints on sidelobe and excitation amplitudes are computed. The following technique is feasible for use in wide application on pattern synthesis. ¬© 1984, The Institution of Electrical Engineers. All rights reserved.</t>
  </si>
  <si>
    <t>478-479</t>
  </si>
  <si>
    <t>Nakaoka, K.</t>
  </si>
  <si>
    <t>Nakaoka K.</t>
  </si>
  <si>
    <t>Pattern synthesis by use of an augmented Lagrangian algorithm</t>
  </si>
  <si>
    <t>10.1049/el:19840334</t>
  </si>
  <si>
    <t>2-s2.0-0021423932</t>
  </si>
  <si>
    <t>['¬© 1984', 'synechococcus sp', 'small ratio', 'secondary donor', 'repetitive excitation', 'remaining chl', 'possibly due', 'photosynthesis research', 'nanosecond kinetics', 'nanosecond decay', 'multiphasic reduction', 'microsecond kinetics', 'martinus nijhoff', 'low content', 'life times', 'junk publishers', 'identical time', 'hague ).', 'following advantages', 'explained quantitatively', 'electrons supplied', 'electron acceptors', 'different suggestions', 'difference spectrum', 'charge separation', 'antenna chlorophylls', 'adapted samples', 'absorption changes', '824 nm', '70 %)', '6 ns', '300 ns', '30 %)', '19 %)', '100 ),', '), pp']</t>
  </si>
  <si>
    <t>(Synechococcus sp.) | Chlorophyll a  reduction II | Electron transfer | Oxygen evolution | Photosystem II</t>
  </si>
  <si>
    <t>The kinetics of Chl-a+II (P-680+) reduction have been measured under repetitive excitation with nanosecond time resolution by monitoring the time-course of the absorption changes at 680 and 824 nm. O2-evolving Photosystem II particles from Synechococcus sp. have been used because of the following advantages: (i) small ratio of antenna chlorophylls to Chl-aII (approx. 100), (ii) low content of PS I and (iii) reduced light scattering. 1. Identical time-courses of the absorption changes at 680 and 824 nm were found in these PS II particles. 2. For the most part (approx. 70%), Chl-a+II is reduced in the nanosecond time range. The remaining Chl-a+II (approx. 30%) is reduced with half-life times in the microsecond time range. 3. The decay in the nanosecond time range is multiphasic. This multiphasic reduction can be explained quantitatively by a superposition of different reduction kinetics reported for the first single turnover flashes in dark-adapted samples (Brettel, K., Schlodder, E. and Witt, H.T. (1984) in Advances in Photosynthesis Research, Vol. 1 (Sybesma, C., ed.), pp. 295-298, Martinus Nijhoff/Dr. W. Junk Publishers, The Hague). It results a description of the nanosecond decay (approx. 70%) by three exponential phases with t 1 2 ‚âà 20 ns (approx. 33%), ‚âà 50 ns (approx. 19%) and 300 ns (approx 19%). 4. The nanosecond kinetics are attributed to electrons supplied by the oxygen-evolving complex via a secondary donor, D. For the microsecond kinetics, different suggestions are discussed. 5. The difference spectrum of the absorption changes decaying in the nanosecond time range resembles that attributed to Chl-a+II minus Chl-aII. 6. In the absence of electron acceptors, a fast absorption change transient (t &lt; 6 ns) is observed, possibly due to a charge separation and recombination between Chl-aII and pheophytin. 7. Additional absorption changes observed at supersaturating flash intensities are described. ¬© 1984.</t>
  </si>
  <si>
    <t>178-185</t>
  </si>
  <si>
    <t>60011604;60011604;60011604;60011604</t>
  </si>
  <si>
    <t>57207893208;7003637768;16460158600;55667080600</t>
  </si>
  <si>
    <t>Schlodder, E.;Brettel, K.;Schatz, G. H.;Witt, H. T.</t>
  </si>
  <si>
    <t>Berlin</t>
  </si>
  <si>
    <t>Technical University of Berlin</t>
  </si>
  <si>
    <t>Schlodder E.</t>
  </si>
  <si>
    <t>Analysis of the Chl-a&lt;sup&gt;+&lt;/sup&gt;&lt;inf&gt;II&lt;/inf&gt; reduction kinetics with nanosecond time resolution in oxygen-evolving Photosystem II particles from Synechococcus at 680 and 824 nm</t>
  </si>
  <si>
    <t>10.1016/0005-2728(84)90012-4</t>
  </si>
  <si>
    <t>2-s2.0-0000970644</t>
  </si>
  <si>
    <t>PCM 80-23031</t>
  </si>
  <si>
    <t>['¬© 1984', 'stroma lamellae', 'resulting specifically', 'remained associated', 'relative amount', 'ps ii', 'principal phosphoproteins', 'polypeptides increased', 'photosystem ii', 'mobile antenna', 'lhcii phosphorylation', 'lateral migration', 'hypothesis proposed', 'harvesting chlorophyll', 'grana fraction', 'enriched grana', 'data support', 'chlorophyll b', 'b ratio', 'absorptive cross', '77 k', '735 nm', '681 nm', '27 kda', '), since']</t>
  </si>
  <si>
    <t>(Pea thylakoid) | Chloroplast membrane | Excitation-energy distribution | Light-harvesting complex | Protein phosphorylation</t>
  </si>
  <si>
    <t>Phosphorylation in vitro of the light-harvesting chlorophyll a b protein complex associated with Photosystem II (LHCII) resulted in the lateral migration of a subpopulation of LHCII from the grana to the stroma lamellae. This movement was characterized by a decrease in the chlorophyll a b ratio and an increase in the 77 K fluorescence emission at 681 nm in the stroma lamellae following phosphorylation. Polyacrylamide gel electrophoresis indicated that the principal phosphoproteins under these conditions were polypeptides of 26-27 kDa. These polypeptides increased in relative amount in the stroma lamellae and decreased in the grana during phosphorylation. Pulse/chase experiments confirmed that the polypeptides were labelled in the grana and moved to the stroma lamellae in the subsequent chase period. A fraction at the phospho-LHCII, however, was unable to move and remained associated with the grana fraction. LHCII which moved out into the stroma lamellae effectively sensitized Photosystem I (PS I), since the ability to excite fluorescence emission at 735 nm (at 77 K) by chlorophyll b was increased following phosphorylation. These data support the 'mobile antenna' hypothesis proposed by Kyle, Staehelin and Arntzen (Arch. Biochem. Biophys. (1983) 222, 527-541) which states that the alterations in the excitation-energy distribution induced by LHCII phosphorylation are, in part, due to the change in absorptive cross-section of PS II and PS I, resulting specifically from the movement of LHCII antennae chlorophylls from the PS-II-enriched grana to the PS-I-enriched stroma lamellae. ¬© 1984.</t>
  </si>
  <si>
    <t>89-96</t>
  </si>
  <si>
    <t>60031707;60031707;60031707;60031707</t>
  </si>
  <si>
    <t>17534485100;7004899916;16470990300;7004449268</t>
  </si>
  <si>
    <t>Kyle, David J.;Kuang, Ting Yun;Watson, Janet L.;Arntzen, Charles J.</t>
  </si>
  <si>
    <t>Kyle D.J.</t>
  </si>
  <si>
    <t>Movement of a sub-population of the light harvesting complex (LHC&lt;inf&gt;II&lt;/inf&gt;) from grana to stroma lamellae as a consequence of its phosphorylation</t>
  </si>
  <si>
    <t>0005-2728(84)90001-X</t>
  </si>
  <si>
    <t>10.1016/0005-2728(84)90001-X</t>
  </si>
  <si>
    <t>2-s2.0-0001850910</t>
  </si>
  <si>
    <t>['¬© 1984', 'transfer efficiency', 'spectral properties', 'smaller structures', 'rhodopseudomonas sphaeroides', 'rate constant', 'present associated', 'porphyrin rings', 'oriented parallel', 'observed polarization', 'mutually perpendicular', 'minimal model', 'maximal dipole', 'less perpendicular', 'ldao ).', 'fluorescence polarization', 'dipole distance', 'different orientation', 'different complexes', 'contains 8', 'carotenoid associated', 'bchl 850', 'bchl 800', 'bacteriochlorophyll measured', 'approximately parallel']</t>
  </si>
  <si>
    <t>(Rps. sphaeroides) | Bacterial photosynthesis | Circular dichroism | Fluorescence polarization | Light-harvesting complex | Linear dichroism</t>
  </si>
  <si>
    <t>The B800-850 antenna complex of Rhodopseudomonas sphaeroides was studied by comparing the spectral properties of several different types of complexes, isolated from chromatophores by means of the detergents lithium dodecyl sulfate (LDS) or lauryl dimethylamine N-oxide (LDAO). Fluorescence polarization spectra of the BChl 800 emission at 4 K indicated that rapid energy transfer between at least two BChl 800 molecules occurs with a rate constant of energy transfer kET &gt; 3 ¬∑ 1012 s-1. The maximal dipole-dipole distance between the two BChl 800 molecules was calculated to be 18-19 √Ö. The porphyrin rings of the BChl 800 molecules are oriented parallel to each other, while their Qy transition moments are mutually perpendicular. The energy-transfer efficiency from carotenoid to bacteriochlorophyll measured in different complexes showed that two functionally different carotenoids are present associated with, respectively, BChl 800 and BChl 850. Fluorescence polarization and linear dichroism spectra revealed that these carotenoids have different absorption spectra and a different orientation with respect to the membrane. The carotenoid associated with BChl 800 absorbs some nanometers more to the red and its orientation is approximately parallel to the membrane, while the carotenoid associated with BChl 850 is oriented more or less perpendicular to the membrane. The fluorescence polarization of BChl 850 was the same for the different complexes. This indicates that the observed polarization of the fluorescence is determined by the smallest complex obtained which contains 8-10 BChl 850 molecules. The B800-850 complex isolated with LDAO thus must consist of a highly ordered array of smaller structures. On basis of these results a minimal model is proposed for the basic unit consisting of four BChl 850 and two BChl 800 and three carotenoid molecules. ¬© 1984.</t>
  </si>
  <si>
    <t>156-165</t>
  </si>
  <si>
    <t>60003878;60008734;60020650;60003878;60003878</t>
  </si>
  <si>
    <t>7202691944;35599806700;13105070700;6603200778;7004456032</t>
  </si>
  <si>
    <t>Kramer, Herman J.M.;van Grondelle, Rienk;Hunter, C. Neil;Westerhuis, Willem H.J.;Amesz, Jan</t>
  </si>
  <si>
    <t>United Kingdom;Netherlands;Netherlands</t>
  </si>
  <si>
    <t>Bristol;Amsterdam;Leiden</t>
  </si>
  <si>
    <t>University of Bristol;Vrije Universiteit Amsterdam;Sterrewacht Leiden</t>
  </si>
  <si>
    <t>60020650;60008734;60003878</t>
  </si>
  <si>
    <t>Kramer H.J.M.</t>
  </si>
  <si>
    <t>Pigment organization of the B800-850 antenna complex of Rhodopseudomonas sphaeroides</t>
  </si>
  <si>
    <t>0005-2728(84)90009-4</t>
  </si>
  <si>
    <t>10.1016/0005-2728(84)90009-4</t>
  </si>
  <si>
    <t>2-s2.0-33645896939</t>
  </si>
  <si>
    <t>['structural findings', 'spongious cuticle', 'soma size', 'small depressions', 'showing fine', 'sensory element', 'previous descriptions', 'microscopic methods', 'homarus gammarus', 'g .,', 'ductule lined', 'dermal gland', 'cuticular cap', "crustaceans '.", 'clear evidence', 'campaniform sensilla']</t>
  </si>
  <si>
    <t>Antennae | Campaniform structure | Dermal glands | Lobster Homarus gammarus</t>
  </si>
  <si>
    <t>The dome-shaped ('campaniform') cuticular structures found in small depressions on the lateral antennular flagella of the lobster (Homarus gammarus) were investigated by means of electron-microscopic methods. Each dome (diameter: 4-5 Œºm), which is surrounded by a 3-5 Œºm wide cuticular collar, is associated with a cell (soma size: long axis 90 Œºm, short axis 24 Œºm) showing fine-structural details characteristic of a dermal gland, e.g., a ductule lined by thin (cuticulin-like) cuticle and a well-developed granular endoplasmic reticulum. This ductule ends within the dome, which consists of spongious cuticle and, when seen from outside, resembles the cuticular cap of a typical campaniform sensillum of insects (Fig. 1 b). The fine-structural findings, especially the lack of any sensory element, are clear evidence against previous descriptions of these structures as representing 'campaniform sensilla of crustaceans'. ¬© 1984 Springer-Verlag.</t>
  </si>
  <si>
    <t>729-731</t>
  </si>
  <si>
    <t>0302766X</t>
  </si>
  <si>
    <t>Cell and Tissue Research</t>
  </si>
  <si>
    <t>Gnatzy, Werner</t>
  </si>
  <si>
    <t>Frankfurt am Main</t>
  </si>
  <si>
    <t>Goethe-Universit√§t Frankfurt am Main</t>
  </si>
  <si>
    <t>Gnatzy W.</t>
  </si>
  <si>
    <t>'Campaniform' structures on lobster antennae are dermal glands</t>
  </si>
  <si>
    <t>10.1007/BF00217245</t>
  </si>
  <si>
    <t>2-s2.0-0021119736</t>
  </si>
  <si>
    <t>['widespread application', 'synthesizing coherent', 'sequential analysis', 'sample algorithms', 'relative efficiency', 'radar scanning', 'deterministic signals', 'detection algorithms', 'correlated noise', 'attracting interest']</t>
  </si>
  <si>
    <t>The widespread application of program-controlled phased antenna arrays in radar scanning is attracting interest to sequential detection methods. Problems of the application of Wald's sequential analysis to synthesizing coherent-detection algorithms for quasi-deterministic signals in correlated noise are considered. Estimates are obtained for the mean detection time and the relative efficiency with respect to fixed-sample algorithms.</t>
  </si>
  <si>
    <t>Gol'fel'd, G. B.</t>
  </si>
  <si>
    <t>Gol'fel'd G.</t>
  </si>
  <si>
    <t>SEQUENTIAL DETECTION OF QUASI-DETERMINISTIC SIGNALS ON A BACKGROUND OF A CORRELATED NOISE.</t>
  </si>
  <si>
    <t>2-s2.0-0021437909</t>
  </si>
  <si>
    <t>['wire running', 'wire antenna', 'widely used', 'wave mode', 'various publications', 'usw bands', 'metal plane', 'matched load', 'connected periodically', 'authors consider']</t>
  </si>
  <si>
    <t>Antennas with a traveling-wave current distribution are widely used in the SW and USW bands. The simplest is a wire running above ground. The traveling-wave mode is obtained by connecting a matched load to the end; this leads to relatively low efficiency. Various publications have demonstrated the possibility of varying the properties of a wire antenna by connecting reactive loads to the wire. The authors consider an antenna in the form of a wire running above a metal plane, to which loads are connected periodically.</t>
  </si>
  <si>
    <t>27-31</t>
  </si>
  <si>
    <t>7003963010;6603558268;7201567438</t>
  </si>
  <si>
    <t>Tereshin, O. N.;Dvurechenskiy, V. D.;Fedotov, A. Yu</t>
  </si>
  <si>
    <t>Tereshin O.</t>
  </si>
  <si>
    <t>SINGLE-WIRE TRAVELING-WAVE ANTENNA WITH REACTIVE LOADS.</t>
  </si>
  <si>
    <t>2-s2.0-0021437910</t>
  </si>
  <si>
    <t>['ultradirectional systems', 'take account', 'priori information', 'potential capabilities', 'directional arrays', 'calculated data', 'arm length', '4 elements', '235 lambda', '1 ghz', '014 lambda']</t>
  </si>
  <si>
    <t>This brief note describes the results of experimental studies performed in a chamber with a reflection of minus 20 db at a frequency of 1 GHz on linear equidistant end-on directional arrays with a maximum directivity factor of 2, 3 and 4 elements. The emitters were symmetrical brass dipoles with an arm length of 0. 235 lambda and a thickness of 0. 014 lambda . The agreement of the experimental and calculated data, confirming the need to take account of a priori information about the antenna in its calculation, provides a basis for using the proposed mathematical model for determining the potential capabilities of ultradirectional systems.</t>
  </si>
  <si>
    <t>144-146</t>
  </si>
  <si>
    <t>7005030448;6504622160;7004761281;6506008415</t>
  </si>
  <si>
    <t>Pavlyuk, V. A.;Sigova, T. A.;Martynov, M. A.;Kismereshkin, V. P.</t>
  </si>
  <si>
    <t>Pavlyuk V.</t>
  </si>
  <si>
    <t>ON THE POSSIBILITY OF REALIZING ULTRADIRECTIONAL ANTENNA ARRAYS.</t>
  </si>
  <si>
    <t>2-s2.0-0021441064</t>
  </si>
  <si>
    <t>['primary feed', 'paper outlines', 'latticed spars', 'fields scattered', 'anrao ).']</t>
  </si>
  <si>
    <t>This paper outlines a method which computes the fields scattered by the latticed spars which support the primary feed or sub-reflector in a large parabolic antenna. It is applied in an examination of the 64 m radiotelescope at the CSIRO's Australian National Radio Astronomy Observatory, Parkes (ANRAO). Spar scatter becomes important in the overall antenna pattern at about the minus 40 db level, and it may be this effect which ultimately sets boresight axis polarization purity, independently of the nature of the feed.</t>
  </si>
  <si>
    <t>138-148</t>
  </si>
  <si>
    <t>60029470;60029470</t>
  </si>
  <si>
    <t>7202758543;6603959091</t>
  </si>
  <si>
    <t>Green, Harry E.;Mulhall, Philip S.</t>
  </si>
  <si>
    <t>Green H.E.</t>
  </si>
  <si>
    <t>SCATTERING BY THE FEED SUPPORT SPARS IN A RADIO TELESCOPE.</t>
  </si>
  <si>
    <t>2-s2.0-0021442174</t>
  </si>
  <si>
    <t>['slow fades', 'radio systems', 'experimental results', 'effective way', 'combatting interference']</t>
  </si>
  <si>
    <t>Adaptive antenna systems offer an effective way of improving tropospheric link performance (notably, by reducing the dispersion of fast and slow fades) and of combatting interference from other radio systems. Aspects of the design of single-channel adaptive TL antenna systems are discussed and experimental results are quoted.</t>
  </si>
  <si>
    <t>20-23</t>
  </si>
  <si>
    <t>7003655363;6602664562</t>
  </si>
  <si>
    <t>Frolov, O. P.;Tsirlin, V. M.</t>
  </si>
  <si>
    <t>SINGLE-CHANNEL ADAPTIVE ANTENNA FOR A TROPOSPHERIC LINK.</t>
  </si>
  <si>
    <t>2-s2.0-0021442590</t>
  </si>
  <si>
    <t>['spatial processing', 'spatial compensation', 'reflecting objects', 'obtained results', 'interference created', 'element interferometer', 'detects targets', 'coherent signals', 'clutter group', 'clutter ).', 'angular displacement', 'angular dimension']</t>
  </si>
  <si>
    <t>The feasibility of spatial processing is investigated for a multielement antenna system which detects targets in the presence of interference created by reflections (clutter). The signal/(interference plus noise) ratio at the output of an optimum (according to the likelihood ratio criterion) detector is investigated as a function of the angular dimension of the clutter and of the angular displacement of the target from the center of the clutter group. The feasibility of 'spatial compensation' of clutter is analyzed. A two-element interferometer and a linear array antenna are considered as examples. The obtained results are extended to the case when a group of reflecting objects is illuminated by coherent signals of several transmitting antennas.</t>
  </si>
  <si>
    <t>94-103</t>
  </si>
  <si>
    <t>Chernyak, V. S.</t>
  </si>
  <si>
    <t>Chernyak V.</t>
  </si>
  <si>
    <t>POTENTIAL EFFECTIVENESS OF SPATIAL PROCESSING FOR DETECTION OF SIGNALS IN THE PRESENCE OF CLUTTER.</t>
  </si>
  <si>
    <t>2-s2.0-0021442592</t>
  </si>
  <si>
    <t>['radiation pattern', 'markov theory', 'electronic stabilization', 'digital versions', 'antenna system', 'antenna array']</t>
  </si>
  <si>
    <t>The Markov theory of optimum nonlinear filtering in the first-order Gaussian approximation is used to synthesize, in the analog and digital versions, a quasioptimum integrated aircraft radio direction finder with electronic stabilization of the radiation pattern of an antenna system in the form of an antenna array.</t>
  </si>
  <si>
    <t>70-73</t>
  </si>
  <si>
    <t>Bogachev, A. S.</t>
  </si>
  <si>
    <t>Bogachev A.</t>
  </si>
  <si>
    <t>INTEGRATED RADIO DIRECTION FINDER WITH ELECTRONIC RADIATION-PATTERN STABILIZATION.</t>
  </si>
  <si>
    <t>2-s2.0-0021442971</t>
  </si>
  <si>
    <t>['wavelength ),', 'wave tuning', 'wave ration', 'usually employed', 'tuning system', 'suitable number', 'spaced lambda', 'small inhomogeneities', 'several frequencies', 'second wavelength', 'reliable operation', 'natural standing', 'mounted close', 'interesting problem', 'hence obtain', 'feeder independently', 'different wavelength', '2 apart']</t>
  </si>
  <si>
    <t>In present SW broadcasting the antennas are usually employed in several different bands. A change of frequency demands traveling-wave tuning of the feeders, since the natural standing-wave ration is too low for reliable operation. For this purpose, quite complicated remote-controlled tuning elements, mounted close to the antenna, are used. An interesting problem is how to tune the feeder independently for several frequencies, by employing a series of small inhomogeneities. The method is to suspend small wire loops (effectively small shunt capacitances) to the feeder, thereby producing reflections. If the loops are spaced lambda /2 apart ( lambda is the wavelength), a total loop reflection coefficient p// SIGMA , compensating the reflection from the antenna at this wavelength, can be obtained. On moving to a different wavelength, p// SIGMA falls, since the spacing then differs from lambda /2. Given a suitable number of loops, one can make p// SIGMA small at the second wavelength, and hence obtain an independent tuning effect. The tuning system and the procedure are described.</t>
  </si>
  <si>
    <t>23-27</t>
  </si>
  <si>
    <t>Kuznetsov, V. D.</t>
  </si>
  <si>
    <t>Kuznetsov V.</t>
  </si>
  <si>
    <t>TRAVELING-WAVE TUNING OF FEEDERS BY SMALL INHOMOGENEITIES.</t>
  </si>
  <si>
    <t>2-s2.0-0021443041</t>
  </si>
  <si>
    <t>526-535</t>
  </si>
  <si>
    <t>6507916488;7003905459;7005559067</t>
  </si>
  <si>
    <t>Believ, E. I.;Veremei, V. V.;Shestopalov, V. P.</t>
  </si>
  <si>
    <t>Believ E.</t>
  </si>
  <si>
    <t>Basic characteristics of a miniature antenna formed of open cylindrical screens</t>
  </si>
  <si>
    <t>10.1007/BF01040092</t>
  </si>
  <si>
    <t>2-s2.0-0021444888</t>
  </si>
  <si>
    <t>['structural errors', 'remote feeding', 'proposed algorithm', 'planar array', 'mathematical model', 'initial information', 'include automatically', 'final results', 'control computations', 'column control', 'circular aperture', 'allows one']</t>
  </si>
  <si>
    <t>For the derivation of the row-column control of planar phased arrays there is proposed a sufficiently simple algorithm, in which the initial information is the amplitude-phase aperture field distribution. This allows one to include automatically a number of structural errors and characteristics of specific phased arrays. The proposed algorithm was checked by using a mathematical model of a planar array with a circular aperture and a remote feeding of elements. The final results of the control computations for different aperture diameters and different focal length are given.</t>
  </si>
  <si>
    <t>104-107</t>
  </si>
  <si>
    <t>6506619126;6602627480</t>
  </si>
  <si>
    <t>Kolodnikov, V. I.;Tartakovskiy, L. B.</t>
  </si>
  <si>
    <t>Kolodnikov V.</t>
  </si>
  <si>
    <t>DERIVATION OF ROW-COLUMN CONTROL OF A PHASED ARRAY, BASED ON AMPLITUDE-PHASE APERTURE FIELD DISTRIBUTION.</t>
  </si>
  <si>
    <t>2-s2.0-0021445018</t>
  </si>
  <si>
    <t>547-548</t>
  </si>
  <si>
    <t>6603312935;7005627425;6507095572</t>
  </si>
  <si>
    <t>Martirosyan, S. M.;Kuleshov, V. I.;Nersisyan, A. K.</t>
  </si>
  <si>
    <t>Martirosyan S.</t>
  </si>
  <si>
    <t>Standard measure for field distribution in an antenna aperture for the decimeter wavelength range</t>
  </si>
  <si>
    <t>10.1007/BF00838766</t>
  </si>
  <si>
    <t>2-s2.0-0021446084</t>
  </si>
  <si>
    <t>549-551</t>
  </si>
  <si>
    <t>Akopyan, R. G.</t>
  </si>
  <si>
    <t>Akopyan R.G.</t>
  </si>
  <si>
    <t>Modified coupling coefficients of random quantities and their application in antenna measurements</t>
  </si>
  <si>
    <t>10.1007/BF00838767</t>
  </si>
  <si>
    <t>2-s2.0-0021448287</t>
  </si>
  <si>
    <t>543-545</t>
  </si>
  <si>
    <t>Panchenko, V. G.</t>
  </si>
  <si>
    <t>Panchenko V.</t>
  </si>
  <si>
    <t>Precision measurement of antenna gain</t>
  </si>
  <si>
    <t>10.1007/BF00838764</t>
  </si>
  <si>
    <t>2-s2.0-0021450441</t>
  </si>
  <si>
    <t>['wide range', 'whole chain', 'thylakoids isolated', 'thylakoid components', 'relative distribution', 'regulatory effect', 'reaction centres', 'ps ii', 'protein complexes', 'plants compensate', 'photosystems ii', 'photosystem ii', 'photosynthetic rates', 'partial reactions', 'low intensity', 'limited amount', 'light intensity', 'light intensities', 'lesser extent', 'junk publishers', 'high intensity', 'electron carriers', 'drastically increasing', 'dr w', 'different slopes', 'cytochrome f', 'closely regulated', '840 œºe', '128 ].', '10 œºe']</t>
  </si>
  <si>
    <t>chl a/chl b ratios | coupling factor activity | cytochrome f | electron transport rates | light intensity adaptation | P700 | photosynthesis | plastoquinone | Q | thylakoid membranes</t>
  </si>
  <si>
    <t>The electron transport rates of photosystems II and I, amounts of electron carriers, coupling factor activity and photosynthetic rates were investigated in thylakoids isolated from pea plants grown under a wide range of light intensities (16 h light-8 h dark). The electron transport rates of PS II and PS I, as partial reactions or in whole chain, and coupling factor activity on a unit chlorophyll basis, all increased as the light intensity available for growth was altered from a very low intensity of 10 ŒºE m-2s-1 to a high intensity of 840 ŒºE m-2s-1. Similarly, there were increases in the amounts of atrazine binding sites, plastoquinine, cytochrome f and P700 per unit chlorophyll; significantly, the amounts of reaction centres of PS II and PS I were not equal at any light intensity. The rate of change of all parameters with respect to light intensity could be represented by two straight lines of different slopes which met at a transition point corresponding to approximately 200 ŒºE m-2s-1 during growth. These photoadaptations were similar to those observed for both the relative distribution of chlorophyll in chlorophyll-protein complexes and the chl a/chl b ratios [Leong and Anderson, 1984, Photosynthesis Research 5:117-128]. Since these thylakoid components and functions were affected in the same direction by light intensity during growth and all show linear relationships with chl a/chl b ratios, it indicates that they are closely regulated and markedly well co-ordinated. Plants compensate for the limited amount of low light intensities by drastically increasing the light-harvesting antenna unit size of photosystem II and to a lesser extent that of photosystem I. Changes in the composition of the thylakoid membranes exert a regulatory effect on the overall photosynthetic rate up to approximately 450 ŒºE m-2s-1. ¬© 1984 Martinus Nijhoff/Dr W. Junk Publishers.</t>
  </si>
  <si>
    <t>117-128</t>
  </si>
  <si>
    <t>Photosynthesis Research</t>
  </si>
  <si>
    <t>60023392;60023392</t>
  </si>
  <si>
    <t>16473058300;7406781037</t>
  </si>
  <si>
    <t>Leong, Ta Yan;Anderson, Jan M.</t>
  </si>
  <si>
    <t>CSIRO Plant Industry</t>
  </si>
  <si>
    <t>Leong T.</t>
  </si>
  <si>
    <t>Adaptation of the thylakoid membranes of pea chloroplasts to light intensities. II. Regulation of electron transport capacities, electron carriers, coupling factor (CF&lt;inf&gt;1&lt;/inf&gt;) activity and rates of photosynthesis</t>
  </si>
  <si>
    <t>10.1007/BF00028525</t>
  </si>
  <si>
    <t>2-s2.0-34250141274</t>
  </si>
  <si>
    <t>['œ ¥', 'sensitivity attained', 'preliminary results', 'past activity', 'noise ratio', 'larger scale', 'hour integration', 'higher frequencies', 'drifted away', '327 mhz', '109 years', '1 signal']</t>
  </si>
  <si>
    <t>galaxies, radio | galaxies, spiral | radio telescopes</t>
  </si>
  <si>
    <t>A 4-km synthesis radio telescope has recently been commissioned at Ootacamund, India for operation at 327 MHz. It consists of the Ooty Radio Telescope (530 m √ó 30 m) and 7 small antennas which are distributed over an area of about 4 km √ó 2 km. It has a coverage of about ¬± 40‚Ä° in declination Œ¥. The beam-width is about 40 arcsec √ó 90 arcsec at Œ¥ = 0‚Ä° and about 40 arcsec √ó 50 arcsec at Œ¥ = 40‚Ä°. The sensitivity attained for a 5:1 signal-to-noise ratio is about 15 m Jy after a 10-hour integration. The observational programmes undertaken and some of the results obtained recently are summarized. The radio halo around the edge-on spiral NGC 4631 is found to have a larger scale-height at 327 MHz than is known at higher frequencies. Mapping of interesting radio galaxies at 327 MHz is being carried out; preliminary results for 0511-305 (‚àº2 Mpc) and 1333-337 (‚àº750 kpc) are summarized. The very-steep-spectrum radio source in the Abell cluster A85 is found to be resolved; since it has no obvious optical counterpart, it is conceivable that it is a remnant of past activity of a galaxy that has drifted away in about 109 years. ¬© 1984 Indian Academy of Sciences.</t>
  </si>
  <si>
    <t>139-148</t>
  </si>
  <si>
    <t>Journal of Astrophysics and Astronomy</t>
  </si>
  <si>
    <t>Swarup, G.</t>
  </si>
  <si>
    <t>Tata Institute of Fundamental Research, Mumbai</t>
  </si>
  <si>
    <t>The Ooty synthesis radio telescope: First results</t>
  </si>
  <si>
    <t>10.1007/BF02714986</t>
  </si>
  <si>
    <t>2-s2.0-51249184914</t>
  </si>
  <si>
    <t>['resonant gravitational', 'ratio g', 'coupling parameter', 'band width', 'band noise']</t>
  </si>
  <si>
    <t>04.80 | 93.85 | Experimental tests of general relativity and observations of gravita-tional radiation | Instrumentation and techniques for geophysical research</t>
  </si>
  <si>
    <t>The band width of a resonant gravitational-wave antenna depends on the ratio G{cyrillic} of the wide-band noise to the narrow-band noise. For G{cyrillic} ‚Üí 0 the band width becomes infinitely large, even if the coupling parameter between bar and transducer is small. ¬© 1984 Societ√† Italiana di Fisica.</t>
  </si>
  <si>
    <t>240-242</t>
  </si>
  <si>
    <t>1827613X</t>
  </si>
  <si>
    <t>0375930X</t>
  </si>
  <si>
    <t>Lettere Al Nuovo Cimento Series 2</t>
  </si>
  <si>
    <t>Pizzella, G.</t>
  </si>
  <si>
    <t>Rome</t>
  </si>
  <si>
    <t>Sapienza Universit√† di Roma</t>
  </si>
  <si>
    <t>Pizzella G.</t>
  </si>
  <si>
    <t>On the band width of resonant gravitational-wave antennas</t>
  </si>
  <si>
    <t>10.1007/BF02751776</t>
  </si>
  <si>
    <t>2-s2.0-51649169397</t>
  </si>
  <si>
    <t>['¬© 1984', 'rhodopseudomonas viridis', 'respective hexamer', 'protein complex', 'neighbour relationships', 'linked homooligomers', 'kda polypeptides', 'kda polypeptide', 'high yield', 'antenna 8', '1 stoichiometry']</t>
  </si>
  <si>
    <t>Bacteriochlorophyll b | Photosynthetic apparatus B1020 antenna complex | Reversible chemical cross-linking | Rhodopseudomonas viridis | Topographical relationship</t>
  </si>
  <si>
    <t>The B1020 antenna pigment-protein complex of Rhodopseudomonas viridis was isolated and found to contain two polypeptide subunits of apparent Mr 8000 and 12000. Near-neighbour relationships between both antenna 8-kDa and 12-kDa polypeptides were revealed by reversible chemical cross-linking. Cross-linked homooligomers, probably up to the respective hexamer, were observed. Subunit M of the photochemical reaction center (RC) and the membrane-bound cytochrome c-553/558 were cross-linked in high yield at a 1:1 stoichiometry. The heavy subunit H of the RC was cross-linked to the 8-kDa polypeptide. ¬© 1984.</t>
  </si>
  <si>
    <t>267-270</t>
  </si>
  <si>
    <t>60025641;60025641;60025641</t>
  </si>
  <si>
    <t>57212425535;7006702640;7102742634</t>
  </si>
  <si>
    <t>Peters, J√ºrgen;Welte, Wolfram;Drews, Gerhart</t>
  </si>
  <si>
    <t>Freiburg im Breisgau</t>
  </si>
  <si>
    <t>Universit√§t Freiburg im Breisgau</t>
  </si>
  <si>
    <t>Peters J.</t>
  </si>
  <si>
    <t>Topographical relationships of polypeptides in the photosynthetic membrane of Rhodopseudomonas viridis investigated by reversible chemical cross-linking</t>
  </si>
  <si>
    <t>10.1016/0014-5793(84)80501-3</t>
  </si>
  <si>
    <t>2-s2.0-48549114794</t>
  </si>
  <si>
    <t>['¬© 1984', 'standard bands', 'simplified configuration', 'short dual', 'rights reserved', 'full length', 'feed designated', 'feed consists', 'electrical engineers', 'dualdepth corrugations', 'corrugated feed']</t>
  </si>
  <si>
    <t>Antennas | Feeds</t>
  </si>
  <si>
    <t>The design of a corrugated feed is presented which has a simplified configuration in comparison to a feed with dualdepth corrugations over its full length. It exhibits excellent electrical performance which is compatible with the requirements for frequency reuse application in satellite communication antennas. The feed consists of a short dual-depth corrugated launcher and a conventional corrugated horn. Important electrical characteristics of such a feed designated for operation in the standard bands of 4 and 6 GHz satellite communication links are presented. ¬© 1984, The Institution of Electrical Engineers. All rights reserved.</t>
  </si>
  <si>
    <t>532-533</t>
  </si>
  <si>
    <t>100363164;60072501;60040968-60031581</t>
  </si>
  <si>
    <t>56331766300;7202647526;36884351500</t>
  </si>
  <si>
    <t>Ghosh, S.;K√ºhn, E.;Prata, A.</t>
  </si>
  <si>
    <t>Germany;Brazil;United States;Switzerland</t>
  </si>
  <si>
    <t>Darmstadt;Campinas;Pasadena;Geneve</t>
  </si>
  <si>
    <t>Forschungsinstitut der Deutschen Bundespost;CPqD Telecom and IT Solutions;California Institute of Technology;Int Telecommunication Union</t>
  </si>
  <si>
    <t>60072501;60040968;60031581;100363164</t>
  </si>
  <si>
    <t>Ghosh S.</t>
  </si>
  <si>
    <t>Simplified high-performance dual-band feed comprising a dual-depth corrugated launcher and a conventional corrugated horn</t>
  </si>
  <si>
    <t>10.1049/el:19840369</t>
  </si>
  <si>
    <t>2-s2.0-0021439944</t>
  </si>
  <si>
    <t>['¬© 1984', 'two approaches', 'theoretical significance', 'rights reserved', 'electrical engineers']</t>
  </si>
  <si>
    <t>Comments are made about the theoretical significance of two approaches to the synthesis of dual offset reflector systems under geometrical optics assumptions. ¬© 1984, The Institution of Electrical Engineers. All rights reserved.</t>
  </si>
  <si>
    <t>558-559</t>
  </si>
  <si>
    <t>60025225;60025225</t>
  </si>
  <si>
    <t>6602206040;7004261323</t>
  </si>
  <si>
    <t>Brickell, F.;Westcott, B. S.</t>
  </si>
  <si>
    <t>Brickell F.</t>
  </si>
  <si>
    <t>Comments on the synthesis of dual offset reflector systems</t>
  </si>
  <si>
    <t>10.1049/el:19840387</t>
  </si>
  <si>
    <t>2-s2.0-0021445172</t>
  </si>
  <si>
    <t>['¬© 1984', 'two chlorophyll', 'spectrally characterized', 'denaturing gel', 'cp43 serves', 'core complex', 'chl protein', '77 k', '685 nm', '47 kda', '43 kda']</t>
  </si>
  <si>
    <t>(Spinach) | Chlorophyll-protein | Fluorescence | Pheophytin | Photosystem II | Reaction center</t>
  </si>
  <si>
    <t>A Photosystem-II (PS-II)-enriched chloroplast submembrane fraction has been subjected to non-denaturing gel-electrophoresis. Two chlorophyll a (Chl a)-binding proteins associated with the core complex were isolated and spectrally characterized. The Chl protein with apparent apoprotein mass of 47 kDa (CP47) displayed a 695 nm fluorescence emission maximum (77 K) and light-induced absorption characteristics indicating the presence of the reaction center Chl, P-680, and its primary electron acceptor, pheophytin. A Chl protein of apparent apoprotein mass of 43 kDa (CP43) displayed a fluorescence emission maximum at 685 nm. We conclude that CP43 serves as an antenna Chl protein and the PS II reaction center is located in CP47. ¬© 1984.</t>
  </si>
  <si>
    <t>347-352</t>
  </si>
  <si>
    <t>60031707;102050570;102050570;60031707</t>
  </si>
  <si>
    <t>7102613947;7005716029;7004025032;7004449268</t>
  </si>
  <si>
    <t>Nakatani, H. Y.;Ke, B.;Dolan, E.;Arntzen, C. J.</t>
  </si>
  <si>
    <t>East Lansing;Yellow Springs</t>
  </si>
  <si>
    <t>Michigan State University;Charles F. Kettering Foundation</t>
  </si>
  <si>
    <t>60031707;102050570</t>
  </si>
  <si>
    <t>Nakatani H.Y.</t>
  </si>
  <si>
    <t>Identity of the Photosystem II reaction center polypeptide</t>
  </si>
  <si>
    <t>10.1016/0005-2728(84)90175-0</t>
  </si>
  <si>
    <t>2-s2.0-0001453095</t>
  </si>
  <si>
    <t>['two genera', 'slender setae', 'second antenna', 'pseudomesus sp', 'present species', 'norwegian sea', 'nannoniscidae respectively', 'immature male', 'francis group', 'family pseudomesidae', 'copulatory male', 'considered valid', 'body form']</t>
  </si>
  <si>
    <t>The copulatory male of Pseudomesus brevicornis differs from the female in body form, shape of pleotelson, structure of second antenna, and in having pereiopods 5‚Äì7 with long, slender setae, modified for swimming. The immature male is similar to the female. Pseudomesus sp. recorded from 80‚Äì90 m depths off N. Greenland by Just is considered to belong to the present species. The species was found in the Norwegian Sea at depths of 1260‚Äì2105 m and in the North Polar Sea at depths of 970‚Äì1020 m. The known depth range is 80 to 2105 m. The family Pseudomesidae is discussed and it is concluded that its two genera, Pseudomesus and Micromesus, belong to Desmosomatidae and Nannoniscidae respectively, and thus the family Pseudomesidae is not considered valid. ¬© 1984 Taylor &amp; Francis Group, LLC.</t>
  </si>
  <si>
    <t>37-44</t>
  </si>
  <si>
    <t>Sarsia</t>
  </si>
  <si>
    <t>60110876-60071113</t>
  </si>
  <si>
    <t>Svavarsson, J√∂rundur</t>
  </si>
  <si>
    <t>Sweden;Iceland</t>
  </si>
  <si>
    <t>Fiskebackskil;Reykjavik</t>
  </si>
  <si>
    <t>Sven Lov√©n Centre for Marine Infrastructure;Haskoli Islands</t>
  </si>
  <si>
    <t>60110876;60071113</t>
  </si>
  <si>
    <t>Svavarsson J.</t>
  </si>
  <si>
    <t>Description of the male of pseudomesus brevicornis hansen, 1916 (isopoda, asellota, desmosomatidae) and rejection of the family pseudomesidae</t>
  </si>
  <si>
    <t>10.1080/00364827.1984.10420587</t>
  </si>
  <si>
    <t>2-s2.0-37549006305</t>
  </si>
  <si>
    <t>weighted matrix_7:3</t>
  </si>
  <si>
    <t>weighted matrix_5:5</t>
  </si>
  <si>
    <t>weighted matrix_3:7</t>
  </si>
  <si>
    <t>if</t>
  </si>
  <si>
    <t>fund_sponsor</t>
  </si>
  <si>
    <t>fund_no</t>
  </si>
  <si>
    <t>fund_acr</t>
  </si>
  <si>
    <t>openaccess</t>
  </si>
  <si>
    <t>max-min</t>
  </si>
  <si>
    <t>citation_norm</t>
  </si>
  <si>
    <t>average_citation</t>
  </si>
  <si>
    <t>citedby_count</t>
  </si>
  <si>
    <t>Rake Keyword</t>
  </si>
  <si>
    <t>authkeywords</t>
  </si>
  <si>
    <t>description</t>
  </si>
  <si>
    <t>pageRange</t>
  </si>
  <si>
    <t>article_number</t>
  </si>
  <si>
    <t>issueIdentifier</t>
  </si>
  <si>
    <t>volume</t>
  </si>
  <si>
    <t>aggregationType</t>
  </si>
  <si>
    <t>eIssn</t>
  </si>
  <si>
    <t>source_id</t>
  </si>
  <si>
    <t>issn</t>
  </si>
  <si>
    <t>sjr_norm</t>
  </si>
  <si>
    <t>sjr</t>
  </si>
  <si>
    <t>publicationName</t>
  </si>
  <si>
    <t>coverDisplayDate</t>
  </si>
  <si>
    <t>Year Gap</t>
  </si>
  <si>
    <t>Year</t>
  </si>
  <si>
    <t>coverDate</t>
  </si>
  <si>
    <t>author_afids</t>
  </si>
  <si>
    <t>author_ids</t>
  </si>
  <si>
    <t>author_names</t>
  </si>
  <si>
    <t>author_count</t>
  </si>
  <si>
    <t>affiliation_country</t>
  </si>
  <si>
    <t>affiliation_city</t>
  </si>
  <si>
    <t>affilname</t>
  </si>
  <si>
    <t>afid</t>
  </si>
  <si>
    <t>creator</t>
  </si>
  <si>
    <t>subtypeDescription</t>
  </si>
  <si>
    <t>subtype</t>
  </si>
  <si>
    <t>title</t>
  </si>
  <si>
    <t>pubmed_id</t>
  </si>
  <si>
    <t>pii</t>
  </si>
  <si>
    <t>doi</t>
  </si>
  <si>
    <t>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</si>
</sst>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sz val="12"/>
      <color rgb="FFFF0000"/>
      <name val="Calibri"/>
      <family val="2"/>
      <scheme val="minor"/>
    </font>
    <font>
      <b/>
      <sz val="12"/>
      <color theme="1"/>
      <name val="Calibri"/>
      <family val="2"/>
      <scheme val="minor"/>
    </font>
    <font>
      <b/>
      <sz val="12"/>
      <color rgb="FF3F3F76"/>
      <name val="Calibri"/>
      <family val="2"/>
      <scheme val="minor"/>
    </font>
    <font>
      <b/>
      <sz val="11"/>
      <color theme="1"/>
      <name val="Calibri"/>
      <family val="2"/>
      <scheme val="minor"/>
    </font>
    <font>
      <b/>
      <sz val="12"/>
      <color rgb="FF006100"/>
      <name val="Calibri"/>
      <family val="2"/>
      <scheme val="minor"/>
    </font>
    <font>
      <b/>
      <sz val="12"/>
      <color rgb="FF9C000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1">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6" fontId="0" fillId="0" borderId="0" xfId="0" applyNumberFormat="1"/>
    <xf numFmtId="17" fontId="0" fillId="0" borderId="0" xfId="0" applyNumberFormat="1"/>
    <xf numFmtId="0" fontId="4" fillId="0" borderId="0" xfId="0" applyFont="1"/>
    <xf numFmtId="0" fontId="0" fillId="7" borderId="0" xfId="0" applyFill="1"/>
    <xf numFmtId="0" fontId="6" fillId="0" borderId="1" xfId="3" applyFont="1" applyFill="1"/>
    <xf numFmtId="0" fontId="7" fillId="0" borderId="2" xfId="0" applyFont="1" applyBorder="1" applyAlignment="1">
      <alignment horizontal="center" vertical="top"/>
    </xf>
    <xf numFmtId="0" fontId="5" fillId="0" borderId="0" xfId="0" applyFont="1"/>
    <xf numFmtId="2" fontId="8" fillId="0" borderId="0" xfId="1" applyNumberFormat="1" applyFont="1" applyFill="1"/>
    <xf numFmtId="2" fontId="5" fillId="0" borderId="0" xfId="0" applyNumberFormat="1" applyFont="1"/>
    <xf numFmtId="0" fontId="7" fillId="0" borderId="0" xfId="0" applyFont="1" applyAlignment="1">
      <alignment horizontal="center" vertical="top"/>
    </xf>
    <xf numFmtId="0" fontId="9" fillId="0" borderId="0" xfId="2" applyFont="1" applyFill="1" applyBorder="1" applyAlignment="1">
      <alignment horizontal="center" vertical="top"/>
    </xf>
    <xf numFmtId="164" fontId="5" fillId="0" borderId="0" xfId="0" applyNumberFormat="1" applyFont="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1983"/>
      <sheetName val="1982"/>
      <sheetName val="1981"/>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E2C19-E6D6-F541-9407-754278A0650D}">
  <dimension ref="A1:AW714"/>
  <sheetViews>
    <sheetView tabSelected="1" topLeftCell="Y107" workbookViewId="0">
      <selection activeCell="AO10" sqref="AO10"/>
    </sheetView>
  </sheetViews>
  <sheetFormatPr baseColWidth="10" defaultRowHeight="16" x14ac:dyDescent="0.2"/>
  <sheetData>
    <row r="1" spans="1:49" s="12" customFormat="1" x14ac:dyDescent="0.2">
      <c r="A1" s="15"/>
      <c r="B1" s="15" t="s">
        <v>7285</v>
      </c>
      <c r="C1" s="15" t="s">
        <v>7284</v>
      </c>
      <c r="D1" s="15" t="s">
        <v>7283</v>
      </c>
      <c r="E1" s="15" t="s">
        <v>7282</v>
      </c>
      <c r="F1" s="15" t="s">
        <v>7281</v>
      </c>
      <c r="G1" s="15" t="s">
        <v>7280</v>
      </c>
      <c r="H1" s="15" t="s">
        <v>7279</v>
      </c>
      <c r="I1" s="15" t="s">
        <v>7278</v>
      </c>
      <c r="J1" s="15" t="s">
        <v>7277</v>
      </c>
      <c r="K1" s="15" t="s">
        <v>7276</v>
      </c>
      <c r="L1" s="15" t="s">
        <v>7275</v>
      </c>
      <c r="M1" s="15" t="s">
        <v>7274</v>
      </c>
      <c r="N1" s="15" t="s">
        <v>7273</v>
      </c>
      <c r="O1" s="15" t="s">
        <v>7272</v>
      </c>
      <c r="P1" s="15" t="s">
        <v>7271</v>
      </c>
      <c r="Q1" s="15" t="s">
        <v>7270</v>
      </c>
      <c r="R1" s="20" t="s">
        <v>7269</v>
      </c>
      <c r="S1" s="15" t="s">
        <v>7268</v>
      </c>
      <c r="T1" s="15" t="s">
        <v>7268</v>
      </c>
      <c r="U1" s="15" t="s">
        <v>7267</v>
      </c>
      <c r="V1" s="20" t="s">
        <v>7266</v>
      </c>
      <c r="W1" s="15" t="s">
        <v>7265</v>
      </c>
      <c r="X1" s="14" t="s">
        <v>7264</v>
      </c>
      <c r="Y1" s="19" t="s">
        <v>7263</v>
      </c>
      <c r="Z1" s="18" t="s">
        <v>7248</v>
      </c>
      <c r="AA1" s="15" t="s">
        <v>7262</v>
      </c>
      <c r="AB1" s="15" t="s">
        <v>7261</v>
      </c>
      <c r="AC1" s="15" t="s">
        <v>7260</v>
      </c>
      <c r="AD1" s="15" t="s">
        <v>7259</v>
      </c>
      <c r="AE1" s="15" t="s">
        <v>7258</v>
      </c>
      <c r="AF1" s="15" t="s">
        <v>7257</v>
      </c>
      <c r="AG1" s="15" t="s">
        <v>7256</v>
      </c>
      <c r="AH1" s="15" t="s">
        <v>7255</v>
      </c>
      <c r="AI1" s="15" t="s">
        <v>7254</v>
      </c>
      <c r="AJ1" s="15" t="s">
        <v>7253</v>
      </c>
      <c r="AK1" s="14" t="s">
        <v>7252</v>
      </c>
      <c r="AL1" s="15" t="s">
        <v>7251</v>
      </c>
      <c r="AM1" s="17" t="s">
        <v>7250</v>
      </c>
      <c r="AN1" s="16" t="s">
        <v>7249</v>
      </c>
      <c r="AO1" s="16" t="s">
        <v>7248</v>
      </c>
      <c r="AP1" s="15" t="s">
        <v>7247</v>
      </c>
      <c r="AQ1" s="15" t="s">
        <v>7246</v>
      </c>
      <c r="AR1" s="15" t="s">
        <v>7245</v>
      </c>
      <c r="AS1" s="15" t="s">
        <v>7244</v>
      </c>
      <c r="AT1" s="14" t="s">
        <v>7243</v>
      </c>
      <c r="AU1" s="13" t="s">
        <v>7242</v>
      </c>
      <c r="AV1" s="13" t="s">
        <v>7241</v>
      </c>
      <c r="AW1" s="13" t="s">
        <v>7240</v>
      </c>
    </row>
    <row r="2" spans="1:49" x14ac:dyDescent="0.2">
      <c r="A2">
        <v>0</v>
      </c>
      <c r="B2" t="s">
        <v>7239</v>
      </c>
      <c r="C2" t="s">
        <v>7238</v>
      </c>
      <c r="F2" t="s">
        <v>7237</v>
      </c>
      <c r="G2" t="s">
        <v>13</v>
      </c>
      <c r="H2" t="s">
        <v>12</v>
      </c>
      <c r="I2" t="s">
        <v>7236</v>
      </c>
      <c r="J2" t="s">
        <v>7235</v>
      </c>
      <c r="K2" t="s">
        <v>7234</v>
      </c>
      <c r="L2" t="s">
        <v>7233</v>
      </c>
      <c r="M2" t="s">
        <v>7232</v>
      </c>
      <c r="N2">
        <v>1</v>
      </c>
      <c r="O2" t="s">
        <v>7231</v>
      </c>
      <c r="P2">
        <v>7004101219</v>
      </c>
      <c r="Q2" t="s">
        <v>7230</v>
      </c>
      <c r="R2" s="7">
        <v>30862</v>
      </c>
      <c r="S2" s="8">
        <f t="shared" ref="S2:S47" si="0">YEAR(R2)</f>
        <v>1984</v>
      </c>
      <c r="T2" s="8">
        <v>1984</v>
      </c>
      <c r="U2" s="8">
        <f t="shared" ref="U2:U47" si="1">2022-T2</f>
        <v>38</v>
      </c>
      <c r="V2" s="7">
        <v>30862</v>
      </c>
      <c r="W2" t="s">
        <v>7229</v>
      </c>
      <c r="X2" s="2" t="s">
        <v>45</v>
      </c>
      <c r="Y2" s="6" t="e">
        <f t="shared" ref="Y2:Y65" si="2">(X2-$Z$4)/($Z$3-$Z$4)</f>
        <v>#VALUE!</v>
      </c>
      <c r="AA2">
        <v>364827</v>
      </c>
      <c r="AB2">
        <v>13626</v>
      </c>
      <c r="AD2" t="s">
        <v>4</v>
      </c>
      <c r="AE2">
        <v>69</v>
      </c>
      <c r="AF2">
        <v>1</v>
      </c>
      <c r="AH2" t="s">
        <v>7228</v>
      </c>
      <c r="AI2" t="s">
        <v>7227</v>
      </c>
      <c r="AK2" t="s">
        <v>7226</v>
      </c>
      <c r="AL2">
        <v>18</v>
      </c>
      <c r="AM2" s="5">
        <f t="shared" ref="AM2:AM47" si="3">AL2/U2</f>
        <v>0.47368421052631576</v>
      </c>
      <c r="AN2" s="4">
        <f t="shared" ref="AN2:AN65" si="4">(AM2-$AO$4)/($AO$3-$AO$4)</f>
        <v>7.1743159489029266E-4</v>
      </c>
      <c r="AO2" s="3"/>
      <c r="AP2">
        <v>0</v>
      </c>
      <c r="AR2" t="s">
        <v>0</v>
      </c>
      <c r="AT2" s="2" t="s">
        <v>45</v>
      </c>
      <c r="AU2" s="1" t="e">
        <f t="shared" ref="AU2:AU47" si="5">(Y2*0.7+AN2*0.3)*100</f>
        <v>#VALUE!</v>
      </c>
      <c r="AV2" s="1" t="e">
        <f t="shared" ref="AV2:AV47" si="6">(Y2*0.5+AN2*0.5)*100</f>
        <v>#VALUE!</v>
      </c>
      <c r="AW2" s="1" t="e">
        <f t="shared" ref="AW2:AW47" si="7">(Y2*0.3+AN2*0.7)*100</f>
        <v>#VALUE!</v>
      </c>
    </row>
    <row r="3" spans="1:49" x14ac:dyDescent="0.2">
      <c r="A3">
        <v>1</v>
      </c>
      <c r="B3" t="s">
        <v>7225</v>
      </c>
      <c r="C3" t="s">
        <v>7224</v>
      </c>
      <c r="D3">
        <v>5272884901750</v>
      </c>
      <c r="F3" t="s">
        <v>7223</v>
      </c>
      <c r="G3" t="s">
        <v>13</v>
      </c>
      <c r="H3" t="s">
        <v>12</v>
      </c>
      <c r="I3" t="s">
        <v>7222</v>
      </c>
      <c r="J3" t="s">
        <v>7221</v>
      </c>
      <c r="K3" t="s">
        <v>7220</v>
      </c>
      <c r="L3" t="s">
        <v>7219</v>
      </c>
      <c r="M3" t="s">
        <v>206</v>
      </c>
      <c r="N3">
        <v>4</v>
      </c>
      <c r="O3" t="s">
        <v>7218</v>
      </c>
      <c r="P3" t="s">
        <v>7217</v>
      </c>
      <c r="Q3" t="s">
        <v>7216</v>
      </c>
      <c r="R3" s="7">
        <v>30859</v>
      </c>
      <c r="S3" s="8">
        <f t="shared" si="0"/>
        <v>1984</v>
      </c>
      <c r="T3" s="8">
        <v>1984</v>
      </c>
      <c r="U3" s="8">
        <f t="shared" si="1"/>
        <v>38</v>
      </c>
      <c r="V3" s="7">
        <v>30859</v>
      </c>
      <c r="W3" t="s">
        <v>6376</v>
      </c>
      <c r="X3" s="2">
        <v>1.59</v>
      </c>
      <c r="Y3" s="6">
        <f t="shared" si="2"/>
        <v>4.2444141907583888E-2</v>
      </c>
      <c r="Z3">
        <v>37.460999999999999</v>
      </c>
      <c r="AA3">
        <v>52728</v>
      </c>
      <c r="AB3">
        <v>16791</v>
      </c>
      <c r="AD3" t="s">
        <v>4</v>
      </c>
      <c r="AE3">
        <v>765</v>
      </c>
      <c r="AF3">
        <v>3</v>
      </c>
      <c r="AH3" t="s">
        <v>7215</v>
      </c>
      <c r="AI3" t="s">
        <v>7214</v>
      </c>
      <c r="AJ3" t="s">
        <v>7213</v>
      </c>
      <c r="AK3" t="s">
        <v>7212</v>
      </c>
      <c r="AL3">
        <v>127</v>
      </c>
      <c r="AM3" s="5">
        <f t="shared" si="3"/>
        <v>3.3421052631578947</v>
      </c>
      <c r="AN3" s="4">
        <f t="shared" si="4"/>
        <v>5.0618784750592876E-3</v>
      </c>
      <c r="AO3" s="3">
        <v>660.25</v>
      </c>
      <c r="AP3">
        <v>0</v>
      </c>
      <c r="AQ3" t="s">
        <v>48</v>
      </c>
      <c r="AR3" t="s">
        <v>0</v>
      </c>
      <c r="AS3" t="s">
        <v>46</v>
      </c>
      <c r="AT3" s="2" t="s">
        <v>45</v>
      </c>
      <c r="AU3" s="1">
        <f t="shared" si="5"/>
        <v>3.1229462877826504</v>
      </c>
      <c r="AV3" s="1">
        <f t="shared" si="6"/>
        <v>2.3753010191321589</v>
      </c>
      <c r="AW3" s="1">
        <f t="shared" si="7"/>
        <v>1.6276557504816664</v>
      </c>
    </row>
    <row r="4" spans="1:49" x14ac:dyDescent="0.2">
      <c r="A4">
        <v>2</v>
      </c>
      <c r="B4" t="s">
        <v>7211</v>
      </c>
      <c r="C4" t="s">
        <v>7210</v>
      </c>
      <c r="F4" t="s">
        <v>7209</v>
      </c>
      <c r="G4" t="s">
        <v>13</v>
      </c>
      <c r="H4" t="s">
        <v>12</v>
      </c>
      <c r="I4" t="s">
        <v>7208</v>
      </c>
      <c r="J4">
        <v>60025225</v>
      </c>
      <c r="K4" t="s">
        <v>5089</v>
      </c>
      <c r="L4" t="s">
        <v>5088</v>
      </c>
      <c r="M4" t="s">
        <v>167</v>
      </c>
      <c r="N4">
        <v>2</v>
      </c>
      <c r="O4" t="s">
        <v>7207</v>
      </c>
      <c r="P4" t="s">
        <v>7206</v>
      </c>
      <c r="Q4" t="s">
        <v>7205</v>
      </c>
      <c r="R4" s="7">
        <v>30854</v>
      </c>
      <c r="S4" s="8">
        <f t="shared" si="0"/>
        <v>1984</v>
      </c>
      <c r="T4" s="8">
        <v>1984</v>
      </c>
      <c r="U4" s="8">
        <f t="shared" si="1"/>
        <v>38</v>
      </c>
      <c r="V4" s="7">
        <v>30854</v>
      </c>
      <c r="W4" t="s">
        <v>6337</v>
      </c>
      <c r="X4" s="2">
        <v>0.375</v>
      </c>
      <c r="Y4" s="6">
        <f t="shared" si="2"/>
        <v>1.0010410827260351E-2</v>
      </c>
      <c r="Z4">
        <v>0</v>
      </c>
      <c r="AA4">
        <v>135194</v>
      </c>
      <c r="AB4">
        <v>24918</v>
      </c>
      <c r="AD4" t="s">
        <v>4</v>
      </c>
      <c r="AE4">
        <v>20</v>
      </c>
      <c r="AF4">
        <v>13</v>
      </c>
      <c r="AH4" t="s">
        <v>7204</v>
      </c>
      <c r="AI4" t="s">
        <v>7203</v>
      </c>
      <c r="AJ4" t="s">
        <v>6364</v>
      </c>
      <c r="AK4" t="s">
        <v>7202</v>
      </c>
      <c r="AL4">
        <v>0</v>
      </c>
      <c r="AM4" s="5">
        <f t="shared" si="3"/>
        <v>0</v>
      </c>
      <c r="AN4" s="4">
        <f t="shared" si="4"/>
        <v>0</v>
      </c>
      <c r="AO4" s="3">
        <v>0</v>
      </c>
      <c r="AP4">
        <v>0</v>
      </c>
      <c r="AR4" t="s">
        <v>0</v>
      </c>
      <c r="AT4" s="2">
        <v>1.3140000000000001</v>
      </c>
      <c r="AU4" s="1">
        <f t="shared" si="5"/>
        <v>0.70072875790822453</v>
      </c>
      <c r="AV4" s="1">
        <f t="shared" si="6"/>
        <v>0.5005205413630176</v>
      </c>
      <c r="AW4" s="1">
        <f t="shared" si="7"/>
        <v>0.30031232481781051</v>
      </c>
    </row>
    <row r="5" spans="1:49" x14ac:dyDescent="0.2">
      <c r="A5">
        <v>3</v>
      </c>
      <c r="B5" t="s">
        <v>7201</v>
      </c>
      <c r="C5" t="s">
        <v>7200</v>
      </c>
      <c r="F5" t="s">
        <v>7199</v>
      </c>
      <c r="G5" t="s">
        <v>13</v>
      </c>
      <c r="H5" t="s">
        <v>12</v>
      </c>
      <c r="I5" t="s">
        <v>7198</v>
      </c>
      <c r="J5" t="s">
        <v>7197</v>
      </c>
      <c r="K5" t="s">
        <v>7196</v>
      </c>
      <c r="L5" t="s">
        <v>7195</v>
      </c>
      <c r="M5" t="s">
        <v>7194</v>
      </c>
      <c r="N5">
        <v>3</v>
      </c>
      <c r="O5" t="s">
        <v>7193</v>
      </c>
      <c r="P5" t="s">
        <v>7192</v>
      </c>
      <c r="Q5" t="s">
        <v>7191</v>
      </c>
      <c r="R5" s="7">
        <v>30854</v>
      </c>
      <c r="S5" s="8">
        <f t="shared" si="0"/>
        <v>1984</v>
      </c>
      <c r="T5" s="8">
        <v>1984</v>
      </c>
      <c r="U5" s="8">
        <f t="shared" si="1"/>
        <v>38</v>
      </c>
      <c r="V5" s="7">
        <v>30854</v>
      </c>
      <c r="W5" t="s">
        <v>6337</v>
      </c>
      <c r="X5" s="2">
        <v>0.375</v>
      </c>
      <c r="Y5" s="6">
        <f t="shared" si="2"/>
        <v>1.0010410827260351E-2</v>
      </c>
      <c r="AA5">
        <v>135194</v>
      </c>
      <c r="AB5">
        <v>24918</v>
      </c>
      <c r="AD5" t="s">
        <v>4</v>
      </c>
      <c r="AE5">
        <v>20</v>
      </c>
      <c r="AF5">
        <v>13</v>
      </c>
      <c r="AH5" t="s">
        <v>7190</v>
      </c>
      <c r="AI5" t="s">
        <v>7189</v>
      </c>
      <c r="AJ5" t="s">
        <v>7188</v>
      </c>
      <c r="AK5" t="s">
        <v>7187</v>
      </c>
      <c r="AL5">
        <v>0</v>
      </c>
      <c r="AM5" s="5">
        <f t="shared" si="3"/>
        <v>0</v>
      </c>
      <c r="AN5" s="4">
        <f t="shared" si="4"/>
        <v>0</v>
      </c>
      <c r="AO5" s="3"/>
      <c r="AP5">
        <v>0</v>
      </c>
      <c r="AR5" t="s">
        <v>0</v>
      </c>
      <c r="AT5" s="2">
        <v>1.3140000000000001</v>
      </c>
      <c r="AU5" s="1">
        <f t="shared" si="5"/>
        <v>0.70072875790822453</v>
      </c>
      <c r="AV5" s="1">
        <f t="shared" si="6"/>
        <v>0.5005205413630176</v>
      </c>
      <c r="AW5" s="1">
        <f t="shared" si="7"/>
        <v>0.30031232481781051</v>
      </c>
    </row>
    <row r="6" spans="1:49" x14ac:dyDescent="0.2">
      <c r="A6">
        <v>4</v>
      </c>
      <c r="B6" t="s">
        <v>7186</v>
      </c>
      <c r="C6" t="s">
        <v>7185</v>
      </c>
      <c r="D6">
        <v>14579384805013</v>
      </c>
      <c r="F6" t="s">
        <v>7184</v>
      </c>
      <c r="G6" t="s">
        <v>13</v>
      </c>
      <c r="H6" t="s">
        <v>12</v>
      </c>
      <c r="I6" t="s">
        <v>7183</v>
      </c>
      <c r="J6">
        <v>60025641</v>
      </c>
      <c r="K6" t="s">
        <v>7182</v>
      </c>
      <c r="L6" t="s">
        <v>7181</v>
      </c>
      <c r="M6" t="s">
        <v>142</v>
      </c>
      <c r="N6">
        <v>3</v>
      </c>
      <c r="O6" t="s">
        <v>7180</v>
      </c>
      <c r="P6" t="s">
        <v>7179</v>
      </c>
      <c r="Q6" t="s">
        <v>7178</v>
      </c>
      <c r="R6" s="7">
        <v>30844</v>
      </c>
      <c r="S6" s="8">
        <f t="shared" si="0"/>
        <v>1984</v>
      </c>
      <c r="T6" s="8">
        <v>1984</v>
      </c>
      <c r="U6" s="8">
        <f t="shared" si="1"/>
        <v>38</v>
      </c>
      <c r="V6" s="7">
        <v>30844</v>
      </c>
      <c r="W6" t="s">
        <v>6350</v>
      </c>
      <c r="X6" s="2">
        <v>1.593</v>
      </c>
      <c r="Y6" s="6">
        <f t="shared" si="2"/>
        <v>4.2524225194201973E-2</v>
      </c>
      <c r="AA6">
        <v>145793</v>
      </c>
      <c r="AB6">
        <v>17481</v>
      </c>
      <c r="AD6" t="s">
        <v>4</v>
      </c>
      <c r="AE6">
        <v>171</v>
      </c>
      <c r="AF6">
        <v>2</v>
      </c>
      <c r="AH6" t="s">
        <v>7177</v>
      </c>
      <c r="AI6" t="s">
        <v>7176</v>
      </c>
      <c r="AJ6" t="s">
        <v>7175</v>
      </c>
      <c r="AK6" t="s">
        <v>7174</v>
      </c>
      <c r="AL6">
        <v>14</v>
      </c>
      <c r="AM6" s="5">
        <f t="shared" si="3"/>
        <v>0.36842105263157893</v>
      </c>
      <c r="AN6" s="4">
        <f t="shared" si="4"/>
        <v>5.5800235158133874E-4</v>
      </c>
      <c r="AO6" s="3"/>
      <c r="AP6">
        <v>1</v>
      </c>
      <c r="AR6" t="s">
        <v>0</v>
      </c>
      <c r="AT6" s="2">
        <v>4.1239999999999997</v>
      </c>
      <c r="AU6" s="1">
        <f t="shared" si="5"/>
        <v>2.9934358341415783</v>
      </c>
      <c r="AV6" s="1">
        <f t="shared" si="6"/>
        <v>2.1541113772891656</v>
      </c>
      <c r="AW6" s="1">
        <f t="shared" si="7"/>
        <v>1.3147869204367528</v>
      </c>
    </row>
    <row r="7" spans="1:49" x14ac:dyDescent="0.2">
      <c r="A7">
        <v>5</v>
      </c>
      <c r="B7" t="s">
        <v>7173</v>
      </c>
      <c r="C7" t="s">
        <v>7172</v>
      </c>
      <c r="F7" t="s">
        <v>7171</v>
      </c>
      <c r="G7" t="s">
        <v>13</v>
      </c>
      <c r="H7" t="s">
        <v>12</v>
      </c>
      <c r="I7" t="s">
        <v>7170</v>
      </c>
      <c r="J7">
        <v>60032350</v>
      </c>
      <c r="K7" t="s">
        <v>7169</v>
      </c>
      <c r="L7" t="s">
        <v>7168</v>
      </c>
      <c r="M7" t="s">
        <v>3391</v>
      </c>
      <c r="N7">
        <v>1</v>
      </c>
      <c r="O7" t="s">
        <v>7167</v>
      </c>
      <c r="P7">
        <v>7003386560</v>
      </c>
      <c r="Q7">
        <v>60032350</v>
      </c>
      <c r="R7" s="7">
        <v>30834</v>
      </c>
      <c r="S7" s="8">
        <f t="shared" si="0"/>
        <v>1984</v>
      </c>
      <c r="T7" s="8">
        <v>1984</v>
      </c>
      <c r="U7" s="8">
        <f t="shared" si="1"/>
        <v>38</v>
      </c>
      <c r="V7" s="7">
        <v>30834</v>
      </c>
      <c r="W7" t="s">
        <v>7166</v>
      </c>
      <c r="X7" s="2" t="s">
        <v>45</v>
      </c>
      <c r="Y7" s="6" t="e">
        <f t="shared" si="2"/>
        <v>#VALUE!</v>
      </c>
      <c r="AA7" t="s">
        <v>7165</v>
      </c>
      <c r="AB7">
        <v>12100155632</v>
      </c>
      <c r="AC7" t="s">
        <v>7164</v>
      </c>
      <c r="AD7" t="s">
        <v>4</v>
      </c>
      <c r="AE7">
        <v>40</v>
      </c>
      <c r="AF7">
        <v>8</v>
      </c>
      <c r="AH7" t="s">
        <v>7163</v>
      </c>
      <c r="AI7" t="s">
        <v>7162</v>
      </c>
      <c r="AJ7" t="s">
        <v>7161</v>
      </c>
      <c r="AK7" t="s">
        <v>7160</v>
      </c>
      <c r="AL7">
        <v>3</v>
      </c>
      <c r="AM7" s="5">
        <f t="shared" si="3"/>
        <v>7.8947368421052627E-2</v>
      </c>
      <c r="AN7" s="4">
        <f t="shared" si="4"/>
        <v>1.1957193248171546E-4</v>
      </c>
      <c r="AO7" s="3"/>
      <c r="AP7">
        <v>0</v>
      </c>
      <c r="AR7" t="s">
        <v>0</v>
      </c>
      <c r="AT7" s="2" t="s">
        <v>45</v>
      </c>
      <c r="AU7" s="1" t="e">
        <f t="shared" si="5"/>
        <v>#VALUE!</v>
      </c>
      <c r="AV7" s="1" t="e">
        <f t="shared" si="6"/>
        <v>#VALUE!</v>
      </c>
      <c r="AW7" s="1" t="e">
        <f t="shared" si="7"/>
        <v>#VALUE!</v>
      </c>
    </row>
    <row r="8" spans="1:49" x14ac:dyDescent="0.2">
      <c r="A8">
        <v>6</v>
      </c>
      <c r="B8" t="s">
        <v>7159</v>
      </c>
      <c r="C8" t="s">
        <v>7158</v>
      </c>
      <c r="F8" t="s">
        <v>7157</v>
      </c>
      <c r="G8" t="s">
        <v>13</v>
      </c>
      <c r="H8" t="s">
        <v>12</v>
      </c>
      <c r="I8" t="s">
        <v>6466</v>
      </c>
      <c r="J8">
        <v>60031855</v>
      </c>
      <c r="K8" t="s">
        <v>7156</v>
      </c>
      <c r="L8" t="s">
        <v>6489</v>
      </c>
      <c r="M8" t="s">
        <v>125</v>
      </c>
      <c r="N8">
        <v>1</v>
      </c>
      <c r="O8" t="s">
        <v>7155</v>
      </c>
      <c r="P8">
        <v>56266126900</v>
      </c>
      <c r="Q8">
        <v>60031855</v>
      </c>
      <c r="R8" s="7">
        <v>30834</v>
      </c>
      <c r="S8" s="8">
        <f t="shared" si="0"/>
        <v>1984</v>
      </c>
      <c r="T8" s="8">
        <v>1984</v>
      </c>
      <c r="U8" s="8">
        <f t="shared" si="1"/>
        <v>38</v>
      </c>
      <c r="V8" s="7">
        <v>30834</v>
      </c>
      <c r="W8" t="s">
        <v>7154</v>
      </c>
      <c r="X8" s="2">
        <v>0.63100000000000001</v>
      </c>
      <c r="Y8" s="6">
        <f t="shared" si="2"/>
        <v>1.6844184618670086E-2</v>
      </c>
      <c r="AA8">
        <v>2506335</v>
      </c>
      <c r="AB8">
        <v>27688</v>
      </c>
      <c r="AC8">
        <v>9737758</v>
      </c>
      <c r="AD8" t="s">
        <v>4</v>
      </c>
      <c r="AE8">
        <v>5</v>
      </c>
      <c r="AF8">
        <v>2</v>
      </c>
      <c r="AH8" t="s">
        <v>7153</v>
      </c>
      <c r="AI8" t="s">
        <v>7152</v>
      </c>
      <c r="AJ8" t="s">
        <v>7151</v>
      </c>
      <c r="AK8" t="s">
        <v>7150</v>
      </c>
      <c r="AL8">
        <v>11</v>
      </c>
      <c r="AM8" s="5">
        <f t="shared" si="3"/>
        <v>0.28947368421052633</v>
      </c>
      <c r="AN8" s="4">
        <f t="shared" si="4"/>
        <v>4.3843041909962335E-4</v>
      </c>
      <c r="AO8" s="3"/>
      <c r="AP8">
        <v>0</v>
      </c>
      <c r="AR8" t="s">
        <v>0</v>
      </c>
      <c r="AT8" s="2" t="s">
        <v>45</v>
      </c>
      <c r="AU8" s="1">
        <f t="shared" si="5"/>
        <v>1.1922458358798946</v>
      </c>
      <c r="AV8" s="1">
        <f t="shared" si="6"/>
        <v>0.86413075188848543</v>
      </c>
      <c r="AW8" s="1">
        <f t="shared" si="7"/>
        <v>0.53601566789707622</v>
      </c>
    </row>
    <row r="9" spans="1:49" x14ac:dyDescent="0.2">
      <c r="A9">
        <v>7</v>
      </c>
      <c r="B9" t="s">
        <v>7149</v>
      </c>
      <c r="C9" t="s">
        <v>7148</v>
      </c>
      <c r="F9" t="s">
        <v>7147</v>
      </c>
      <c r="G9" t="s">
        <v>13</v>
      </c>
      <c r="H9" t="s">
        <v>12</v>
      </c>
      <c r="I9" t="s">
        <v>7146</v>
      </c>
      <c r="J9">
        <v>60023392</v>
      </c>
      <c r="K9" t="s">
        <v>7145</v>
      </c>
      <c r="L9" t="s">
        <v>4500</v>
      </c>
      <c r="M9" t="s">
        <v>85</v>
      </c>
      <c r="N9">
        <v>2</v>
      </c>
      <c r="O9" t="s">
        <v>7144</v>
      </c>
      <c r="P9" t="s">
        <v>7143</v>
      </c>
      <c r="Q9" t="s">
        <v>7142</v>
      </c>
      <c r="R9" s="7">
        <v>30834</v>
      </c>
      <c r="S9" s="8">
        <f t="shared" si="0"/>
        <v>1984</v>
      </c>
      <c r="T9" s="8">
        <v>1984</v>
      </c>
      <c r="U9" s="8">
        <f t="shared" si="1"/>
        <v>38</v>
      </c>
      <c r="V9" s="7">
        <v>30834</v>
      </c>
      <c r="W9" t="s">
        <v>7141</v>
      </c>
      <c r="X9" s="2">
        <v>1.1579999999999999</v>
      </c>
      <c r="Y9" s="6">
        <f t="shared" si="2"/>
        <v>3.0912148634579962E-2</v>
      </c>
      <c r="AA9">
        <v>1668595</v>
      </c>
      <c r="AB9">
        <v>14223</v>
      </c>
      <c r="AC9">
        <v>15735079</v>
      </c>
      <c r="AD9" t="s">
        <v>4</v>
      </c>
      <c r="AE9">
        <v>5</v>
      </c>
      <c r="AF9">
        <v>2</v>
      </c>
      <c r="AH9" t="s">
        <v>7140</v>
      </c>
      <c r="AI9" t="s">
        <v>7139</v>
      </c>
      <c r="AJ9" t="s">
        <v>7138</v>
      </c>
      <c r="AK9" t="s">
        <v>7137</v>
      </c>
      <c r="AL9">
        <v>102</v>
      </c>
      <c r="AM9" s="5">
        <f t="shared" si="3"/>
        <v>2.6842105263157894</v>
      </c>
      <c r="AN9" s="4">
        <f t="shared" si="4"/>
        <v>4.0654457043783256E-3</v>
      </c>
      <c r="AO9" s="3"/>
      <c r="AP9">
        <v>0</v>
      </c>
      <c r="AR9" t="s">
        <v>0</v>
      </c>
      <c r="AT9" s="2">
        <v>3.573</v>
      </c>
      <c r="AU9" s="1">
        <f t="shared" si="5"/>
        <v>2.2858137755519472</v>
      </c>
      <c r="AV9" s="1">
        <f t="shared" si="6"/>
        <v>1.7488797169479142</v>
      </c>
      <c r="AW9" s="1">
        <f t="shared" si="7"/>
        <v>1.2119456583438815</v>
      </c>
    </row>
    <row r="10" spans="1:49" x14ac:dyDescent="0.2">
      <c r="A10">
        <v>8</v>
      </c>
      <c r="B10" t="s">
        <v>7136</v>
      </c>
      <c r="C10" t="s">
        <v>7135</v>
      </c>
      <c r="F10" t="s">
        <v>7134</v>
      </c>
      <c r="G10" t="s">
        <v>13</v>
      </c>
      <c r="H10" t="s">
        <v>12</v>
      </c>
      <c r="I10" t="s">
        <v>7133</v>
      </c>
      <c r="N10">
        <v>1</v>
      </c>
      <c r="O10" t="s">
        <v>7132</v>
      </c>
      <c r="P10">
        <v>7102133433</v>
      </c>
      <c r="R10" s="7">
        <v>30834</v>
      </c>
      <c r="S10" s="8">
        <f t="shared" si="0"/>
        <v>1984</v>
      </c>
      <c r="T10" s="8">
        <v>1984</v>
      </c>
      <c r="U10" s="8">
        <f t="shared" si="1"/>
        <v>38</v>
      </c>
      <c r="V10" s="7">
        <v>30834</v>
      </c>
      <c r="W10" t="s">
        <v>6434</v>
      </c>
      <c r="X10" s="2">
        <v>0.14899999999999999</v>
      </c>
      <c r="Y10" s="6">
        <f t="shared" si="2"/>
        <v>3.977469902031446E-3</v>
      </c>
      <c r="AA10">
        <v>5431972</v>
      </c>
      <c r="AB10">
        <v>15425</v>
      </c>
      <c r="AC10">
        <v>15738906</v>
      </c>
      <c r="AD10" t="s">
        <v>4</v>
      </c>
      <c r="AE10">
        <v>27</v>
      </c>
      <c r="AF10">
        <v>6</v>
      </c>
      <c r="AH10" t="s">
        <v>7131</v>
      </c>
      <c r="AL10">
        <v>0</v>
      </c>
      <c r="AM10" s="5">
        <f t="shared" si="3"/>
        <v>0</v>
      </c>
      <c r="AN10" s="4">
        <f t="shared" si="4"/>
        <v>0</v>
      </c>
      <c r="AO10" s="3"/>
      <c r="AP10">
        <v>0</v>
      </c>
      <c r="AR10" t="s">
        <v>0</v>
      </c>
      <c r="AT10" s="2" t="s">
        <v>45</v>
      </c>
      <c r="AU10" s="1">
        <f t="shared" si="5"/>
        <v>0.2784228931422012</v>
      </c>
      <c r="AV10" s="1">
        <f t="shared" si="6"/>
        <v>0.19887349510157229</v>
      </c>
      <c r="AW10" s="1">
        <f t="shared" si="7"/>
        <v>0.11932409706094337</v>
      </c>
    </row>
    <row r="11" spans="1:49" x14ac:dyDescent="0.2">
      <c r="A11">
        <v>9</v>
      </c>
      <c r="B11" t="s">
        <v>7130</v>
      </c>
      <c r="C11" t="s">
        <v>7129</v>
      </c>
      <c r="F11" t="s">
        <v>7128</v>
      </c>
      <c r="G11" t="s">
        <v>13</v>
      </c>
      <c r="H11" t="s">
        <v>12</v>
      </c>
      <c r="I11" t="s">
        <v>7127</v>
      </c>
      <c r="N11">
        <v>1</v>
      </c>
      <c r="O11" t="s">
        <v>7126</v>
      </c>
      <c r="P11">
        <v>57225422122</v>
      </c>
      <c r="R11" s="7">
        <v>30834</v>
      </c>
      <c r="S11" s="8">
        <f t="shared" si="0"/>
        <v>1984</v>
      </c>
      <c r="T11" s="8">
        <v>1984</v>
      </c>
      <c r="U11" s="8">
        <f t="shared" si="1"/>
        <v>38</v>
      </c>
      <c r="V11" s="7">
        <v>30834</v>
      </c>
      <c r="W11" t="s">
        <v>6434</v>
      </c>
      <c r="X11" s="2">
        <v>0.14899999999999999</v>
      </c>
      <c r="Y11" s="6">
        <f t="shared" si="2"/>
        <v>3.977469902031446E-3</v>
      </c>
      <c r="AA11">
        <v>5431972</v>
      </c>
      <c r="AB11">
        <v>15425</v>
      </c>
      <c r="AC11">
        <v>15738906</v>
      </c>
      <c r="AD11" t="s">
        <v>4</v>
      </c>
      <c r="AE11">
        <v>27</v>
      </c>
      <c r="AF11">
        <v>6</v>
      </c>
      <c r="AH11" t="s">
        <v>7125</v>
      </c>
      <c r="AL11">
        <v>0</v>
      </c>
      <c r="AM11" s="5">
        <f t="shared" si="3"/>
        <v>0</v>
      </c>
      <c r="AN11" s="4">
        <f t="shared" si="4"/>
        <v>0</v>
      </c>
      <c r="AO11" s="3"/>
      <c r="AP11">
        <v>0</v>
      </c>
      <c r="AR11" t="s">
        <v>0</v>
      </c>
      <c r="AT11" s="2" t="s">
        <v>45</v>
      </c>
      <c r="AU11" s="1">
        <f t="shared" si="5"/>
        <v>0.2784228931422012</v>
      </c>
      <c r="AV11" s="1">
        <f t="shared" si="6"/>
        <v>0.19887349510157229</v>
      </c>
      <c r="AW11" s="1">
        <f t="shared" si="7"/>
        <v>0.11932409706094337</v>
      </c>
    </row>
    <row r="12" spans="1:49" x14ac:dyDescent="0.2">
      <c r="A12">
        <v>10</v>
      </c>
      <c r="B12" t="s">
        <v>7124</v>
      </c>
      <c r="C12" t="s">
        <v>7123</v>
      </c>
      <c r="F12" t="s">
        <v>7122</v>
      </c>
      <c r="G12" t="s">
        <v>13</v>
      </c>
      <c r="H12" t="s">
        <v>12</v>
      </c>
      <c r="I12" t="s">
        <v>7121</v>
      </c>
      <c r="N12">
        <v>3</v>
      </c>
      <c r="O12" t="s">
        <v>7120</v>
      </c>
      <c r="P12" t="s">
        <v>7119</v>
      </c>
      <c r="Q12" t="s">
        <v>8</v>
      </c>
      <c r="R12" s="7">
        <v>30834</v>
      </c>
      <c r="S12" s="8">
        <f t="shared" si="0"/>
        <v>1984</v>
      </c>
      <c r="T12" s="8">
        <v>1984</v>
      </c>
      <c r="U12" s="8">
        <f t="shared" si="1"/>
        <v>38</v>
      </c>
      <c r="V12" s="7">
        <v>30834</v>
      </c>
      <c r="W12" t="s">
        <v>6434</v>
      </c>
      <c r="X12" s="2">
        <v>0.14899999999999999</v>
      </c>
      <c r="Y12" s="6">
        <f t="shared" si="2"/>
        <v>3.977469902031446E-3</v>
      </c>
      <c r="AA12">
        <v>5431972</v>
      </c>
      <c r="AB12">
        <v>15425</v>
      </c>
      <c r="AC12">
        <v>15738906</v>
      </c>
      <c r="AD12" t="s">
        <v>4</v>
      </c>
      <c r="AE12">
        <v>27</v>
      </c>
      <c r="AF12">
        <v>6</v>
      </c>
      <c r="AH12" t="s">
        <v>7118</v>
      </c>
      <c r="AL12">
        <v>0</v>
      </c>
      <c r="AM12" s="5">
        <f t="shared" si="3"/>
        <v>0</v>
      </c>
      <c r="AN12" s="4">
        <f t="shared" si="4"/>
        <v>0</v>
      </c>
      <c r="AO12" s="3"/>
      <c r="AP12">
        <v>0</v>
      </c>
      <c r="AR12" t="s">
        <v>0</v>
      </c>
      <c r="AT12" s="2" t="s">
        <v>45</v>
      </c>
      <c r="AU12" s="1">
        <f t="shared" si="5"/>
        <v>0.2784228931422012</v>
      </c>
      <c r="AV12" s="1">
        <f t="shared" si="6"/>
        <v>0.19887349510157229</v>
      </c>
      <c r="AW12" s="1">
        <f t="shared" si="7"/>
        <v>0.11932409706094337</v>
      </c>
    </row>
    <row r="13" spans="1:49" x14ac:dyDescent="0.2">
      <c r="A13">
        <v>11</v>
      </c>
      <c r="B13" t="s">
        <v>7117</v>
      </c>
      <c r="F13" t="s">
        <v>7116</v>
      </c>
      <c r="G13" t="s">
        <v>13</v>
      </c>
      <c r="H13" t="s">
        <v>12</v>
      </c>
      <c r="I13" t="s">
        <v>7115</v>
      </c>
      <c r="N13">
        <v>2</v>
      </c>
      <c r="O13" t="s">
        <v>7114</v>
      </c>
      <c r="P13" t="s">
        <v>7113</v>
      </c>
      <c r="Q13" t="s">
        <v>266</v>
      </c>
      <c r="R13" s="7">
        <v>30834</v>
      </c>
      <c r="S13" s="8">
        <f t="shared" si="0"/>
        <v>1984</v>
      </c>
      <c r="T13" s="8">
        <v>1984</v>
      </c>
      <c r="U13" s="8">
        <f t="shared" si="1"/>
        <v>38</v>
      </c>
      <c r="V13" s="7">
        <v>30834</v>
      </c>
      <c r="W13" t="s">
        <v>1055</v>
      </c>
      <c r="X13" s="2" t="s">
        <v>45</v>
      </c>
      <c r="Y13" s="6" t="e">
        <f t="shared" si="2"/>
        <v>#VALUE!</v>
      </c>
      <c r="AA13">
        <v>337889</v>
      </c>
      <c r="AB13">
        <v>40920</v>
      </c>
      <c r="AD13" t="s">
        <v>4</v>
      </c>
      <c r="AE13">
        <v>29</v>
      </c>
      <c r="AF13">
        <v>6</v>
      </c>
      <c r="AH13" t="s">
        <v>7112</v>
      </c>
      <c r="AI13" t="s">
        <v>7111</v>
      </c>
      <c r="AK13" t="s">
        <v>7110</v>
      </c>
      <c r="AL13">
        <v>0</v>
      </c>
      <c r="AM13" s="5">
        <f t="shared" si="3"/>
        <v>0</v>
      </c>
      <c r="AN13" s="4">
        <f t="shared" si="4"/>
        <v>0</v>
      </c>
      <c r="AO13" s="3"/>
      <c r="AP13">
        <v>0</v>
      </c>
      <c r="AR13" t="s">
        <v>0</v>
      </c>
      <c r="AT13" s="2" t="s">
        <v>45</v>
      </c>
      <c r="AU13" s="1" t="e">
        <f t="shared" si="5"/>
        <v>#VALUE!</v>
      </c>
      <c r="AV13" s="1" t="e">
        <f t="shared" si="6"/>
        <v>#VALUE!</v>
      </c>
      <c r="AW13" s="1" t="e">
        <f t="shared" si="7"/>
        <v>#VALUE!</v>
      </c>
    </row>
    <row r="14" spans="1:49" x14ac:dyDescent="0.2">
      <c r="A14">
        <v>12</v>
      </c>
      <c r="B14" t="s">
        <v>7109</v>
      </c>
      <c r="C14" t="s">
        <v>7108</v>
      </c>
      <c r="F14" t="s">
        <v>7107</v>
      </c>
      <c r="G14" t="s">
        <v>13</v>
      </c>
      <c r="H14" t="s">
        <v>12</v>
      </c>
      <c r="I14" t="s">
        <v>7106</v>
      </c>
      <c r="N14">
        <v>3</v>
      </c>
      <c r="O14" t="s">
        <v>7105</v>
      </c>
      <c r="P14" t="s">
        <v>7104</v>
      </c>
      <c r="Q14" t="s">
        <v>8</v>
      </c>
      <c r="R14" s="7">
        <v>30834</v>
      </c>
      <c r="S14" s="8">
        <f t="shared" si="0"/>
        <v>1984</v>
      </c>
      <c r="T14" s="8">
        <v>1984</v>
      </c>
      <c r="U14" s="8">
        <f t="shared" si="1"/>
        <v>38</v>
      </c>
      <c r="V14" s="7">
        <v>30834</v>
      </c>
      <c r="W14" t="s">
        <v>1018</v>
      </c>
      <c r="X14" s="2">
        <v>0.318</v>
      </c>
      <c r="Y14" s="6">
        <f t="shared" si="2"/>
        <v>8.4888283815167786E-3</v>
      </c>
      <c r="AA14">
        <v>338443</v>
      </c>
      <c r="AB14">
        <v>27160</v>
      </c>
      <c r="AC14">
        <v>15739120</v>
      </c>
      <c r="AD14" t="s">
        <v>4</v>
      </c>
      <c r="AE14">
        <v>27</v>
      </c>
      <c r="AF14">
        <v>6</v>
      </c>
      <c r="AH14" t="s">
        <v>7103</v>
      </c>
      <c r="AL14">
        <v>0</v>
      </c>
      <c r="AM14" s="5">
        <f t="shared" si="3"/>
        <v>0</v>
      </c>
      <c r="AN14" s="4">
        <f t="shared" si="4"/>
        <v>0</v>
      </c>
      <c r="AO14" s="3"/>
      <c r="AP14">
        <v>0</v>
      </c>
      <c r="AR14" t="s">
        <v>0</v>
      </c>
      <c r="AT14" s="2">
        <v>0.77</v>
      </c>
      <c r="AU14" s="1">
        <f t="shared" si="5"/>
        <v>0.59421798670617454</v>
      </c>
      <c r="AV14" s="1">
        <f t="shared" si="6"/>
        <v>0.42444141907583893</v>
      </c>
      <c r="AW14" s="1">
        <f t="shared" si="7"/>
        <v>0.25466485144550338</v>
      </c>
    </row>
    <row r="15" spans="1:49" x14ac:dyDescent="0.2">
      <c r="A15">
        <v>13</v>
      </c>
      <c r="B15" t="s">
        <v>7102</v>
      </c>
      <c r="F15" t="s">
        <v>7101</v>
      </c>
      <c r="G15" t="s">
        <v>13</v>
      </c>
      <c r="H15" t="s">
        <v>12</v>
      </c>
      <c r="I15" t="s">
        <v>7100</v>
      </c>
      <c r="N15">
        <v>1</v>
      </c>
      <c r="O15" t="s">
        <v>7099</v>
      </c>
      <c r="P15">
        <v>57192441006</v>
      </c>
      <c r="R15" s="7">
        <v>30834</v>
      </c>
      <c r="S15" s="8">
        <f t="shared" si="0"/>
        <v>1984</v>
      </c>
      <c r="T15" s="8">
        <v>1984</v>
      </c>
      <c r="U15" s="8">
        <f t="shared" si="1"/>
        <v>38</v>
      </c>
      <c r="V15" s="7">
        <v>30834</v>
      </c>
      <c r="W15" t="s">
        <v>364</v>
      </c>
      <c r="X15" s="2">
        <v>0.14099999999999999</v>
      </c>
      <c r="Y15" s="6">
        <f t="shared" si="2"/>
        <v>3.7639144710498915E-3</v>
      </c>
      <c r="AA15">
        <v>402508</v>
      </c>
      <c r="AB15">
        <v>20868</v>
      </c>
      <c r="AD15" t="s">
        <v>4</v>
      </c>
      <c r="AE15" t="s">
        <v>363</v>
      </c>
      <c r="AF15">
        <v>6</v>
      </c>
      <c r="AH15" t="s">
        <v>7098</v>
      </c>
      <c r="AI15" t="s">
        <v>7097</v>
      </c>
      <c r="AK15" t="s">
        <v>7096</v>
      </c>
      <c r="AL15">
        <v>0</v>
      </c>
      <c r="AM15" s="5">
        <f t="shared" si="3"/>
        <v>0</v>
      </c>
      <c r="AN15" s="4">
        <f t="shared" si="4"/>
        <v>0</v>
      </c>
      <c r="AO15" s="3"/>
      <c r="AP15">
        <v>0</v>
      </c>
      <c r="AR15" t="s">
        <v>0</v>
      </c>
      <c r="AT15" s="2" t="s">
        <v>45</v>
      </c>
      <c r="AU15" s="1">
        <f t="shared" si="5"/>
        <v>0.26347401297349238</v>
      </c>
      <c r="AV15" s="1">
        <f t="shared" si="6"/>
        <v>0.18819572355249459</v>
      </c>
      <c r="AW15" s="1">
        <f t="shared" si="7"/>
        <v>0.11291743413149673</v>
      </c>
    </row>
    <row r="16" spans="1:49" x14ac:dyDescent="0.2">
      <c r="A16">
        <v>14</v>
      </c>
      <c r="B16" t="s">
        <v>7095</v>
      </c>
      <c r="F16" t="s">
        <v>7094</v>
      </c>
      <c r="G16" t="s">
        <v>13</v>
      </c>
      <c r="H16" t="s">
        <v>12</v>
      </c>
      <c r="I16" t="s">
        <v>7093</v>
      </c>
      <c r="N16">
        <v>1</v>
      </c>
      <c r="O16" t="s">
        <v>7092</v>
      </c>
      <c r="P16">
        <v>7005792907</v>
      </c>
      <c r="R16" s="7">
        <v>30834</v>
      </c>
      <c r="S16" s="8">
        <f t="shared" si="0"/>
        <v>1984</v>
      </c>
      <c r="T16" s="8">
        <v>1984</v>
      </c>
      <c r="U16" s="8">
        <f t="shared" si="1"/>
        <v>38</v>
      </c>
      <c r="V16" s="7">
        <v>30834</v>
      </c>
      <c r="W16" t="s">
        <v>364</v>
      </c>
      <c r="X16" s="2">
        <v>0.14099999999999999</v>
      </c>
      <c r="Y16" s="6">
        <f t="shared" si="2"/>
        <v>3.7639144710498915E-3</v>
      </c>
      <c r="AA16">
        <v>402508</v>
      </c>
      <c r="AB16">
        <v>20868</v>
      </c>
      <c r="AD16" t="s">
        <v>4</v>
      </c>
      <c r="AE16" t="s">
        <v>363</v>
      </c>
      <c r="AF16">
        <v>6</v>
      </c>
      <c r="AH16" t="s">
        <v>7091</v>
      </c>
      <c r="AI16" t="s">
        <v>7090</v>
      </c>
      <c r="AK16" t="s">
        <v>7089</v>
      </c>
      <c r="AL16">
        <v>0</v>
      </c>
      <c r="AM16" s="5">
        <f t="shared" si="3"/>
        <v>0</v>
      </c>
      <c r="AN16" s="4">
        <f t="shared" si="4"/>
        <v>0</v>
      </c>
      <c r="AO16" s="3"/>
      <c r="AP16">
        <v>0</v>
      </c>
      <c r="AR16" t="s">
        <v>0</v>
      </c>
      <c r="AT16" s="2" t="s">
        <v>45</v>
      </c>
      <c r="AU16" s="1">
        <f t="shared" si="5"/>
        <v>0.26347401297349238</v>
      </c>
      <c r="AV16" s="1">
        <f t="shared" si="6"/>
        <v>0.18819572355249459</v>
      </c>
      <c r="AW16" s="1">
        <f t="shared" si="7"/>
        <v>0.11291743413149673</v>
      </c>
    </row>
    <row r="17" spans="1:49" x14ac:dyDescent="0.2">
      <c r="A17">
        <v>15</v>
      </c>
      <c r="B17" t="s">
        <v>7088</v>
      </c>
      <c r="F17" t="s">
        <v>7087</v>
      </c>
      <c r="G17" t="s">
        <v>13</v>
      </c>
      <c r="H17" t="s">
        <v>12</v>
      </c>
      <c r="I17" t="s">
        <v>7086</v>
      </c>
      <c r="N17">
        <v>1</v>
      </c>
      <c r="O17" t="s">
        <v>7085</v>
      </c>
      <c r="P17">
        <v>7102697880</v>
      </c>
      <c r="R17" s="7">
        <v>30834</v>
      </c>
      <c r="S17" s="8">
        <f t="shared" si="0"/>
        <v>1984</v>
      </c>
      <c r="T17" s="8">
        <v>1984</v>
      </c>
      <c r="U17" s="8">
        <f t="shared" si="1"/>
        <v>38</v>
      </c>
      <c r="V17" s="7">
        <v>30834</v>
      </c>
      <c r="W17" t="s">
        <v>1055</v>
      </c>
      <c r="X17" s="2" t="s">
        <v>45</v>
      </c>
      <c r="Y17" s="6" t="e">
        <f t="shared" si="2"/>
        <v>#VALUE!</v>
      </c>
      <c r="AA17">
        <v>337889</v>
      </c>
      <c r="AB17">
        <v>40920</v>
      </c>
      <c r="AD17" t="s">
        <v>4</v>
      </c>
      <c r="AE17">
        <v>29</v>
      </c>
      <c r="AF17">
        <v>6</v>
      </c>
      <c r="AH17" t="s">
        <v>7084</v>
      </c>
      <c r="AI17" t="s">
        <v>7083</v>
      </c>
      <c r="AK17" t="s">
        <v>7082</v>
      </c>
      <c r="AL17">
        <v>0</v>
      </c>
      <c r="AM17" s="5">
        <f t="shared" si="3"/>
        <v>0</v>
      </c>
      <c r="AN17" s="4">
        <f t="shared" si="4"/>
        <v>0</v>
      </c>
      <c r="AO17" s="3"/>
      <c r="AP17">
        <v>0</v>
      </c>
      <c r="AR17" t="s">
        <v>0</v>
      </c>
      <c r="AT17" s="2" t="s">
        <v>45</v>
      </c>
      <c r="AU17" s="1" t="e">
        <f t="shared" si="5"/>
        <v>#VALUE!</v>
      </c>
      <c r="AV17" s="1" t="e">
        <f t="shared" si="6"/>
        <v>#VALUE!</v>
      </c>
      <c r="AW17" s="1" t="e">
        <f t="shared" si="7"/>
        <v>#VALUE!</v>
      </c>
    </row>
    <row r="18" spans="1:49" x14ac:dyDescent="0.2">
      <c r="A18">
        <v>16</v>
      </c>
      <c r="B18" t="s">
        <v>7081</v>
      </c>
      <c r="F18" t="s">
        <v>7080</v>
      </c>
      <c r="G18" t="s">
        <v>13</v>
      </c>
      <c r="H18" t="s">
        <v>12</v>
      </c>
      <c r="I18" t="s">
        <v>557</v>
      </c>
      <c r="N18">
        <v>2</v>
      </c>
      <c r="O18" t="s">
        <v>7079</v>
      </c>
      <c r="P18" t="s">
        <v>7078</v>
      </c>
      <c r="Q18" t="s">
        <v>266</v>
      </c>
      <c r="R18" s="7">
        <v>30834</v>
      </c>
      <c r="S18" s="8">
        <f t="shared" si="0"/>
        <v>1984</v>
      </c>
      <c r="T18" s="8">
        <v>1984</v>
      </c>
      <c r="U18" s="8">
        <f t="shared" si="1"/>
        <v>38</v>
      </c>
      <c r="V18" s="7">
        <v>30834</v>
      </c>
      <c r="W18" t="s">
        <v>364</v>
      </c>
      <c r="X18" s="2">
        <v>0.14099999999999999</v>
      </c>
      <c r="Y18" s="6">
        <f t="shared" si="2"/>
        <v>3.7639144710498915E-3</v>
      </c>
      <c r="AA18">
        <v>402508</v>
      </c>
      <c r="AB18">
        <v>20868</v>
      </c>
      <c r="AD18" t="s">
        <v>4</v>
      </c>
      <c r="AE18" t="s">
        <v>363</v>
      </c>
      <c r="AF18">
        <v>6</v>
      </c>
      <c r="AH18" t="s">
        <v>7077</v>
      </c>
      <c r="AI18" t="s">
        <v>7076</v>
      </c>
      <c r="AK18" t="s">
        <v>7075</v>
      </c>
      <c r="AL18">
        <v>0</v>
      </c>
      <c r="AM18" s="5">
        <f t="shared" si="3"/>
        <v>0</v>
      </c>
      <c r="AN18" s="4">
        <f t="shared" si="4"/>
        <v>0</v>
      </c>
      <c r="AO18" s="3"/>
      <c r="AP18">
        <v>0</v>
      </c>
      <c r="AR18" t="s">
        <v>0</v>
      </c>
      <c r="AT18" s="2" t="s">
        <v>45</v>
      </c>
      <c r="AU18" s="1">
        <f t="shared" si="5"/>
        <v>0.26347401297349238</v>
      </c>
      <c r="AV18" s="1">
        <f t="shared" si="6"/>
        <v>0.18819572355249459</v>
      </c>
      <c r="AW18" s="1">
        <f t="shared" si="7"/>
        <v>0.11291743413149673</v>
      </c>
    </row>
    <row r="19" spans="1:49" x14ac:dyDescent="0.2">
      <c r="A19">
        <v>17</v>
      </c>
      <c r="B19" t="s">
        <v>7074</v>
      </c>
      <c r="F19" t="s">
        <v>7073</v>
      </c>
      <c r="G19" t="s">
        <v>13</v>
      </c>
      <c r="H19" t="s">
        <v>12</v>
      </c>
      <c r="I19" t="s">
        <v>7072</v>
      </c>
      <c r="J19">
        <v>60029470</v>
      </c>
      <c r="K19" t="s">
        <v>4501</v>
      </c>
      <c r="L19" t="s">
        <v>4500</v>
      </c>
      <c r="M19" t="s">
        <v>85</v>
      </c>
      <c r="N19">
        <v>2</v>
      </c>
      <c r="O19" t="s">
        <v>7071</v>
      </c>
      <c r="P19" t="s">
        <v>7070</v>
      </c>
      <c r="Q19" t="s">
        <v>7069</v>
      </c>
      <c r="R19" s="7">
        <v>30834</v>
      </c>
      <c r="S19" s="8">
        <f t="shared" si="0"/>
        <v>1984</v>
      </c>
      <c r="T19" s="8">
        <v>1984</v>
      </c>
      <c r="U19" s="8">
        <f t="shared" si="1"/>
        <v>38</v>
      </c>
      <c r="V19" s="7">
        <v>30834</v>
      </c>
      <c r="W19" t="s">
        <v>1559</v>
      </c>
      <c r="X19" s="2">
        <v>0.14099999999999999</v>
      </c>
      <c r="Y19" s="6">
        <f t="shared" si="2"/>
        <v>3.7639144710498915E-3</v>
      </c>
      <c r="AA19">
        <v>7252986</v>
      </c>
      <c r="AB19">
        <v>18037</v>
      </c>
      <c r="AD19" t="s">
        <v>4</v>
      </c>
      <c r="AE19">
        <v>4</v>
      </c>
      <c r="AF19">
        <v>2</v>
      </c>
      <c r="AH19" t="s">
        <v>7068</v>
      </c>
      <c r="AI19" t="s">
        <v>7067</v>
      </c>
      <c r="AK19" t="s">
        <v>7066</v>
      </c>
      <c r="AL19">
        <v>0</v>
      </c>
      <c r="AM19" s="5">
        <f t="shared" si="3"/>
        <v>0</v>
      </c>
      <c r="AN19" s="4">
        <f t="shared" si="4"/>
        <v>0</v>
      </c>
      <c r="AO19" s="3"/>
      <c r="AP19">
        <v>0</v>
      </c>
      <c r="AR19" t="s">
        <v>0</v>
      </c>
      <c r="AT19" s="2" t="s">
        <v>45</v>
      </c>
      <c r="AU19" s="1">
        <f t="shared" si="5"/>
        <v>0.26347401297349238</v>
      </c>
      <c r="AV19" s="1">
        <f t="shared" si="6"/>
        <v>0.18819572355249459</v>
      </c>
      <c r="AW19" s="1">
        <f t="shared" si="7"/>
        <v>0.11291743413149673</v>
      </c>
    </row>
    <row r="20" spans="1:49" x14ac:dyDescent="0.2">
      <c r="A20">
        <v>18</v>
      </c>
      <c r="B20" t="s">
        <v>7065</v>
      </c>
      <c r="F20" t="s">
        <v>7064</v>
      </c>
      <c r="G20" t="s">
        <v>13</v>
      </c>
      <c r="H20" t="s">
        <v>12</v>
      </c>
      <c r="I20" t="s">
        <v>7063</v>
      </c>
      <c r="N20">
        <v>4</v>
      </c>
      <c r="O20" t="s">
        <v>7062</v>
      </c>
      <c r="P20" t="s">
        <v>7061</v>
      </c>
      <c r="Q20" t="s">
        <v>525</v>
      </c>
      <c r="R20" s="7">
        <v>30834</v>
      </c>
      <c r="S20" s="8">
        <f t="shared" si="0"/>
        <v>1984</v>
      </c>
      <c r="T20" s="8">
        <v>1984</v>
      </c>
      <c r="U20" s="8">
        <f t="shared" si="1"/>
        <v>38</v>
      </c>
      <c r="V20" s="7">
        <v>30834</v>
      </c>
      <c r="W20" t="s">
        <v>1055</v>
      </c>
      <c r="X20" s="2" t="s">
        <v>45</v>
      </c>
      <c r="Y20" s="6" t="e">
        <f t="shared" si="2"/>
        <v>#VALUE!</v>
      </c>
      <c r="AA20">
        <v>337889</v>
      </c>
      <c r="AB20">
        <v>40920</v>
      </c>
      <c r="AD20" t="s">
        <v>4</v>
      </c>
      <c r="AE20">
        <v>29</v>
      </c>
      <c r="AF20">
        <v>6</v>
      </c>
      <c r="AH20" t="s">
        <v>7060</v>
      </c>
      <c r="AI20" t="s">
        <v>7059</v>
      </c>
      <c r="AK20" t="s">
        <v>7058</v>
      </c>
      <c r="AL20">
        <v>0</v>
      </c>
      <c r="AM20" s="5">
        <f t="shared" si="3"/>
        <v>0</v>
      </c>
      <c r="AN20" s="4">
        <f t="shared" si="4"/>
        <v>0</v>
      </c>
      <c r="AO20" s="3"/>
      <c r="AP20">
        <v>0</v>
      </c>
      <c r="AR20" t="s">
        <v>0</v>
      </c>
      <c r="AT20" s="2" t="s">
        <v>45</v>
      </c>
      <c r="AU20" s="1" t="e">
        <f t="shared" si="5"/>
        <v>#VALUE!</v>
      </c>
      <c r="AV20" s="1" t="e">
        <f t="shared" si="6"/>
        <v>#VALUE!</v>
      </c>
      <c r="AW20" s="1" t="e">
        <f t="shared" si="7"/>
        <v>#VALUE!</v>
      </c>
    </row>
    <row r="21" spans="1:49" x14ac:dyDescent="0.2">
      <c r="A21">
        <v>19</v>
      </c>
      <c r="B21" t="s">
        <v>7057</v>
      </c>
      <c r="F21" t="s">
        <v>7056</v>
      </c>
      <c r="G21" t="s">
        <v>13</v>
      </c>
      <c r="H21" t="s">
        <v>12</v>
      </c>
      <c r="I21" t="s">
        <v>7055</v>
      </c>
      <c r="N21">
        <v>3</v>
      </c>
      <c r="O21" t="s">
        <v>7054</v>
      </c>
      <c r="P21" t="s">
        <v>7053</v>
      </c>
      <c r="Q21" t="s">
        <v>8</v>
      </c>
      <c r="R21" s="7">
        <v>30834</v>
      </c>
      <c r="S21" s="8">
        <f t="shared" si="0"/>
        <v>1984</v>
      </c>
      <c r="T21" s="8">
        <v>1984</v>
      </c>
      <c r="U21" s="8">
        <f t="shared" si="1"/>
        <v>38</v>
      </c>
      <c r="V21" s="7">
        <v>30834</v>
      </c>
      <c r="W21" t="s">
        <v>364</v>
      </c>
      <c r="X21" s="2">
        <v>0.14099999999999999</v>
      </c>
      <c r="Y21" s="6">
        <f t="shared" si="2"/>
        <v>3.7639144710498915E-3</v>
      </c>
      <c r="AA21">
        <v>402508</v>
      </c>
      <c r="AB21">
        <v>20868</v>
      </c>
      <c r="AD21" t="s">
        <v>4</v>
      </c>
      <c r="AE21" t="s">
        <v>363</v>
      </c>
      <c r="AF21">
        <v>6</v>
      </c>
      <c r="AH21" t="s">
        <v>7052</v>
      </c>
      <c r="AI21" t="s">
        <v>7051</v>
      </c>
      <c r="AK21" t="s">
        <v>7050</v>
      </c>
      <c r="AL21">
        <v>0</v>
      </c>
      <c r="AM21" s="5">
        <f t="shared" si="3"/>
        <v>0</v>
      </c>
      <c r="AN21" s="4">
        <f t="shared" si="4"/>
        <v>0</v>
      </c>
      <c r="AO21" s="3"/>
      <c r="AP21">
        <v>0</v>
      </c>
      <c r="AR21" t="s">
        <v>0</v>
      </c>
      <c r="AT21" s="2" t="s">
        <v>45</v>
      </c>
      <c r="AU21" s="1">
        <f t="shared" si="5"/>
        <v>0.26347401297349238</v>
      </c>
      <c r="AV21" s="1">
        <f t="shared" si="6"/>
        <v>0.18819572355249459</v>
      </c>
      <c r="AW21" s="1">
        <f t="shared" si="7"/>
        <v>0.11291743413149673</v>
      </c>
    </row>
    <row r="22" spans="1:49" x14ac:dyDescent="0.2">
      <c r="A22">
        <v>20</v>
      </c>
      <c r="B22" t="s">
        <v>7049</v>
      </c>
      <c r="F22" t="s">
        <v>7048</v>
      </c>
      <c r="G22" t="s">
        <v>13</v>
      </c>
      <c r="H22" t="s">
        <v>12</v>
      </c>
      <c r="I22" t="s">
        <v>7047</v>
      </c>
      <c r="N22">
        <v>1</v>
      </c>
      <c r="O22" t="s">
        <v>7046</v>
      </c>
      <c r="P22">
        <v>6603197813</v>
      </c>
      <c r="R22" s="7">
        <v>30834</v>
      </c>
      <c r="S22" s="8">
        <f t="shared" si="0"/>
        <v>1984</v>
      </c>
      <c r="T22" s="8">
        <v>1984</v>
      </c>
      <c r="U22" s="8">
        <f t="shared" si="1"/>
        <v>38</v>
      </c>
      <c r="V22" s="7">
        <v>30834</v>
      </c>
      <c r="W22" t="s">
        <v>364</v>
      </c>
      <c r="X22" s="2">
        <v>0.14099999999999999</v>
      </c>
      <c r="Y22" s="6">
        <f t="shared" si="2"/>
        <v>3.7639144710498915E-3</v>
      </c>
      <c r="AA22">
        <v>402508</v>
      </c>
      <c r="AB22">
        <v>20868</v>
      </c>
      <c r="AD22" t="s">
        <v>4</v>
      </c>
      <c r="AE22" t="s">
        <v>363</v>
      </c>
      <c r="AF22">
        <v>6</v>
      </c>
      <c r="AH22" t="s">
        <v>541</v>
      </c>
      <c r="AI22" t="s">
        <v>7045</v>
      </c>
      <c r="AK22" t="s">
        <v>7044</v>
      </c>
      <c r="AL22">
        <v>0</v>
      </c>
      <c r="AM22" s="5">
        <f t="shared" si="3"/>
        <v>0</v>
      </c>
      <c r="AN22" s="4">
        <f t="shared" si="4"/>
        <v>0</v>
      </c>
      <c r="AO22" s="3"/>
      <c r="AP22">
        <v>0</v>
      </c>
      <c r="AR22" t="s">
        <v>0</v>
      </c>
      <c r="AT22" s="2" t="s">
        <v>45</v>
      </c>
      <c r="AU22" s="1">
        <f t="shared" si="5"/>
        <v>0.26347401297349238</v>
      </c>
      <c r="AV22" s="1">
        <f t="shared" si="6"/>
        <v>0.18819572355249459</v>
      </c>
      <c r="AW22" s="1">
        <f t="shared" si="7"/>
        <v>0.11291743413149673</v>
      </c>
    </row>
    <row r="23" spans="1:49" x14ac:dyDescent="0.2">
      <c r="A23">
        <v>21</v>
      </c>
      <c r="B23" t="s">
        <v>7043</v>
      </c>
      <c r="C23" t="s">
        <v>7042</v>
      </c>
      <c r="E23">
        <v>6467345</v>
      </c>
      <c r="F23" t="s">
        <v>7041</v>
      </c>
      <c r="G23" t="s">
        <v>13</v>
      </c>
      <c r="H23" t="s">
        <v>12</v>
      </c>
      <c r="I23" t="s">
        <v>7040</v>
      </c>
      <c r="J23">
        <v>60007762</v>
      </c>
      <c r="K23" t="s">
        <v>7039</v>
      </c>
      <c r="L23" t="s">
        <v>7038</v>
      </c>
      <c r="M23" t="s">
        <v>142</v>
      </c>
      <c r="N23">
        <v>1</v>
      </c>
      <c r="O23" t="s">
        <v>7037</v>
      </c>
      <c r="P23">
        <v>6604054552</v>
      </c>
      <c r="Q23">
        <v>60007762</v>
      </c>
      <c r="R23" s="7">
        <v>30834</v>
      </c>
      <c r="S23" s="8">
        <f t="shared" si="0"/>
        <v>1984</v>
      </c>
      <c r="T23" s="8">
        <v>1984</v>
      </c>
      <c r="U23" s="8">
        <f t="shared" si="1"/>
        <v>38</v>
      </c>
      <c r="V23" s="7">
        <v>30834</v>
      </c>
      <c r="W23" t="s">
        <v>7036</v>
      </c>
      <c r="X23" s="2">
        <v>1.64</v>
      </c>
      <c r="Y23" s="6">
        <f t="shared" si="2"/>
        <v>4.3778863351218597E-2</v>
      </c>
      <c r="AA23" t="s">
        <v>7035</v>
      </c>
      <c r="AB23">
        <v>18446</v>
      </c>
      <c r="AC23">
        <v>14320878</v>
      </c>
      <c r="AD23" t="s">
        <v>4</v>
      </c>
      <c r="AE23">
        <v>236</v>
      </c>
      <c r="AF23">
        <v>3</v>
      </c>
      <c r="AH23" t="s">
        <v>7034</v>
      </c>
      <c r="AI23" t="s">
        <v>7033</v>
      </c>
      <c r="AJ23" t="s">
        <v>7032</v>
      </c>
      <c r="AK23" t="s">
        <v>7031</v>
      </c>
      <c r="AL23">
        <v>13</v>
      </c>
      <c r="AM23" s="5">
        <f t="shared" si="3"/>
        <v>0.34210526315789475</v>
      </c>
      <c r="AN23" s="4">
        <f t="shared" si="4"/>
        <v>5.1814504075410031E-4</v>
      </c>
      <c r="AO23" s="3"/>
      <c r="AP23">
        <v>0</v>
      </c>
      <c r="AR23" t="s">
        <v>0</v>
      </c>
      <c r="AT23" s="2">
        <v>5.2489999999999997</v>
      </c>
      <c r="AU23" s="1">
        <f t="shared" si="5"/>
        <v>3.0800647858079246</v>
      </c>
      <c r="AV23" s="1">
        <f t="shared" si="6"/>
        <v>2.2148504195986347</v>
      </c>
      <c r="AW23" s="1">
        <f t="shared" si="7"/>
        <v>1.349636053389345</v>
      </c>
    </row>
    <row r="24" spans="1:49" x14ac:dyDescent="0.2">
      <c r="A24">
        <v>22</v>
      </c>
      <c r="B24" t="s">
        <v>7030</v>
      </c>
      <c r="C24" t="s">
        <v>7029</v>
      </c>
      <c r="D24" t="s">
        <v>7028</v>
      </c>
      <c r="F24" t="s">
        <v>7027</v>
      </c>
      <c r="G24" t="s">
        <v>13</v>
      </c>
      <c r="H24" t="s">
        <v>12</v>
      </c>
      <c r="I24" t="s">
        <v>7026</v>
      </c>
      <c r="J24" t="s">
        <v>7025</v>
      </c>
      <c r="K24" t="s">
        <v>7024</v>
      </c>
      <c r="L24" t="s">
        <v>7023</v>
      </c>
      <c r="M24" t="s">
        <v>7022</v>
      </c>
      <c r="N24">
        <v>5</v>
      </c>
      <c r="O24" t="s">
        <v>7021</v>
      </c>
      <c r="P24" t="s">
        <v>7020</v>
      </c>
      <c r="Q24" t="s">
        <v>7019</v>
      </c>
      <c r="R24" s="7">
        <v>30831</v>
      </c>
      <c r="S24" s="8">
        <f t="shared" si="0"/>
        <v>1984</v>
      </c>
      <c r="T24" s="8">
        <v>1984</v>
      </c>
      <c r="U24" s="8">
        <f t="shared" si="1"/>
        <v>38</v>
      </c>
      <c r="V24" s="7">
        <v>30831</v>
      </c>
      <c r="W24" t="s">
        <v>6376</v>
      </c>
      <c r="X24" s="2">
        <v>1.59</v>
      </c>
      <c r="Y24" s="6">
        <f t="shared" si="2"/>
        <v>4.2444141907583888E-2</v>
      </c>
      <c r="AA24">
        <v>52728</v>
      </c>
      <c r="AB24">
        <v>16791</v>
      </c>
      <c r="AD24" t="s">
        <v>4</v>
      </c>
      <c r="AE24">
        <v>765</v>
      </c>
      <c r="AF24">
        <v>2</v>
      </c>
      <c r="AH24" t="s">
        <v>7018</v>
      </c>
      <c r="AI24" t="s">
        <v>7017</v>
      </c>
      <c r="AJ24" t="s">
        <v>7016</v>
      </c>
      <c r="AK24" t="s">
        <v>7015</v>
      </c>
      <c r="AL24">
        <v>180</v>
      </c>
      <c r="AM24" s="5">
        <f t="shared" si="3"/>
        <v>4.7368421052631575</v>
      </c>
      <c r="AN24" s="4">
        <f t="shared" si="4"/>
        <v>7.1743159489029273E-3</v>
      </c>
      <c r="AO24" s="3"/>
      <c r="AP24">
        <v>0</v>
      </c>
      <c r="AR24" t="s">
        <v>0</v>
      </c>
      <c r="AT24" s="2" t="s">
        <v>45</v>
      </c>
      <c r="AU24" s="1">
        <f t="shared" si="5"/>
        <v>3.1863194119979599</v>
      </c>
      <c r="AV24" s="1">
        <f t="shared" si="6"/>
        <v>2.4809228928243408</v>
      </c>
      <c r="AW24" s="1">
        <f t="shared" si="7"/>
        <v>1.7755263736507214</v>
      </c>
    </row>
    <row r="25" spans="1:49" x14ac:dyDescent="0.2">
      <c r="A25">
        <v>23</v>
      </c>
      <c r="B25" t="s">
        <v>7014</v>
      </c>
      <c r="C25" t="s">
        <v>7013</v>
      </c>
      <c r="D25" t="s">
        <v>7012</v>
      </c>
      <c r="F25" t="s">
        <v>7011</v>
      </c>
      <c r="G25" t="s">
        <v>13</v>
      </c>
      <c r="H25" t="s">
        <v>12</v>
      </c>
      <c r="I25" t="s">
        <v>7010</v>
      </c>
      <c r="J25">
        <v>60031707</v>
      </c>
      <c r="K25" t="s">
        <v>5445</v>
      </c>
      <c r="L25" t="s">
        <v>5444</v>
      </c>
      <c r="M25" t="s">
        <v>56</v>
      </c>
      <c r="N25">
        <v>4</v>
      </c>
      <c r="O25" t="s">
        <v>7009</v>
      </c>
      <c r="P25" t="s">
        <v>7008</v>
      </c>
      <c r="Q25" t="s">
        <v>7007</v>
      </c>
      <c r="R25" s="7">
        <v>30831</v>
      </c>
      <c r="S25" s="8">
        <f t="shared" si="0"/>
        <v>1984</v>
      </c>
      <c r="T25" s="8">
        <v>1984</v>
      </c>
      <c r="U25" s="8">
        <f t="shared" si="1"/>
        <v>38</v>
      </c>
      <c r="V25" s="7">
        <v>30831</v>
      </c>
      <c r="W25" t="s">
        <v>6376</v>
      </c>
      <c r="X25" s="2">
        <v>1.59</v>
      </c>
      <c r="Y25" s="6">
        <f t="shared" si="2"/>
        <v>4.2444141907583888E-2</v>
      </c>
      <c r="AA25">
        <v>52728</v>
      </c>
      <c r="AB25">
        <v>16791</v>
      </c>
      <c r="AD25" t="s">
        <v>4</v>
      </c>
      <c r="AE25">
        <v>765</v>
      </c>
      <c r="AF25">
        <v>2</v>
      </c>
      <c r="AH25" t="s">
        <v>7006</v>
      </c>
      <c r="AI25" t="s">
        <v>7005</v>
      </c>
      <c r="AJ25" t="s">
        <v>7004</v>
      </c>
      <c r="AK25" t="s">
        <v>7003</v>
      </c>
      <c r="AL25">
        <v>105</v>
      </c>
      <c r="AM25" s="5">
        <f t="shared" si="3"/>
        <v>2.763157894736842</v>
      </c>
      <c r="AN25" s="4">
        <f t="shared" si="4"/>
        <v>4.1850176368600413E-3</v>
      </c>
      <c r="AO25" s="3"/>
      <c r="AP25">
        <v>0</v>
      </c>
      <c r="AQ25" t="s">
        <v>48</v>
      </c>
      <c r="AR25" t="s">
        <v>7002</v>
      </c>
      <c r="AS25" t="s">
        <v>46</v>
      </c>
      <c r="AT25" s="2" t="s">
        <v>45</v>
      </c>
      <c r="AU25" s="1">
        <f t="shared" si="5"/>
        <v>3.0966404626366733</v>
      </c>
      <c r="AV25" s="1">
        <f t="shared" si="6"/>
        <v>2.3314579772221964</v>
      </c>
      <c r="AW25" s="1">
        <f t="shared" si="7"/>
        <v>1.5662754918077195</v>
      </c>
    </row>
    <row r="26" spans="1:49" x14ac:dyDescent="0.2">
      <c r="A26">
        <v>24</v>
      </c>
      <c r="B26" t="s">
        <v>7001</v>
      </c>
      <c r="C26" t="s">
        <v>7000</v>
      </c>
      <c r="D26">
        <v>5272884900124</v>
      </c>
      <c r="F26" t="s">
        <v>6999</v>
      </c>
      <c r="G26" t="s">
        <v>13</v>
      </c>
      <c r="H26" t="s">
        <v>12</v>
      </c>
      <c r="I26" t="s">
        <v>6998</v>
      </c>
      <c r="J26">
        <v>60011604</v>
      </c>
      <c r="K26" t="s">
        <v>6997</v>
      </c>
      <c r="L26" t="s">
        <v>6996</v>
      </c>
      <c r="M26" t="s">
        <v>142</v>
      </c>
      <c r="N26">
        <v>4</v>
      </c>
      <c r="O26" t="s">
        <v>6995</v>
      </c>
      <c r="P26" t="s">
        <v>6994</v>
      </c>
      <c r="Q26" t="s">
        <v>6993</v>
      </c>
      <c r="R26" s="7">
        <v>30831</v>
      </c>
      <c r="S26" s="8">
        <f t="shared" si="0"/>
        <v>1984</v>
      </c>
      <c r="T26" s="8">
        <v>1984</v>
      </c>
      <c r="U26" s="8">
        <f t="shared" si="1"/>
        <v>38</v>
      </c>
      <c r="V26" s="7">
        <v>30831</v>
      </c>
      <c r="W26" t="s">
        <v>6376</v>
      </c>
      <c r="X26" s="2">
        <v>1.59</v>
      </c>
      <c r="Y26" s="6">
        <f t="shared" si="2"/>
        <v>4.2444141907583888E-2</v>
      </c>
      <c r="AA26">
        <v>52728</v>
      </c>
      <c r="AB26">
        <v>16791</v>
      </c>
      <c r="AD26" t="s">
        <v>4</v>
      </c>
      <c r="AE26">
        <v>765</v>
      </c>
      <c r="AF26">
        <v>2</v>
      </c>
      <c r="AH26" t="s">
        <v>6992</v>
      </c>
      <c r="AI26" t="s">
        <v>6991</v>
      </c>
      <c r="AJ26" t="s">
        <v>6990</v>
      </c>
      <c r="AK26" t="s">
        <v>6989</v>
      </c>
      <c r="AL26">
        <v>49</v>
      </c>
      <c r="AM26" s="5">
        <f t="shared" si="3"/>
        <v>1.2894736842105263</v>
      </c>
      <c r="AN26" s="4">
        <f t="shared" si="4"/>
        <v>1.9530082305346857E-3</v>
      </c>
      <c r="AO26" s="3"/>
      <c r="AP26">
        <v>0</v>
      </c>
      <c r="AQ26" t="s">
        <v>133</v>
      </c>
      <c r="AR26" t="s">
        <v>0</v>
      </c>
      <c r="AS26" t="s">
        <v>132</v>
      </c>
      <c r="AT26" s="2" t="s">
        <v>45</v>
      </c>
      <c r="AU26" s="1">
        <f t="shared" si="5"/>
        <v>3.0296801804469125</v>
      </c>
      <c r="AV26" s="1">
        <f t="shared" si="6"/>
        <v>2.219857506905929</v>
      </c>
      <c r="AW26" s="1">
        <f t="shared" si="7"/>
        <v>1.4100348333649446</v>
      </c>
    </row>
    <row r="27" spans="1:49" x14ac:dyDescent="0.2">
      <c r="A27">
        <v>25</v>
      </c>
      <c r="B27" t="s">
        <v>6988</v>
      </c>
      <c r="C27" t="s">
        <v>6987</v>
      </c>
      <c r="F27" t="s">
        <v>6986</v>
      </c>
      <c r="G27" t="s">
        <v>13</v>
      </c>
      <c r="H27" t="s">
        <v>12</v>
      </c>
      <c r="I27" t="s">
        <v>6985</v>
      </c>
      <c r="J27">
        <v>60014652</v>
      </c>
      <c r="K27" t="s">
        <v>3451</v>
      </c>
      <c r="L27" t="s">
        <v>3450</v>
      </c>
      <c r="M27" t="s">
        <v>643</v>
      </c>
      <c r="N27">
        <v>1</v>
      </c>
      <c r="O27" t="s">
        <v>6984</v>
      </c>
      <c r="P27">
        <v>7006242283</v>
      </c>
      <c r="Q27">
        <v>60014652</v>
      </c>
      <c r="R27" s="7">
        <v>30826</v>
      </c>
      <c r="S27" s="8">
        <f t="shared" si="0"/>
        <v>1984</v>
      </c>
      <c r="T27" s="8">
        <v>1984</v>
      </c>
      <c r="U27" s="8">
        <f t="shared" si="1"/>
        <v>38</v>
      </c>
      <c r="V27" s="7">
        <v>30826</v>
      </c>
      <c r="W27" t="s">
        <v>6337</v>
      </c>
      <c r="X27" s="2">
        <v>0.375</v>
      </c>
      <c r="Y27" s="6">
        <f t="shared" si="2"/>
        <v>1.0010410827260351E-2</v>
      </c>
      <c r="AA27">
        <v>135194</v>
      </c>
      <c r="AB27">
        <v>24918</v>
      </c>
      <c r="AD27" t="s">
        <v>4</v>
      </c>
      <c r="AE27">
        <v>20</v>
      </c>
      <c r="AF27">
        <v>11</v>
      </c>
      <c r="AH27" t="s">
        <v>6983</v>
      </c>
      <c r="AI27" t="s">
        <v>6982</v>
      </c>
      <c r="AJ27" t="s">
        <v>6496</v>
      </c>
      <c r="AK27" t="s">
        <v>6981</v>
      </c>
      <c r="AL27">
        <v>0</v>
      </c>
      <c r="AM27" s="5">
        <f t="shared" si="3"/>
        <v>0</v>
      </c>
      <c r="AN27" s="4">
        <f t="shared" si="4"/>
        <v>0</v>
      </c>
      <c r="AO27" s="3"/>
      <c r="AP27">
        <v>0</v>
      </c>
      <c r="AR27" t="s">
        <v>0</v>
      </c>
      <c r="AT27" s="2">
        <v>1.3140000000000001</v>
      </c>
      <c r="AU27" s="1">
        <f t="shared" si="5"/>
        <v>0.70072875790822453</v>
      </c>
      <c r="AV27" s="1">
        <f t="shared" si="6"/>
        <v>0.5005205413630176</v>
      </c>
      <c r="AW27" s="1">
        <f t="shared" si="7"/>
        <v>0.30031232481781051</v>
      </c>
    </row>
    <row r="28" spans="1:49" x14ac:dyDescent="0.2">
      <c r="A28">
        <v>26</v>
      </c>
      <c r="B28" t="s">
        <v>6980</v>
      </c>
      <c r="C28" t="s">
        <v>6979</v>
      </c>
      <c r="F28" t="s">
        <v>6978</v>
      </c>
      <c r="G28" t="s">
        <v>13</v>
      </c>
      <c r="H28" t="s">
        <v>12</v>
      </c>
      <c r="I28" t="s">
        <v>6977</v>
      </c>
      <c r="J28">
        <v>60008919</v>
      </c>
      <c r="K28" t="s">
        <v>6976</v>
      </c>
      <c r="L28" t="s">
        <v>6975</v>
      </c>
      <c r="M28" t="s">
        <v>217</v>
      </c>
      <c r="N28">
        <v>2</v>
      </c>
      <c r="O28" t="s">
        <v>6974</v>
      </c>
      <c r="P28" t="s">
        <v>6973</v>
      </c>
      <c r="Q28" t="s">
        <v>6972</v>
      </c>
      <c r="R28" s="7">
        <v>30826</v>
      </c>
      <c r="S28" s="8">
        <f t="shared" si="0"/>
        <v>1984</v>
      </c>
      <c r="T28" s="8">
        <v>1984</v>
      </c>
      <c r="U28" s="8">
        <f t="shared" si="1"/>
        <v>38</v>
      </c>
      <c r="V28" s="7">
        <v>30826</v>
      </c>
      <c r="W28" t="s">
        <v>6337</v>
      </c>
      <c r="X28" s="2">
        <v>0.375</v>
      </c>
      <c r="Y28" s="6">
        <f t="shared" si="2"/>
        <v>1.0010410827260351E-2</v>
      </c>
      <c r="AA28">
        <v>135194</v>
      </c>
      <c r="AB28">
        <v>24918</v>
      </c>
      <c r="AD28" t="s">
        <v>4</v>
      </c>
      <c r="AE28">
        <v>20</v>
      </c>
      <c r="AF28">
        <v>11</v>
      </c>
      <c r="AH28" t="s">
        <v>6971</v>
      </c>
      <c r="AI28" t="s">
        <v>6970</v>
      </c>
      <c r="AJ28" t="s">
        <v>6703</v>
      </c>
      <c r="AK28" t="s">
        <v>6969</v>
      </c>
      <c r="AL28">
        <v>1</v>
      </c>
      <c r="AM28" s="5">
        <f t="shared" si="3"/>
        <v>2.6315789473684209E-2</v>
      </c>
      <c r="AN28" s="4">
        <f t="shared" si="4"/>
        <v>3.9857310827238481E-5</v>
      </c>
      <c r="AO28" s="3"/>
      <c r="AP28">
        <v>0</v>
      </c>
      <c r="AR28" t="s">
        <v>0</v>
      </c>
      <c r="AT28" s="2">
        <v>1.3140000000000001</v>
      </c>
      <c r="AU28" s="1">
        <f t="shared" si="5"/>
        <v>0.70192447723304174</v>
      </c>
      <c r="AV28" s="1">
        <f t="shared" si="6"/>
        <v>0.50251340690437951</v>
      </c>
      <c r="AW28" s="1">
        <f t="shared" si="7"/>
        <v>0.30310233657571722</v>
      </c>
    </row>
    <row r="29" spans="1:49" x14ac:dyDescent="0.2">
      <c r="A29">
        <v>27</v>
      </c>
      <c r="B29" t="s">
        <v>6968</v>
      </c>
      <c r="C29" t="s">
        <v>6967</v>
      </c>
      <c r="F29" t="s">
        <v>6966</v>
      </c>
      <c r="G29" t="s">
        <v>13</v>
      </c>
      <c r="H29" t="s">
        <v>12</v>
      </c>
      <c r="I29" t="s">
        <v>3597</v>
      </c>
      <c r="J29">
        <v>60009658</v>
      </c>
      <c r="K29" t="s">
        <v>5211</v>
      </c>
      <c r="L29" t="s">
        <v>5210</v>
      </c>
      <c r="M29" t="s">
        <v>167</v>
      </c>
      <c r="N29">
        <v>1</v>
      </c>
      <c r="O29" t="s">
        <v>6965</v>
      </c>
      <c r="P29">
        <v>57213425197</v>
      </c>
      <c r="Q29">
        <v>60009658</v>
      </c>
      <c r="R29" s="7">
        <v>30826</v>
      </c>
      <c r="S29" s="8">
        <f t="shared" si="0"/>
        <v>1984</v>
      </c>
      <c r="T29" s="8">
        <v>1984</v>
      </c>
      <c r="U29" s="8">
        <f t="shared" si="1"/>
        <v>38</v>
      </c>
      <c r="V29" s="7">
        <v>30826</v>
      </c>
      <c r="W29" t="s">
        <v>6337</v>
      </c>
      <c r="X29" s="2">
        <v>0.375</v>
      </c>
      <c r="Y29" s="6">
        <f t="shared" si="2"/>
        <v>1.0010410827260351E-2</v>
      </c>
      <c r="AA29">
        <v>135194</v>
      </c>
      <c r="AB29">
        <v>24918</v>
      </c>
      <c r="AD29" t="s">
        <v>4</v>
      </c>
      <c r="AE29">
        <v>20</v>
      </c>
      <c r="AF29">
        <v>11</v>
      </c>
      <c r="AH29" t="s">
        <v>6964</v>
      </c>
      <c r="AI29" t="s">
        <v>6963</v>
      </c>
      <c r="AJ29" t="s">
        <v>6962</v>
      </c>
      <c r="AK29" t="s">
        <v>6961</v>
      </c>
      <c r="AL29">
        <v>2</v>
      </c>
      <c r="AM29" s="5">
        <f t="shared" si="3"/>
        <v>5.2631578947368418E-2</v>
      </c>
      <c r="AN29" s="4">
        <f t="shared" si="4"/>
        <v>7.9714621654476962E-5</v>
      </c>
      <c r="AO29" s="3"/>
      <c r="AP29">
        <v>0</v>
      </c>
      <c r="AR29" t="s">
        <v>0</v>
      </c>
      <c r="AT29" s="2">
        <v>1.3140000000000001</v>
      </c>
      <c r="AU29" s="1">
        <f t="shared" si="5"/>
        <v>0.70312019655785896</v>
      </c>
      <c r="AV29" s="1">
        <f t="shared" si="6"/>
        <v>0.50450627244574142</v>
      </c>
      <c r="AW29" s="1">
        <f t="shared" si="7"/>
        <v>0.30589234833362389</v>
      </c>
    </row>
    <row r="30" spans="1:49" x14ac:dyDescent="0.2">
      <c r="A30">
        <v>28</v>
      </c>
      <c r="B30" t="s">
        <v>6960</v>
      </c>
      <c r="C30" t="s">
        <v>6959</v>
      </c>
      <c r="F30" t="s">
        <v>6958</v>
      </c>
      <c r="G30" t="s">
        <v>13</v>
      </c>
      <c r="H30" t="s">
        <v>12</v>
      </c>
      <c r="I30" t="s">
        <v>6957</v>
      </c>
      <c r="J30">
        <v>60013141</v>
      </c>
      <c r="K30" t="s">
        <v>2855</v>
      </c>
      <c r="L30" t="s">
        <v>2854</v>
      </c>
      <c r="M30" t="s">
        <v>2853</v>
      </c>
      <c r="N30">
        <v>1</v>
      </c>
      <c r="O30" t="s">
        <v>6956</v>
      </c>
      <c r="P30">
        <v>55884538900</v>
      </c>
      <c r="Q30">
        <v>60013141</v>
      </c>
      <c r="R30" s="7">
        <v>30812</v>
      </c>
      <c r="S30" s="8">
        <f t="shared" si="0"/>
        <v>1984</v>
      </c>
      <c r="T30" s="8">
        <v>1984</v>
      </c>
      <c r="U30" s="8">
        <f t="shared" si="1"/>
        <v>38</v>
      </c>
      <c r="V30" s="7">
        <v>30812</v>
      </c>
      <c r="W30" t="s">
        <v>6337</v>
      </c>
      <c r="X30" s="2">
        <v>0.375</v>
      </c>
      <c r="Y30" s="6">
        <f t="shared" si="2"/>
        <v>1.0010410827260351E-2</v>
      </c>
      <c r="AA30">
        <v>135194</v>
      </c>
      <c r="AB30">
        <v>24918</v>
      </c>
      <c r="AD30" t="s">
        <v>4</v>
      </c>
      <c r="AE30">
        <v>20</v>
      </c>
      <c r="AF30">
        <v>10</v>
      </c>
      <c r="AH30" t="s">
        <v>6955</v>
      </c>
      <c r="AI30" t="s">
        <v>6954</v>
      </c>
      <c r="AJ30" t="s">
        <v>6953</v>
      </c>
      <c r="AK30" t="s">
        <v>6952</v>
      </c>
      <c r="AL30">
        <v>2</v>
      </c>
      <c r="AM30" s="5">
        <f t="shared" si="3"/>
        <v>5.2631578947368418E-2</v>
      </c>
      <c r="AN30" s="4">
        <f t="shared" si="4"/>
        <v>7.9714621654476962E-5</v>
      </c>
      <c r="AO30" s="3"/>
      <c r="AP30">
        <v>0</v>
      </c>
      <c r="AR30" t="s">
        <v>0</v>
      </c>
      <c r="AT30" s="2">
        <v>1.3140000000000001</v>
      </c>
      <c r="AU30" s="1">
        <f t="shared" si="5"/>
        <v>0.70312019655785896</v>
      </c>
      <c r="AV30" s="1">
        <f t="shared" si="6"/>
        <v>0.50450627244574142</v>
      </c>
      <c r="AW30" s="1">
        <f t="shared" si="7"/>
        <v>0.30589234833362389</v>
      </c>
    </row>
    <row r="31" spans="1:49" x14ac:dyDescent="0.2">
      <c r="A31">
        <v>29</v>
      </c>
      <c r="B31" t="s">
        <v>6951</v>
      </c>
      <c r="C31" t="s">
        <v>6950</v>
      </c>
      <c r="F31" t="s">
        <v>6949</v>
      </c>
      <c r="G31" t="s">
        <v>13</v>
      </c>
      <c r="H31" t="s">
        <v>12</v>
      </c>
      <c r="I31" t="s">
        <v>6712</v>
      </c>
      <c r="J31" t="s">
        <v>6948</v>
      </c>
      <c r="K31" t="s">
        <v>6947</v>
      </c>
      <c r="L31" t="s">
        <v>6946</v>
      </c>
      <c r="M31" t="s">
        <v>180</v>
      </c>
      <c r="N31">
        <v>3</v>
      </c>
      <c r="O31" t="s">
        <v>6945</v>
      </c>
      <c r="P31" t="s">
        <v>6944</v>
      </c>
      <c r="Q31" t="s">
        <v>6943</v>
      </c>
      <c r="R31" s="7">
        <v>30812</v>
      </c>
      <c r="S31" s="8">
        <f t="shared" si="0"/>
        <v>1984</v>
      </c>
      <c r="T31" s="8">
        <v>1984</v>
      </c>
      <c r="U31" s="8">
        <f t="shared" si="1"/>
        <v>38</v>
      </c>
      <c r="V31" s="7">
        <v>30812</v>
      </c>
      <c r="W31" t="s">
        <v>6337</v>
      </c>
      <c r="X31" s="2">
        <v>0.375</v>
      </c>
      <c r="Y31" s="6">
        <f t="shared" si="2"/>
        <v>1.0010410827260351E-2</v>
      </c>
      <c r="AA31">
        <v>135194</v>
      </c>
      <c r="AB31">
        <v>24918</v>
      </c>
      <c r="AD31" t="s">
        <v>4</v>
      </c>
      <c r="AE31">
        <v>20</v>
      </c>
      <c r="AF31">
        <v>10</v>
      </c>
      <c r="AH31" t="s">
        <v>6942</v>
      </c>
      <c r="AI31" t="s">
        <v>6941</v>
      </c>
      <c r="AJ31" t="s">
        <v>6506</v>
      </c>
      <c r="AK31" t="s">
        <v>6940</v>
      </c>
      <c r="AL31">
        <v>0</v>
      </c>
      <c r="AM31" s="5">
        <f t="shared" si="3"/>
        <v>0</v>
      </c>
      <c r="AN31" s="4">
        <f t="shared" si="4"/>
        <v>0</v>
      </c>
      <c r="AO31" s="3"/>
      <c r="AP31">
        <v>0</v>
      </c>
      <c r="AR31" t="s">
        <v>0</v>
      </c>
      <c r="AT31" s="2">
        <v>1.3140000000000001</v>
      </c>
      <c r="AU31" s="1">
        <f t="shared" si="5"/>
        <v>0.70072875790822453</v>
      </c>
      <c r="AV31" s="1">
        <f t="shared" si="6"/>
        <v>0.5005205413630176</v>
      </c>
      <c r="AW31" s="1">
        <f t="shared" si="7"/>
        <v>0.30031232481781051</v>
      </c>
    </row>
    <row r="32" spans="1:49" x14ac:dyDescent="0.2">
      <c r="A32">
        <v>30</v>
      </c>
      <c r="B32" t="s">
        <v>6939</v>
      </c>
      <c r="C32" t="s">
        <v>6938</v>
      </c>
      <c r="D32">
        <v>14579384813940</v>
      </c>
      <c r="F32" t="s">
        <v>6937</v>
      </c>
      <c r="G32" t="s">
        <v>13</v>
      </c>
      <c r="H32" t="s">
        <v>12</v>
      </c>
      <c r="I32" t="s">
        <v>6936</v>
      </c>
      <c r="J32">
        <v>60008134</v>
      </c>
      <c r="K32" t="s">
        <v>6935</v>
      </c>
      <c r="L32" t="s">
        <v>25</v>
      </c>
      <c r="M32" t="s">
        <v>24</v>
      </c>
      <c r="N32">
        <v>2</v>
      </c>
      <c r="O32" t="s">
        <v>6934</v>
      </c>
      <c r="P32" t="s">
        <v>6933</v>
      </c>
      <c r="Q32" t="s">
        <v>6932</v>
      </c>
      <c r="R32" s="7">
        <v>30809</v>
      </c>
      <c r="S32" s="8">
        <f t="shared" si="0"/>
        <v>1984</v>
      </c>
      <c r="T32" s="8">
        <v>1984</v>
      </c>
      <c r="U32" s="8">
        <f t="shared" si="1"/>
        <v>38</v>
      </c>
      <c r="V32" s="7">
        <v>30809</v>
      </c>
      <c r="W32" t="s">
        <v>6350</v>
      </c>
      <c r="X32" s="2">
        <v>1.593</v>
      </c>
      <c r="Y32" s="6">
        <f t="shared" si="2"/>
        <v>4.2524225194201973E-2</v>
      </c>
      <c r="AA32">
        <v>145793</v>
      </c>
      <c r="AB32">
        <v>17481</v>
      </c>
      <c r="AD32" t="s">
        <v>4</v>
      </c>
      <c r="AE32">
        <v>170</v>
      </c>
      <c r="AF32">
        <v>1</v>
      </c>
      <c r="AH32" t="s">
        <v>6931</v>
      </c>
      <c r="AI32" t="s">
        <v>6930</v>
      </c>
      <c r="AJ32" t="s">
        <v>6929</v>
      </c>
      <c r="AK32" t="s">
        <v>6928</v>
      </c>
      <c r="AL32">
        <v>23</v>
      </c>
      <c r="AM32" s="5">
        <f t="shared" si="3"/>
        <v>0.60526315789473684</v>
      </c>
      <c r="AN32" s="4">
        <f t="shared" si="4"/>
        <v>9.1671814902648512E-4</v>
      </c>
      <c r="AO32" s="3"/>
      <c r="AP32">
        <v>1</v>
      </c>
      <c r="AR32" t="s">
        <v>0</v>
      </c>
      <c r="AT32" s="2">
        <v>4.1239999999999997</v>
      </c>
      <c r="AU32" s="1">
        <f t="shared" si="5"/>
        <v>3.0041973080649322</v>
      </c>
      <c r="AV32" s="1">
        <f t="shared" si="6"/>
        <v>2.1720471671614225</v>
      </c>
      <c r="AW32" s="1">
        <f t="shared" si="7"/>
        <v>1.3398970262579131</v>
      </c>
    </row>
    <row r="33" spans="1:49" x14ac:dyDescent="0.2">
      <c r="A33">
        <v>31</v>
      </c>
      <c r="B33" t="s">
        <v>6927</v>
      </c>
      <c r="C33" t="s">
        <v>6926</v>
      </c>
      <c r="D33">
        <v>22311584905713</v>
      </c>
      <c r="F33" t="s">
        <v>6925</v>
      </c>
      <c r="G33" t="s">
        <v>13</v>
      </c>
      <c r="H33" t="s">
        <v>12</v>
      </c>
      <c r="I33" t="s">
        <v>6924</v>
      </c>
      <c r="J33">
        <v>60032179</v>
      </c>
      <c r="K33" t="s">
        <v>696</v>
      </c>
      <c r="L33" t="s">
        <v>695</v>
      </c>
      <c r="M33" t="s">
        <v>56</v>
      </c>
      <c r="N33">
        <v>1</v>
      </c>
      <c r="O33" t="s">
        <v>6923</v>
      </c>
      <c r="P33">
        <v>7006815698</v>
      </c>
      <c r="Q33">
        <v>60032179</v>
      </c>
      <c r="R33" s="7">
        <v>30804</v>
      </c>
      <c r="S33" s="8">
        <f t="shared" si="0"/>
        <v>1984</v>
      </c>
      <c r="T33" s="8">
        <v>1984</v>
      </c>
      <c r="U33" s="8">
        <f t="shared" si="1"/>
        <v>38</v>
      </c>
      <c r="V33" s="7">
        <v>30804</v>
      </c>
      <c r="W33" t="s">
        <v>5022</v>
      </c>
      <c r="X33" s="2">
        <v>1.123</v>
      </c>
      <c r="Y33" s="6">
        <f t="shared" si="2"/>
        <v>2.9977843624035664E-2</v>
      </c>
      <c r="AA33">
        <v>223115</v>
      </c>
      <c r="AB33">
        <v>29021</v>
      </c>
      <c r="AD33" t="s">
        <v>4</v>
      </c>
      <c r="AE33">
        <v>122</v>
      </c>
      <c r="AF33" s="9">
        <v>44256</v>
      </c>
      <c r="AH33" t="s">
        <v>6922</v>
      </c>
      <c r="AI33" t="s">
        <v>6921</v>
      </c>
      <c r="AK33" t="s">
        <v>6920</v>
      </c>
      <c r="AL33">
        <v>0</v>
      </c>
      <c r="AM33" s="5">
        <f t="shared" si="3"/>
        <v>0</v>
      </c>
      <c r="AN33" s="4">
        <f t="shared" si="4"/>
        <v>0</v>
      </c>
      <c r="AO33" s="3"/>
      <c r="AP33">
        <v>0</v>
      </c>
      <c r="AR33" t="s">
        <v>0</v>
      </c>
      <c r="AT33" s="2">
        <v>2.9359999999999999</v>
      </c>
      <c r="AU33" s="1">
        <f t="shared" si="5"/>
        <v>2.0984490536824962</v>
      </c>
      <c r="AV33" s="1">
        <f t="shared" si="6"/>
        <v>1.4988921812017832</v>
      </c>
      <c r="AW33" s="1">
        <f t="shared" si="7"/>
        <v>0.89933530872106993</v>
      </c>
    </row>
    <row r="34" spans="1:49" x14ac:dyDescent="0.2">
      <c r="A34">
        <v>32</v>
      </c>
      <c r="B34" t="s">
        <v>6919</v>
      </c>
      <c r="C34" t="s">
        <v>6918</v>
      </c>
      <c r="F34" t="s">
        <v>6917</v>
      </c>
      <c r="G34" t="s">
        <v>13</v>
      </c>
      <c r="H34" t="s">
        <v>12</v>
      </c>
      <c r="I34" t="s">
        <v>6916</v>
      </c>
      <c r="J34" t="s">
        <v>6915</v>
      </c>
      <c r="K34" t="s">
        <v>6914</v>
      </c>
      <c r="L34" t="s">
        <v>6913</v>
      </c>
      <c r="M34" t="s">
        <v>6912</v>
      </c>
      <c r="N34">
        <v>17</v>
      </c>
      <c r="O34" t="s">
        <v>6911</v>
      </c>
      <c r="P34" t="s">
        <v>6910</v>
      </c>
      <c r="Q34" t="s">
        <v>6909</v>
      </c>
      <c r="R34" s="7">
        <v>30803</v>
      </c>
      <c r="S34" s="8">
        <f t="shared" si="0"/>
        <v>1984</v>
      </c>
      <c r="T34" s="8">
        <v>1984</v>
      </c>
      <c r="U34" s="8">
        <f t="shared" si="1"/>
        <v>38</v>
      </c>
      <c r="V34" s="7">
        <v>30803</v>
      </c>
      <c r="W34" t="s">
        <v>5797</v>
      </c>
      <c r="X34" s="2" t="s">
        <v>45</v>
      </c>
      <c r="Y34" s="6" t="e">
        <f t="shared" si="2"/>
        <v>#VALUE!</v>
      </c>
      <c r="AA34">
        <v>3905551</v>
      </c>
      <c r="AB34">
        <v>15400155600</v>
      </c>
      <c r="AD34" t="s">
        <v>4</v>
      </c>
      <c r="AE34">
        <v>7</v>
      </c>
      <c r="AF34">
        <v>3</v>
      </c>
      <c r="AH34" t="s">
        <v>6908</v>
      </c>
      <c r="AI34" t="s">
        <v>6907</v>
      </c>
      <c r="AJ34" t="s">
        <v>6906</v>
      </c>
      <c r="AK34" t="s">
        <v>6905</v>
      </c>
      <c r="AL34">
        <v>18</v>
      </c>
      <c r="AM34" s="5">
        <f t="shared" si="3"/>
        <v>0.47368421052631576</v>
      </c>
      <c r="AN34" s="4">
        <f t="shared" si="4"/>
        <v>7.1743159489029266E-4</v>
      </c>
      <c r="AO34" s="3"/>
      <c r="AP34">
        <v>0</v>
      </c>
      <c r="AR34" t="s">
        <v>0</v>
      </c>
      <c r="AT34" s="2" t="s">
        <v>45</v>
      </c>
      <c r="AU34" s="1" t="e">
        <f t="shared" si="5"/>
        <v>#VALUE!</v>
      </c>
      <c r="AV34" s="1" t="e">
        <f t="shared" si="6"/>
        <v>#VALUE!</v>
      </c>
      <c r="AW34" s="1" t="e">
        <f t="shared" si="7"/>
        <v>#VALUE!</v>
      </c>
    </row>
    <row r="35" spans="1:49" x14ac:dyDescent="0.2">
      <c r="A35">
        <v>33</v>
      </c>
      <c r="B35" t="s">
        <v>6904</v>
      </c>
      <c r="C35" t="s">
        <v>6903</v>
      </c>
      <c r="F35" t="s">
        <v>6902</v>
      </c>
      <c r="G35" t="s">
        <v>13</v>
      </c>
      <c r="H35" t="s">
        <v>12</v>
      </c>
      <c r="I35" t="s">
        <v>6901</v>
      </c>
      <c r="J35">
        <v>60008673</v>
      </c>
      <c r="K35" t="s">
        <v>6900</v>
      </c>
      <c r="L35" t="s">
        <v>6899</v>
      </c>
      <c r="M35" t="s">
        <v>1022</v>
      </c>
      <c r="N35">
        <v>1</v>
      </c>
      <c r="O35" t="s">
        <v>6898</v>
      </c>
      <c r="P35">
        <v>6507347221</v>
      </c>
      <c r="Q35">
        <v>60008673</v>
      </c>
      <c r="R35" s="7">
        <v>30803</v>
      </c>
      <c r="S35" s="8">
        <f t="shared" si="0"/>
        <v>1984</v>
      </c>
      <c r="T35" s="8">
        <v>1984</v>
      </c>
      <c r="U35" s="8">
        <f t="shared" si="1"/>
        <v>38</v>
      </c>
      <c r="V35" s="7">
        <v>30803</v>
      </c>
      <c r="W35" t="s">
        <v>6733</v>
      </c>
      <c r="X35" s="2">
        <v>1.026</v>
      </c>
      <c r="Y35" s="6">
        <f t="shared" si="2"/>
        <v>2.738848402338432E-2</v>
      </c>
      <c r="AA35">
        <v>380938</v>
      </c>
      <c r="AB35">
        <v>28245</v>
      </c>
      <c r="AC35" t="s">
        <v>6732</v>
      </c>
      <c r="AD35" t="s">
        <v>4</v>
      </c>
      <c r="AE35">
        <v>92</v>
      </c>
      <c r="AF35" s="9">
        <v>44228</v>
      </c>
      <c r="AH35" t="s">
        <v>6897</v>
      </c>
      <c r="AI35" t="s">
        <v>6896</v>
      </c>
      <c r="AK35" t="s">
        <v>6895</v>
      </c>
      <c r="AL35">
        <v>7</v>
      </c>
      <c r="AM35" s="5">
        <f t="shared" si="3"/>
        <v>0.18421052631578946</v>
      </c>
      <c r="AN35" s="4">
        <f t="shared" si="4"/>
        <v>2.7900117579066937E-4</v>
      </c>
      <c r="AO35" s="3"/>
      <c r="AP35">
        <v>0</v>
      </c>
      <c r="AR35" t="s">
        <v>0</v>
      </c>
      <c r="AT35" s="2">
        <v>2.6709999999999998</v>
      </c>
      <c r="AU35" s="1">
        <f t="shared" si="5"/>
        <v>1.9255639169106225</v>
      </c>
      <c r="AV35" s="1">
        <f t="shared" si="6"/>
        <v>1.3833742599587493</v>
      </c>
      <c r="AW35" s="1">
        <f t="shared" si="7"/>
        <v>0.84118460300687636</v>
      </c>
    </row>
    <row r="36" spans="1:49" x14ac:dyDescent="0.2">
      <c r="A36">
        <v>34</v>
      </c>
      <c r="B36" t="s">
        <v>6894</v>
      </c>
      <c r="C36" t="s">
        <v>6893</v>
      </c>
      <c r="F36" t="s">
        <v>6892</v>
      </c>
      <c r="G36" t="s">
        <v>13</v>
      </c>
      <c r="H36" t="s">
        <v>12</v>
      </c>
      <c r="I36" t="s">
        <v>6891</v>
      </c>
      <c r="N36">
        <v>5</v>
      </c>
      <c r="O36" t="s">
        <v>6890</v>
      </c>
      <c r="P36" t="s">
        <v>6889</v>
      </c>
      <c r="Q36" t="s">
        <v>498</v>
      </c>
      <c r="R36" s="7">
        <v>30803</v>
      </c>
      <c r="S36" s="8">
        <f t="shared" si="0"/>
        <v>1984</v>
      </c>
      <c r="T36" s="8">
        <v>1984</v>
      </c>
      <c r="U36" s="8">
        <f t="shared" si="1"/>
        <v>38</v>
      </c>
      <c r="V36" s="7">
        <v>30803</v>
      </c>
      <c r="W36" t="s">
        <v>1018</v>
      </c>
      <c r="X36" s="2">
        <v>0.318</v>
      </c>
      <c r="Y36" s="6">
        <f t="shared" si="2"/>
        <v>8.4888283815167786E-3</v>
      </c>
      <c r="AA36">
        <v>338443</v>
      </c>
      <c r="AB36">
        <v>27160</v>
      </c>
      <c r="AC36">
        <v>15739120</v>
      </c>
      <c r="AD36" t="s">
        <v>4</v>
      </c>
      <c r="AE36">
        <v>27</v>
      </c>
      <c r="AF36">
        <v>5</v>
      </c>
      <c r="AH36" t="s">
        <v>6888</v>
      </c>
      <c r="AL36">
        <v>0</v>
      </c>
      <c r="AM36" s="5">
        <f t="shared" si="3"/>
        <v>0</v>
      </c>
      <c r="AN36" s="4">
        <f t="shared" si="4"/>
        <v>0</v>
      </c>
      <c r="AO36" s="3"/>
      <c r="AP36">
        <v>0</v>
      </c>
      <c r="AR36" t="s">
        <v>0</v>
      </c>
      <c r="AT36" s="2">
        <v>0.77</v>
      </c>
      <c r="AU36" s="1">
        <f t="shared" si="5"/>
        <v>0.59421798670617454</v>
      </c>
      <c r="AV36" s="1">
        <f t="shared" si="6"/>
        <v>0.42444141907583893</v>
      </c>
      <c r="AW36" s="1">
        <f t="shared" si="7"/>
        <v>0.25466485144550338</v>
      </c>
    </row>
    <row r="37" spans="1:49" x14ac:dyDescent="0.2">
      <c r="A37">
        <v>35</v>
      </c>
      <c r="B37" t="s">
        <v>6887</v>
      </c>
      <c r="F37" t="s">
        <v>6886</v>
      </c>
      <c r="G37" t="s">
        <v>13</v>
      </c>
      <c r="H37" t="s">
        <v>12</v>
      </c>
      <c r="I37" t="s">
        <v>6885</v>
      </c>
      <c r="N37">
        <v>2</v>
      </c>
      <c r="O37" t="s">
        <v>6884</v>
      </c>
      <c r="P37" t="s">
        <v>6883</v>
      </c>
      <c r="Q37" t="s">
        <v>266</v>
      </c>
      <c r="R37" s="7">
        <v>30803</v>
      </c>
      <c r="S37" s="8">
        <f t="shared" si="0"/>
        <v>1984</v>
      </c>
      <c r="T37" s="8">
        <v>1984</v>
      </c>
      <c r="U37" s="8">
        <f t="shared" si="1"/>
        <v>38</v>
      </c>
      <c r="V37" s="7">
        <v>30803</v>
      </c>
      <c r="W37" t="s">
        <v>364</v>
      </c>
      <c r="X37" s="2">
        <v>0.14099999999999999</v>
      </c>
      <c r="Y37" s="6">
        <f t="shared" si="2"/>
        <v>3.7639144710498915E-3</v>
      </c>
      <c r="AA37">
        <v>402508</v>
      </c>
      <c r="AB37">
        <v>20868</v>
      </c>
      <c r="AD37" t="s">
        <v>4</v>
      </c>
      <c r="AE37" t="s">
        <v>363</v>
      </c>
      <c r="AF37">
        <v>5</v>
      </c>
      <c r="AH37" t="s">
        <v>6882</v>
      </c>
      <c r="AI37" t="s">
        <v>6881</v>
      </c>
      <c r="AK37" t="s">
        <v>6880</v>
      </c>
      <c r="AL37">
        <v>0</v>
      </c>
      <c r="AM37" s="5">
        <f t="shared" si="3"/>
        <v>0</v>
      </c>
      <c r="AN37" s="4">
        <f t="shared" si="4"/>
        <v>0</v>
      </c>
      <c r="AO37" s="3"/>
      <c r="AP37">
        <v>0</v>
      </c>
      <c r="AR37" t="s">
        <v>0</v>
      </c>
      <c r="AT37" s="2" t="s">
        <v>45</v>
      </c>
      <c r="AU37" s="1">
        <f t="shared" si="5"/>
        <v>0.26347401297349238</v>
      </c>
      <c r="AV37" s="1">
        <f t="shared" si="6"/>
        <v>0.18819572355249459</v>
      </c>
      <c r="AW37" s="1">
        <f t="shared" si="7"/>
        <v>0.11291743413149673</v>
      </c>
    </row>
    <row r="38" spans="1:49" x14ac:dyDescent="0.2">
      <c r="A38">
        <v>36</v>
      </c>
      <c r="B38" t="s">
        <v>6879</v>
      </c>
      <c r="C38" t="s">
        <v>6878</v>
      </c>
      <c r="F38" t="s">
        <v>6877</v>
      </c>
      <c r="G38" t="s">
        <v>13</v>
      </c>
      <c r="H38" t="s">
        <v>12</v>
      </c>
      <c r="I38" t="s">
        <v>6876</v>
      </c>
      <c r="N38">
        <v>2</v>
      </c>
      <c r="O38" t="s">
        <v>6875</v>
      </c>
      <c r="P38" t="s">
        <v>6874</v>
      </c>
      <c r="Q38" t="s">
        <v>266</v>
      </c>
      <c r="R38" s="7">
        <v>30803</v>
      </c>
      <c r="S38" s="8">
        <f t="shared" si="0"/>
        <v>1984</v>
      </c>
      <c r="T38" s="8">
        <v>1984</v>
      </c>
      <c r="U38" s="8">
        <f t="shared" si="1"/>
        <v>38</v>
      </c>
      <c r="V38" s="7">
        <v>30803</v>
      </c>
      <c r="W38" t="s">
        <v>1018</v>
      </c>
      <c r="X38" s="2">
        <v>0.318</v>
      </c>
      <c r="Y38" s="6">
        <f t="shared" si="2"/>
        <v>8.4888283815167786E-3</v>
      </c>
      <c r="AA38">
        <v>338443</v>
      </c>
      <c r="AB38">
        <v>27160</v>
      </c>
      <c r="AC38">
        <v>15739120</v>
      </c>
      <c r="AD38" t="s">
        <v>4</v>
      </c>
      <c r="AE38">
        <v>27</v>
      </c>
      <c r="AF38">
        <v>5</v>
      </c>
      <c r="AH38" t="s">
        <v>6873</v>
      </c>
      <c r="AL38">
        <v>0</v>
      </c>
      <c r="AM38" s="5">
        <f t="shared" si="3"/>
        <v>0</v>
      </c>
      <c r="AN38" s="4">
        <f t="shared" si="4"/>
        <v>0</v>
      </c>
      <c r="AO38" s="3"/>
      <c r="AP38">
        <v>0</v>
      </c>
      <c r="AR38" t="s">
        <v>0</v>
      </c>
      <c r="AT38" s="2">
        <v>0.77</v>
      </c>
      <c r="AU38" s="1">
        <f t="shared" si="5"/>
        <v>0.59421798670617454</v>
      </c>
      <c r="AV38" s="1">
        <f t="shared" si="6"/>
        <v>0.42444141907583893</v>
      </c>
      <c r="AW38" s="1">
        <f t="shared" si="7"/>
        <v>0.25466485144550338</v>
      </c>
    </row>
    <row r="39" spans="1:49" x14ac:dyDescent="0.2">
      <c r="A39">
        <v>37</v>
      </c>
      <c r="B39" t="s">
        <v>6872</v>
      </c>
      <c r="C39" t="s">
        <v>6871</v>
      </c>
      <c r="F39" t="s">
        <v>6870</v>
      </c>
      <c r="G39" t="s">
        <v>13</v>
      </c>
      <c r="H39" t="s">
        <v>12</v>
      </c>
      <c r="I39" t="s">
        <v>6869</v>
      </c>
      <c r="N39">
        <v>7</v>
      </c>
      <c r="O39" t="s">
        <v>6868</v>
      </c>
      <c r="P39" t="s">
        <v>6867</v>
      </c>
      <c r="Q39" t="s">
        <v>2210</v>
      </c>
      <c r="R39" s="7">
        <v>30803</v>
      </c>
      <c r="S39" s="8">
        <f t="shared" si="0"/>
        <v>1984</v>
      </c>
      <c r="T39" s="8">
        <v>1984</v>
      </c>
      <c r="U39" s="8">
        <f t="shared" si="1"/>
        <v>38</v>
      </c>
      <c r="V39" s="7">
        <v>30803</v>
      </c>
      <c r="W39" t="s">
        <v>1018</v>
      </c>
      <c r="X39" s="2">
        <v>0.318</v>
      </c>
      <c r="Y39" s="6">
        <f t="shared" si="2"/>
        <v>8.4888283815167786E-3</v>
      </c>
      <c r="AA39">
        <v>338443</v>
      </c>
      <c r="AB39">
        <v>27160</v>
      </c>
      <c r="AC39">
        <v>15739120</v>
      </c>
      <c r="AD39" t="s">
        <v>4</v>
      </c>
      <c r="AE39">
        <v>27</v>
      </c>
      <c r="AF39">
        <v>5</v>
      </c>
      <c r="AH39" t="s">
        <v>6866</v>
      </c>
      <c r="AL39">
        <v>0</v>
      </c>
      <c r="AM39" s="5">
        <f t="shared" si="3"/>
        <v>0</v>
      </c>
      <c r="AN39" s="4">
        <f t="shared" si="4"/>
        <v>0</v>
      </c>
      <c r="AO39" s="3"/>
      <c r="AP39">
        <v>0</v>
      </c>
      <c r="AR39" t="s">
        <v>0</v>
      </c>
      <c r="AT39" s="2">
        <v>0.77</v>
      </c>
      <c r="AU39" s="1">
        <f t="shared" si="5"/>
        <v>0.59421798670617454</v>
      </c>
      <c r="AV39" s="1">
        <f t="shared" si="6"/>
        <v>0.42444141907583893</v>
      </c>
      <c r="AW39" s="1">
        <f t="shared" si="7"/>
        <v>0.25466485144550338</v>
      </c>
    </row>
    <row r="40" spans="1:49" x14ac:dyDescent="0.2">
      <c r="A40">
        <v>38</v>
      </c>
      <c r="B40" t="s">
        <v>6865</v>
      </c>
      <c r="F40" t="s">
        <v>6864</v>
      </c>
      <c r="G40" t="s">
        <v>13</v>
      </c>
      <c r="H40" t="s">
        <v>12</v>
      </c>
      <c r="I40" t="s">
        <v>6863</v>
      </c>
      <c r="N40">
        <v>2</v>
      </c>
      <c r="O40" t="s">
        <v>6862</v>
      </c>
      <c r="P40" t="s">
        <v>6861</v>
      </c>
      <c r="Q40" t="s">
        <v>266</v>
      </c>
      <c r="R40" s="7">
        <v>30803</v>
      </c>
      <c r="S40" s="8">
        <f t="shared" si="0"/>
        <v>1984</v>
      </c>
      <c r="T40" s="8">
        <v>1984</v>
      </c>
      <c r="U40" s="8">
        <f t="shared" si="1"/>
        <v>38</v>
      </c>
      <c r="V40" s="7">
        <v>30803</v>
      </c>
      <c r="W40" t="s">
        <v>364</v>
      </c>
      <c r="X40" s="2">
        <v>0.14099999999999999</v>
      </c>
      <c r="Y40" s="6">
        <f t="shared" si="2"/>
        <v>3.7639144710498915E-3</v>
      </c>
      <c r="AA40">
        <v>402508</v>
      </c>
      <c r="AB40">
        <v>20868</v>
      </c>
      <c r="AD40" t="s">
        <v>4</v>
      </c>
      <c r="AE40" t="s">
        <v>363</v>
      </c>
      <c r="AF40">
        <v>5</v>
      </c>
      <c r="AH40" t="s">
        <v>6860</v>
      </c>
      <c r="AI40" t="s">
        <v>6859</v>
      </c>
      <c r="AK40" t="s">
        <v>6858</v>
      </c>
      <c r="AL40">
        <v>0</v>
      </c>
      <c r="AM40" s="5">
        <f t="shared" si="3"/>
        <v>0</v>
      </c>
      <c r="AN40" s="4">
        <f t="shared" si="4"/>
        <v>0</v>
      </c>
      <c r="AO40" s="3"/>
      <c r="AP40">
        <v>0</v>
      </c>
      <c r="AR40" t="s">
        <v>0</v>
      </c>
      <c r="AT40" s="2" t="s">
        <v>45</v>
      </c>
      <c r="AU40" s="1">
        <f t="shared" si="5"/>
        <v>0.26347401297349238</v>
      </c>
      <c r="AV40" s="1">
        <f t="shared" si="6"/>
        <v>0.18819572355249459</v>
      </c>
      <c r="AW40" s="1">
        <f t="shared" si="7"/>
        <v>0.11291743413149673</v>
      </c>
    </row>
    <row r="41" spans="1:49" x14ac:dyDescent="0.2">
      <c r="A41">
        <v>39</v>
      </c>
      <c r="B41" t="s">
        <v>6857</v>
      </c>
      <c r="F41" t="s">
        <v>6856</v>
      </c>
      <c r="G41" t="s">
        <v>13</v>
      </c>
      <c r="H41" t="s">
        <v>12</v>
      </c>
      <c r="I41" t="s">
        <v>6855</v>
      </c>
      <c r="N41">
        <v>2</v>
      </c>
      <c r="O41" t="s">
        <v>6854</v>
      </c>
      <c r="P41" t="s">
        <v>6853</v>
      </c>
      <c r="Q41" t="s">
        <v>266</v>
      </c>
      <c r="R41" s="7">
        <v>30803</v>
      </c>
      <c r="S41" s="8">
        <f t="shared" si="0"/>
        <v>1984</v>
      </c>
      <c r="T41" s="8">
        <v>1984</v>
      </c>
      <c r="U41" s="8">
        <f t="shared" si="1"/>
        <v>38</v>
      </c>
      <c r="V41" s="7">
        <v>30803</v>
      </c>
      <c r="W41" t="s">
        <v>364</v>
      </c>
      <c r="X41" s="2">
        <v>0.14099999999999999</v>
      </c>
      <c r="Y41" s="6">
        <f t="shared" si="2"/>
        <v>3.7639144710498915E-3</v>
      </c>
      <c r="AA41">
        <v>402508</v>
      </c>
      <c r="AB41">
        <v>20868</v>
      </c>
      <c r="AD41" t="s">
        <v>4</v>
      </c>
      <c r="AE41" t="s">
        <v>363</v>
      </c>
      <c r="AF41">
        <v>5</v>
      </c>
      <c r="AH41" t="s">
        <v>6852</v>
      </c>
      <c r="AI41" t="s">
        <v>6851</v>
      </c>
      <c r="AK41" t="s">
        <v>6850</v>
      </c>
      <c r="AL41">
        <v>0</v>
      </c>
      <c r="AM41" s="5">
        <f t="shared" si="3"/>
        <v>0</v>
      </c>
      <c r="AN41" s="4">
        <f t="shared" si="4"/>
        <v>0</v>
      </c>
      <c r="AO41" s="3"/>
      <c r="AP41">
        <v>0</v>
      </c>
      <c r="AR41" t="s">
        <v>0</v>
      </c>
      <c r="AT41" s="2" t="s">
        <v>45</v>
      </c>
      <c r="AU41" s="1">
        <f t="shared" si="5"/>
        <v>0.26347401297349238</v>
      </c>
      <c r="AV41" s="1">
        <f t="shared" si="6"/>
        <v>0.18819572355249459</v>
      </c>
      <c r="AW41" s="1">
        <f t="shared" si="7"/>
        <v>0.11291743413149673</v>
      </c>
    </row>
    <row r="42" spans="1:49" x14ac:dyDescent="0.2">
      <c r="A42">
        <v>40</v>
      </c>
      <c r="B42" t="s">
        <v>6849</v>
      </c>
      <c r="C42" t="s">
        <v>6848</v>
      </c>
      <c r="F42" t="s">
        <v>6847</v>
      </c>
      <c r="G42" t="s">
        <v>13</v>
      </c>
      <c r="H42" t="s">
        <v>12</v>
      </c>
      <c r="I42" t="s">
        <v>6846</v>
      </c>
      <c r="J42" t="s">
        <v>6841</v>
      </c>
      <c r="K42" t="s">
        <v>6845</v>
      </c>
      <c r="L42" t="s">
        <v>6844</v>
      </c>
      <c r="M42" t="s">
        <v>206</v>
      </c>
      <c r="N42">
        <v>2</v>
      </c>
      <c r="O42" t="s">
        <v>6843</v>
      </c>
      <c r="P42" t="s">
        <v>6842</v>
      </c>
      <c r="Q42" t="s">
        <v>6841</v>
      </c>
      <c r="R42" s="7">
        <v>30803</v>
      </c>
      <c r="S42" s="8">
        <f t="shared" si="0"/>
        <v>1984</v>
      </c>
      <c r="T42" s="8">
        <v>1984</v>
      </c>
      <c r="U42" s="8">
        <f t="shared" si="1"/>
        <v>38</v>
      </c>
      <c r="V42" s="7">
        <v>30803</v>
      </c>
      <c r="W42" t="s">
        <v>6840</v>
      </c>
      <c r="X42" s="2">
        <v>0.85499999999999998</v>
      </c>
      <c r="Y42" s="6">
        <f t="shared" si="2"/>
        <v>2.28237366861536E-2</v>
      </c>
      <c r="AA42">
        <v>980331</v>
      </c>
      <c r="AB42">
        <v>23342</v>
      </c>
      <c r="AC42">
        <v>15731561</v>
      </c>
      <c r="AD42" t="s">
        <v>4</v>
      </c>
      <c r="AE42">
        <v>10</v>
      </c>
      <c r="AF42">
        <v>5</v>
      </c>
      <c r="AH42" t="s">
        <v>6839</v>
      </c>
      <c r="AI42" t="s">
        <v>6838</v>
      </c>
      <c r="AJ42" t="s">
        <v>6837</v>
      </c>
      <c r="AK42" t="s">
        <v>6836</v>
      </c>
      <c r="AL42">
        <v>32</v>
      </c>
      <c r="AM42" s="5">
        <f t="shared" si="3"/>
        <v>0.84210526315789469</v>
      </c>
      <c r="AN42" s="4">
        <f t="shared" si="4"/>
        <v>1.2754339464716314E-3</v>
      </c>
      <c r="AO42" s="3"/>
      <c r="AP42">
        <v>0</v>
      </c>
      <c r="AR42" t="s">
        <v>0</v>
      </c>
      <c r="AT42" s="2">
        <v>2.6259999999999999</v>
      </c>
      <c r="AU42" s="1">
        <f t="shared" si="5"/>
        <v>1.6359245864249008</v>
      </c>
      <c r="AV42" s="1">
        <f t="shared" si="6"/>
        <v>1.2049585316312617</v>
      </c>
      <c r="AW42" s="1">
        <f t="shared" si="7"/>
        <v>0.77399247683762218</v>
      </c>
    </row>
    <row r="43" spans="1:49" x14ac:dyDescent="0.2">
      <c r="A43">
        <v>41</v>
      </c>
      <c r="B43" t="s">
        <v>6835</v>
      </c>
      <c r="C43" t="s">
        <v>6834</v>
      </c>
      <c r="F43" t="s">
        <v>6833</v>
      </c>
      <c r="G43" t="s">
        <v>13</v>
      </c>
      <c r="H43" t="s">
        <v>12</v>
      </c>
      <c r="I43" t="s">
        <v>6832</v>
      </c>
      <c r="J43">
        <v>60005460</v>
      </c>
      <c r="K43" t="s">
        <v>5666</v>
      </c>
      <c r="L43" t="s">
        <v>5665</v>
      </c>
      <c r="M43" t="s">
        <v>142</v>
      </c>
      <c r="N43">
        <v>1</v>
      </c>
      <c r="O43" t="s">
        <v>6831</v>
      </c>
      <c r="P43">
        <v>26643587600</v>
      </c>
      <c r="Q43">
        <v>60005460</v>
      </c>
      <c r="R43" s="7">
        <v>30803</v>
      </c>
      <c r="S43" s="8">
        <f t="shared" si="0"/>
        <v>1984</v>
      </c>
      <c r="T43" s="8">
        <v>1984</v>
      </c>
      <c r="U43" s="8">
        <f t="shared" si="1"/>
        <v>38</v>
      </c>
      <c r="V43" s="7">
        <v>30803</v>
      </c>
      <c r="W43" t="s">
        <v>6830</v>
      </c>
      <c r="X43" s="2">
        <v>0.51700000000000002</v>
      </c>
      <c r="Y43" s="6">
        <f t="shared" si="2"/>
        <v>1.3801019727182938E-2</v>
      </c>
      <c r="AA43" t="s">
        <v>6829</v>
      </c>
      <c r="AB43">
        <v>14981</v>
      </c>
      <c r="AC43" t="s">
        <v>6828</v>
      </c>
      <c r="AD43" t="s">
        <v>4</v>
      </c>
      <c r="AE43">
        <v>104</v>
      </c>
      <c r="AF43">
        <v>3</v>
      </c>
      <c r="AH43" t="s">
        <v>6827</v>
      </c>
      <c r="AI43" t="s">
        <v>6826</v>
      </c>
      <c r="AK43" t="s">
        <v>6825</v>
      </c>
      <c r="AL43">
        <v>91</v>
      </c>
      <c r="AM43" s="5">
        <f t="shared" si="3"/>
        <v>2.3947368421052633</v>
      </c>
      <c r="AN43" s="4">
        <f t="shared" si="4"/>
        <v>3.6270152852787025E-3</v>
      </c>
      <c r="AO43" s="3"/>
      <c r="AP43">
        <v>0</v>
      </c>
      <c r="AR43" t="s">
        <v>0</v>
      </c>
      <c r="AT43" s="2">
        <v>1.3260000000000001</v>
      </c>
      <c r="AU43" s="1">
        <f t="shared" si="5"/>
        <v>1.0748818394611666</v>
      </c>
      <c r="AV43" s="1">
        <f t="shared" si="6"/>
        <v>0.87140175062308201</v>
      </c>
      <c r="AW43" s="1">
        <f t="shared" si="7"/>
        <v>0.66792166178499723</v>
      </c>
    </row>
    <row r="44" spans="1:49" x14ac:dyDescent="0.2">
      <c r="A44">
        <v>42</v>
      </c>
      <c r="B44" t="s">
        <v>6824</v>
      </c>
      <c r="C44" t="s">
        <v>6823</v>
      </c>
      <c r="F44" t="s">
        <v>6822</v>
      </c>
      <c r="G44" t="s">
        <v>13</v>
      </c>
      <c r="H44" t="s">
        <v>12</v>
      </c>
      <c r="I44" t="s">
        <v>6821</v>
      </c>
      <c r="J44">
        <v>60000886</v>
      </c>
      <c r="K44" t="s">
        <v>6820</v>
      </c>
      <c r="L44" t="s">
        <v>6819</v>
      </c>
      <c r="M44" t="s">
        <v>643</v>
      </c>
      <c r="N44">
        <v>1</v>
      </c>
      <c r="O44" t="s">
        <v>6818</v>
      </c>
      <c r="P44">
        <v>57214924764</v>
      </c>
      <c r="Q44">
        <v>60000886</v>
      </c>
      <c r="R44" s="7">
        <v>30798</v>
      </c>
      <c r="S44" s="8">
        <f t="shared" si="0"/>
        <v>1984</v>
      </c>
      <c r="T44" s="8">
        <v>1984</v>
      </c>
      <c r="U44" s="8">
        <f t="shared" si="1"/>
        <v>38</v>
      </c>
      <c r="V44" s="7">
        <v>30798</v>
      </c>
      <c r="W44" t="s">
        <v>6337</v>
      </c>
      <c r="X44" s="2">
        <v>0.375</v>
      </c>
      <c r="Y44" s="6">
        <f t="shared" si="2"/>
        <v>1.0010410827260351E-2</v>
      </c>
      <c r="AA44">
        <v>135194</v>
      </c>
      <c r="AB44">
        <v>24918</v>
      </c>
      <c r="AD44" t="s">
        <v>4</v>
      </c>
      <c r="AE44">
        <v>20</v>
      </c>
      <c r="AF44">
        <v>9</v>
      </c>
      <c r="AH44" t="s">
        <v>6817</v>
      </c>
      <c r="AI44" t="s">
        <v>6816</v>
      </c>
      <c r="AJ44" t="s">
        <v>6815</v>
      </c>
      <c r="AK44" t="s">
        <v>6814</v>
      </c>
      <c r="AL44">
        <v>1</v>
      </c>
      <c r="AM44" s="5">
        <f t="shared" si="3"/>
        <v>2.6315789473684209E-2</v>
      </c>
      <c r="AN44" s="4">
        <f t="shared" si="4"/>
        <v>3.9857310827238481E-5</v>
      </c>
      <c r="AO44" s="3"/>
      <c r="AP44">
        <v>0</v>
      </c>
      <c r="AR44" t="s">
        <v>0</v>
      </c>
      <c r="AT44" s="2">
        <v>1.3140000000000001</v>
      </c>
      <c r="AU44" s="1">
        <f t="shared" si="5"/>
        <v>0.70192447723304174</v>
      </c>
      <c r="AV44" s="1">
        <f t="shared" si="6"/>
        <v>0.50251340690437951</v>
      </c>
      <c r="AW44" s="1">
        <f t="shared" si="7"/>
        <v>0.30310233657571722</v>
      </c>
    </row>
    <row r="45" spans="1:49" x14ac:dyDescent="0.2">
      <c r="A45">
        <v>43</v>
      </c>
      <c r="B45" t="s">
        <v>6813</v>
      </c>
      <c r="C45" t="s">
        <v>6812</v>
      </c>
      <c r="F45" t="s">
        <v>6811</v>
      </c>
      <c r="G45" t="s">
        <v>13</v>
      </c>
      <c r="H45" t="s">
        <v>12</v>
      </c>
      <c r="I45" t="s">
        <v>6810</v>
      </c>
      <c r="J45">
        <v>60032139</v>
      </c>
      <c r="K45" t="s">
        <v>1829</v>
      </c>
      <c r="L45" t="s">
        <v>1828</v>
      </c>
      <c r="M45" t="s">
        <v>167</v>
      </c>
      <c r="N45">
        <v>1</v>
      </c>
      <c r="O45" t="s">
        <v>6809</v>
      </c>
      <c r="P45">
        <v>7401560022</v>
      </c>
      <c r="Q45">
        <v>60032139</v>
      </c>
      <c r="R45" s="7">
        <v>30784</v>
      </c>
      <c r="S45" s="8">
        <f t="shared" si="0"/>
        <v>1984</v>
      </c>
      <c r="T45" s="8">
        <v>1984</v>
      </c>
      <c r="U45" s="8">
        <f t="shared" si="1"/>
        <v>38</v>
      </c>
      <c r="V45" s="7">
        <v>30784</v>
      </c>
      <c r="W45" t="s">
        <v>6337</v>
      </c>
      <c r="X45" s="2">
        <v>0.375</v>
      </c>
      <c r="Y45" s="6">
        <f t="shared" si="2"/>
        <v>1.0010410827260351E-2</v>
      </c>
      <c r="AA45">
        <v>135194</v>
      </c>
      <c r="AB45">
        <v>24918</v>
      </c>
      <c r="AD45" t="s">
        <v>4</v>
      </c>
      <c r="AE45">
        <v>20</v>
      </c>
      <c r="AF45">
        <v>8</v>
      </c>
      <c r="AH45" t="s">
        <v>6808</v>
      </c>
      <c r="AI45" t="s">
        <v>6807</v>
      </c>
      <c r="AJ45" t="s">
        <v>6806</v>
      </c>
      <c r="AK45" t="s">
        <v>6805</v>
      </c>
      <c r="AL45">
        <v>2</v>
      </c>
      <c r="AM45" s="5">
        <f t="shared" si="3"/>
        <v>5.2631578947368418E-2</v>
      </c>
      <c r="AN45" s="4">
        <f t="shared" si="4"/>
        <v>7.9714621654476962E-5</v>
      </c>
      <c r="AO45" s="3"/>
      <c r="AP45">
        <v>0</v>
      </c>
      <c r="AR45" t="s">
        <v>0</v>
      </c>
      <c r="AT45" s="2">
        <v>1.3140000000000001</v>
      </c>
      <c r="AU45" s="1">
        <f t="shared" si="5"/>
        <v>0.70312019655785896</v>
      </c>
      <c r="AV45" s="1">
        <f t="shared" si="6"/>
        <v>0.50450627244574142</v>
      </c>
      <c r="AW45" s="1">
        <f t="shared" si="7"/>
        <v>0.30589234833362389</v>
      </c>
    </row>
    <row r="46" spans="1:49" x14ac:dyDescent="0.2">
      <c r="A46">
        <v>44</v>
      </c>
      <c r="B46" t="s">
        <v>6804</v>
      </c>
      <c r="C46" t="s">
        <v>6803</v>
      </c>
      <c r="F46" t="s">
        <v>6802</v>
      </c>
      <c r="G46" t="s">
        <v>13</v>
      </c>
      <c r="H46" t="s">
        <v>12</v>
      </c>
      <c r="I46" t="s">
        <v>6801</v>
      </c>
      <c r="J46">
        <v>60001754</v>
      </c>
      <c r="K46" t="s">
        <v>6724</v>
      </c>
      <c r="L46" t="s">
        <v>6723</v>
      </c>
      <c r="M46" t="s">
        <v>142</v>
      </c>
      <c r="N46">
        <v>1</v>
      </c>
      <c r="O46" t="s">
        <v>6800</v>
      </c>
      <c r="P46">
        <v>6602109154</v>
      </c>
      <c r="Q46">
        <v>60001754</v>
      </c>
      <c r="R46" s="7">
        <v>30784</v>
      </c>
      <c r="S46" s="8">
        <f t="shared" si="0"/>
        <v>1984</v>
      </c>
      <c r="T46" s="8">
        <v>1984</v>
      </c>
      <c r="U46" s="8">
        <f t="shared" si="1"/>
        <v>38</v>
      </c>
      <c r="V46" s="7">
        <v>30784</v>
      </c>
      <c r="W46" t="s">
        <v>6337</v>
      </c>
      <c r="X46" s="2">
        <v>0.375</v>
      </c>
      <c r="Y46" s="6">
        <f t="shared" si="2"/>
        <v>1.0010410827260351E-2</v>
      </c>
      <c r="AA46">
        <v>135194</v>
      </c>
      <c r="AB46">
        <v>24918</v>
      </c>
      <c r="AD46" t="s">
        <v>4</v>
      </c>
      <c r="AE46">
        <v>20</v>
      </c>
      <c r="AF46">
        <v>8</v>
      </c>
      <c r="AH46">
        <v>345</v>
      </c>
      <c r="AI46" t="s">
        <v>6799</v>
      </c>
      <c r="AJ46" t="s">
        <v>6798</v>
      </c>
      <c r="AK46" t="s">
        <v>6797</v>
      </c>
      <c r="AL46">
        <v>0</v>
      </c>
      <c r="AM46" s="5">
        <f t="shared" si="3"/>
        <v>0</v>
      </c>
      <c r="AN46" s="4">
        <f t="shared" si="4"/>
        <v>0</v>
      </c>
      <c r="AO46" s="3"/>
      <c r="AP46">
        <v>0</v>
      </c>
      <c r="AR46" t="s">
        <v>0</v>
      </c>
      <c r="AT46" s="2">
        <v>1.3140000000000001</v>
      </c>
      <c r="AU46" s="1">
        <f t="shared" si="5"/>
        <v>0.70072875790822453</v>
      </c>
      <c r="AV46" s="1">
        <f t="shared" si="6"/>
        <v>0.5005205413630176</v>
      </c>
      <c r="AW46" s="1">
        <f t="shared" si="7"/>
        <v>0.30031232481781051</v>
      </c>
    </row>
    <row r="47" spans="1:49" x14ac:dyDescent="0.2">
      <c r="A47">
        <v>45</v>
      </c>
      <c r="B47" t="s">
        <v>6796</v>
      </c>
      <c r="C47" t="s">
        <v>6795</v>
      </c>
      <c r="F47" t="s">
        <v>6794</v>
      </c>
      <c r="G47" t="s">
        <v>13</v>
      </c>
      <c r="H47" t="s">
        <v>12</v>
      </c>
      <c r="I47" t="s">
        <v>6793</v>
      </c>
      <c r="J47">
        <v>60000481</v>
      </c>
      <c r="K47" t="s">
        <v>6792</v>
      </c>
      <c r="L47" t="s">
        <v>6791</v>
      </c>
      <c r="M47" t="s">
        <v>3391</v>
      </c>
      <c r="N47">
        <v>1</v>
      </c>
      <c r="O47" t="s">
        <v>6790</v>
      </c>
      <c r="P47">
        <v>7003517298</v>
      </c>
      <c r="Q47">
        <v>60000481</v>
      </c>
      <c r="R47" s="7">
        <v>30784</v>
      </c>
      <c r="S47" s="8">
        <f t="shared" si="0"/>
        <v>1984</v>
      </c>
      <c r="T47" s="8">
        <v>1984</v>
      </c>
      <c r="U47" s="8">
        <f t="shared" si="1"/>
        <v>38</v>
      </c>
      <c r="V47" s="7">
        <v>30784</v>
      </c>
      <c r="W47" t="s">
        <v>6337</v>
      </c>
      <c r="X47" s="2">
        <v>0.375</v>
      </c>
      <c r="Y47" s="6">
        <f t="shared" si="2"/>
        <v>1.0010410827260351E-2</v>
      </c>
      <c r="AA47">
        <v>135194</v>
      </c>
      <c r="AB47">
        <v>24918</v>
      </c>
      <c r="AD47" t="s">
        <v>4</v>
      </c>
      <c r="AE47">
        <v>20</v>
      </c>
      <c r="AF47">
        <v>8</v>
      </c>
      <c r="AH47" t="s">
        <v>6789</v>
      </c>
      <c r="AI47" t="s">
        <v>6788</v>
      </c>
      <c r="AJ47" t="s">
        <v>6787</v>
      </c>
      <c r="AK47" t="s">
        <v>6786</v>
      </c>
      <c r="AL47">
        <v>3</v>
      </c>
      <c r="AM47" s="5">
        <f t="shared" si="3"/>
        <v>7.8947368421052627E-2</v>
      </c>
      <c r="AN47" s="4">
        <f t="shared" si="4"/>
        <v>1.1957193248171546E-4</v>
      </c>
      <c r="AO47" s="3"/>
      <c r="AP47">
        <v>0</v>
      </c>
      <c r="AR47" t="s">
        <v>0</v>
      </c>
      <c r="AT47" s="2">
        <v>1.3140000000000001</v>
      </c>
      <c r="AU47" s="1">
        <f t="shared" si="5"/>
        <v>0.70431591588267606</v>
      </c>
      <c r="AV47" s="1">
        <f t="shared" si="6"/>
        <v>0.50649913798710333</v>
      </c>
      <c r="AW47" s="1">
        <f t="shared" si="7"/>
        <v>0.30868236009153061</v>
      </c>
    </row>
    <row r="48" spans="1:49" x14ac:dyDescent="0.2">
      <c r="A48">
        <v>46</v>
      </c>
      <c r="B48" t="s">
        <v>6785</v>
      </c>
      <c r="C48" t="s">
        <v>6784</v>
      </c>
      <c r="F48" t="s">
        <v>6783</v>
      </c>
      <c r="G48" t="s">
        <v>13</v>
      </c>
      <c r="H48" t="s">
        <v>12</v>
      </c>
      <c r="I48" t="s">
        <v>6772</v>
      </c>
      <c r="J48" t="s">
        <v>466</v>
      </c>
      <c r="K48" t="s">
        <v>465</v>
      </c>
      <c r="L48" t="s">
        <v>464</v>
      </c>
      <c r="M48" t="s">
        <v>463</v>
      </c>
      <c r="N48">
        <v>4</v>
      </c>
      <c r="O48" t="s">
        <v>6782</v>
      </c>
      <c r="P48" t="s">
        <v>6781</v>
      </c>
      <c r="Q48" t="s">
        <v>6780</v>
      </c>
      <c r="R48" s="7">
        <v>30784</v>
      </c>
      <c r="S48" s="8">
        <f t="shared" ref="S48:S111" si="8">YEAR(R48)</f>
        <v>1984</v>
      </c>
      <c r="T48" s="8">
        <v>1984</v>
      </c>
      <c r="U48" s="8">
        <f t="shared" ref="U48:U111" si="9">2022-T48</f>
        <v>38</v>
      </c>
      <c r="V48" s="7">
        <v>30784</v>
      </c>
      <c r="W48" t="s">
        <v>6337</v>
      </c>
      <c r="X48" s="2">
        <v>0.375</v>
      </c>
      <c r="Y48" s="6">
        <f t="shared" si="2"/>
        <v>1.0010410827260351E-2</v>
      </c>
      <c r="AA48">
        <v>135194</v>
      </c>
      <c r="AB48">
        <v>24918</v>
      </c>
      <c r="AD48" t="s">
        <v>4</v>
      </c>
      <c r="AE48">
        <v>20</v>
      </c>
      <c r="AF48">
        <v>8</v>
      </c>
      <c r="AH48" t="s">
        <v>6779</v>
      </c>
      <c r="AI48" t="s">
        <v>6778</v>
      </c>
      <c r="AJ48" t="s">
        <v>6777</v>
      </c>
      <c r="AK48" t="s">
        <v>6776</v>
      </c>
      <c r="AL48">
        <v>8</v>
      </c>
      <c r="AM48" s="5">
        <f t="shared" ref="AM48:AM111" si="10">AL48/U48</f>
        <v>0.21052631578947367</v>
      </c>
      <c r="AN48" s="4">
        <f t="shared" si="4"/>
        <v>3.1885848661790785E-4</v>
      </c>
      <c r="AO48" s="3"/>
      <c r="AP48">
        <v>0</v>
      </c>
      <c r="AR48" t="s">
        <v>0</v>
      </c>
      <c r="AT48" s="2">
        <v>1.3140000000000001</v>
      </c>
      <c r="AU48" s="1">
        <f t="shared" ref="AU48:AU111" si="11">(Y48*0.7+AN48*0.3)*100</f>
        <v>0.71029451250676179</v>
      </c>
      <c r="AV48" s="1">
        <f t="shared" ref="AV48:AV111" si="12">(Y48*0.5+AN48*0.5)*100</f>
        <v>0.51646346569391288</v>
      </c>
      <c r="AW48" s="1">
        <f t="shared" ref="AW48:AW111" si="13">(Y48*0.3+AN48*0.7)*100</f>
        <v>0.32263241888106409</v>
      </c>
    </row>
    <row r="49" spans="1:49" x14ac:dyDescent="0.2">
      <c r="A49">
        <v>47</v>
      </c>
      <c r="B49" t="s">
        <v>6775</v>
      </c>
      <c r="C49" t="s">
        <v>6774</v>
      </c>
      <c r="F49" t="s">
        <v>6773</v>
      </c>
      <c r="G49" t="s">
        <v>13</v>
      </c>
      <c r="H49" t="s">
        <v>12</v>
      </c>
      <c r="I49" t="s">
        <v>6772</v>
      </c>
      <c r="J49" t="s">
        <v>466</v>
      </c>
      <c r="K49" t="s">
        <v>465</v>
      </c>
      <c r="L49" t="s">
        <v>464</v>
      </c>
      <c r="M49" t="s">
        <v>463</v>
      </c>
      <c r="N49">
        <v>3</v>
      </c>
      <c r="O49" t="s">
        <v>6771</v>
      </c>
      <c r="P49" t="s">
        <v>6770</v>
      </c>
      <c r="Q49" t="s">
        <v>6769</v>
      </c>
      <c r="R49" s="7">
        <v>30784</v>
      </c>
      <c r="S49" s="8">
        <f t="shared" si="8"/>
        <v>1984</v>
      </c>
      <c r="T49" s="8">
        <v>1984</v>
      </c>
      <c r="U49" s="8">
        <f t="shared" si="9"/>
        <v>38</v>
      </c>
      <c r="V49" s="7">
        <v>30784</v>
      </c>
      <c r="W49" t="s">
        <v>6337</v>
      </c>
      <c r="X49" s="2">
        <v>0.375</v>
      </c>
      <c r="Y49" s="6">
        <f t="shared" si="2"/>
        <v>1.0010410827260351E-2</v>
      </c>
      <c r="AA49">
        <v>135194</v>
      </c>
      <c r="AB49">
        <v>24918</v>
      </c>
      <c r="AD49" t="s">
        <v>4</v>
      </c>
      <c r="AE49">
        <v>20</v>
      </c>
      <c r="AF49">
        <v>8</v>
      </c>
      <c r="AH49" t="s">
        <v>6768</v>
      </c>
      <c r="AI49" t="s">
        <v>6767</v>
      </c>
      <c r="AJ49" t="s">
        <v>6766</v>
      </c>
      <c r="AK49" t="s">
        <v>6765</v>
      </c>
      <c r="AL49">
        <v>0</v>
      </c>
      <c r="AM49" s="5">
        <f t="shared" si="10"/>
        <v>0</v>
      </c>
      <c r="AN49" s="4">
        <f t="shared" si="4"/>
        <v>0</v>
      </c>
      <c r="AO49" s="3"/>
      <c r="AP49">
        <v>0</v>
      </c>
      <c r="AR49" t="s">
        <v>0</v>
      </c>
      <c r="AT49" s="2">
        <v>1.3140000000000001</v>
      </c>
      <c r="AU49" s="1">
        <f t="shared" si="11"/>
        <v>0.70072875790822453</v>
      </c>
      <c r="AV49" s="1">
        <f t="shared" si="12"/>
        <v>0.5005205413630176</v>
      </c>
      <c r="AW49" s="1">
        <f t="shared" si="13"/>
        <v>0.30031232481781051</v>
      </c>
    </row>
    <row r="50" spans="1:49" x14ac:dyDescent="0.2">
      <c r="A50">
        <v>48</v>
      </c>
      <c r="B50" t="s">
        <v>6764</v>
      </c>
      <c r="C50" t="s">
        <v>6763</v>
      </c>
      <c r="F50" t="s">
        <v>6762</v>
      </c>
      <c r="G50" t="s">
        <v>13</v>
      </c>
      <c r="H50" t="s">
        <v>12</v>
      </c>
      <c r="I50" t="s">
        <v>6761</v>
      </c>
      <c r="J50">
        <v>106239671</v>
      </c>
      <c r="K50" t="s">
        <v>6760</v>
      </c>
      <c r="M50" t="s">
        <v>217</v>
      </c>
      <c r="N50">
        <v>2</v>
      </c>
      <c r="O50" t="s">
        <v>6759</v>
      </c>
      <c r="P50" t="s">
        <v>6758</v>
      </c>
      <c r="Q50" t="s">
        <v>6757</v>
      </c>
      <c r="R50" s="7">
        <v>30773</v>
      </c>
      <c r="S50" s="8">
        <f t="shared" si="8"/>
        <v>1984</v>
      </c>
      <c r="T50" s="8">
        <v>1984</v>
      </c>
      <c r="U50" s="8">
        <f t="shared" si="9"/>
        <v>38</v>
      </c>
      <c r="V50" s="7">
        <v>30773</v>
      </c>
      <c r="W50" t="s">
        <v>5823</v>
      </c>
      <c r="X50" s="2">
        <v>0.11700000000000001</v>
      </c>
      <c r="Y50" s="6">
        <f t="shared" si="2"/>
        <v>3.1232481781052297E-3</v>
      </c>
      <c r="AA50">
        <v>2179822</v>
      </c>
      <c r="AB50">
        <v>5300152612</v>
      </c>
      <c r="AC50">
        <v>19930615</v>
      </c>
      <c r="AD50" t="s">
        <v>4</v>
      </c>
      <c r="AE50">
        <v>1</v>
      </c>
      <c r="AF50">
        <v>2</v>
      </c>
      <c r="AH50" t="s">
        <v>3892</v>
      </c>
      <c r="AI50" t="s">
        <v>6756</v>
      </c>
      <c r="AK50" t="s">
        <v>6755</v>
      </c>
      <c r="AL50">
        <v>0</v>
      </c>
      <c r="AM50" s="5">
        <f t="shared" si="10"/>
        <v>0</v>
      </c>
      <c r="AN50" s="4">
        <f t="shared" si="4"/>
        <v>0</v>
      </c>
      <c r="AO50" s="3"/>
      <c r="AP50">
        <v>0</v>
      </c>
      <c r="AR50" t="s">
        <v>0</v>
      </c>
      <c r="AT50" s="2" t="s">
        <v>45</v>
      </c>
      <c r="AU50" s="1">
        <f t="shared" si="11"/>
        <v>0.21862737246736608</v>
      </c>
      <c r="AV50" s="1">
        <f t="shared" si="12"/>
        <v>0.15616240890526148</v>
      </c>
      <c r="AW50" s="1">
        <f t="shared" si="13"/>
        <v>9.3697445343156896E-2</v>
      </c>
    </row>
    <row r="51" spans="1:49" x14ac:dyDescent="0.2">
      <c r="A51">
        <v>49</v>
      </c>
      <c r="B51" t="s">
        <v>6754</v>
      </c>
      <c r="C51" t="s">
        <v>6753</v>
      </c>
      <c r="F51" t="s">
        <v>6752</v>
      </c>
      <c r="G51" t="s">
        <v>13</v>
      </c>
      <c r="H51" t="s">
        <v>12</v>
      </c>
      <c r="I51" t="s">
        <v>6751</v>
      </c>
      <c r="J51">
        <v>60102437</v>
      </c>
      <c r="K51" t="s">
        <v>6750</v>
      </c>
      <c r="L51" t="s">
        <v>6749</v>
      </c>
      <c r="M51" t="s">
        <v>217</v>
      </c>
      <c r="N51">
        <v>1</v>
      </c>
      <c r="O51" t="s">
        <v>6748</v>
      </c>
      <c r="P51">
        <v>24793295500</v>
      </c>
      <c r="Q51">
        <v>60102437</v>
      </c>
      <c r="R51" s="7">
        <v>30773</v>
      </c>
      <c r="S51" s="8">
        <f t="shared" si="8"/>
        <v>1984</v>
      </c>
      <c r="T51" s="8">
        <v>1984</v>
      </c>
      <c r="U51" s="8">
        <f t="shared" si="9"/>
        <v>38</v>
      </c>
      <c r="V51" s="7">
        <v>30773</v>
      </c>
      <c r="W51" t="s">
        <v>5823</v>
      </c>
      <c r="X51" s="2">
        <v>0.11700000000000001</v>
      </c>
      <c r="Y51" s="6">
        <f t="shared" si="2"/>
        <v>3.1232481781052297E-3</v>
      </c>
      <c r="AA51">
        <v>2179822</v>
      </c>
      <c r="AB51">
        <v>5300152612</v>
      </c>
      <c r="AC51">
        <v>19930615</v>
      </c>
      <c r="AD51" t="s">
        <v>4</v>
      </c>
      <c r="AE51">
        <v>1</v>
      </c>
      <c r="AF51">
        <v>2</v>
      </c>
      <c r="AH51" t="s">
        <v>6747</v>
      </c>
      <c r="AI51" t="s">
        <v>6746</v>
      </c>
      <c r="AK51" t="s">
        <v>6745</v>
      </c>
      <c r="AL51">
        <v>0</v>
      </c>
      <c r="AM51" s="5">
        <f t="shared" si="10"/>
        <v>0</v>
      </c>
      <c r="AN51" s="4">
        <f t="shared" si="4"/>
        <v>0</v>
      </c>
      <c r="AO51" s="3"/>
      <c r="AP51">
        <v>0</v>
      </c>
      <c r="AR51" t="s">
        <v>0</v>
      </c>
      <c r="AT51" s="2" t="s">
        <v>45</v>
      </c>
      <c r="AU51" s="1">
        <f t="shared" si="11"/>
        <v>0.21862737246736608</v>
      </c>
      <c r="AV51" s="1">
        <f t="shared" si="12"/>
        <v>0.15616240890526148</v>
      </c>
      <c r="AW51" s="1">
        <f t="shared" si="13"/>
        <v>9.3697445343156896E-2</v>
      </c>
    </row>
    <row r="52" spans="1:49" x14ac:dyDescent="0.2">
      <c r="A52">
        <v>50</v>
      </c>
      <c r="B52" t="s">
        <v>6744</v>
      </c>
      <c r="C52" t="s">
        <v>6743</v>
      </c>
      <c r="F52" t="s">
        <v>6742</v>
      </c>
      <c r="G52" t="s">
        <v>13</v>
      </c>
      <c r="H52" t="s">
        <v>12</v>
      </c>
      <c r="I52" t="s">
        <v>6741</v>
      </c>
      <c r="J52" t="s">
        <v>6740</v>
      </c>
      <c r="K52" t="s">
        <v>6739</v>
      </c>
      <c r="L52" t="s">
        <v>6738</v>
      </c>
      <c r="M52" t="s">
        <v>6737</v>
      </c>
      <c r="N52">
        <v>5</v>
      </c>
      <c r="O52" t="s">
        <v>6736</v>
      </c>
      <c r="P52" t="s">
        <v>6735</v>
      </c>
      <c r="Q52" t="s">
        <v>6734</v>
      </c>
      <c r="R52" s="7">
        <v>30773</v>
      </c>
      <c r="S52" s="8">
        <f t="shared" si="8"/>
        <v>1984</v>
      </c>
      <c r="T52" s="8">
        <v>1984</v>
      </c>
      <c r="U52" s="8">
        <f t="shared" si="9"/>
        <v>38</v>
      </c>
      <c r="V52" s="7">
        <v>30773</v>
      </c>
      <c r="W52" t="s">
        <v>6733</v>
      </c>
      <c r="X52" s="2">
        <v>1.026</v>
      </c>
      <c r="Y52" s="6">
        <f t="shared" si="2"/>
        <v>2.738848402338432E-2</v>
      </c>
      <c r="AA52">
        <v>380938</v>
      </c>
      <c r="AB52">
        <v>28245</v>
      </c>
      <c r="AC52" t="s">
        <v>6732</v>
      </c>
      <c r="AD52" t="s">
        <v>4</v>
      </c>
      <c r="AE52">
        <v>91</v>
      </c>
      <c r="AF52">
        <v>2</v>
      </c>
      <c r="AH52" t="s">
        <v>6731</v>
      </c>
      <c r="AI52" t="s">
        <v>6730</v>
      </c>
      <c r="AK52" t="s">
        <v>6729</v>
      </c>
      <c r="AL52">
        <v>7</v>
      </c>
      <c r="AM52" s="5">
        <f t="shared" si="10"/>
        <v>0.18421052631578946</v>
      </c>
      <c r="AN52" s="4">
        <f t="shared" si="4"/>
        <v>2.7900117579066937E-4</v>
      </c>
      <c r="AO52" s="3"/>
      <c r="AP52">
        <v>0</v>
      </c>
      <c r="AR52" t="s">
        <v>0</v>
      </c>
      <c r="AT52" s="2">
        <v>2.6709999999999998</v>
      </c>
      <c r="AU52" s="1">
        <f t="shared" si="11"/>
        <v>1.9255639169106225</v>
      </c>
      <c r="AV52" s="1">
        <f t="shared" si="12"/>
        <v>1.3833742599587493</v>
      </c>
      <c r="AW52" s="1">
        <f t="shared" si="13"/>
        <v>0.84118460300687636</v>
      </c>
    </row>
    <row r="53" spans="1:49" x14ac:dyDescent="0.2">
      <c r="A53">
        <v>51</v>
      </c>
      <c r="B53" t="s">
        <v>6728</v>
      </c>
      <c r="C53" t="s">
        <v>6727</v>
      </c>
      <c r="F53" t="s">
        <v>6726</v>
      </c>
      <c r="G53" t="s">
        <v>13</v>
      </c>
      <c r="H53" t="s">
        <v>12</v>
      </c>
      <c r="I53" t="s">
        <v>6725</v>
      </c>
      <c r="J53">
        <v>60001754</v>
      </c>
      <c r="K53" t="s">
        <v>6724</v>
      </c>
      <c r="L53" t="s">
        <v>6723</v>
      </c>
      <c r="M53" t="s">
        <v>142</v>
      </c>
      <c r="N53">
        <v>3</v>
      </c>
      <c r="O53" t="s">
        <v>6722</v>
      </c>
      <c r="P53" t="s">
        <v>6721</v>
      </c>
      <c r="Q53" t="s">
        <v>6720</v>
      </c>
      <c r="R53" s="7">
        <v>30773</v>
      </c>
      <c r="S53" s="8">
        <f t="shared" si="8"/>
        <v>1984</v>
      </c>
      <c r="T53" s="8">
        <v>1984</v>
      </c>
      <c r="U53" s="8">
        <f t="shared" si="9"/>
        <v>38</v>
      </c>
      <c r="V53" s="7">
        <v>30773</v>
      </c>
      <c r="W53" t="s">
        <v>601</v>
      </c>
      <c r="X53" s="2">
        <v>0.61499999999999999</v>
      </c>
      <c r="Y53" s="6">
        <f t="shared" si="2"/>
        <v>1.6417073756706976E-2</v>
      </c>
      <c r="AA53">
        <v>1959271</v>
      </c>
      <c r="AB53">
        <v>12141</v>
      </c>
      <c r="AC53">
        <v>15729559</v>
      </c>
      <c r="AD53" t="s">
        <v>4</v>
      </c>
      <c r="AE53">
        <v>5</v>
      </c>
      <c r="AF53">
        <v>4</v>
      </c>
      <c r="AH53" t="s">
        <v>6719</v>
      </c>
      <c r="AI53" t="s">
        <v>6718</v>
      </c>
      <c r="AJ53" t="s">
        <v>6717</v>
      </c>
      <c r="AK53" t="s">
        <v>6716</v>
      </c>
      <c r="AL53">
        <v>14</v>
      </c>
      <c r="AM53" s="5">
        <f t="shared" si="10"/>
        <v>0.36842105263157893</v>
      </c>
      <c r="AN53" s="4">
        <f t="shared" si="4"/>
        <v>5.5800235158133874E-4</v>
      </c>
      <c r="AO53" s="3"/>
      <c r="AP53">
        <v>0</v>
      </c>
      <c r="AR53" t="s">
        <v>0</v>
      </c>
      <c r="AT53" s="2" t="s">
        <v>45</v>
      </c>
      <c r="AU53" s="1">
        <f t="shared" si="11"/>
        <v>1.1659352335169282</v>
      </c>
      <c r="AV53" s="1">
        <f t="shared" si="12"/>
        <v>0.8487538054144157</v>
      </c>
      <c r="AW53" s="1">
        <f t="shared" si="13"/>
        <v>0.53157237731190299</v>
      </c>
    </row>
    <row r="54" spans="1:49" x14ac:dyDescent="0.2">
      <c r="A54">
        <v>52</v>
      </c>
      <c r="B54" t="s">
        <v>6715</v>
      </c>
      <c r="C54" t="s">
        <v>6714</v>
      </c>
      <c r="F54" t="s">
        <v>6713</v>
      </c>
      <c r="G54" t="s">
        <v>13</v>
      </c>
      <c r="H54" t="s">
        <v>12</v>
      </c>
      <c r="I54" t="s">
        <v>6712</v>
      </c>
      <c r="J54" t="s">
        <v>6711</v>
      </c>
      <c r="K54" t="s">
        <v>6710</v>
      </c>
      <c r="L54" t="s">
        <v>6709</v>
      </c>
      <c r="M54" t="s">
        <v>180</v>
      </c>
      <c r="N54">
        <v>3</v>
      </c>
      <c r="O54" t="s">
        <v>6708</v>
      </c>
      <c r="P54" t="s">
        <v>6707</v>
      </c>
      <c r="Q54" t="s">
        <v>6706</v>
      </c>
      <c r="R54" s="7">
        <v>30756</v>
      </c>
      <c r="S54" s="8">
        <f t="shared" si="8"/>
        <v>1984</v>
      </c>
      <c r="T54" s="8">
        <v>1984</v>
      </c>
      <c r="U54" s="8">
        <f t="shared" si="9"/>
        <v>38</v>
      </c>
      <c r="V54" s="7">
        <v>30756</v>
      </c>
      <c r="W54" t="s">
        <v>6337</v>
      </c>
      <c r="X54" s="2">
        <v>0.375</v>
      </c>
      <c r="Y54" s="6">
        <f t="shared" si="2"/>
        <v>1.0010410827260351E-2</v>
      </c>
      <c r="AA54">
        <v>135194</v>
      </c>
      <c r="AB54">
        <v>24918</v>
      </c>
      <c r="AD54" t="s">
        <v>4</v>
      </c>
      <c r="AE54">
        <v>20</v>
      </c>
      <c r="AF54">
        <v>6</v>
      </c>
      <c r="AH54" t="s">
        <v>6705</v>
      </c>
      <c r="AI54" t="s">
        <v>6704</v>
      </c>
      <c r="AJ54" t="s">
        <v>6703</v>
      </c>
      <c r="AK54" t="s">
        <v>6702</v>
      </c>
      <c r="AL54">
        <v>4</v>
      </c>
      <c r="AM54" s="5">
        <f t="shared" si="10"/>
        <v>0.10526315789473684</v>
      </c>
      <c r="AN54" s="4">
        <f t="shared" si="4"/>
        <v>1.5942924330895392E-4</v>
      </c>
      <c r="AO54" s="3"/>
      <c r="AP54">
        <v>0</v>
      </c>
      <c r="AR54" t="s">
        <v>0</v>
      </c>
      <c r="AT54" s="2">
        <v>1.3140000000000001</v>
      </c>
      <c r="AU54" s="1">
        <f t="shared" si="11"/>
        <v>0.70551163520749316</v>
      </c>
      <c r="AV54" s="1">
        <f t="shared" si="12"/>
        <v>0.50849200352846524</v>
      </c>
      <c r="AW54" s="1">
        <f t="shared" si="13"/>
        <v>0.31147237184943727</v>
      </c>
    </row>
    <row r="55" spans="1:49" x14ac:dyDescent="0.2">
      <c r="A55">
        <v>53</v>
      </c>
      <c r="B55" t="s">
        <v>6701</v>
      </c>
      <c r="C55" t="s">
        <v>6700</v>
      </c>
      <c r="D55">
        <v>14579384801970</v>
      </c>
      <c r="F55" t="s">
        <v>6699</v>
      </c>
      <c r="G55" t="s">
        <v>13</v>
      </c>
      <c r="H55" t="s">
        <v>12</v>
      </c>
      <c r="I55" t="s">
        <v>6698</v>
      </c>
      <c r="J55">
        <v>60025038</v>
      </c>
      <c r="K55" t="s">
        <v>1092</v>
      </c>
      <c r="L55" t="s">
        <v>1091</v>
      </c>
      <c r="M55" t="s">
        <v>56</v>
      </c>
      <c r="N55">
        <v>3</v>
      </c>
      <c r="O55" t="s">
        <v>6697</v>
      </c>
      <c r="P55" t="s">
        <v>6696</v>
      </c>
      <c r="Q55" t="s">
        <v>6695</v>
      </c>
      <c r="R55" s="7">
        <v>30753</v>
      </c>
      <c r="S55" s="8">
        <f t="shared" si="8"/>
        <v>1984</v>
      </c>
      <c r="T55" s="8">
        <v>1984</v>
      </c>
      <c r="U55" s="8">
        <f t="shared" si="9"/>
        <v>38</v>
      </c>
      <c r="V55" s="7">
        <v>30753</v>
      </c>
      <c r="W55" t="s">
        <v>6350</v>
      </c>
      <c r="X55" s="2">
        <v>1.593</v>
      </c>
      <c r="Y55" s="6">
        <f t="shared" si="2"/>
        <v>4.2524225194201973E-2</v>
      </c>
      <c r="AA55">
        <v>145793</v>
      </c>
      <c r="AB55">
        <v>17481</v>
      </c>
      <c r="AD55" t="s">
        <v>4</v>
      </c>
      <c r="AE55">
        <v>168</v>
      </c>
      <c r="AF55">
        <v>1</v>
      </c>
      <c r="AH55" s="10">
        <v>41913</v>
      </c>
      <c r="AI55" t="s">
        <v>6694</v>
      </c>
      <c r="AJ55" t="s">
        <v>6693</v>
      </c>
      <c r="AK55" t="s">
        <v>6692</v>
      </c>
      <c r="AL55">
        <v>131</v>
      </c>
      <c r="AM55" s="5">
        <f t="shared" si="10"/>
        <v>3.4473684210526314</v>
      </c>
      <c r="AN55" s="4">
        <f t="shared" si="4"/>
        <v>5.2213077183682413E-3</v>
      </c>
      <c r="AO55" s="3"/>
      <c r="AP55">
        <v>1</v>
      </c>
      <c r="AR55" t="s">
        <v>0</v>
      </c>
      <c r="AT55" s="2">
        <v>4.1239999999999997</v>
      </c>
      <c r="AU55" s="1">
        <f t="shared" si="11"/>
        <v>3.133334995145185</v>
      </c>
      <c r="AV55" s="1">
        <f t="shared" si="12"/>
        <v>2.3872766456285106</v>
      </c>
      <c r="AW55" s="1">
        <f t="shared" si="13"/>
        <v>1.641218296111836</v>
      </c>
    </row>
    <row r="56" spans="1:49" x14ac:dyDescent="0.2">
      <c r="A56">
        <v>54</v>
      </c>
      <c r="B56" t="s">
        <v>6691</v>
      </c>
      <c r="C56" t="s">
        <v>6690</v>
      </c>
      <c r="D56" t="s">
        <v>6689</v>
      </c>
      <c r="F56" t="s">
        <v>6688</v>
      </c>
      <c r="G56" t="s">
        <v>13</v>
      </c>
      <c r="H56" t="s">
        <v>12</v>
      </c>
      <c r="I56" t="s">
        <v>6687</v>
      </c>
      <c r="J56">
        <v>60002306</v>
      </c>
      <c r="K56" t="s">
        <v>6678</v>
      </c>
      <c r="L56" t="s">
        <v>6686</v>
      </c>
      <c r="M56" t="s">
        <v>38</v>
      </c>
      <c r="N56">
        <v>1</v>
      </c>
      <c r="O56" t="s">
        <v>6685</v>
      </c>
      <c r="P56">
        <v>7006613193</v>
      </c>
      <c r="Q56">
        <v>60002306</v>
      </c>
      <c r="R56" s="7">
        <v>30749</v>
      </c>
      <c r="S56" s="8">
        <f t="shared" si="8"/>
        <v>1984</v>
      </c>
      <c r="T56" s="8">
        <v>1984</v>
      </c>
      <c r="U56" s="8">
        <f t="shared" si="9"/>
        <v>38</v>
      </c>
      <c r="V56" s="7">
        <v>30749</v>
      </c>
      <c r="W56" t="s">
        <v>6684</v>
      </c>
      <c r="X56" s="2">
        <v>1.3149999999999999</v>
      </c>
      <c r="Y56" s="6">
        <f t="shared" si="2"/>
        <v>3.5103173967592965E-2</v>
      </c>
      <c r="AA56" t="s">
        <v>6683</v>
      </c>
      <c r="AB56">
        <v>13030</v>
      </c>
      <c r="AC56">
        <v>10958568</v>
      </c>
      <c r="AD56" t="s">
        <v>4</v>
      </c>
      <c r="AE56">
        <v>93</v>
      </c>
      <c r="AF56">
        <v>1</v>
      </c>
      <c r="AH56" t="s">
        <v>6682</v>
      </c>
      <c r="AI56" t="s">
        <v>6681</v>
      </c>
      <c r="AK56" t="s">
        <v>6680</v>
      </c>
      <c r="AL56">
        <v>29</v>
      </c>
      <c r="AM56" s="5">
        <f t="shared" si="10"/>
        <v>0.76315789473684215</v>
      </c>
      <c r="AN56" s="4">
        <f t="shared" si="4"/>
        <v>1.1558620139899161E-3</v>
      </c>
      <c r="AO56" s="3"/>
      <c r="AP56">
        <v>0</v>
      </c>
      <c r="AQ56" t="s">
        <v>6679</v>
      </c>
      <c r="AR56" t="s">
        <v>0</v>
      </c>
      <c r="AS56" t="s">
        <v>6678</v>
      </c>
      <c r="AT56" s="2">
        <v>3.6549999999999998</v>
      </c>
      <c r="AU56" s="1">
        <f t="shared" si="11"/>
        <v>2.4918980381512053</v>
      </c>
      <c r="AV56" s="1">
        <f t="shared" si="12"/>
        <v>1.8129517990791439</v>
      </c>
      <c r="AW56" s="1">
        <f t="shared" si="13"/>
        <v>1.1340055600070831</v>
      </c>
    </row>
    <row r="57" spans="1:49" x14ac:dyDescent="0.2">
      <c r="A57">
        <v>55</v>
      </c>
      <c r="B57" t="s">
        <v>6677</v>
      </c>
      <c r="C57" t="s">
        <v>6676</v>
      </c>
      <c r="F57" t="s">
        <v>6675</v>
      </c>
      <c r="G57" t="s">
        <v>13</v>
      </c>
      <c r="H57" t="s">
        <v>12</v>
      </c>
      <c r="I57" t="s">
        <v>6674</v>
      </c>
      <c r="J57" t="s">
        <v>6673</v>
      </c>
      <c r="K57" t="s">
        <v>6672</v>
      </c>
      <c r="L57" t="s">
        <v>6671</v>
      </c>
      <c r="M57" t="s">
        <v>5813</v>
      </c>
      <c r="N57">
        <v>2</v>
      </c>
      <c r="O57" t="s">
        <v>6670</v>
      </c>
      <c r="P57" t="s">
        <v>6669</v>
      </c>
      <c r="Q57" t="s">
        <v>6668</v>
      </c>
      <c r="R57" s="7">
        <v>30742</v>
      </c>
      <c r="S57" s="8">
        <f t="shared" si="8"/>
        <v>1984</v>
      </c>
      <c r="T57" s="8">
        <v>1984</v>
      </c>
      <c r="U57" s="8">
        <f t="shared" si="9"/>
        <v>38</v>
      </c>
      <c r="V57" s="7">
        <v>30742</v>
      </c>
      <c r="W57" t="s">
        <v>5797</v>
      </c>
      <c r="X57" s="2" t="s">
        <v>45</v>
      </c>
      <c r="Y57" s="6" t="e">
        <f t="shared" si="2"/>
        <v>#VALUE!</v>
      </c>
      <c r="AA57">
        <v>3905551</v>
      </c>
      <c r="AB57">
        <v>15400155600</v>
      </c>
      <c r="AD57" t="s">
        <v>4</v>
      </c>
      <c r="AE57">
        <v>7</v>
      </c>
      <c r="AF57">
        <v>2</v>
      </c>
      <c r="AH57" t="s">
        <v>6667</v>
      </c>
      <c r="AI57" t="s">
        <v>6666</v>
      </c>
      <c r="AJ57" t="s">
        <v>6665</v>
      </c>
      <c r="AK57" t="s">
        <v>6664</v>
      </c>
      <c r="AL57">
        <v>14</v>
      </c>
      <c r="AM57" s="5">
        <f t="shared" si="10"/>
        <v>0.36842105263157893</v>
      </c>
      <c r="AN57" s="4">
        <f t="shared" si="4"/>
        <v>5.5800235158133874E-4</v>
      </c>
      <c r="AO57" s="3"/>
      <c r="AP57">
        <v>0</v>
      </c>
      <c r="AR57" t="s">
        <v>0</v>
      </c>
      <c r="AT57" s="2" t="s">
        <v>45</v>
      </c>
      <c r="AU57" s="1" t="e">
        <f t="shared" si="11"/>
        <v>#VALUE!</v>
      </c>
      <c r="AV57" s="1" t="e">
        <f t="shared" si="12"/>
        <v>#VALUE!</v>
      </c>
      <c r="AW57" s="1" t="e">
        <f t="shared" si="13"/>
        <v>#VALUE!</v>
      </c>
    </row>
    <row r="58" spans="1:49" x14ac:dyDescent="0.2">
      <c r="A58">
        <v>56</v>
      </c>
      <c r="B58" t="s">
        <v>6663</v>
      </c>
      <c r="C58" t="s">
        <v>6662</v>
      </c>
      <c r="F58" t="s">
        <v>6661</v>
      </c>
      <c r="G58" t="s">
        <v>13</v>
      </c>
      <c r="H58" t="s">
        <v>12</v>
      </c>
      <c r="I58" t="s">
        <v>6660</v>
      </c>
      <c r="J58" t="s">
        <v>6659</v>
      </c>
      <c r="K58" t="s">
        <v>6658</v>
      </c>
      <c r="L58" t="s">
        <v>6657</v>
      </c>
      <c r="M58" t="s">
        <v>6656</v>
      </c>
      <c r="N58">
        <v>4</v>
      </c>
      <c r="O58" t="s">
        <v>6655</v>
      </c>
      <c r="P58" t="s">
        <v>6654</v>
      </c>
      <c r="Q58" t="s">
        <v>6653</v>
      </c>
      <c r="R58" s="7">
        <v>30742</v>
      </c>
      <c r="S58" s="8">
        <f t="shared" si="8"/>
        <v>1984</v>
      </c>
      <c r="T58" s="8">
        <v>1984</v>
      </c>
      <c r="U58" s="8">
        <f t="shared" si="9"/>
        <v>38</v>
      </c>
      <c r="V58" s="7">
        <v>30742</v>
      </c>
      <c r="W58" t="s">
        <v>6652</v>
      </c>
      <c r="X58" s="2">
        <v>0.73699999999999999</v>
      </c>
      <c r="Y58" s="6">
        <f t="shared" si="2"/>
        <v>1.9673794079175678E-2</v>
      </c>
      <c r="AA58">
        <v>2820080</v>
      </c>
      <c r="AB58">
        <v>17513</v>
      </c>
      <c r="AC58">
        <v>15734986</v>
      </c>
      <c r="AD58" t="s">
        <v>4</v>
      </c>
      <c r="AE58">
        <v>1</v>
      </c>
      <c r="AF58">
        <v>1</v>
      </c>
      <c r="AH58" t="s">
        <v>2167</v>
      </c>
      <c r="AI58" t="s">
        <v>6651</v>
      </c>
      <c r="AJ58" t="s">
        <v>6650</v>
      </c>
      <c r="AK58" t="s">
        <v>6649</v>
      </c>
      <c r="AL58">
        <v>8</v>
      </c>
      <c r="AM58" s="5">
        <f t="shared" si="10"/>
        <v>0.21052631578947367</v>
      </c>
      <c r="AN58" s="4">
        <f t="shared" si="4"/>
        <v>3.1885848661790785E-4</v>
      </c>
      <c r="AO58" s="3"/>
      <c r="AP58">
        <v>0</v>
      </c>
      <c r="AR58" t="s">
        <v>0</v>
      </c>
      <c r="AT58" s="2">
        <v>2.9159999999999999</v>
      </c>
      <c r="AU58" s="1">
        <f t="shared" si="11"/>
        <v>1.3867313401408345</v>
      </c>
      <c r="AV58" s="1">
        <f t="shared" si="12"/>
        <v>0.99963262828967925</v>
      </c>
      <c r="AW58" s="1">
        <f t="shared" si="13"/>
        <v>0.61253391643852384</v>
      </c>
    </row>
    <row r="59" spans="1:49" x14ac:dyDescent="0.2">
      <c r="A59">
        <v>57</v>
      </c>
      <c r="B59" t="s">
        <v>6648</v>
      </c>
      <c r="C59" t="s">
        <v>6647</v>
      </c>
      <c r="F59" t="s">
        <v>6646</v>
      </c>
      <c r="G59" t="s">
        <v>13</v>
      </c>
      <c r="H59" t="s">
        <v>12</v>
      </c>
      <c r="I59" t="s">
        <v>6645</v>
      </c>
      <c r="J59">
        <v>60071723</v>
      </c>
      <c r="K59" t="s">
        <v>6644</v>
      </c>
      <c r="L59" t="s">
        <v>6643</v>
      </c>
      <c r="M59" t="s">
        <v>6642</v>
      </c>
      <c r="N59">
        <v>1</v>
      </c>
      <c r="O59" t="s">
        <v>6641</v>
      </c>
      <c r="P59">
        <v>6507264093</v>
      </c>
      <c r="Q59">
        <v>60071723</v>
      </c>
      <c r="R59" s="7">
        <v>30742</v>
      </c>
      <c r="S59" s="8">
        <f t="shared" si="8"/>
        <v>1984</v>
      </c>
      <c r="T59" s="8">
        <v>1984</v>
      </c>
      <c r="U59" s="8">
        <f t="shared" si="9"/>
        <v>38</v>
      </c>
      <c r="V59" s="7">
        <v>30742</v>
      </c>
      <c r="W59" t="s">
        <v>6390</v>
      </c>
      <c r="X59" s="2">
        <v>0.84299999999999997</v>
      </c>
      <c r="Y59" s="6">
        <f t="shared" si="2"/>
        <v>2.250340353968127E-2</v>
      </c>
      <c r="AA59">
        <v>188158</v>
      </c>
      <c r="AB59">
        <v>15168</v>
      </c>
      <c r="AC59">
        <v>15735117</v>
      </c>
      <c r="AD59" t="s">
        <v>4</v>
      </c>
      <c r="AE59">
        <v>110</v>
      </c>
      <c r="AF59">
        <v>1</v>
      </c>
      <c r="AH59" t="s">
        <v>6640</v>
      </c>
      <c r="AI59" t="s">
        <v>6639</v>
      </c>
      <c r="AJ59" t="s">
        <v>6638</v>
      </c>
      <c r="AK59" t="s">
        <v>6637</v>
      </c>
      <c r="AL59">
        <v>20</v>
      </c>
      <c r="AM59" s="5">
        <f t="shared" si="10"/>
        <v>0.52631578947368418</v>
      </c>
      <c r="AN59" s="4">
        <f t="shared" si="4"/>
        <v>7.9714621654476973E-4</v>
      </c>
      <c r="AO59" s="3"/>
      <c r="AP59">
        <v>0</v>
      </c>
      <c r="AR59" t="s">
        <v>0</v>
      </c>
      <c r="AT59" s="2">
        <v>2.694</v>
      </c>
      <c r="AU59" s="1">
        <f t="shared" si="11"/>
        <v>1.5991526342740321</v>
      </c>
      <c r="AV59" s="1">
        <f t="shared" si="12"/>
        <v>1.1650274878113021</v>
      </c>
      <c r="AW59" s="1">
        <f t="shared" si="13"/>
        <v>0.73090234134857202</v>
      </c>
    </row>
    <row r="60" spans="1:49" x14ac:dyDescent="0.2">
      <c r="A60">
        <v>58</v>
      </c>
      <c r="B60" t="s">
        <v>6636</v>
      </c>
      <c r="C60" t="s">
        <v>6635</v>
      </c>
      <c r="E60">
        <v>6717110</v>
      </c>
      <c r="F60" t="s">
        <v>6634</v>
      </c>
      <c r="G60" t="s">
        <v>13</v>
      </c>
      <c r="H60" t="s">
        <v>12</v>
      </c>
      <c r="I60" t="s">
        <v>6633</v>
      </c>
      <c r="J60">
        <v>60016218</v>
      </c>
      <c r="K60" t="s">
        <v>6632</v>
      </c>
      <c r="L60" t="s">
        <v>6631</v>
      </c>
      <c r="M60" t="s">
        <v>3991</v>
      </c>
      <c r="N60">
        <v>3</v>
      </c>
      <c r="O60" t="s">
        <v>6630</v>
      </c>
      <c r="P60" t="s">
        <v>6629</v>
      </c>
      <c r="Q60" t="s">
        <v>6628</v>
      </c>
      <c r="R60" s="7">
        <v>30742</v>
      </c>
      <c r="S60" s="8">
        <f t="shared" si="8"/>
        <v>1984</v>
      </c>
      <c r="T60" s="8">
        <v>1984</v>
      </c>
      <c r="U60" s="8">
        <f t="shared" si="9"/>
        <v>38</v>
      </c>
      <c r="V60" s="7">
        <v>30742</v>
      </c>
      <c r="W60" t="s">
        <v>6627</v>
      </c>
      <c r="X60" s="2" t="s">
        <v>45</v>
      </c>
      <c r="Y60" s="6" t="e">
        <f t="shared" si="2"/>
        <v>#VALUE!</v>
      </c>
      <c r="AA60">
        <v>1400118</v>
      </c>
      <c r="AB60">
        <v>17979</v>
      </c>
      <c r="AC60">
        <v>17410444</v>
      </c>
      <c r="AD60" t="s">
        <v>4</v>
      </c>
      <c r="AE60">
        <v>22</v>
      </c>
      <c r="AF60">
        <v>2</v>
      </c>
      <c r="AH60" t="s">
        <v>6626</v>
      </c>
      <c r="AJ60" t="s">
        <v>6625</v>
      </c>
      <c r="AL60">
        <v>2</v>
      </c>
      <c r="AM60" s="5">
        <f t="shared" si="10"/>
        <v>5.2631578947368418E-2</v>
      </c>
      <c r="AN60" s="4">
        <f t="shared" si="4"/>
        <v>7.9714621654476962E-5</v>
      </c>
      <c r="AO60" s="3"/>
      <c r="AP60">
        <v>0</v>
      </c>
      <c r="AR60" t="s">
        <v>0</v>
      </c>
      <c r="AT60" s="2" t="s">
        <v>45</v>
      </c>
      <c r="AU60" s="1" t="e">
        <f t="shared" si="11"/>
        <v>#VALUE!</v>
      </c>
      <c r="AV60" s="1" t="e">
        <f t="shared" si="12"/>
        <v>#VALUE!</v>
      </c>
      <c r="AW60" s="1" t="e">
        <f t="shared" si="13"/>
        <v>#VALUE!</v>
      </c>
    </row>
    <row r="61" spans="1:49" x14ac:dyDescent="0.2">
      <c r="A61">
        <v>59</v>
      </c>
      <c r="B61" t="s">
        <v>6624</v>
      </c>
      <c r="C61" t="s">
        <v>6623</v>
      </c>
      <c r="F61" t="s">
        <v>6622</v>
      </c>
      <c r="G61" t="s">
        <v>13</v>
      </c>
      <c r="H61" t="s">
        <v>12</v>
      </c>
      <c r="I61" t="s">
        <v>6621</v>
      </c>
      <c r="J61" t="s">
        <v>6620</v>
      </c>
      <c r="K61" t="s">
        <v>6619</v>
      </c>
      <c r="L61" t="s">
        <v>6618</v>
      </c>
      <c r="M61" t="s">
        <v>206</v>
      </c>
      <c r="N61">
        <v>5</v>
      </c>
      <c r="O61" t="s">
        <v>6617</v>
      </c>
      <c r="P61" t="s">
        <v>6616</v>
      </c>
      <c r="Q61" t="s">
        <v>6615</v>
      </c>
      <c r="R61" s="7">
        <v>30742</v>
      </c>
      <c r="S61" s="8">
        <f t="shared" si="8"/>
        <v>1984</v>
      </c>
      <c r="T61" s="8">
        <v>1984</v>
      </c>
      <c r="U61" s="8">
        <f t="shared" si="9"/>
        <v>38</v>
      </c>
      <c r="V61" s="7">
        <v>30742</v>
      </c>
      <c r="W61" t="s">
        <v>601</v>
      </c>
      <c r="X61" s="2">
        <v>0.61499999999999999</v>
      </c>
      <c r="Y61" s="6">
        <f t="shared" si="2"/>
        <v>1.6417073756706976E-2</v>
      </c>
      <c r="AA61">
        <v>1959271</v>
      </c>
      <c r="AB61">
        <v>12141</v>
      </c>
      <c r="AC61">
        <v>15729559</v>
      </c>
      <c r="AD61" t="s">
        <v>4</v>
      </c>
      <c r="AE61">
        <v>5</v>
      </c>
      <c r="AF61">
        <v>3</v>
      </c>
      <c r="AH61" t="s">
        <v>6614</v>
      </c>
      <c r="AI61" t="s">
        <v>6613</v>
      </c>
      <c r="AJ61" t="s">
        <v>6612</v>
      </c>
      <c r="AK61" t="s">
        <v>6611</v>
      </c>
      <c r="AL61">
        <v>2</v>
      </c>
      <c r="AM61" s="5">
        <f t="shared" si="10"/>
        <v>5.2631578947368418E-2</v>
      </c>
      <c r="AN61" s="4">
        <f t="shared" si="4"/>
        <v>7.9714621654476962E-5</v>
      </c>
      <c r="AO61" s="3"/>
      <c r="AP61">
        <v>0</v>
      </c>
      <c r="AR61" t="s">
        <v>0</v>
      </c>
      <c r="AT61" s="2" t="s">
        <v>45</v>
      </c>
      <c r="AU61" s="1">
        <f t="shared" si="11"/>
        <v>1.1515866016191225</v>
      </c>
      <c r="AV61" s="1">
        <f t="shared" si="12"/>
        <v>0.82483941891807255</v>
      </c>
      <c r="AW61" s="1">
        <f t="shared" si="13"/>
        <v>0.49809223621702264</v>
      </c>
    </row>
    <row r="62" spans="1:49" x14ac:dyDescent="0.2">
      <c r="A62">
        <v>60</v>
      </c>
      <c r="B62" t="s">
        <v>6610</v>
      </c>
      <c r="C62" t="s">
        <v>6609</v>
      </c>
      <c r="F62" t="s">
        <v>6608</v>
      </c>
      <c r="G62" t="s">
        <v>13</v>
      </c>
      <c r="H62" t="s">
        <v>12</v>
      </c>
      <c r="I62" t="s">
        <v>6607</v>
      </c>
      <c r="J62">
        <v>60031581</v>
      </c>
      <c r="K62" t="s">
        <v>6606</v>
      </c>
      <c r="L62" t="s">
        <v>591</v>
      </c>
      <c r="M62" t="s">
        <v>56</v>
      </c>
      <c r="N62">
        <v>3</v>
      </c>
      <c r="O62" t="s">
        <v>6605</v>
      </c>
      <c r="P62" t="s">
        <v>6604</v>
      </c>
      <c r="Q62" t="s">
        <v>6603</v>
      </c>
      <c r="R62" s="7">
        <v>30742</v>
      </c>
      <c r="S62" s="8">
        <f t="shared" si="8"/>
        <v>1984</v>
      </c>
      <c r="T62" s="8">
        <v>1984</v>
      </c>
      <c r="U62" s="8">
        <f t="shared" si="9"/>
        <v>38</v>
      </c>
      <c r="V62" s="7">
        <v>30742</v>
      </c>
      <c r="W62" t="s">
        <v>601</v>
      </c>
      <c r="X62" s="2">
        <v>0.61499999999999999</v>
      </c>
      <c r="Y62" s="6">
        <f t="shared" si="2"/>
        <v>1.6417073756706976E-2</v>
      </c>
      <c r="AA62">
        <v>1959271</v>
      </c>
      <c r="AB62">
        <v>12141</v>
      </c>
      <c r="AC62">
        <v>15729559</v>
      </c>
      <c r="AD62" t="s">
        <v>4</v>
      </c>
      <c r="AE62">
        <v>5</v>
      </c>
      <c r="AF62">
        <v>3</v>
      </c>
      <c r="AH62" t="s">
        <v>6602</v>
      </c>
      <c r="AI62" t="s">
        <v>6601</v>
      </c>
      <c r="AJ62" t="s">
        <v>6600</v>
      </c>
      <c r="AK62" t="s">
        <v>6599</v>
      </c>
      <c r="AL62">
        <v>96</v>
      </c>
      <c r="AM62" s="5">
        <f t="shared" si="10"/>
        <v>2.5263157894736841</v>
      </c>
      <c r="AN62" s="4">
        <f t="shared" si="4"/>
        <v>3.8263018394148946E-3</v>
      </c>
      <c r="AO62" s="3"/>
      <c r="AP62">
        <v>0</v>
      </c>
      <c r="AR62" t="s">
        <v>0</v>
      </c>
      <c r="AT62" s="2" t="s">
        <v>45</v>
      </c>
      <c r="AU62" s="1">
        <f t="shared" si="11"/>
        <v>1.263984218151935</v>
      </c>
      <c r="AV62" s="1">
        <f t="shared" si="12"/>
        <v>1.0121687798060937</v>
      </c>
      <c r="AW62" s="1">
        <f t="shared" si="13"/>
        <v>0.7603533414602518</v>
      </c>
    </row>
    <row r="63" spans="1:49" x14ac:dyDescent="0.2">
      <c r="A63">
        <v>61</v>
      </c>
      <c r="B63" t="s">
        <v>6598</v>
      </c>
      <c r="F63" t="s">
        <v>6597</v>
      </c>
      <c r="G63" t="s">
        <v>13</v>
      </c>
      <c r="H63" t="s">
        <v>12</v>
      </c>
      <c r="I63" t="s">
        <v>6596</v>
      </c>
      <c r="N63">
        <v>1</v>
      </c>
      <c r="O63" t="s">
        <v>6595</v>
      </c>
      <c r="P63">
        <v>7202673346</v>
      </c>
      <c r="R63" s="7">
        <v>30742</v>
      </c>
      <c r="S63" s="8">
        <f t="shared" si="8"/>
        <v>1984</v>
      </c>
      <c r="T63" s="8">
        <v>1984</v>
      </c>
      <c r="U63" s="8">
        <f t="shared" si="9"/>
        <v>38</v>
      </c>
      <c r="V63" s="7">
        <v>30742</v>
      </c>
      <c r="W63" t="s">
        <v>364</v>
      </c>
      <c r="X63" s="2">
        <v>0.14099999999999999</v>
      </c>
      <c r="Y63" s="6">
        <f t="shared" si="2"/>
        <v>3.7639144710498915E-3</v>
      </c>
      <c r="AA63">
        <v>402508</v>
      </c>
      <c r="AB63">
        <v>20868</v>
      </c>
      <c r="AD63" t="s">
        <v>4</v>
      </c>
      <c r="AE63" t="s">
        <v>363</v>
      </c>
      <c r="AF63">
        <v>3</v>
      </c>
      <c r="AH63" t="s">
        <v>6594</v>
      </c>
      <c r="AI63" t="s">
        <v>6593</v>
      </c>
      <c r="AK63" t="s">
        <v>6592</v>
      </c>
      <c r="AL63">
        <v>0</v>
      </c>
      <c r="AM63" s="5">
        <f t="shared" si="10"/>
        <v>0</v>
      </c>
      <c r="AN63" s="4">
        <f t="shared" si="4"/>
        <v>0</v>
      </c>
      <c r="AO63" s="3"/>
      <c r="AP63">
        <v>0</v>
      </c>
      <c r="AR63" t="s">
        <v>0</v>
      </c>
      <c r="AT63" s="2" t="s">
        <v>45</v>
      </c>
      <c r="AU63" s="1">
        <f t="shared" si="11"/>
        <v>0.26347401297349238</v>
      </c>
      <c r="AV63" s="1">
        <f t="shared" si="12"/>
        <v>0.18819572355249459</v>
      </c>
      <c r="AW63" s="1">
        <f t="shared" si="13"/>
        <v>0.11291743413149673</v>
      </c>
    </row>
    <row r="64" spans="1:49" x14ac:dyDescent="0.2">
      <c r="A64">
        <v>62</v>
      </c>
      <c r="B64" t="s">
        <v>6591</v>
      </c>
      <c r="C64" t="s">
        <v>6590</v>
      </c>
      <c r="F64" t="s">
        <v>6589</v>
      </c>
      <c r="G64" t="s">
        <v>13</v>
      </c>
      <c r="H64" t="s">
        <v>12</v>
      </c>
      <c r="I64" t="s">
        <v>646</v>
      </c>
      <c r="J64">
        <v>60030526</v>
      </c>
      <c r="K64" t="s">
        <v>645</v>
      </c>
      <c r="L64" t="s">
        <v>644</v>
      </c>
      <c r="M64" t="s">
        <v>643</v>
      </c>
      <c r="N64">
        <v>3</v>
      </c>
      <c r="O64" t="s">
        <v>6588</v>
      </c>
      <c r="P64" t="s">
        <v>3719</v>
      </c>
      <c r="Q64" t="s">
        <v>640</v>
      </c>
      <c r="R64" s="7">
        <v>30742</v>
      </c>
      <c r="S64" s="8">
        <f t="shared" si="8"/>
        <v>1984</v>
      </c>
      <c r="T64" s="8">
        <v>1984</v>
      </c>
      <c r="U64" s="8">
        <f t="shared" si="9"/>
        <v>38</v>
      </c>
      <c r="V64" s="7">
        <v>30742</v>
      </c>
      <c r="W64" t="s">
        <v>6337</v>
      </c>
      <c r="X64" s="2">
        <v>0.375</v>
      </c>
      <c r="Y64" s="6">
        <f t="shared" si="2"/>
        <v>1.0010410827260351E-2</v>
      </c>
      <c r="AA64">
        <v>135194</v>
      </c>
      <c r="AB64">
        <v>24918</v>
      </c>
      <c r="AD64" t="s">
        <v>4</v>
      </c>
      <c r="AE64">
        <v>20</v>
      </c>
      <c r="AF64">
        <v>5</v>
      </c>
      <c r="AH64" t="s">
        <v>6587</v>
      </c>
      <c r="AI64" t="s">
        <v>6586</v>
      </c>
      <c r="AJ64" t="s">
        <v>6585</v>
      </c>
      <c r="AK64" t="s">
        <v>6584</v>
      </c>
      <c r="AL64">
        <v>13</v>
      </c>
      <c r="AM64" s="5">
        <f t="shared" si="10"/>
        <v>0.34210526315789475</v>
      </c>
      <c r="AN64" s="4">
        <f t="shared" si="4"/>
        <v>5.1814504075410031E-4</v>
      </c>
      <c r="AO64" s="3"/>
      <c r="AP64">
        <v>0</v>
      </c>
      <c r="AR64" t="s">
        <v>0</v>
      </c>
      <c r="AT64" s="2">
        <v>1.3140000000000001</v>
      </c>
      <c r="AU64" s="1">
        <f t="shared" si="11"/>
        <v>0.71627310913084763</v>
      </c>
      <c r="AV64" s="1">
        <f t="shared" si="12"/>
        <v>0.52642779340072265</v>
      </c>
      <c r="AW64" s="1">
        <f t="shared" si="13"/>
        <v>0.33658247767059757</v>
      </c>
    </row>
    <row r="65" spans="1:49" x14ac:dyDescent="0.2">
      <c r="A65">
        <v>63</v>
      </c>
      <c r="B65" t="s">
        <v>6583</v>
      </c>
      <c r="C65" t="s">
        <v>6582</v>
      </c>
      <c r="F65" t="s">
        <v>6581</v>
      </c>
      <c r="G65" t="s">
        <v>13</v>
      </c>
      <c r="H65" t="s">
        <v>12</v>
      </c>
      <c r="I65" t="s">
        <v>6580</v>
      </c>
      <c r="N65">
        <v>4</v>
      </c>
      <c r="O65" t="s">
        <v>6579</v>
      </c>
      <c r="P65" t="s">
        <v>6578</v>
      </c>
      <c r="Q65" t="s">
        <v>525</v>
      </c>
      <c r="R65" s="7">
        <v>30742</v>
      </c>
      <c r="S65" s="8">
        <f t="shared" si="8"/>
        <v>1984</v>
      </c>
      <c r="T65" s="8">
        <v>1984</v>
      </c>
      <c r="U65" s="8">
        <f t="shared" si="9"/>
        <v>38</v>
      </c>
      <c r="V65" s="7">
        <v>30742</v>
      </c>
      <c r="W65" t="s">
        <v>1018</v>
      </c>
      <c r="X65" s="2">
        <v>0.318</v>
      </c>
      <c r="Y65" s="6">
        <f t="shared" si="2"/>
        <v>8.4888283815167786E-3</v>
      </c>
      <c r="AA65">
        <v>338443</v>
      </c>
      <c r="AB65">
        <v>27160</v>
      </c>
      <c r="AC65">
        <v>15739120</v>
      </c>
      <c r="AD65" t="s">
        <v>4</v>
      </c>
      <c r="AE65">
        <v>27</v>
      </c>
      <c r="AF65">
        <v>3</v>
      </c>
      <c r="AH65" t="s">
        <v>6577</v>
      </c>
      <c r="AL65">
        <v>0</v>
      </c>
      <c r="AM65" s="5">
        <f t="shared" si="10"/>
        <v>0</v>
      </c>
      <c r="AN65" s="4">
        <f t="shared" si="4"/>
        <v>0</v>
      </c>
      <c r="AO65" s="3"/>
      <c r="AP65">
        <v>0</v>
      </c>
      <c r="AR65" t="s">
        <v>0</v>
      </c>
      <c r="AT65" s="2">
        <v>0.77</v>
      </c>
      <c r="AU65" s="1">
        <f t="shared" si="11"/>
        <v>0.59421798670617454</v>
      </c>
      <c r="AV65" s="1">
        <f t="shared" si="12"/>
        <v>0.42444141907583893</v>
      </c>
      <c r="AW65" s="1">
        <f t="shared" si="13"/>
        <v>0.25466485144550338</v>
      </c>
    </row>
    <row r="66" spans="1:49" x14ac:dyDescent="0.2">
      <c r="A66">
        <v>64</v>
      </c>
      <c r="B66" t="s">
        <v>6576</v>
      </c>
      <c r="F66" t="s">
        <v>6575</v>
      </c>
      <c r="G66" t="s">
        <v>13</v>
      </c>
      <c r="H66" t="s">
        <v>12</v>
      </c>
      <c r="I66" t="s">
        <v>6574</v>
      </c>
      <c r="N66">
        <v>2</v>
      </c>
      <c r="O66" t="s">
        <v>6573</v>
      </c>
      <c r="P66" t="s">
        <v>6572</v>
      </c>
      <c r="Q66" t="s">
        <v>266</v>
      </c>
      <c r="R66" s="7">
        <v>30742</v>
      </c>
      <c r="S66" s="8">
        <f t="shared" si="8"/>
        <v>1984</v>
      </c>
      <c r="T66" s="8">
        <v>1984</v>
      </c>
      <c r="U66" s="8">
        <f t="shared" si="9"/>
        <v>38</v>
      </c>
      <c r="V66" s="7">
        <v>30742</v>
      </c>
      <c r="W66" t="s">
        <v>364</v>
      </c>
      <c r="X66" s="2">
        <v>0.14099999999999999</v>
      </c>
      <c r="Y66" s="6">
        <f t="shared" ref="Y66:Y129" si="14">(X66-$Z$4)/($Z$3-$Z$4)</f>
        <v>3.7639144710498915E-3</v>
      </c>
      <c r="AA66">
        <v>402508</v>
      </c>
      <c r="AB66">
        <v>20868</v>
      </c>
      <c r="AD66" t="s">
        <v>4</v>
      </c>
      <c r="AE66" t="s">
        <v>363</v>
      </c>
      <c r="AF66">
        <v>3</v>
      </c>
      <c r="AH66" t="s">
        <v>6571</v>
      </c>
      <c r="AI66" t="s">
        <v>6570</v>
      </c>
      <c r="AK66" t="s">
        <v>6569</v>
      </c>
      <c r="AL66">
        <v>0</v>
      </c>
      <c r="AM66" s="5">
        <f t="shared" si="10"/>
        <v>0</v>
      </c>
      <c r="AN66" s="4">
        <f t="shared" ref="AN66:AN129" si="15">(AM66-$AO$4)/($AO$3-$AO$4)</f>
        <v>0</v>
      </c>
      <c r="AO66" s="3"/>
      <c r="AP66">
        <v>0</v>
      </c>
      <c r="AR66" t="s">
        <v>0</v>
      </c>
      <c r="AT66" s="2" t="s">
        <v>45</v>
      </c>
      <c r="AU66" s="1">
        <f t="shared" si="11"/>
        <v>0.26347401297349238</v>
      </c>
      <c r="AV66" s="1">
        <f t="shared" si="12"/>
        <v>0.18819572355249459</v>
      </c>
      <c r="AW66" s="1">
        <f t="shared" si="13"/>
        <v>0.11291743413149673</v>
      </c>
    </row>
    <row r="67" spans="1:49" x14ac:dyDescent="0.2">
      <c r="A67">
        <v>65</v>
      </c>
      <c r="B67" t="s">
        <v>6568</v>
      </c>
      <c r="F67" t="s">
        <v>6567</v>
      </c>
      <c r="G67" t="s">
        <v>13</v>
      </c>
      <c r="H67" t="s">
        <v>12</v>
      </c>
      <c r="I67" t="s">
        <v>6566</v>
      </c>
      <c r="N67">
        <v>1</v>
      </c>
      <c r="O67" t="s">
        <v>6565</v>
      </c>
      <c r="P67">
        <v>7202840121</v>
      </c>
      <c r="R67" s="7">
        <v>30742</v>
      </c>
      <c r="S67" s="8">
        <f t="shared" si="8"/>
        <v>1984</v>
      </c>
      <c r="T67" s="8">
        <v>1984</v>
      </c>
      <c r="U67" s="8">
        <f t="shared" si="9"/>
        <v>38</v>
      </c>
      <c r="V67" s="7">
        <v>30742</v>
      </c>
      <c r="W67" t="s">
        <v>364</v>
      </c>
      <c r="X67" s="2">
        <v>0.14099999999999999</v>
      </c>
      <c r="Y67" s="6">
        <f t="shared" si="14"/>
        <v>3.7639144710498915E-3</v>
      </c>
      <c r="AA67">
        <v>402508</v>
      </c>
      <c r="AB67">
        <v>20868</v>
      </c>
      <c r="AD67" t="s">
        <v>4</v>
      </c>
      <c r="AE67" t="s">
        <v>363</v>
      </c>
      <c r="AF67">
        <v>3</v>
      </c>
      <c r="AH67" t="s">
        <v>6564</v>
      </c>
      <c r="AI67" t="s">
        <v>6563</v>
      </c>
      <c r="AK67" t="s">
        <v>6562</v>
      </c>
      <c r="AL67">
        <v>0</v>
      </c>
      <c r="AM67" s="5">
        <f t="shared" si="10"/>
        <v>0</v>
      </c>
      <c r="AN67" s="4">
        <f t="shared" si="15"/>
        <v>0</v>
      </c>
      <c r="AO67" s="3"/>
      <c r="AP67">
        <v>0</v>
      </c>
      <c r="AR67" t="s">
        <v>0</v>
      </c>
      <c r="AT67" s="2" t="s">
        <v>45</v>
      </c>
      <c r="AU67" s="1">
        <f t="shared" si="11"/>
        <v>0.26347401297349238</v>
      </c>
      <c r="AV67" s="1">
        <f t="shared" si="12"/>
        <v>0.18819572355249459</v>
      </c>
      <c r="AW67" s="1">
        <f t="shared" si="13"/>
        <v>0.11291743413149673</v>
      </c>
    </row>
    <row r="68" spans="1:49" x14ac:dyDescent="0.2">
      <c r="A68">
        <v>66</v>
      </c>
      <c r="B68" t="s">
        <v>6561</v>
      </c>
      <c r="C68" t="s">
        <v>6560</v>
      </c>
      <c r="F68" t="s">
        <v>6559</v>
      </c>
      <c r="G68" t="s">
        <v>13</v>
      </c>
      <c r="H68" t="s">
        <v>12</v>
      </c>
      <c r="I68" t="s">
        <v>2023</v>
      </c>
      <c r="J68">
        <v>60001247</v>
      </c>
      <c r="K68" t="s">
        <v>2022</v>
      </c>
      <c r="M68" t="s">
        <v>56</v>
      </c>
      <c r="N68">
        <v>1</v>
      </c>
      <c r="O68" t="s">
        <v>6558</v>
      </c>
      <c r="P68">
        <v>7003451771</v>
      </c>
      <c r="Q68">
        <v>60001247</v>
      </c>
      <c r="R68" s="7">
        <v>30742</v>
      </c>
      <c r="S68" s="8">
        <f t="shared" si="8"/>
        <v>1984</v>
      </c>
      <c r="T68" s="8">
        <v>1984</v>
      </c>
      <c r="U68" s="8">
        <f t="shared" si="9"/>
        <v>38</v>
      </c>
      <c r="V68" s="7">
        <v>30742</v>
      </c>
      <c r="W68" t="s">
        <v>6337</v>
      </c>
      <c r="X68" s="2">
        <v>0.375</v>
      </c>
      <c r="Y68" s="6">
        <f t="shared" si="14"/>
        <v>1.0010410827260351E-2</v>
      </c>
      <c r="AA68">
        <v>135194</v>
      </c>
      <c r="AB68">
        <v>24918</v>
      </c>
      <c r="AD68" t="s">
        <v>4</v>
      </c>
      <c r="AE68">
        <v>20</v>
      </c>
      <c r="AF68">
        <v>5</v>
      </c>
      <c r="AH68" t="s">
        <v>6557</v>
      </c>
      <c r="AI68" t="s">
        <v>6556</v>
      </c>
      <c r="AJ68" t="s">
        <v>6555</v>
      </c>
      <c r="AK68" t="s">
        <v>6554</v>
      </c>
      <c r="AL68">
        <v>15</v>
      </c>
      <c r="AM68" s="5">
        <f t="shared" si="10"/>
        <v>0.39473684210526316</v>
      </c>
      <c r="AN68" s="4">
        <f t="shared" si="15"/>
        <v>5.9785966240857727E-4</v>
      </c>
      <c r="AO68" s="3"/>
      <c r="AP68">
        <v>0</v>
      </c>
      <c r="AR68" t="s">
        <v>0</v>
      </c>
      <c r="AT68" s="2">
        <v>1.3140000000000001</v>
      </c>
      <c r="AU68" s="1">
        <f t="shared" si="11"/>
        <v>0.71866454778048194</v>
      </c>
      <c r="AV68" s="1">
        <f t="shared" si="12"/>
        <v>0.53041352448344636</v>
      </c>
      <c r="AW68" s="1">
        <f t="shared" si="13"/>
        <v>0.34216250118641095</v>
      </c>
    </row>
    <row r="69" spans="1:49" x14ac:dyDescent="0.2">
      <c r="A69">
        <v>67</v>
      </c>
      <c r="B69" t="s">
        <v>6553</v>
      </c>
      <c r="C69" t="s">
        <v>6552</v>
      </c>
      <c r="F69" t="s">
        <v>6551</v>
      </c>
      <c r="G69" t="s">
        <v>13</v>
      </c>
      <c r="H69" t="s">
        <v>12</v>
      </c>
      <c r="I69" t="s">
        <v>6550</v>
      </c>
      <c r="N69">
        <v>1</v>
      </c>
      <c r="O69" t="s">
        <v>6549</v>
      </c>
      <c r="P69">
        <v>7004405774</v>
      </c>
      <c r="R69" s="7">
        <v>30742</v>
      </c>
      <c r="S69" s="8">
        <f t="shared" si="8"/>
        <v>1984</v>
      </c>
      <c r="T69" s="8">
        <v>1984</v>
      </c>
      <c r="U69" s="8">
        <f t="shared" si="9"/>
        <v>38</v>
      </c>
      <c r="V69" s="7">
        <v>30742</v>
      </c>
      <c r="W69" t="s">
        <v>1018</v>
      </c>
      <c r="X69" s="2">
        <v>0.318</v>
      </c>
      <c r="Y69" s="6">
        <f t="shared" si="14"/>
        <v>8.4888283815167786E-3</v>
      </c>
      <c r="AA69">
        <v>338443</v>
      </c>
      <c r="AB69">
        <v>27160</v>
      </c>
      <c r="AC69">
        <v>15739120</v>
      </c>
      <c r="AD69" t="s">
        <v>4</v>
      </c>
      <c r="AE69">
        <v>27</v>
      </c>
      <c r="AF69">
        <v>3</v>
      </c>
      <c r="AH69" t="s">
        <v>6548</v>
      </c>
      <c r="AL69">
        <v>0</v>
      </c>
      <c r="AM69" s="5">
        <f t="shared" si="10"/>
        <v>0</v>
      </c>
      <c r="AN69" s="4">
        <f t="shared" si="15"/>
        <v>0</v>
      </c>
      <c r="AO69" s="3"/>
      <c r="AP69">
        <v>0</v>
      </c>
      <c r="AR69" t="s">
        <v>0</v>
      </c>
      <c r="AT69" s="2">
        <v>0.77</v>
      </c>
      <c r="AU69" s="1">
        <f t="shared" si="11"/>
        <v>0.59421798670617454</v>
      </c>
      <c r="AV69" s="1">
        <f t="shared" si="12"/>
        <v>0.42444141907583893</v>
      </c>
      <c r="AW69" s="1">
        <f t="shared" si="13"/>
        <v>0.25466485144550338</v>
      </c>
    </row>
    <row r="70" spans="1:49" x14ac:dyDescent="0.2">
      <c r="A70">
        <v>68</v>
      </c>
      <c r="B70" t="s">
        <v>6547</v>
      </c>
      <c r="F70" t="s">
        <v>6546</v>
      </c>
      <c r="G70" t="s">
        <v>13</v>
      </c>
      <c r="H70" t="s">
        <v>12</v>
      </c>
      <c r="I70" t="s">
        <v>6545</v>
      </c>
      <c r="N70">
        <v>1</v>
      </c>
      <c r="O70" t="s">
        <v>6544</v>
      </c>
      <c r="P70">
        <v>7102540031</v>
      </c>
      <c r="R70" s="7">
        <v>30742</v>
      </c>
      <c r="S70" s="8">
        <f t="shared" si="8"/>
        <v>1984</v>
      </c>
      <c r="T70" s="8">
        <v>1984</v>
      </c>
      <c r="U70" s="8">
        <f t="shared" si="9"/>
        <v>38</v>
      </c>
      <c r="V70" s="7">
        <v>30742</v>
      </c>
      <c r="W70" t="s">
        <v>364</v>
      </c>
      <c r="X70" s="2">
        <v>0.14099999999999999</v>
      </c>
      <c r="Y70" s="6">
        <f t="shared" si="14"/>
        <v>3.7639144710498915E-3</v>
      </c>
      <c r="AA70">
        <v>402508</v>
      </c>
      <c r="AB70">
        <v>20868</v>
      </c>
      <c r="AD70" t="s">
        <v>4</v>
      </c>
      <c r="AE70" t="s">
        <v>363</v>
      </c>
      <c r="AF70">
        <v>3</v>
      </c>
      <c r="AH70" t="s">
        <v>6543</v>
      </c>
      <c r="AI70" t="s">
        <v>6542</v>
      </c>
      <c r="AK70" t="s">
        <v>6541</v>
      </c>
      <c r="AL70">
        <v>0</v>
      </c>
      <c r="AM70" s="5">
        <f t="shared" si="10"/>
        <v>0</v>
      </c>
      <c r="AN70" s="4">
        <f t="shared" si="15"/>
        <v>0</v>
      </c>
      <c r="AO70" s="3"/>
      <c r="AP70">
        <v>0</v>
      </c>
      <c r="AR70" t="s">
        <v>0</v>
      </c>
      <c r="AT70" s="2" t="s">
        <v>45</v>
      </c>
      <c r="AU70" s="1">
        <f t="shared" si="11"/>
        <v>0.26347401297349238</v>
      </c>
      <c r="AV70" s="1">
        <f t="shared" si="12"/>
        <v>0.18819572355249459</v>
      </c>
      <c r="AW70" s="1">
        <f t="shared" si="13"/>
        <v>0.11291743413149673</v>
      </c>
    </row>
    <row r="71" spans="1:49" x14ac:dyDescent="0.2">
      <c r="A71">
        <v>69</v>
      </c>
      <c r="B71" t="s">
        <v>6540</v>
      </c>
      <c r="F71" t="s">
        <v>6539</v>
      </c>
      <c r="G71" t="s">
        <v>13</v>
      </c>
      <c r="H71" t="s">
        <v>12</v>
      </c>
      <c r="I71" t="s">
        <v>6538</v>
      </c>
      <c r="N71">
        <v>3</v>
      </c>
      <c r="O71" t="s">
        <v>6537</v>
      </c>
      <c r="P71" t="s">
        <v>6536</v>
      </c>
      <c r="Q71" t="s">
        <v>8</v>
      </c>
      <c r="R71" s="7">
        <v>30742</v>
      </c>
      <c r="S71" s="8">
        <f t="shared" si="8"/>
        <v>1984</v>
      </c>
      <c r="T71" s="8">
        <v>1984</v>
      </c>
      <c r="U71" s="8">
        <f t="shared" si="9"/>
        <v>38</v>
      </c>
      <c r="V71" s="7">
        <v>30742</v>
      </c>
      <c r="W71" t="s">
        <v>364</v>
      </c>
      <c r="X71" s="2">
        <v>0.14099999999999999</v>
      </c>
      <c r="Y71" s="6">
        <f t="shared" si="14"/>
        <v>3.7639144710498915E-3</v>
      </c>
      <c r="AA71">
        <v>402508</v>
      </c>
      <c r="AB71">
        <v>20868</v>
      </c>
      <c r="AD71" t="s">
        <v>4</v>
      </c>
      <c r="AE71" t="s">
        <v>363</v>
      </c>
      <c r="AF71">
        <v>3</v>
      </c>
      <c r="AH71" t="s">
        <v>6535</v>
      </c>
      <c r="AI71" t="s">
        <v>6534</v>
      </c>
      <c r="AK71" t="s">
        <v>6533</v>
      </c>
      <c r="AL71">
        <v>0</v>
      </c>
      <c r="AM71" s="5">
        <f t="shared" si="10"/>
        <v>0</v>
      </c>
      <c r="AN71" s="4">
        <f t="shared" si="15"/>
        <v>0</v>
      </c>
      <c r="AO71" s="3"/>
      <c r="AP71">
        <v>0</v>
      </c>
      <c r="AR71" t="s">
        <v>0</v>
      </c>
      <c r="AT71" s="2" t="s">
        <v>45</v>
      </c>
      <c r="AU71" s="1">
        <f t="shared" si="11"/>
        <v>0.26347401297349238</v>
      </c>
      <c r="AV71" s="1">
        <f t="shared" si="12"/>
        <v>0.18819572355249459</v>
      </c>
      <c r="AW71" s="1">
        <f t="shared" si="13"/>
        <v>0.11291743413149673</v>
      </c>
    </row>
    <row r="72" spans="1:49" x14ac:dyDescent="0.2">
      <c r="A72">
        <v>70</v>
      </c>
      <c r="B72" t="s">
        <v>6532</v>
      </c>
      <c r="F72" t="s">
        <v>6531</v>
      </c>
      <c r="G72" t="s">
        <v>13</v>
      </c>
      <c r="H72" t="s">
        <v>12</v>
      </c>
      <c r="I72" t="s">
        <v>6530</v>
      </c>
      <c r="N72">
        <v>1</v>
      </c>
      <c r="O72" t="s">
        <v>6529</v>
      </c>
      <c r="P72">
        <v>6602535091</v>
      </c>
      <c r="R72" s="7">
        <v>30742</v>
      </c>
      <c r="S72" s="8">
        <f t="shared" si="8"/>
        <v>1984</v>
      </c>
      <c r="T72" s="8">
        <v>1984</v>
      </c>
      <c r="U72" s="8">
        <f t="shared" si="9"/>
        <v>38</v>
      </c>
      <c r="V72" s="7">
        <v>30742</v>
      </c>
      <c r="W72" t="s">
        <v>364</v>
      </c>
      <c r="X72" s="2">
        <v>0.14099999999999999</v>
      </c>
      <c r="Y72" s="6">
        <f t="shared" si="14"/>
        <v>3.7639144710498915E-3</v>
      </c>
      <c r="AA72">
        <v>402508</v>
      </c>
      <c r="AB72">
        <v>20868</v>
      </c>
      <c r="AD72" t="s">
        <v>4</v>
      </c>
      <c r="AE72" t="s">
        <v>363</v>
      </c>
      <c r="AF72">
        <v>3</v>
      </c>
      <c r="AH72" t="s">
        <v>6528</v>
      </c>
      <c r="AI72" t="s">
        <v>6527</v>
      </c>
      <c r="AK72" t="s">
        <v>6526</v>
      </c>
      <c r="AL72">
        <v>0</v>
      </c>
      <c r="AM72" s="5">
        <f t="shared" si="10"/>
        <v>0</v>
      </c>
      <c r="AN72" s="4">
        <f t="shared" si="15"/>
        <v>0</v>
      </c>
      <c r="AO72" s="3"/>
      <c r="AP72">
        <v>0</v>
      </c>
      <c r="AR72" t="s">
        <v>0</v>
      </c>
      <c r="AT72" s="2" t="s">
        <v>45</v>
      </c>
      <c r="AU72" s="1">
        <f t="shared" si="11"/>
        <v>0.26347401297349238</v>
      </c>
      <c r="AV72" s="1">
        <f t="shared" si="12"/>
        <v>0.18819572355249459</v>
      </c>
      <c r="AW72" s="1">
        <f t="shared" si="13"/>
        <v>0.11291743413149673</v>
      </c>
    </row>
    <row r="73" spans="1:49" x14ac:dyDescent="0.2">
      <c r="A73">
        <v>71</v>
      </c>
      <c r="B73" t="s">
        <v>6525</v>
      </c>
      <c r="C73" t="s">
        <v>6524</v>
      </c>
      <c r="F73" t="s">
        <v>6523</v>
      </c>
      <c r="G73" t="s">
        <v>13</v>
      </c>
      <c r="H73" t="s">
        <v>12</v>
      </c>
      <c r="I73" t="s">
        <v>6522</v>
      </c>
      <c r="J73">
        <v>60006168</v>
      </c>
      <c r="K73" t="s">
        <v>6521</v>
      </c>
      <c r="L73" t="s">
        <v>6520</v>
      </c>
      <c r="M73" t="s">
        <v>56</v>
      </c>
      <c r="N73">
        <v>1</v>
      </c>
      <c r="O73" t="s">
        <v>6519</v>
      </c>
      <c r="P73">
        <v>57194906905</v>
      </c>
      <c r="Q73">
        <v>60006168</v>
      </c>
      <c r="R73" s="7">
        <v>30728</v>
      </c>
      <c r="S73" s="8">
        <f t="shared" si="8"/>
        <v>1984</v>
      </c>
      <c r="T73" s="8">
        <v>1984</v>
      </c>
      <c r="U73" s="8">
        <f t="shared" si="9"/>
        <v>38</v>
      </c>
      <c r="V73" s="7">
        <v>30728</v>
      </c>
      <c r="W73" t="s">
        <v>6337</v>
      </c>
      <c r="X73" s="2">
        <v>0.375</v>
      </c>
      <c r="Y73" s="6">
        <f t="shared" si="14"/>
        <v>1.0010410827260351E-2</v>
      </c>
      <c r="AA73">
        <v>135194</v>
      </c>
      <c r="AB73">
        <v>24918</v>
      </c>
      <c r="AD73" t="s">
        <v>4</v>
      </c>
      <c r="AE73">
        <v>20</v>
      </c>
      <c r="AF73">
        <v>4</v>
      </c>
      <c r="AH73" t="s">
        <v>6518</v>
      </c>
      <c r="AI73" t="s">
        <v>6517</v>
      </c>
      <c r="AJ73" t="s">
        <v>6516</v>
      </c>
      <c r="AK73" t="s">
        <v>6515</v>
      </c>
      <c r="AL73">
        <v>5</v>
      </c>
      <c r="AM73" s="5">
        <f t="shared" si="10"/>
        <v>0.13157894736842105</v>
      </c>
      <c r="AN73" s="4">
        <f t="shared" si="15"/>
        <v>1.9928655413619243E-4</v>
      </c>
      <c r="AO73" s="3"/>
      <c r="AP73">
        <v>0</v>
      </c>
      <c r="AR73" t="s">
        <v>0</v>
      </c>
      <c r="AT73" s="2">
        <v>1.3140000000000001</v>
      </c>
      <c r="AU73" s="1">
        <f t="shared" si="11"/>
        <v>0.70670735453231037</v>
      </c>
      <c r="AV73" s="1">
        <f t="shared" si="12"/>
        <v>0.51048486906982715</v>
      </c>
      <c r="AW73" s="1">
        <f t="shared" si="13"/>
        <v>0.31426238360734399</v>
      </c>
    </row>
    <row r="74" spans="1:49" x14ac:dyDescent="0.2">
      <c r="A74">
        <v>72</v>
      </c>
      <c r="B74" t="s">
        <v>6514</v>
      </c>
      <c r="C74" t="s">
        <v>6513</v>
      </c>
      <c r="F74" t="s">
        <v>6512</v>
      </c>
      <c r="G74" t="s">
        <v>13</v>
      </c>
      <c r="H74" t="s">
        <v>12</v>
      </c>
      <c r="I74" t="s">
        <v>6511</v>
      </c>
      <c r="J74">
        <v>60031004</v>
      </c>
      <c r="K74" t="s">
        <v>1771</v>
      </c>
      <c r="L74" t="s">
        <v>1770</v>
      </c>
      <c r="M74" t="s">
        <v>85</v>
      </c>
      <c r="N74">
        <v>2</v>
      </c>
      <c r="O74" t="s">
        <v>6510</v>
      </c>
      <c r="P74" t="s">
        <v>6509</v>
      </c>
      <c r="Q74" t="s">
        <v>1767</v>
      </c>
      <c r="R74" s="7">
        <v>30728</v>
      </c>
      <c r="S74" s="8">
        <f t="shared" si="8"/>
        <v>1984</v>
      </c>
      <c r="T74" s="8">
        <v>1984</v>
      </c>
      <c r="U74" s="8">
        <f t="shared" si="9"/>
        <v>38</v>
      </c>
      <c r="V74" s="7">
        <v>30728</v>
      </c>
      <c r="W74" t="s">
        <v>6337</v>
      </c>
      <c r="X74" s="2">
        <v>0.375</v>
      </c>
      <c r="Y74" s="6">
        <f t="shared" si="14"/>
        <v>1.0010410827260351E-2</v>
      </c>
      <c r="AA74">
        <v>135194</v>
      </c>
      <c r="AB74">
        <v>24918</v>
      </c>
      <c r="AD74" t="s">
        <v>4</v>
      </c>
      <c r="AE74">
        <v>20</v>
      </c>
      <c r="AF74">
        <v>4</v>
      </c>
      <c r="AH74" t="s">
        <v>6508</v>
      </c>
      <c r="AI74" t="s">
        <v>6507</v>
      </c>
      <c r="AJ74" t="s">
        <v>6506</v>
      </c>
      <c r="AK74" t="s">
        <v>6505</v>
      </c>
      <c r="AL74">
        <v>0</v>
      </c>
      <c r="AM74" s="5">
        <f t="shared" si="10"/>
        <v>0</v>
      </c>
      <c r="AN74" s="4">
        <f t="shared" si="15"/>
        <v>0</v>
      </c>
      <c r="AO74" s="3"/>
      <c r="AP74">
        <v>0</v>
      </c>
      <c r="AR74" t="s">
        <v>0</v>
      </c>
      <c r="AT74" s="2">
        <v>1.3140000000000001</v>
      </c>
      <c r="AU74" s="1">
        <f t="shared" si="11"/>
        <v>0.70072875790822453</v>
      </c>
      <c r="AV74" s="1">
        <f t="shared" si="12"/>
        <v>0.5005205413630176</v>
      </c>
      <c r="AW74" s="1">
        <f t="shared" si="13"/>
        <v>0.30031232481781051</v>
      </c>
    </row>
    <row r="75" spans="1:49" x14ac:dyDescent="0.2">
      <c r="A75">
        <v>73</v>
      </c>
      <c r="B75" t="s">
        <v>6504</v>
      </c>
      <c r="C75" t="s">
        <v>6503</v>
      </c>
      <c r="F75" t="s">
        <v>6502</v>
      </c>
      <c r="G75" t="s">
        <v>13</v>
      </c>
      <c r="H75" t="s">
        <v>12</v>
      </c>
      <c r="I75" t="s">
        <v>6501</v>
      </c>
      <c r="J75">
        <v>60022148</v>
      </c>
      <c r="K75" t="s">
        <v>4901</v>
      </c>
      <c r="L75" t="s">
        <v>245</v>
      </c>
      <c r="M75" t="s">
        <v>167</v>
      </c>
      <c r="N75">
        <v>2</v>
      </c>
      <c r="O75" t="s">
        <v>6500</v>
      </c>
      <c r="P75" t="s">
        <v>6499</v>
      </c>
      <c r="Q75" t="s">
        <v>4898</v>
      </c>
      <c r="R75" s="7">
        <v>30714</v>
      </c>
      <c r="S75" s="8">
        <f t="shared" si="8"/>
        <v>1984</v>
      </c>
      <c r="T75" s="8">
        <v>1984</v>
      </c>
      <c r="U75" s="8">
        <f t="shared" si="9"/>
        <v>38</v>
      </c>
      <c r="V75" s="7">
        <v>30714</v>
      </c>
      <c r="W75" t="s">
        <v>6337</v>
      </c>
      <c r="X75" s="2">
        <v>0.375</v>
      </c>
      <c r="Y75" s="6">
        <f t="shared" si="14"/>
        <v>1.0010410827260351E-2</v>
      </c>
      <c r="AA75">
        <v>135194</v>
      </c>
      <c r="AB75">
        <v>24918</v>
      </c>
      <c r="AD75" t="s">
        <v>4</v>
      </c>
      <c r="AE75">
        <v>20</v>
      </c>
      <c r="AF75">
        <v>3</v>
      </c>
      <c r="AH75" t="s">
        <v>6498</v>
      </c>
      <c r="AI75" t="s">
        <v>6497</v>
      </c>
      <c r="AJ75" t="s">
        <v>6496</v>
      </c>
      <c r="AK75" t="s">
        <v>6495</v>
      </c>
      <c r="AL75">
        <v>2</v>
      </c>
      <c r="AM75" s="5">
        <f t="shared" si="10"/>
        <v>5.2631578947368418E-2</v>
      </c>
      <c r="AN75" s="4">
        <f t="shared" si="15"/>
        <v>7.9714621654476962E-5</v>
      </c>
      <c r="AO75" s="3"/>
      <c r="AP75">
        <v>0</v>
      </c>
      <c r="AR75" t="s">
        <v>0</v>
      </c>
      <c r="AT75" s="2">
        <v>1.3140000000000001</v>
      </c>
      <c r="AU75" s="1">
        <f t="shared" si="11"/>
        <v>0.70312019655785896</v>
      </c>
      <c r="AV75" s="1">
        <f t="shared" si="12"/>
        <v>0.50450627244574142</v>
      </c>
      <c r="AW75" s="1">
        <f t="shared" si="13"/>
        <v>0.30589234833362389</v>
      </c>
    </row>
    <row r="76" spans="1:49" x14ac:dyDescent="0.2">
      <c r="A76">
        <v>74</v>
      </c>
      <c r="B76" t="s">
        <v>6494</v>
      </c>
      <c r="C76" t="s">
        <v>6493</v>
      </c>
      <c r="F76" t="s">
        <v>6492</v>
      </c>
      <c r="G76" t="s">
        <v>13</v>
      </c>
      <c r="H76" t="s">
        <v>12</v>
      </c>
      <c r="I76" t="s">
        <v>6491</v>
      </c>
      <c r="J76">
        <v>60014153</v>
      </c>
      <c r="K76" t="s">
        <v>6490</v>
      </c>
      <c r="L76" t="s">
        <v>6489</v>
      </c>
      <c r="M76" t="s">
        <v>125</v>
      </c>
      <c r="N76">
        <v>2</v>
      </c>
      <c r="O76" t="s">
        <v>6488</v>
      </c>
      <c r="P76" t="s">
        <v>6487</v>
      </c>
      <c r="Q76" t="s">
        <v>6486</v>
      </c>
      <c r="R76" s="7">
        <v>30714</v>
      </c>
      <c r="S76" s="8">
        <f t="shared" si="8"/>
        <v>1984</v>
      </c>
      <c r="T76" s="8">
        <v>1984</v>
      </c>
      <c r="U76" s="8">
        <f t="shared" si="9"/>
        <v>38</v>
      </c>
      <c r="V76" s="7">
        <v>30714</v>
      </c>
      <c r="W76" t="s">
        <v>6337</v>
      </c>
      <c r="X76" s="2">
        <v>0.375</v>
      </c>
      <c r="Y76" s="6">
        <f t="shared" si="14"/>
        <v>1.0010410827260351E-2</v>
      </c>
      <c r="AA76">
        <v>135194</v>
      </c>
      <c r="AB76">
        <v>24918</v>
      </c>
      <c r="AD76" t="s">
        <v>4</v>
      </c>
      <c r="AE76">
        <v>20</v>
      </c>
      <c r="AF76">
        <v>3</v>
      </c>
      <c r="AH76" t="s">
        <v>6485</v>
      </c>
      <c r="AI76" t="s">
        <v>6484</v>
      </c>
      <c r="AJ76" t="s">
        <v>6483</v>
      </c>
      <c r="AK76" t="s">
        <v>6482</v>
      </c>
      <c r="AL76">
        <v>1</v>
      </c>
      <c r="AM76" s="5">
        <f t="shared" si="10"/>
        <v>2.6315789473684209E-2</v>
      </c>
      <c r="AN76" s="4">
        <f t="shared" si="15"/>
        <v>3.9857310827238481E-5</v>
      </c>
      <c r="AO76" s="3"/>
      <c r="AP76">
        <v>0</v>
      </c>
      <c r="AR76" t="s">
        <v>0</v>
      </c>
      <c r="AT76" s="2">
        <v>1.3140000000000001</v>
      </c>
      <c r="AU76" s="1">
        <f t="shared" si="11"/>
        <v>0.70192447723304174</v>
      </c>
      <c r="AV76" s="1">
        <f t="shared" si="12"/>
        <v>0.50251340690437951</v>
      </c>
      <c r="AW76" s="1">
        <f t="shared" si="13"/>
        <v>0.30310233657571722</v>
      </c>
    </row>
    <row r="77" spans="1:49" x14ac:dyDescent="0.2">
      <c r="A77">
        <v>75</v>
      </c>
      <c r="B77" t="s">
        <v>6481</v>
      </c>
      <c r="C77" t="s">
        <v>6480</v>
      </c>
      <c r="F77" t="s">
        <v>6479</v>
      </c>
      <c r="G77" t="s">
        <v>13</v>
      </c>
      <c r="H77" t="s">
        <v>12</v>
      </c>
      <c r="I77" t="s">
        <v>6478</v>
      </c>
      <c r="J77">
        <v>60006155</v>
      </c>
      <c r="K77" t="s">
        <v>6477</v>
      </c>
      <c r="L77" t="s">
        <v>6476</v>
      </c>
      <c r="M77" t="s">
        <v>643</v>
      </c>
      <c r="N77">
        <v>1</v>
      </c>
      <c r="O77" t="s">
        <v>6475</v>
      </c>
      <c r="P77">
        <v>56273929300</v>
      </c>
      <c r="Q77">
        <v>60006155</v>
      </c>
      <c r="R77" s="7">
        <v>30713</v>
      </c>
      <c r="S77" s="8">
        <f t="shared" si="8"/>
        <v>1984</v>
      </c>
      <c r="T77" s="8">
        <v>1984</v>
      </c>
      <c r="U77" s="8">
        <f t="shared" si="9"/>
        <v>38</v>
      </c>
      <c r="V77" s="7">
        <v>30713</v>
      </c>
      <c r="W77" t="s">
        <v>6474</v>
      </c>
      <c r="X77" s="2">
        <v>0.46300000000000002</v>
      </c>
      <c r="Y77" s="6">
        <f t="shared" si="14"/>
        <v>1.2359520568057447E-2</v>
      </c>
      <c r="AA77">
        <v>36862</v>
      </c>
      <c r="AB77">
        <v>19141</v>
      </c>
      <c r="AC77" t="s">
        <v>6473</v>
      </c>
      <c r="AD77" t="s">
        <v>4</v>
      </c>
      <c r="AE77">
        <v>20</v>
      </c>
      <c r="AF77">
        <v>1</v>
      </c>
      <c r="AH77" t="s">
        <v>6472</v>
      </c>
      <c r="AI77" t="s">
        <v>6471</v>
      </c>
      <c r="AK77" t="s">
        <v>6470</v>
      </c>
      <c r="AL77">
        <v>2</v>
      </c>
      <c r="AM77" s="5">
        <f t="shared" si="10"/>
        <v>5.2631578947368418E-2</v>
      </c>
      <c r="AN77" s="4">
        <f t="shared" si="15"/>
        <v>7.9714621654476962E-5</v>
      </c>
      <c r="AO77" s="3"/>
      <c r="AP77">
        <v>1</v>
      </c>
      <c r="AR77" t="s">
        <v>0</v>
      </c>
      <c r="AT77" s="2">
        <v>1.403</v>
      </c>
      <c r="AU77" s="1">
        <f t="shared" si="11"/>
        <v>0.86755787841365561</v>
      </c>
      <c r="AV77" s="1">
        <f t="shared" si="12"/>
        <v>0.62196175948559629</v>
      </c>
      <c r="AW77" s="1">
        <f t="shared" si="13"/>
        <v>0.3763656405575368</v>
      </c>
    </row>
    <row r="78" spans="1:49" x14ac:dyDescent="0.2">
      <c r="A78">
        <v>76</v>
      </c>
      <c r="B78" t="s">
        <v>6469</v>
      </c>
      <c r="C78" t="s">
        <v>6468</v>
      </c>
      <c r="F78" t="s">
        <v>6467</v>
      </c>
      <c r="G78" t="s">
        <v>13</v>
      </c>
      <c r="H78" t="s">
        <v>12</v>
      </c>
      <c r="I78" t="s">
        <v>6466</v>
      </c>
      <c r="J78" t="s">
        <v>6465</v>
      </c>
      <c r="K78" t="s">
        <v>6464</v>
      </c>
      <c r="L78" t="s">
        <v>6463</v>
      </c>
      <c r="M78" t="s">
        <v>6462</v>
      </c>
      <c r="N78">
        <v>3</v>
      </c>
      <c r="O78" t="s">
        <v>6461</v>
      </c>
      <c r="P78" t="s">
        <v>6460</v>
      </c>
      <c r="Q78" t="s">
        <v>6459</v>
      </c>
      <c r="R78" s="7">
        <v>30713</v>
      </c>
      <c r="S78" s="8">
        <f t="shared" si="8"/>
        <v>1984</v>
      </c>
      <c r="T78" s="8">
        <v>1984</v>
      </c>
      <c r="U78" s="8">
        <f t="shared" si="9"/>
        <v>38</v>
      </c>
      <c r="V78" s="7">
        <v>30713</v>
      </c>
      <c r="W78" t="s">
        <v>6458</v>
      </c>
      <c r="X78" s="2">
        <v>0.39800000000000002</v>
      </c>
      <c r="Y78" s="6">
        <f t="shared" si="14"/>
        <v>1.0624382691332319E-2</v>
      </c>
      <c r="AA78" t="s">
        <v>6457</v>
      </c>
      <c r="AB78">
        <v>26771</v>
      </c>
      <c r="AC78" t="s">
        <v>6456</v>
      </c>
      <c r="AD78" t="s">
        <v>4</v>
      </c>
      <c r="AE78">
        <v>99</v>
      </c>
      <c r="AF78" s="9">
        <v>44228</v>
      </c>
      <c r="AH78" t="s">
        <v>6455</v>
      </c>
      <c r="AI78" t="s">
        <v>6454</v>
      </c>
      <c r="AK78" t="s">
        <v>6453</v>
      </c>
      <c r="AL78">
        <v>2</v>
      </c>
      <c r="AM78" s="5">
        <f t="shared" si="10"/>
        <v>5.2631578947368418E-2</v>
      </c>
      <c r="AN78" s="4">
        <f t="shared" si="15"/>
        <v>7.9714621654476962E-5</v>
      </c>
      <c r="AO78" s="3"/>
      <c r="AP78">
        <v>0</v>
      </c>
      <c r="AR78" t="s">
        <v>0</v>
      </c>
      <c r="AT78" s="2">
        <v>1.83</v>
      </c>
      <c r="AU78" s="1">
        <f t="shared" si="11"/>
        <v>0.74609822704289663</v>
      </c>
      <c r="AV78" s="1">
        <f t="shared" si="12"/>
        <v>0.53520486564933989</v>
      </c>
      <c r="AW78" s="1">
        <f t="shared" si="13"/>
        <v>0.32431150425578298</v>
      </c>
    </row>
    <row r="79" spans="1:49" x14ac:dyDescent="0.2">
      <c r="A79">
        <v>77</v>
      </c>
      <c r="B79" t="s">
        <v>6452</v>
      </c>
      <c r="F79" t="s">
        <v>6451</v>
      </c>
      <c r="G79" t="s">
        <v>13</v>
      </c>
      <c r="H79" t="s">
        <v>12</v>
      </c>
      <c r="I79" t="s">
        <v>1035</v>
      </c>
      <c r="J79">
        <v>60025522</v>
      </c>
      <c r="K79" t="s">
        <v>6450</v>
      </c>
      <c r="L79" t="s">
        <v>4500</v>
      </c>
      <c r="M79" t="s">
        <v>56</v>
      </c>
      <c r="N79">
        <v>2</v>
      </c>
      <c r="O79" t="s">
        <v>6449</v>
      </c>
      <c r="P79" t="s">
        <v>1033</v>
      </c>
      <c r="Q79" t="s">
        <v>6448</v>
      </c>
      <c r="R79" s="7">
        <v>30713</v>
      </c>
      <c r="S79" s="8">
        <f t="shared" si="8"/>
        <v>1984</v>
      </c>
      <c r="T79" s="8">
        <v>1984</v>
      </c>
      <c r="U79" s="8">
        <f t="shared" si="9"/>
        <v>38</v>
      </c>
      <c r="V79" s="7">
        <v>30713</v>
      </c>
      <c r="W79" t="s">
        <v>1032</v>
      </c>
      <c r="X79" s="2" t="s">
        <v>45</v>
      </c>
      <c r="Y79" s="6" t="e">
        <f t="shared" si="14"/>
        <v>#VALUE!</v>
      </c>
      <c r="AA79">
        <v>262897</v>
      </c>
      <c r="AB79">
        <v>18580</v>
      </c>
      <c r="AD79" t="s">
        <v>4</v>
      </c>
      <c r="AE79">
        <v>27</v>
      </c>
      <c r="AF79">
        <v>2</v>
      </c>
      <c r="AI79" t="s">
        <v>6447</v>
      </c>
      <c r="AK79" t="s">
        <v>6446</v>
      </c>
      <c r="AL79">
        <v>0</v>
      </c>
      <c r="AM79" s="5">
        <f t="shared" si="10"/>
        <v>0</v>
      </c>
      <c r="AN79" s="4">
        <f t="shared" si="15"/>
        <v>0</v>
      </c>
      <c r="AO79" s="3"/>
      <c r="AP79">
        <v>0</v>
      </c>
      <c r="AR79" t="s">
        <v>0</v>
      </c>
      <c r="AT79" s="2">
        <v>0.30599999999999999</v>
      </c>
      <c r="AU79" s="1" t="e">
        <f t="shared" si="11"/>
        <v>#VALUE!</v>
      </c>
      <c r="AV79" s="1" t="e">
        <f t="shared" si="12"/>
        <v>#VALUE!</v>
      </c>
      <c r="AW79" s="1" t="e">
        <f t="shared" si="13"/>
        <v>#VALUE!</v>
      </c>
    </row>
    <row r="80" spans="1:49" x14ac:dyDescent="0.2">
      <c r="A80">
        <v>78</v>
      </c>
      <c r="B80" t="s">
        <v>6445</v>
      </c>
      <c r="F80" t="s">
        <v>6444</v>
      </c>
      <c r="G80" t="s">
        <v>13</v>
      </c>
      <c r="H80" t="s">
        <v>12</v>
      </c>
      <c r="I80" t="s">
        <v>1751</v>
      </c>
      <c r="J80">
        <v>60021080</v>
      </c>
      <c r="K80" t="s">
        <v>3866</v>
      </c>
      <c r="L80" t="s">
        <v>3865</v>
      </c>
      <c r="M80" t="s">
        <v>56</v>
      </c>
      <c r="N80">
        <v>1</v>
      </c>
      <c r="O80" t="s">
        <v>1750</v>
      </c>
      <c r="P80">
        <v>6602689304</v>
      </c>
      <c r="Q80">
        <v>60021080</v>
      </c>
      <c r="R80" s="7">
        <v>30713</v>
      </c>
      <c r="S80" s="8">
        <f t="shared" si="8"/>
        <v>1984</v>
      </c>
      <c r="T80" s="8">
        <v>1984</v>
      </c>
      <c r="U80" s="8">
        <f t="shared" si="9"/>
        <v>38</v>
      </c>
      <c r="V80" s="7">
        <v>30713</v>
      </c>
      <c r="W80" t="s">
        <v>1032</v>
      </c>
      <c r="X80" s="2" t="s">
        <v>45</v>
      </c>
      <c r="Y80" s="6" t="e">
        <f t="shared" si="14"/>
        <v>#VALUE!</v>
      </c>
      <c r="AA80">
        <v>262897</v>
      </c>
      <c r="AB80">
        <v>18580</v>
      </c>
      <c r="AD80" t="s">
        <v>4</v>
      </c>
      <c r="AE80">
        <v>27</v>
      </c>
      <c r="AF80">
        <v>2</v>
      </c>
      <c r="AI80" t="s">
        <v>6443</v>
      </c>
      <c r="AK80" t="s">
        <v>6442</v>
      </c>
      <c r="AL80">
        <v>0</v>
      </c>
      <c r="AM80" s="5">
        <f t="shared" si="10"/>
        <v>0</v>
      </c>
      <c r="AN80" s="4">
        <f t="shared" si="15"/>
        <v>0</v>
      </c>
      <c r="AO80" s="3"/>
      <c r="AP80">
        <v>0</v>
      </c>
      <c r="AR80" t="s">
        <v>0</v>
      </c>
      <c r="AT80" s="2">
        <v>0.30599999999999999</v>
      </c>
      <c r="AU80" s="1" t="e">
        <f t="shared" si="11"/>
        <v>#VALUE!</v>
      </c>
      <c r="AV80" s="1" t="e">
        <f t="shared" si="12"/>
        <v>#VALUE!</v>
      </c>
      <c r="AW80" s="1" t="e">
        <f t="shared" si="13"/>
        <v>#VALUE!</v>
      </c>
    </row>
    <row r="81" spans="1:49" x14ac:dyDescent="0.2">
      <c r="A81">
        <v>79</v>
      </c>
      <c r="B81" t="s">
        <v>6441</v>
      </c>
      <c r="C81" t="s">
        <v>6440</v>
      </c>
      <c r="F81" t="s">
        <v>6439</v>
      </c>
      <c r="G81" t="s">
        <v>13</v>
      </c>
      <c r="H81" t="s">
        <v>12</v>
      </c>
      <c r="I81" t="s">
        <v>6438</v>
      </c>
      <c r="N81">
        <v>8</v>
      </c>
      <c r="O81" t="s">
        <v>6437</v>
      </c>
      <c r="P81" t="s">
        <v>6436</v>
      </c>
      <c r="Q81" t="s">
        <v>6435</v>
      </c>
      <c r="R81" s="7">
        <v>30713</v>
      </c>
      <c r="S81" s="8">
        <f t="shared" si="8"/>
        <v>1984</v>
      </c>
      <c r="T81" s="8">
        <v>1984</v>
      </c>
      <c r="U81" s="8">
        <f t="shared" si="9"/>
        <v>38</v>
      </c>
      <c r="V81" s="7">
        <v>30713</v>
      </c>
      <c r="W81" t="s">
        <v>6434</v>
      </c>
      <c r="X81" s="2">
        <v>0.14899999999999999</v>
      </c>
      <c r="Y81" s="6">
        <f t="shared" si="14"/>
        <v>3.977469902031446E-3</v>
      </c>
      <c r="AA81">
        <v>5431972</v>
      </c>
      <c r="AB81">
        <v>15425</v>
      </c>
      <c r="AC81">
        <v>15738906</v>
      </c>
      <c r="AD81" t="s">
        <v>4</v>
      </c>
      <c r="AE81">
        <v>27</v>
      </c>
      <c r="AF81">
        <v>2</v>
      </c>
      <c r="AH81" t="s">
        <v>6433</v>
      </c>
      <c r="AL81">
        <v>0</v>
      </c>
      <c r="AM81" s="5">
        <f t="shared" si="10"/>
        <v>0</v>
      </c>
      <c r="AN81" s="4">
        <f t="shared" si="15"/>
        <v>0</v>
      </c>
      <c r="AO81" s="3"/>
      <c r="AP81">
        <v>0</v>
      </c>
      <c r="AR81" t="s">
        <v>0</v>
      </c>
      <c r="AT81" s="2" t="s">
        <v>45</v>
      </c>
      <c r="AU81" s="1">
        <f t="shared" si="11"/>
        <v>0.2784228931422012</v>
      </c>
      <c r="AV81" s="1">
        <f t="shared" si="12"/>
        <v>0.19887349510157229</v>
      </c>
      <c r="AW81" s="1">
        <f t="shared" si="13"/>
        <v>0.11932409706094337</v>
      </c>
    </row>
    <row r="82" spans="1:49" x14ac:dyDescent="0.2">
      <c r="A82">
        <v>80</v>
      </c>
      <c r="B82" t="s">
        <v>6432</v>
      </c>
      <c r="F82" t="s">
        <v>6431</v>
      </c>
      <c r="G82" t="s">
        <v>13</v>
      </c>
      <c r="H82" t="s">
        <v>12</v>
      </c>
      <c r="I82" t="s">
        <v>3994</v>
      </c>
      <c r="J82">
        <v>60021902</v>
      </c>
      <c r="K82" t="s">
        <v>3993</v>
      </c>
      <c r="L82" t="s">
        <v>3992</v>
      </c>
      <c r="M82" t="s">
        <v>3991</v>
      </c>
      <c r="N82">
        <v>1</v>
      </c>
      <c r="O82" t="s">
        <v>6430</v>
      </c>
      <c r="P82">
        <v>35565202000</v>
      </c>
      <c r="Q82">
        <v>60021902</v>
      </c>
      <c r="R82" s="7">
        <v>30713</v>
      </c>
      <c r="S82" s="8">
        <f t="shared" si="8"/>
        <v>1984</v>
      </c>
      <c r="T82" s="8">
        <v>1984</v>
      </c>
      <c r="U82" s="8">
        <f t="shared" si="9"/>
        <v>38</v>
      </c>
      <c r="V82" s="7">
        <v>30713</v>
      </c>
      <c r="W82" t="s">
        <v>1032</v>
      </c>
      <c r="X82" s="2" t="s">
        <v>45</v>
      </c>
      <c r="Y82" s="6" t="e">
        <f t="shared" si="14"/>
        <v>#VALUE!</v>
      </c>
      <c r="AA82">
        <v>262897</v>
      </c>
      <c r="AB82">
        <v>18580</v>
      </c>
      <c r="AD82" t="s">
        <v>4</v>
      </c>
      <c r="AE82">
        <v>27</v>
      </c>
      <c r="AF82">
        <v>2</v>
      </c>
      <c r="AH82" t="s">
        <v>6429</v>
      </c>
      <c r="AI82" t="s">
        <v>6428</v>
      </c>
      <c r="AK82" t="s">
        <v>6427</v>
      </c>
      <c r="AL82">
        <v>2</v>
      </c>
      <c r="AM82" s="5">
        <f t="shared" si="10"/>
        <v>5.2631578947368418E-2</v>
      </c>
      <c r="AN82" s="4">
        <f t="shared" si="15"/>
        <v>7.9714621654476962E-5</v>
      </c>
      <c r="AO82" s="3"/>
      <c r="AP82">
        <v>0</v>
      </c>
      <c r="AR82" t="s">
        <v>0</v>
      </c>
      <c r="AT82" s="2">
        <v>0.30599999999999999</v>
      </c>
      <c r="AU82" s="1" t="e">
        <f t="shared" si="11"/>
        <v>#VALUE!</v>
      </c>
      <c r="AV82" s="1" t="e">
        <f t="shared" si="12"/>
        <v>#VALUE!</v>
      </c>
      <c r="AW82" s="1" t="e">
        <f t="shared" si="13"/>
        <v>#VALUE!</v>
      </c>
    </row>
    <row r="83" spans="1:49" x14ac:dyDescent="0.2">
      <c r="A83">
        <v>81</v>
      </c>
      <c r="B83" t="s">
        <v>6426</v>
      </c>
      <c r="F83" t="s">
        <v>6425</v>
      </c>
      <c r="G83" t="s">
        <v>13</v>
      </c>
      <c r="H83" t="s">
        <v>12</v>
      </c>
      <c r="I83" t="s">
        <v>6424</v>
      </c>
      <c r="N83">
        <v>1</v>
      </c>
      <c r="O83" t="s">
        <v>6423</v>
      </c>
      <c r="P83">
        <v>7005716049</v>
      </c>
      <c r="R83" s="7">
        <v>30713</v>
      </c>
      <c r="S83" s="8">
        <f t="shared" si="8"/>
        <v>1984</v>
      </c>
      <c r="T83" s="8">
        <v>1984</v>
      </c>
      <c r="U83" s="8">
        <f t="shared" si="9"/>
        <v>38</v>
      </c>
      <c r="V83" s="7">
        <v>30713</v>
      </c>
      <c r="W83" t="s">
        <v>364</v>
      </c>
      <c r="X83" s="2">
        <v>0.14099999999999999</v>
      </c>
      <c r="Y83" s="6">
        <f t="shared" si="14"/>
        <v>3.7639144710498915E-3</v>
      </c>
      <c r="AA83">
        <v>402508</v>
      </c>
      <c r="AB83">
        <v>20868</v>
      </c>
      <c r="AD83" t="s">
        <v>4</v>
      </c>
      <c r="AE83" t="s">
        <v>363</v>
      </c>
      <c r="AF83">
        <v>2</v>
      </c>
      <c r="AH83" t="s">
        <v>6422</v>
      </c>
      <c r="AI83" t="s">
        <v>6421</v>
      </c>
      <c r="AK83" t="s">
        <v>6420</v>
      </c>
      <c r="AL83">
        <v>0</v>
      </c>
      <c r="AM83" s="5">
        <f t="shared" si="10"/>
        <v>0</v>
      </c>
      <c r="AN83" s="4">
        <f t="shared" si="15"/>
        <v>0</v>
      </c>
      <c r="AO83" s="3"/>
      <c r="AP83">
        <v>0</v>
      </c>
      <c r="AR83" t="s">
        <v>0</v>
      </c>
      <c r="AT83" s="2" t="s">
        <v>45</v>
      </c>
      <c r="AU83" s="1">
        <f t="shared" si="11"/>
        <v>0.26347401297349238</v>
      </c>
      <c r="AV83" s="1">
        <f t="shared" si="12"/>
        <v>0.18819572355249459</v>
      </c>
      <c r="AW83" s="1">
        <f t="shared" si="13"/>
        <v>0.11291743413149673</v>
      </c>
    </row>
    <row r="84" spans="1:49" x14ac:dyDescent="0.2">
      <c r="A84">
        <v>82</v>
      </c>
      <c r="B84" t="s">
        <v>6419</v>
      </c>
      <c r="F84" t="s">
        <v>6418</v>
      </c>
      <c r="G84" t="s">
        <v>13</v>
      </c>
      <c r="H84" t="s">
        <v>12</v>
      </c>
      <c r="I84" t="s">
        <v>6417</v>
      </c>
      <c r="N84">
        <v>1</v>
      </c>
      <c r="O84" t="s">
        <v>6416</v>
      </c>
      <c r="P84">
        <v>6506864620</v>
      </c>
      <c r="R84" s="7">
        <v>30713</v>
      </c>
      <c r="S84" s="8">
        <f t="shared" si="8"/>
        <v>1984</v>
      </c>
      <c r="T84" s="8">
        <v>1984</v>
      </c>
      <c r="U84" s="8">
        <f t="shared" si="9"/>
        <v>38</v>
      </c>
      <c r="V84" s="7">
        <v>30713</v>
      </c>
      <c r="W84" t="s">
        <v>364</v>
      </c>
      <c r="X84" s="2">
        <v>0.14099999999999999</v>
      </c>
      <c r="Y84" s="6">
        <f t="shared" si="14"/>
        <v>3.7639144710498915E-3</v>
      </c>
      <c r="AA84">
        <v>402508</v>
      </c>
      <c r="AB84">
        <v>20868</v>
      </c>
      <c r="AD84" t="s">
        <v>4</v>
      </c>
      <c r="AE84" t="s">
        <v>363</v>
      </c>
      <c r="AF84">
        <v>2</v>
      </c>
      <c r="AH84" s="9">
        <v>44381</v>
      </c>
      <c r="AI84" t="s">
        <v>6415</v>
      </c>
      <c r="AK84" t="s">
        <v>6414</v>
      </c>
      <c r="AL84">
        <v>0</v>
      </c>
      <c r="AM84" s="5">
        <f t="shared" si="10"/>
        <v>0</v>
      </c>
      <c r="AN84" s="4">
        <f t="shared" si="15"/>
        <v>0</v>
      </c>
      <c r="AO84" s="3"/>
      <c r="AP84">
        <v>0</v>
      </c>
      <c r="AR84" t="s">
        <v>0</v>
      </c>
      <c r="AT84" s="2" t="s">
        <v>45</v>
      </c>
      <c r="AU84" s="1">
        <f t="shared" si="11"/>
        <v>0.26347401297349238</v>
      </c>
      <c r="AV84" s="1">
        <f t="shared" si="12"/>
        <v>0.18819572355249459</v>
      </c>
      <c r="AW84" s="1">
        <f t="shared" si="13"/>
        <v>0.11291743413149673</v>
      </c>
    </row>
    <row r="85" spans="1:49" x14ac:dyDescent="0.2">
      <c r="A85">
        <v>83</v>
      </c>
      <c r="B85" t="s">
        <v>6413</v>
      </c>
      <c r="C85" t="s">
        <v>6412</v>
      </c>
      <c r="D85" t="s">
        <v>6411</v>
      </c>
      <c r="E85">
        <v>6696440</v>
      </c>
      <c r="F85" t="s">
        <v>6410</v>
      </c>
      <c r="G85" t="s">
        <v>13</v>
      </c>
      <c r="H85" t="s">
        <v>12</v>
      </c>
      <c r="I85" t="s">
        <v>6409</v>
      </c>
      <c r="J85" t="s">
        <v>6408</v>
      </c>
      <c r="K85" t="s">
        <v>6407</v>
      </c>
      <c r="L85" t="s">
        <v>6406</v>
      </c>
      <c r="M85" t="s">
        <v>6405</v>
      </c>
      <c r="N85">
        <v>4</v>
      </c>
      <c r="O85" t="s">
        <v>6404</v>
      </c>
      <c r="P85" t="s">
        <v>6403</v>
      </c>
      <c r="Q85" t="s">
        <v>6402</v>
      </c>
      <c r="R85" s="7">
        <v>30713</v>
      </c>
      <c r="S85" s="8">
        <f t="shared" si="8"/>
        <v>1984</v>
      </c>
      <c r="T85" s="8">
        <v>1984</v>
      </c>
      <c r="U85" s="8">
        <f t="shared" si="9"/>
        <v>38</v>
      </c>
      <c r="V85" s="7">
        <v>30713</v>
      </c>
      <c r="W85" t="s">
        <v>5440</v>
      </c>
      <c r="X85" s="2">
        <v>1.097</v>
      </c>
      <c r="Y85" s="6">
        <f t="shared" si="14"/>
        <v>2.9283788473345614E-2</v>
      </c>
      <c r="AA85">
        <v>39861</v>
      </c>
      <c r="AB85">
        <v>16811</v>
      </c>
      <c r="AC85">
        <v>10960384</v>
      </c>
      <c r="AD85" t="s">
        <v>4</v>
      </c>
      <c r="AE85">
        <v>228</v>
      </c>
      <c r="AF85">
        <v>2</v>
      </c>
      <c r="AH85" t="s">
        <v>6401</v>
      </c>
      <c r="AI85" t="s">
        <v>6400</v>
      </c>
      <c r="AK85" t="s">
        <v>6399</v>
      </c>
      <c r="AL85">
        <v>18</v>
      </c>
      <c r="AM85" s="5">
        <f t="shared" si="10"/>
        <v>0.47368421052631576</v>
      </c>
      <c r="AN85" s="4">
        <f t="shared" si="15"/>
        <v>7.1743159489029266E-4</v>
      </c>
      <c r="AO85" s="3"/>
      <c r="AP85">
        <v>0</v>
      </c>
      <c r="AQ85" t="s">
        <v>48</v>
      </c>
      <c r="AR85" t="s">
        <v>6398</v>
      </c>
      <c r="AS85" t="s">
        <v>46</v>
      </c>
      <c r="AT85" s="2" t="s">
        <v>45</v>
      </c>
      <c r="AU85" s="1">
        <f t="shared" si="11"/>
        <v>2.0713881409809018</v>
      </c>
      <c r="AV85" s="1">
        <f t="shared" si="12"/>
        <v>1.5000610034117954</v>
      </c>
      <c r="AW85" s="1">
        <f t="shared" si="13"/>
        <v>0.92873386584268891</v>
      </c>
    </row>
    <row r="86" spans="1:49" x14ac:dyDescent="0.2">
      <c r="A86">
        <v>84</v>
      </c>
      <c r="B86" t="s">
        <v>6397</v>
      </c>
      <c r="C86" t="s">
        <v>6396</v>
      </c>
      <c r="F86" t="s">
        <v>6395</v>
      </c>
      <c r="G86" t="s">
        <v>13</v>
      </c>
      <c r="H86" t="s">
        <v>12</v>
      </c>
      <c r="I86" t="s">
        <v>6394</v>
      </c>
      <c r="J86">
        <v>60033316</v>
      </c>
      <c r="K86" t="s">
        <v>6393</v>
      </c>
      <c r="L86" t="s">
        <v>6392</v>
      </c>
      <c r="M86" t="s">
        <v>4959</v>
      </c>
      <c r="N86">
        <v>1</v>
      </c>
      <c r="O86" t="s">
        <v>6391</v>
      </c>
      <c r="P86">
        <v>16501384500</v>
      </c>
      <c r="Q86">
        <v>60033316</v>
      </c>
      <c r="R86" s="7">
        <v>30713</v>
      </c>
      <c r="S86" s="8">
        <f t="shared" si="8"/>
        <v>1984</v>
      </c>
      <c r="T86" s="8">
        <v>1984</v>
      </c>
      <c r="U86" s="8">
        <f t="shared" si="9"/>
        <v>38</v>
      </c>
      <c r="V86" s="7">
        <v>30713</v>
      </c>
      <c r="W86" t="s">
        <v>6390</v>
      </c>
      <c r="X86" s="2">
        <v>0.84299999999999997</v>
      </c>
      <c r="Y86" s="6">
        <f t="shared" si="14"/>
        <v>2.250340353968127E-2</v>
      </c>
      <c r="AA86">
        <v>188158</v>
      </c>
      <c r="AB86">
        <v>15168</v>
      </c>
      <c r="AC86">
        <v>15735117</v>
      </c>
      <c r="AD86" t="s">
        <v>4</v>
      </c>
      <c r="AE86">
        <v>109</v>
      </c>
      <c r="AF86">
        <v>1</v>
      </c>
      <c r="AH86" s="10">
        <v>24167</v>
      </c>
      <c r="AI86" t="s">
        <v>6389</v>
      </c>
      <c r="AJ86" t="s">
        <v>6388</v>
      </c>
      <c r="AK86" t="s">
        <v>6387</v>
      </c>
      <c r="AL86">
        <v>107</v>
      </c>
      <c r="AM86" s="5">
        <f t="shared" si="10"/>
        <v>2.8157894736842106</v>
      </c>
      <c r="AN86" s="4">
        <f t="shared" si="15"/>
        <v>4.2647322585145182E-3</v>
      </c>
      <c r="AO86" s="3"/>
      <c r="AP86">
        <v>0</v>
      </c>
      <c r="AR86" t="s">
        <v>0</v>
      </c>
      <c r="AT86" s="2">
        <v>2.694</v>
      </c>
      <c r="AU86" s="1">
        <f t="shared" si="11"/>
        <v>1.7031802155331246</v>
      </c>
      <c r="AV86" s="1">
        <f t="shared" si="12"/>
        <v>1.3384067899097896</v>
      </c>
      <c r="AW86" s="1">
        <f t="shared" si="13"/>
        <v>0.97363336428645442</v>
      </c>
    </row>
    <row r="87" spans="1:49" x14ac:dyDescent="0.2">
      <c r="A87">
        <v>85</v>
      </c>
      <c r="B87" t="s">
        <v>6386</v>
      </c>
      <c r="C87" t="s">
        <v>6385</v>
      </c>
      <c r="D87" t="s">
        <v>6384</v>
      </c>
      <c r="F87" t="s">
        <v>6383</v>
      </c>
      <c r="G87" t="s">
        <v>13</v>
      </c>
      <c r="H87" t="s">
        <v>12</v>
      </c>
      <c r="I87" t="s">
        <v>6382</v>
      </c>
      <c r="J87">
        <v>60016881</v>
      </c>
      <c r="K87" t="s">
        <v>6381</v>
      </c>
      <c r="L87" t="s">
        <v>6380</v>
      </c>
      <c r="M87" t="s">
        <v>56</v>
      </c>
      <c r="N87">
        <v>2</v>
      </c>
      <c r="O87" t="s">
        <v>6379</v>
      </c>
      <c r="P87" t="s">
        <v>6378</v>
      </c>
      <c r="Q87" t="s">
        <v>6377</v>
      </c>
      <c r="R87" s="7">
        <v>30711</v>
      </c>
      <c r="S87" s="8">
        <f t="shared" si="8"/>
        <v>1984</v>
      </c>
      <c r="T87" s="8">
        <v>1984</v>
      </c>
      <c r="U87" s="8">
        <f t="shared" si="9"/>
        <v>38</v>
      </c>
      <c r="V87" s="7">
        <v>30711</v>
      </c>
      <c r="W87" t="s">
        <v>6376</v>
      </c>
      <c r="X87" s="2">
        <v>1.59</v>
      </c>
      <c r="Y87" s="6">
        <f t="shared" si="14"/>
        <v>4.2444141907583888E-2</v>
      </c>
      <c r="AA87">
        <v>52728</v>
      </c>
      <c r="AB87">
        <v>16791</v>
      </c>
      <c r="AD87" t="s">
        <v>4</v>
      </c>
      <c r="AE87">
        <v>764</v>
      </c>
      <c r="AF87">
        <v>1</v>
      </c>
      <c r="AH87" t="s">
        <v>6375</v>
      </c>
      <c r="AI87" t="s">
        <v>6374</v>
      </c>
      <c r="AJ87" t="s">
        <v>6373</v>
      </c>
      <c r="AK87" t="s">
        <v>6372</v>
      </c>
      <c r="AL87">
        <v>17</v>
      </c>
      <c r="AM87" s="5">
        <f t="shared" si="10"/>
        <v>0.44736842105263158</v>
      </c>
      <c r="AN87" s="4">
        <f t="shared" si="15"/>
        <v>6.7757428406305424E-4</v>
      </c>
      <c r="AO87" s="3"/>
      <c r="AP87">
        <v>0</v>
      </c>
      <c r="AQ87" t="s">
        <v>48</v>
      </c>
      <c r="AR87">
        <v>8211139</v>
      </c>
      <c r="AS87" t="s">
        <v>46</v>
      </c>
      <c r="AT87" s="2" t="s">
        <v>45</v>
      </c>
      <c r="AU87" s="1">
        <f t="shared" si="11"/>
        <v>2.9914171620527634</v>
      </c>
      <c r="AV87" s="1">
        <f t="shared" si="12"/>
        <v>2.156085809582347</v>
      </c>
      <c r="AW87" s="1">
        <f t="shared" si="13"/>
        <v>1.3207544571119303</v>
      </c>
    </row>
    <row r="88" spans="1:49" x14ac:dyDescent="0.2">
      <c r="A88">
        <v>86</v>
      </c>
      <c r="B88" t="s">
        <v>6371</v>
      </c>
      <c r="C88" t="s">
        <v>6370</v>
      </c>
      <c r="F88" t="s">
        <v>6369</v>
      </c>
      <c r="G88" t="s">
        <v>13</v>
      </c>
      <c r="H88" t="s">
        <v>12</v>
      </c>
      <c r="I88" t="s">
        <v>3814</v>
      </c>
      <c r="J88">
        <v>60028333</v>
      </c>
      <c r="K88" t="s">
        <v>6368</v>
      </c>
      <c r="L88" t="s">
        <v>6367</v>
      </c>
      <c r="M88" t="s">
        <v>85</v>
      </c>
      <c r="N88">
        <v>1</v>
      </c>
      <c r="O88" t="s">
        <v>3813</v>
      </c>
      <c r="P88">
        <v>7102344747</v>
      </c>
      <c r="Q88">
        <v>60028333</v>
      </c>
      <c r="R88" s="7">
        <v>30700</v>
      </c>
      <c r="S88" s="8">
        <f t="shared" si="8"/>
        <v>1984</v>
      </c>
      <c r="T88" s="8">
        <v>1984</v>
      </c>
      <c r="U88" s="8">
        <f t="shared" si="9"/>
        <v>38</v>
      </c>
      <c r="V88" s="7">
        <v>30700</v>
      </c>
      <c r="W88" t="s">
        <v>6337</v>
      </c>
      <c r="X88" s="2">
        <v>0.375</v>
      </c>
      <c r="Y88" s="6">
        <f t="shared" si="14"/>
        <v>1.0010410827260351E-2</v>
      </c>
      <c r="AA88">
        <v>135194</v>
      </c>
      <c r="AB88">
        <v>24918</v>
      </c>
      <c r="AD88" t="s">
        <v>4</v>
      </c>
      <c r="AE88">
        <v>20</v>
      </c>
      <c r="AF88">
        <v>2</v>
      </c>
      <c r="AH88" t="s">
        <v>6366</v>
      </c>
      <c r="AI88" t="s">
        <v>6365</v>
      </c>
      <c r="AJ88" t="s">
        <v>6364</v>
      </c>
      <c r="AK88" t="s">
        <v>6363</v>
      </c>
      <c r="AL88">
        <v>1</v>
      </c>
      <c r="AM88" s="5">
        <f t="shared" si="10"/>
        <v>2.6315789473684209E-2</v>
      </c>
      <c r="AN88" s="4">
        <f t="shared" si="15"/>
        <v>3.9857310827238481E-5</v>
      </c>
      <c r="AO88" s="3"/>
      <c r="AP88">
        <v>0</v>
      </c>
      <c r="AR88" t="s">
        <v>0</v>
      </c>
      <c r="AT88" s="2">
        <v>1.3140000000000001</v>
      </c>
      <c r="AU88" s="1">
        <f t="shared" si="11"/>
        <v>0.70192447723304174</v>
      </c>
      <c r="AV88" s="1">
        <f t="shared" si="12"/>
        <v>0.50251340690437951</v>
      </c>
      <c r="AW88" s="1">
        <f t="shared" si="13"/>
        <v>0.30310233657571722</v>
      </c>
    </row>
    <row r="89" spans="1:49" x14ac:dyDescent="0.2">
      <c r="A89">
        <v>87</v>
      </c>
      <c r="B89" t="s">
        <v>6362</v>
      </c>
      <c r="C89" t="s">
        <v>6361</v>
      </c>
      <c r="D89" t="s">
        <v>6360</v>
      </c>
      <c r="F89" t="s">
        <v>6359</v>
      </c>
      <c r="G89" t="s">
        <v>13</v>
      </c>
      <c r="H89" t="s">
        <v>12</v>
      </c>
      <c r="I89" t="s">
        <v>6358</v>
      </c>
      <c r="J89" t="s">
        <v>6357</v>
      </c>
      <c r="K89" t="s">
        <v>6356</v>
      </c>
      <c r="L89" t="s">
        <v>6355</v>
      </c>
      <c r="M89" t="s">
        <v>6354</v>
      </c>
      <c r="N89">
        <v>3</v>
      </c>
      <c r="O89" t="s">
        <v>6353</v>
      </c>
      <c r="P89" t="s">
        <v>6352</v>
      </c>
      <c r="Q89" t="s">
        <v>6351</v>
      </c>
      <c r="R89" s="7">
        <v>30690</v>
      </c>
      <c r="S89" s="8">
        <f t="shared" si="8"/>
        <v>1984</v>
      </c>
      <c r="T89" s="8">
        <v>1984</v>
      </c>
      <c r="U89" s="8">
        <f t="shared" si="9"/>
        <v>38</v>
      </c>
      <c r="V89" s="7">
        <v>30690</v>
      </c>
      <c r="W89" t="s">
        <v>6350</v>
      </c>
      <c r="X89" s="2">
        <v>1.593</v>
      </c>
      <c r="Y89" s="6">
        <f t="shared" si="14"/>
        <v>4.2524225194201973E-2</v>
      </c>
      <c r="AA89">
        <v>145793</v>
      </c>
      <c r="AB89">
        <v>17481</v>
      </c>
      <c r="AD89" t="s">
        <v>4</v>
      </c>
      <c r="AE89">
        <v>165</v>
      </c>
      <c r="AF89">
        <v>2</v>
      </c>
      <c r="AH89" t="s">
        <v>6349</v>
      </c>
      <c r="AI89" t="s">
        <v>6348</v>
      </c>
      <c r="AJ89" t="s">
        <v>6347</v>
      </c>
      <c r="AK89" t="s">
        <v>6346</v>
      </c>
      <c r="AL89">
        <v>12</v>
      </c>
      <c r="AM89" s="5">
        <f t="shared" si="10"/>
        <v>0.31578947368421051</v>
      </c>
      <c r="AN89" s="4">
        <f t="shared" si="15"/>
        <v>4.7828772992686183E-4</v>
      </c>
      <c r="AO89" s="3"/>
      <c r="AP89">
        <v>1</v>
      </c>
      <c r="AQ89" t="s">
        <v>6345</v>
      </c>
      <c r="AR89" t="s">
        <v>0</v>
      </c>
      <c r="AS89" t="s">
        <v>6344</v>
      </c>
      <c r="AT89" s="2">
        <v>4.1239999999999997</v>
      </c>
      <c r="AU89" s="1">
        <f t="shared" si="11"/>
        <v>2.9910443954919437</v>
      </c>
      <c r="AV89" s="1">
        <f t="shared" si="12"/>
        <v>2.1501256462064418</v>
      </c>
      <c r="AW89" s="1">
        <f t="shared" si="13"/>
        <v>1.3092068969209396</v>
      </c>
    </row>
    <row r="90" spans="1:49" x14ac:dyDescent="0.2">
      <c r="A90">
        <v>88</v>
      </c>
      <c r="B90" t="s">
        <v>6343</v>
      </c>
      <c r="C90" t="s">
        <v>6342</v>
      </c>
      <c r="F90" t="s">
        <v>6341</v>
      </c>
      <c r="G90" t="s">
        <v>13</v>
      </c>
      <c r="H90" t="s">
        <v>12</v>
      </c>
      <c r="I90" t="s">
        <v>6340</v>
      </c>
      <c r="J90">
        <v>60008435</v>
      </c>
      <c r="K90" t="s">
        <v>1386</v>
      </c>
      <c r="L90" t="s">
        <v>1385</v>
      </c>
      <c r="M90" t="s">
        <v>643</v>
      </c>
      <c r="N90">
        <v>3</v>
      </c>
      <c r="O90" t="s">
        <v>6339</v>
      </c>
      <c r="P90" t="s">
        <v>6338</v>
      </c>
      <c r="Q90" t="s">
        <v>1382</v>
      </c>
      <c r="R90" s="7">
        <v>30686</v>
      </c>
      <c r="S90" s="8">
        <f t="shared" si="8"/>
        <v>1984</v>
      </c>
      <c r="T90" s="8">
        <v>1984</v>
      </c>
      <c r="U90" s="8">
        <f t="shared" si="9"/>
        <v>38</v>
      </c>
      <c r="V90" s="7">
        <v>30686</v>
      </c>
      <c r="W90" t="s">
        <v>6337</v>
      </c>
      <c r="X90" s="2">
        <v>0.375</v>
      </c>
      <c r="Y90" s="6">
        <f t="shared" si="14"/>
        <v>1.0010410827260351E-2</v>
      </c>
      <c r="AA90">
        <v>135194</v>
      </c>
      <c r="AB90">
        <v>24918</v>
      </c>
      <c r="AD90" t="s">
        <v>4</v>
      </c>
      <c r="AE90">
        <v>20</v>
      </c>
      <c r="AF90">
        <v>1</v>
      </c>
      <c r="AH90" t="s">
        <v>6336</v>
      </c>
      <c r="AI90" t="s">
        <v>6335</v>
      </c>
      <c r="AJ90" t="s">
        <v>6334</v>
      </c>
      <c r="AK90" t="s">
        <v>6333</v>
      </c>
      <c r="AL90">
        <v>1</v>
      </c>
      <c r="AM90" s="5">
        <f t="shared" si="10"/>
        <v>2.6315789473684209E-2</v>
      </c>
      <c r="AN90" s="4">
        <f t="shared" si="15"/>
        <v>3.9857310827238481E-5</v>
      </c>
      <c r="AO90" s="3"/>
      <c r="AP90">
        <v>0</v>
      </c>
      <c r="AR90" t="s">
        <v>0</v>
      </c>
      <c r="AT90" s="2">
        <v>1.3140000000000001</v>
      </c>
      <c r="AU90" s="1">
        <f t="shared" si="11"/>
        <v>0.70192447723304174</v>
      </c>
      <c r="AV90" s="1">
        <f t="shared" si="12"/>
        <v>0.50251340690437951</v>
      </c>
      <c r="AW90" s="1">
        <f t="shared" si="13"/>
        <v>0.30310233657571722</v>
      </c>
    </row>
    <row r="91" spans="1:49" x14ac:dyDescent="0.2">
      <c r="A91">
        <v>89</v>
      </c>
      <c r="B91" t="s">
        <v>6332</v>
      </c>
      <c r="C91" t="s">
        <v>6331</v>
      </c>
      <c r="F91" t="s">
        <v>6330</v>
      </c>
      <c r="G91" t="s">
        <v>13</v>
      </c>
      <c r="H91" t="s">
        <v>12</v>
      </c>
      <c r="I91" t="s">
        <v>6329</v>
      </c>
      <c r="J91" t="s">
        <v>6328</v>
      </c>
      <c r="K91" t="s">
        <v>6327</v>
      </c>
      <c r="L91" t="s">
        <v>6326</v>
      </c>
      <c r="M91" t="s">
        <v>6325</v>
      </c>
      <c r="N91">
        <v>5</v>
      </c>
      <c r="O91" t="s">
        <v>6324</v>
      </c>
      <c r="P91" t="s">
        <v>6323</v>
      </c>
      <c r="Q91" t="s">
        <v>6322</v>
      </c>
      <c r="R91" s="7">
        <v>30682</v>
      </c>
      <c r="S91" s="8">
        <f t="shared" si="8"/>
        <v>1984</v>
      </c>
      <c r="T91" s="8">
        <v>1984</v>
      </c>
      <c r="U91" s="8">
        <f t="shared" si="9"/>
        <v>38</v>
      </c>
      <c r="V91" s="7">
        <v>30895</v>
      </c>
      <c r="W91" t="s">
        <v>691</v>
      </c>
      <c r="X91" s="2">
        <v>1.774</v>
      </c>
      <c r="Y91" s="6">
        <f t="shared" si="14"/>
        <v>4.7355916820159633E-2</v>
      </c>
      <c r="AA91">
        <v>295515</v>
      </c>
      <c r="AB91">
        <v>29066</v>
      </c>
      <c r="AC91">
        <v>17414326</v>
      </c>
      <c r="AD91" t="s">
        <v>4</v>
      </c>
      <c r="AE91">
        <v>24</v>
      </c>
      <c r="AF91">
        <v>8</v>
      </c>
      <c r="AH91" t="s">
        <v>6321</v>
      </c>
      <c r="AI91" t="s">
        <v>6320</v>
      </c>
      <c r="AK91" t="s">
        <v>6319</v>
      </c>
      <c r="AL91">
        <v>52</v>
      </c>
      <c r="AM91" s="5">
        <f t="shared" si="10"/>
        <v>1.368421052631579</v>
      </c>
      <c r="AN91" s="4">
        <f t="shared" si="15"/>
        <v>2.0725801630164012E-3</v>
      </c>
      <c r="AO91" s="3"/>
      <c r="AP91">
        <v>0</v>
      </c>
      <c r="AR91" t="s">
        <v>0</v>
      </c>
      <c r="AT91" s="2">
        <v>3.1789999999999998</v>
      </c>
      <c r="AU91" s="1">
        <f t="shared" si="11"/>
        <v>3.3770915823016661</v>
      </c>
      <c r="AV91" s="1">
        <f t="shared" si="12"/>
        <v>2.4714248491588018</v>
      </c>
      <c r="AW91" s="1">
        <f t="shared" si="13"/>
        <v>1.5657581160159368</v>
      </c>
    </row>
    <row r="92" spans="1:49" x14ac:dyDescent="0.2">
      <c r="A92">
        <v>90</v>
      </c>
      <c r="B92" t="s">
        <v>6318</v>
      </c>
      <c r="C92" t="s">
        <v>6317</v>
      </c>
      <c r="F92" t="s">
        <v>6316</v>
      </c>
      <c r="G92" t="s">
        <v>13</v>
      </c>
      <c r="H92" t="s">
        <v>12</v>
      </c>
      <c r="I92" t="s">
        <v>6315</v>
      </c>
      <c r="J92">
        <v>60028186</v>
      </c>
      <c r="K92" t="s">
        <v>1261</v>
      </c>
      <c r="L92" t="s">
        <v>1260</v>
      </c>
      <c r="M92" t="s">
        <v>1259</v>
      </c>
      <c r="N92">
        <v>3</v>
      </c>
      <c r="O92" t="s">
        <v>6314</v>
      </c>
      <c r="P92" t="s">
        <v>6313</v>
      </c>
      <c r="Q92" t="s">
        <v>1256</v>
      </c>
      <c r="R92" s="7">
        <v>30682</v>
      </c>
      <c r="S92" s="8">
        <f t="shared" si="8"/>
        <v>1984</v>
      </c>
      <c r="T92" s="8">
        <v>1984</v>
      </c>
      <c r="U92" s="8">
        <f t="shared" si="9"/>
        <v>38</v>
      </c>
      <c r="V92" s="7">
        <v>31017</v>
      </c>
      <c r="W92" t="s">
        <v>691</v>
      </c>
      <c r="X92" s="2">
        <v>1.774</v>
      </c>
      <c r="Y92" s="6">
        <f t="shared" si="14"/>
        <v>4.7355916820159633E-2</v>
      </c>
      <c r="AA92">
        <v>295515</v>
      </c>
      <c r="AB92">
        <v>29066</v>
      </c>
      <c r="AC92">
        <v>17414326</v>
      </c>
      <c r="AD92" t="s">
        <v>4</v>
      </c>
      <c r="AE92">
        <v>24</v>
      </c>
      <c r="AF92">
        <v>12</v>
      </c>
      <c r="AH92" t="s">
        <v>6312</v>
      </c>
      <c r="AI92" t="s">
        <v>6311</v>
      </c>
      <c r="AK92" t="s">
        <v>6310</v>
      </c>
      <c r="AL92">
        <v>7</v>
      </c>
      <c r="AM92" s="5">
        <f t="shared" si="10"/>
        <v>0.18421052631578946</v>
      </c>
      <c r="AN92" s="4">
        <f t="shared" si="15"/>
        <v>2.7900117579066937E-4</v>
      </c>
      <c r="AO92" s="3"/>
      <c r="AP92">
        <v>0</v>
      </c>
      <c r="AR92" t="s">
        <v>0</v>
      </c>
      <c r="AT92" s="2">
        <v>3.1789999999999998</v>
      </c>
      <c r="AU92" s="1">
        <f t="shared" si="11"/>
        <v>3.3232842126848938</v>
      </c>
      <c r="AV92" s="1">
        <f t="shared" si="12"/>
        <v>2.3817458997975152</v>
      </c>
      <c r="AW92" s="1">
        <f t="shared" si="13"/>
        <v>1.4402075869101356</v>
      </c>
    </row>
    <row r="93" spans="1:49" x14ac:dyDescent="0.2">
      <c r="A93">
        <v>91</v>
      </c>
      <c r="B93" t="s">
        <v>6309</v>
      </c>
      <c r="C93" t="s">
        <v>6308</v>
      </c>
      <c r="F93" t="s">
        <v>6307</v>
      </c>
      <c r="G93" t="s">
        <v>13</v>
      </c>
      <c r="H93" t="s">
        <v>12</v>
      </c>
      <c r="I93" t="s">
        <v>6306</v>
      </c>
      <c r="J93">
        <v>60011001</v>
      </c>
      <c r="K93" t="s">
        <v>6305</v>
      </c>
      <c r="L93" t="s">
        <v>6304</v>
      </c>
      <c r="M93" t="s">
        <v>643</v>
      </c>
      <c r="N93">
        <v>16</v>
      </c>
      <c r="O93" t="s">
        <v>6303</v>
      </c>
      <c r="P93" t="s">
        <v>6302</v>
      </c>
      <c r="Q93" t="s">
        <v>6301</v>
      </c>
      <c r="R93" s="7">
        <v>30682</v>
      </c>
      <c r="S93" s="8">
        <f t="shared" si="8"/>
        <v>1984</v>
      </c>
      <c r="T93" s="8">
        <v>1984</v>
      </c>
      <c r="U93" s="8">
        <f t="shared" si="9"/>
        <v>38</v>
      </c>
      <c r="V93" s="7">
        <v>30895</v>
      </c>
      <c r="W93" t="s">
        <v>691</v>
      </c>
      <c r="X93" s="2">
        <v>1.774</v>
      </c>
      <c r="Y93" s="6">
        <f t="shared" si="14"/>
        <v>4.7355916820159633E-2</v>
      </c>
      <c r="AA93">
        <v>295515</v>
      </c>
      <c r="AB93">
        <v>29066</v>
      </c>
      <c r="AC93">
        <v>17414326</v>
      </c>
      <c r="AD93" t="s">
        <v>4</v>
      </c>
      <c r="AE93">
        <v>24</v>
      </c>
      <c r="AF93">
        <v>8</v>
      </c>
      <c r="AH93" t="s">
        <v>6300</v>
      </c>
      <c r="AI93" t="s">
        <v>6299</v>
      </c>
      <c r="AK93" t="s">
        <v>6298</v>
      </c>
      <c r="AL93">
        <v>32</v>
      </c>
      <c r="AM93" s="5">
        <f t="shared" si="10"/>
        <v>0.84210526315789469</v>
      </c>
      <c r="AN93" s="4">
        <f t="shared" si="15"/>
        <v>1.2754339464716314E-3</v>
      </c>
      <c r="AO93" s="3"/>
      <c r="AP93">
        <v>0</v>
      </c>
      <c r="AR93" t="s">
        <v>0</v>
      </c>
      <c r="AT93" s="2">
        <v>3.1789999999999998</v>
      </c>
      <c r="AU93" s="1">
        <f t="shared" si="11"/>
        <v>3.3531771958053227</v>
      </c>
      <c r="AV93" s="1">
        <f t="shared" si="12"/>
        <v>2.4315675383315631</v>
      </c>
      <c r="AW93" s="1">
        <f t="shared" si="13"/>
        <v>1.5099578808578031</v>
      </c>
    </row>
    <row r="94" spans="1:49" x14ac:dyDescent="0.2">
      <c r="A94">
        <v>92</v>
      </c>
      <c r="B94" t="s">
        <v>6297</v>
      </c>
      <c r="F94" t="s">
        <v>6296</v>
      </c>
      <c r="G94" t="s">
        <v>13</v>
      </c>
      <c r="H94" t="s">
        <v>12</v>
      </c>
      <c r="R94" s="7">
        <v>30682</v>
      </c>
      <c r="S94" s="8">
        <f t="shared" si="8"/>
        <v>1984</v>
      </c>
      <c r="T94" s="8">
        <v>1984</v>
      </c>
      <c r="U94" s="8">
        <f t="shared" si="9"/>
        <v>38</v>
      </c>
      <c r="V94" s="7">
        <v>1984</v>
      </c>
      <c r="W94" t="s">
        <v>6295</v>
      </c>
      <c r="X94" s="2" t="s">
        <v>45</v>
      </c>
      <c r="Y94" s="6" t="e">
        <f t="shared" si="14"/>
        <v>#VALUE!</v>
      </c>
      <c r="AA94">
        <v>2644835</v>
      </c>
      <c r="AB94">
        <v>24974</v>
      </c>
      <c r="AD94" t="s">
        <v>4</v>
      </c>
      <c r="AE94">
        <v>11</v>
      </c>
      <c r="AF94" t="s">
        <v>6294</v>
      </c>
      <c r="AI94" t="s">
        <v>6293</v>
      </c>
      <c r="AK94" t="s">
        <v>6292</v>
      </c>
      <c r="AL94">
        <v>0</v>
      </c>
      <c r="AM94" s="5">
        <f t="shared" si="10"/>
        <v>0</v>
      </c>
      <c r="AN94" s="4">
        <f t="shared" si="15"/>
        <v>0</v>
      </c>
      <c r="AO94" s="3"/>
      <c r="AP94">
        <v>0</v>
      </c>
      <c r="AR94" t="s">
        <v>0</v>
      </c>
      <c r="AT94" s="2" t="s">
        <v>45</v>
      </c>
      <c r="AU94" s="1" t="e">
        <f t="shared" si="11"/>
        <v>#VALUE!</v>
      </c>
      <c r="AV94" s="1" t="e">
        <f t="shared" si="12"/>
        <v>#VALUE!</v>
      </c>
      <c r="AW94" s="1" t="e">
        <f t="shared" si="13"/>
        <v>#VALUE!</v>
      </c>
    </row>
    <row r="95" spans="1:49" x14ac:dyDescent="0.2">
      <c r="A95">
        <v>93</v>
      </c>
      <c r="B95" t="s">
        <v>6291</v>
      </c>
      <c r="F95" t="s">
        <v>6290</v>
      </c>
      <c r="G95" t="s">
        <v>13</v>
      </c>
      <c r="H95" t="s">
        <v>12</v>
      </c>
      <c r="I95" t="s">
        <v>6289</v>
      </c>
      <c r="N95">
        <v>5</v>
      </c>
      <c r="O95" t="s">
        <v>6288</v>
      </c>
      <c r="P95" t="s">
        <v>6287</v>
      </c>
      <c r="Q95" t="s">
        <v>498</v>
      </c>
      <c r="R95" s="7">
        <v>30682</v>
      </c>
      <c r="S95" s="8">
        <f t="shared" si="8"/>
        <v>1984</v>
      </c>
      <c r="T95" s="8">
        <v>1984</v>
      </c>
      <c r="U95" s="8">
        <f t="shared" si="9"/>
        <v>38</v>
      </c>
      <c r="V95" s="7">
        <v>1984</v>
      </c>
      <c r="W95" t="s">
        <v>6250</v>
      </c>
      <c r="X95" s="2" t="s">
        <v>45</v>
      </c>
      <c r="Y95" s="6" t="e">
        <f t="shared" si="14"/>
        <v>#VALUE!</v>
      </c>
      <c r="AA95">
        <v>4999320</v>
      </c>
      <c r="AB95">
        <v>13083</v>
      </c>
      <c r="AD95" t="s">
        <v>4</v>
      </c>
      <c r="AI95" t="s">
        <v>6286</v>
      </c>
      <c r="AK95" t="s">
        <v>6285</v>
      </c>
      <c r="AL95">
        <v>0</v>
      </c>
      <c r="AM95" s="5">
        <f t="shared" si="10"/>
        <v>0</v>
      </c>
      <c r="AN95" s="4">
        <f t="shared" si="15"/>
        <v>0</v>
      </c>
      <c r="AO95" s="3"/>
      <c r="AP95">
        <v>0</v>
      </c>
      <c r="AR95" t="s">
        <v>0</v>
      </c>
      <c r="AT95" s="2" t="s">
        <v>45</v>
      </c>
      <c r="AU95" s="1" t="e">
        <f t="shared" si="11"/>
        <v>#VALUE!</v>
      </c>
      <c r="AV95" s="1" t="e">
        <f t="shared" si="12"/>
        <v>#VALUE!</v>
      </c>
      <c r="AW95" s="1" t="e">
        <f t="shared" si="13"/>
        <v>#VALUE!</v>
      </c>
    </row>
    <row r="96" spans="1:49" x14ac:dyDescent="0.2">
      <c r="A96">
        <v>94</v>
      </c>
      <c r="B96" t="s">
        <v>6284</v>
      </c>
      <c r="F96" t="s">
        <v>6283</v>
      </c>
      <c r="G96" t="s">
        <v>13</v>
      </c>
      <c r="H96" t="s">
        <v>12</v>
      </c>
      <c r="I96" t="s">
        <v>2014</v>
      </c>
      <c r="N96">
        <v>2</v>
      </c>
      <c r="O96" t="s">
        <v>6282</v>
      </c>
      <c r="P96" t="s">
        <v>6281</v>
      </c>
      <c r="Q96" t="s">
        <v>266</v>
      </c>
      <c r="R96" s="7">
        <v>30682</v>
      </c>
      <c r="S96" s="8">
        <f t="shared" si="8"/>
        <v>1984</v>
      </c>
      <c r="T96" s="8">
        <v>1984</v>
      </c>
      <c r="U96" s="8">
        <f t="shared" si="9"/>
        <v>38</v>
      </c>
      <c r="V96" s="7" t="s">
        <v>1466</v>
      </c>
      <c r="W96" t="s">
        <v>6267</v>
      </c>
      <c r="X96" s="2" t="s">
        <v>45</v>
      </c>
      <c r="Y96" s="6" t="e">
        <f t="shared" si="14"/>
        <v>#VALUE!</v>
      </c>
      <c r="AA96">
        <v>1488341</v>
      </c>
      <c r="AB96">
        <v>29778</v>
      </c>
      <c r="AD96" t="s">
        <v>4</v>
      </c>
      <c r="AI96" t="s">
        <v>6280</v>
      </c>
      <c r="AK96" t="s">
        <v>6279</v>
      </c>
      <c r="AL96">
        <v>6</v>
      </c>
      <c r="AM96" s="5">
        <f t="shared" si="10"/>
        <v>0.15789473684210525</v>
      </c>
      <c r="AN96" s="4">
        <f t="shared" si="15"/>
        <v>2.3914386496343091E-4</v>
      </c>
      <c r="AO96" s="3"/>
      <c r="AP96">
        <v>0</v>
      </c>
      <c r="AR96" t="s">
        <v>0</v>
      </c>
      <c r="AT96" s="2" t="s">
        <v>45</v>
      </c>
      <c r="AU96" s="1" t="e">
        <f t="shared" si="11"/>
        <v>#VALUE!</v>
      </c>
      <c r="AV96" s="1" t="e">
        <f t="shared" si="12"/>
        <v>#VALUE!</v>
      </c>
      <c r="AW96" s="1" t="e">
        <f t="shared" si="13"/>
        <v>#VALUE!</v>
      </c>
    </row>
    <row r="97" spans="1:49" x14ac:dyDescent="0.2">
      <c r="A97">
        <v>95</v>
      </c>
      <c r="B97" t="s">
        <v>6278</v>
      </c>
      <c r="F97" t="s">
        <v>6277</v>
      </c>
      <c r="G97" t="s">
        <v>13</v>
      </c>
      <c r="H97" t="s">
        <v>12</v>
      </c>
      <c r="I97" t="s">
        <v>6276</v>
      </c>
      <c r="N97">
        <v>1</v>
      </c>
      <c r="O97" t="s">
        <v>6275</v>
      </c>
      <c r="P97">
        <v>56796306100</v>
      </c>
      <c r="R97" s="7">
        <v>30682</v>
      </c>
      <c r="S97" s="8">
        <f t="shared" si="8"/>
        <v>1984</v>
      </c>
      <c r="T97" s="8">
        <v>1984</v>
      </c>
      <c r="U97" s="8">
        <f t="shared" si="9"/>
        <v>38</v>
      </c>
      <c r="V97" s="7" t="s">
        <v>1147</v>
      </c>
      <c r="W97" t="s">
        <v>6250</v>
      </c>
      <c r="X97" s="2" t="s">
        <v>45</v>
      </c>
      <c r="Y97" s="6" t="e">
        <f t="shared" si="14"/>
        <v>#VALUE!</v>
      </c>
      <c r="AA97">
        <v>4999320</v>
      </c>
      <c r="AB97">
        <v>13083</v>
      </c>
      <c r="AD97" t="s">
        <v>4</v>
      </c>
      <c r="AI97" t="s">
        <v>6274</v>
      </c>
      <c r="AK97" t="s">
        <v>6273</v>
      </c>
      <c r="AL97">
        <v>0</v>
      </c>
      <c r="AM97" s="5">
        <f t="shared" si="10"/>
        <v>0</v>
      </c>
      <c r="AN97" s="4">
        <f t="shared" si="15"/>
        <v>0</v>
      </c>
      <c r="AO97" s="3"/>
      <c r="AP97">
        <v>0</v>
      </c>
      <c r="AR97" t="s">
        <v>0</v>
      </c>
      <c r="AT97" s="2" t="s">
        <v>45</v>
      </c>
      <c r="AU97" s="1" t="e">
        <f t="shared" si="11"/>
        <v>#VALUE!</v>
      </c>
      <c r="AV97" s="1" t="e">
        <f t="shared" si="12"/>
        <v>#VALUE!</v>
      </c>
      <c r="AW97" s="1" t="e">
        <f t="shared" si="13"/>
        <v>#VALUE!</v>
      </c>
    </row>
    <row r="98" spans="1:49" x14ac:dyDescent="0.2">
      <c r="A98">
        <v>96</v>
      </c>
      <c r="B98" t="s">
        <v>6272</v>
      </c>
      <c r="F98" t="s">
        <v>6271</v>
      </c>
      <c r="G98" t="s">
        <v>13</v>
      </c>
      <c r="H98" t="s">
        <v>12</v>
      </c>
      <c r="I98" t="s">
        <v>6270</v>
      </c>
      <c r="N98">
        <v>3</v>
      </c>
      <c r="O98" t="s">
        <v>6269</v>
      </c>
      <c r="P98" t="s">
        <v>6268</v>
      </c>
      <c r="Q98" t="s">
        <v>8</v>
      </c>
      <c r="R98" s="7">
        <v>30682</v>
      </c>
      <c r="S98" s="8">
        <f t="shared" si="8"/>
        <v>1984</v>
      </c>
      <c r="T98" s="8">
        <v>1984</v>
      </c>
      <c r="U98" s="8">
        <f t="shared" si="9"/>
        <v>38</v>
      </c>
      <c r="V98" s="7" t="s">
        <v>2252</v>
      </c>
      <c r="W98" t="s">
        <v>6267</v>
      </c>
      <c r="X98" s="2" t="s">
        <v>45</v>
      </c>
      <c r="Y98" s="6" t="e">
        <f t="shared" si="14"/>
        <v>#VALUE!</v>
      </c>
      <c r="AA98">
        <v>1488341</v>
      </c>
      <c r="AB98">
        <v>29778</v>
      </c>
      <c r="AD98" t="s">
        <v>4</v>
      </c>
      <c r="AI98" t="s">
        <v>6266</v>
      </c>
      <c r="AK98" t="s">
        <v>6265</v>
      </c>
      <c r="AL98">
        <v>0</v>
      </c>
      <c r="AM98" s="5">
        <f t="shared" si="10"/>
        <v>0</v>
      </c>
      <c r="AN98" s="4">
        <f t="shared" si="15"/>
        <v>0</v>
      </c>
      <c r="AO98" s="3"/>
      <c r="AP98">
        <v>0</v>
      </c>
      <c r="AR98" t="s">
        <v>0</v>
      </c>
      <c r="AT98" s="2" t="s">
        <v>45</v>
      </c>
      <c r="AU98" s="1" t="e">
        <f t="shared" si="11"/>
        <v>#VALUE!</v>
      </c>
      <c r="AV98" s="1" t="e">
        <f t="shared" si="12"/>
        <v>#VALUE!</v>
      </c>
      <c r="AW98" s="1" t="e">
        <f t="shared" si="13"/>
        <v>#VALUE!</v>
      </c>
    </row>
    <row r="99" spans="1:49" x14ac:dyDescent="0.2">
      <c r="A99">
        <v>97</v>
      </c>
      <c r="B99" t="s">
        <v>6264</v>
      </c>
      <c r="F99" t="s">
        <v>6263</v>
      </c>
      <c r="G99" t="s">
        <v>13</v>
      </c>
      <c r="H99" t="s">
        <v>12</v>
      </c>
      <c r="I99" t="s">
        <v>6262</v>
      </c>
      <c r="N99">
        <v>15</v>
      </c>
      <c r="O99" t="s">
        <v>6261</v>
      </c>
      <c r="P99" t="s">
        <v>6260</v>
      </c>
      <c r="Q99" t="s">
        <v>6259</v>
      </c>
      <c r="R99" s="7">
        <v>30682</v>
      </c>
      <c r="S99" s="8">
        <f t="shared" si="8"/>
        <v>1984</v>
      </c>
      <c r="T99" s="8">
        <v>1984</v>
      </c>
      <c r="U99" s="8">
        <f t="shared" si="9"/>
        <v>38</v>
      </c>
      <c r="V99" s="7">
        <v>43831</v>
      </c>
      <c r="W99" t="s">
        <v>6258</v>
      </c>
      <c r="X99" s="2" t="s">
        <v>45</v>
      </c>
      <c r="Y99" s="6" t="e">
        <f t="shared" si="14"/>
        <v>#VALUE!</v>
      </c>
      <c r="AB99">
        <v>56508</v>
      </c>
      <c r="AD99" t="s">
        <v>4</v>
      </c>
      <c r="AI99" t="s">
        <v>6257</v>
      </c>
      <c r="AK99" t="s">
        <v>6256</v>
      </c>
      <c r="AL99">
        <v>0</v>
      </c>
      <c r="AM99" s="5">
        <f t="shared" si="10"/>
        <v>0</v>
      </c>
      <c r="AN99" s="4">
        <f t="shared" si="15"/>
        <v>0</v>
      </c>
      <c r="AO99" s="3"/>
      <c r="AP99">
        <v>0</v>
      </c>
      <c r="AR99" t="s">
        <v>0</v>
      </c>
      <c r="AT99" s="2" t="s">
        <v>45</v>
      </c>
      <c r="AU99" s="1" t="e">
        <f t="shared" si="11"/>
        <v>#VALUE!</v>
      </c>
      <c r="AV99" s="1" t="e">
        <f t="shared" si="12"/>
        <v>#VALUE!</v>
      </c>
      <c r="AW99" s="1" t="e">
        <f t="shared" si="13"/>
        <v>#VALUE!</v>
      </c>
    </row>
    <row r="100" spans="1:49" x14ac:dyDescent="0.2">
      <c r="A100">
        <v>98</v>
      </c>
      <c r="B100" t="s">
        <v>6255</v>
      </c>
      <c r="F100" t="s">
        <v>6254</v>
      </c>
      <c r="G100" t="s">
        <v>13</v>
      </c>
      <c r="H100" t="s">
        <v>12</v>
      </c>
      <c r="I100" t="s">
        <v>6253</v>
      </c>
      <c r="N100">
        <v>2</v>
      </c>
      <c r="O100" t="s">
        <v>6252</v>
      </c>
      <c r="P100" t="s">
        <v>6251</v>
      </c>
      <c r="Q100" t="s">
        <v>266</v>
      </c>
      <c r="R100" s="7">
        <v>30682</v>
      </c>
      <c r="S100" s="8">
        <f t="shared" si="8"/>
        <v>1984</v>
      </c>
      <c r="T100" s="8">
        <v>1984</v>
      </c>
      <c r="U100" s="8">
        <f t="shared" si="9"/>
        <v>38</v>
      </c>
      <c r="V100" s="7" t="s">
        <v>1466</v>
      </c>
      <c r="W100" t="s">
        <v>6250</v>
      </c>
      <c r="X100" s="2" t="s">
        <v>45</v>
      </c>
      <c r="Y100" s="6" t="e">
        <f t="shared" si="14"/>
        <v>#VALUE!</v>
      </c>
      <c r="AA100">
        <v>4999320</v>
      </c>
      <c r="AB100">
        <v>13083</v>
      </c>
      <c r="AD100" t="s">
        <v>4</v>
      </c>
      <c r="AI100" t="s">
        <v>6249</v>
      </c>
      <c r="AK100" t="s">
        <v>6248</v>
      </c>
      <c r="AL100">
        <v>1</v>
      </c>
      <c r="AM100" s="5">
        <f t="shared" si="10"/>
        <v>2.6315789473684209E-2</v>
      </c>
      <c r="AN100" s="4">
        <f t="shared" si="15"/>
        <v>3.9857310827238481E-5</v>
      </c>
      <c r="AO100" s="3"/>
      <c r="AP100">
        <v>0</v>
      </c>
      <c r="AR100" t="s">
        <v>0</v>
      </c>
      <c r="AT100" s="2" t="s">
        <v>45</v>
      </c>
      <c r="AU100" s="1" t="e">
        <f t="shared" si="11"/>
        <v>#VALUE!</v>
      </c>
      <c r="AV100" s="1" t="e">
        <f t="shared" si="12"/>
        <v>#VALUE!</v>
      </c>
      <c r="AW100" s="1" t="e">
        <f t="shared" si="13"/>
        <v>#VALUE!</v>
      </c>
    </row>
    <row r="101" spans="1:49" x14ac:dyDescent="0.2">
      <c r="A101">
        <v>99</v>
      </c>
      <c r="B101" t="s">
        <v>6247</v>
      </c>
      <c r="F101" t="s">
        <v>6246</v>
      </c>
      <c r="G101" t="s">
        <v>13</v>
      </c>
      <c r="H101" t="s">
        <v>12</v>
      </c>
      <c r="I101" t="s">
        <v>6245</v>
      </c>
      <c r="N101">
        <v>3</v>
      </c>
      <c r="O101" t="s">
        <v>6244</v>
      </c>
      <c r="P101" t="s">
        <v>6243</v>
      </c>
      <c r="Q101" t="s">
        <v>8</v>
      </c>
      <c r="R101" s="7">
        <v>30682</v>
      </c>
      <c r="S101" s="8">
        <f t="shared" si="8"/>
        <v>1984</v>
      </c>
      <c r="T101" s="8">
        <v>1984</v>
      </c>
      <c r="U101" s="8">
        <f t="shared" si="9"/>
        <v>38</v>
      </c>
      <c r="V101" s="7" t="s">
        <v>534</v>
      </c>
      <c r="W101" t="s">
        <v>6242</v>
      </c>
      <c r="X101" s="2" t="s">
        <v>45</v>
      </c>
      <c r="Y101" s="6" t="e">
        <f t="shared" si="14"/>
        <v>#VALUE!</v>
      </c>
      <c r="AA101">
        <v>5657059</v>
      </c>
      <c r="AB101">
        <v>21068</v>
      </c>
      <c r="AD101" t="s">
        <v>4</v>
      </c>
      <c r="AI101" t="s">
        <v>6241</v>
      </c>
      <c r="AK101" t="s">
        <v>6240</v>
      </c>
      <c r="AL101">
        <v>0</v>
      </c>
      <c r="AM101" s="5">
        <f t="shared" si="10"/>
        <v>0</v>
      </c>
      <c r="AN101" s="4">
        <f t="shared" si="15"/>
        <v>0</v>
      </c>
      <c r="AO101" s="3"/>
      <c r="AP101">
        <v>0</v>
      </c>
      <c r="AR101" t="s">
        <v>0</v>
      </c>
      <c r="AT101" s="2" t="s">
        <v>45</v>
      </c>
      <c r="AU101" s="1" t="e">
        <f t="shared" si="11"/>
        <v>#VALUE!</v>
      </c>
      <c r="AV101" s="1" t="e">
        <f t="shared" si="12"/>
        <v>#VALUE!</v>
      </c>
      <c r="AW101" s="1" t="e">
        <f t="shared" si="13"/>
        <v>#VALUE!</v>
      </c>
    </row>
    <row r="102" spans="1:49" x14ac:dyDescent="0.2">
      <c r="A102">
        <v>100</v>
      </c>
      <c r="B102" t="s">
        <v>6239</v>
      </c>
      <c r="C102" t="s">
        <v>6238</v>
      </c>
      <c r="F102" t="s">
        <v>6237</v>
      </c>
      <c r="G102" t="s">
        <v>13</v>
      </c>
      <c r="H102" t="s">
        <v>12</v>
      </c>
      <c r="I102" t="s">
        <v>6236</v>
      </c>
      <c r="J102">
        <v>60005980</v>
      </c>
      <c r="K102" t="s">
        <v>5580</v>
      </c>
      <c r="L102" t="s">
        <v>5579</v>
      </c>
      <c r="M102" t="s">
        <v>1160</v>
      </c>
      <c r="N102">
        <v>1</v>
      </c>
      <c r="O102" t="s">
        <v>6235</v>
      </c>
      <c r="P102">
        <v>7005170280</v>
      </c>
      <c r="Q102">
        <v>60005980</v>
      </c>
      <c r="R102" s="7">
        <v>30682</v>
      </c>
      <c r="S102" s="8">
        <f t="shared" si="8"/>
        <v>1984</v>
      </c>
      <c r="T102" s="8">
        <v>1984</v>
      </c>
      <c r="U102" s="8">
        <f t="shared" si="9"/>
        <v>38</v>
      </c>
      <c r="V102" s="7">
        <v>30682</v>
      </c>
      <c r="W102" t="s">
        <v>6060</v>
      </c>
      <c r="X102" s="2">
        <v>1.552</v>
      </c>
      <c r="Y102" s="6">
        <f t="shared" si="14"/>
        <v>4.1429753610421505E-2</v>
      </c>
      <c r="AA102">
        <v>3076970</v>
      </c>
      <c r="AB102">
        <v>21594</v>
      </c>
      <c r="AC102">
        <v>13653113</v>
      </c>
      <c r="AD102" t="s">
        <v>4</v>
      </c>
      <c r="AE102">
        <v>9</v>
      </c>
      <c r="AF102">
        <v>1</v>
      </c>
      <c r="AH102" t="s">
        <v>6234</v>
      </c>
      <c r="AI102" t="s">
        <v>6233</v>
      </c>
      <c r="AK102" t="s">
        <v>6232</v>
      </c>
      <c r="AL102">
        <v>19</v>
      </c>
      <c r="AM102" s="5">
        <f t="shared" si="10"/>
        <v>0.5</v>
      </c>
      <c r="AN102" s="4">
        <f t="shared" si="15"/>
        <v>7.572889057175312E-4</v>
      </c>
      <c r="AO102" s="3"/>
      <c r="AP102">
        <v>0</v>
      </c>
      <c r="AR102" t="s">
        <v>0</v>
      </c>
      <c r="AT102" s="2">
        <v>3.8439999999999999</v>
      </c>
      <c r="AU102" s="1">
        <f t="shared" si="11"/>
        <v>2.922801419901031</v>
      </c>
      <c r="AV102" s="1">
        <f t="shared" si="12"/>
        <v>2.1093521258069519</v>
      </c>
      <c r="AW102" s="1">
        <f t="shared" si="13"/>
        <v>1.2959028317128722</v>
      </c>
    </row>
    <row r="103" spans="1:49" x14ac:dyDescent="0.2">
      <c r="A103">
        <v>101</v>
      </c>
      <c r="B103" t="s">
        <v>6231</v>
      </c>
      <c r="C103" t="s">
        <v>6230</v>
      </c>
      <c r="F103" t="s">
        <v>6229</v>
      </c>
      <c r="G103" t="s">
        <v>13</v>
      </c>
      <c r="H103" t="s">
        <v>12</v>
      </c>
      <c r="I103" t="s">
        <v>5270</v>
      </c>
      <c r="J103">
        <v>60009037</v>
      </c>
      <c r="K103" t="s">
        <v>592</v>
      </c>
      <c r="L103" t="s">
        <v>591</v>
      </c>
      <c r="M103" t="s">
        <v>56</v>
      </c>
      <c r="N103">
        <v>1</v>
      </c>
      <c r="O103" t="s">
        <v>5269</v>
      </c>
      <c r="P103">
        <v>7006218843</v>
      </c>
      <c r="Q103">
        <v>60009037</v>
      </c>
      <c r="R103" s="7">
        <v>30682</v>
      </c>
      <c r="S103" s="8">
        <f t="shared" si="8"/>
        <v>1984</v>
      </c>
      <c r="T103" s="8">
        <v>1984</v>
      </c>
      <c r="U103" s="8">
        <f t="shared" si="9"/>
        <v>38</v>
      </c>
      <c r="V103" s="7">
        <v>31017</v>
      </c>
      <c r="W103" t="s">
        <v>5268</v>
      </c>
      <c r="X103" s="2">
        <v>0.52800000000000002</v>
      </c>
      <c r="Y103" s="6">
        <f t="shared" si="14"/>
        <v>1.4094658444782575E-2</v>
      </c>
      <c r="AA103">
        <v>220434</v>
      </c>
      <c r="AB103">
        <v>21141</v>
      </c>
      <c r="AC103">
        <v>15289028</v>
      </c>
      <c r="AD103" t="s">
        <v>4</v>
      </c>
      <c r="AE103">
        <v>106</v>
      </c>
      <c r="AF103">
        <v>4</v>
      </c>
      <c r="AH103" t="s">
        <v>6228</v>
      </c>
      <c r="AI103" t="s">
        <v>6227</v>
      </c>
      <c r="AK103" t="s">
        <v>6226</v>
      </c>
      <c r="AL103">
        <v>6</v>
      </c>
      <c r="AM103" s="5">
        <f t="shared" si="10"/>
        <v>0.15789473684210525</v>
      </c>
      <c r="AN103" s="4">
        <f t="shared" si="15"/>
        <v>2.3914386496343091E-4</v>
      </c>
      <c r="AO103" s="3"/>
      <c r="AP103">
        <v>0</v>
      </c>
      <c r="AR103" t="s">
        <v>0</v>
      </c>
      <c r="AT103" s="2" t="s">
        <v>45</v>
      </c>
      <c r="AU103" s="1">
        <f t="shared" si="11"/>
        <v>0.993800407083683</v>
      </c>
      <c r="AV103" s="1">
        <f t="shared" si="12"/>
        <v>0.71669011548730033</v>
      </c>
      <c r="AW103" s="1">
        <f t="shared" si="13"/>
        <v>0.43957982389091738</v>
      </c>
    </row>
    <row r="104" spans="1:49" x14ac:dyDescent="0.2">
      <c r="A104">
        <v>102</v>
      </c>
      <c r="B104" t="s">
        <v>6225</v>
      </c>
      <c r="C104" t="s">
        <v>6224</v>
      </c>
      <c r="F104" t="s">
        <v>6223</v>
      </c>
      <c r="G104" t="s">
        <v>13</v>
      </c>
      <c r="H104" t="s">
        <v>12</v>
      </c>
      <c r="I104" t="s">
        <v>6222</v>
      </c>
      <c r="J104" t="s">
        <v>6176</v>
      </c>
      <c r="K104" t="s">
        <v>6175</v>
      </c>
      <c r="L104" t="s">
        <v>6174</v>
      </c>
      <c r="M104" t="s">
        <v>2076</v>
      </c>
      <c r="N104">
        <v>6</v>
      </c>
      <c r="O104" t="s">
        <v>6221</v>
      </c>
      <c r="P104" t="s">
        <v>6220</v>
      </c>
      <c r="Q104" t="s">
        <v>6219</v>
      </c>
      <c r="R104" s="7">
        <v>30682</v>
      </c>
      <c r="S104" s="8">
        <f t="shared" si="8"/>
        <v>1984</v>
      </c>
      <c r="T104" s="8">
        <v>1984</v>
      </c>
      <c r="U104" s="8">
        <f t="shared" si="9"/>
        <v>38</v>
      </c>
      <c r="V104" s="7">
        <v>1984</v>
      </c>
      <c r="W104" t="s">
        <v>6218</v>
      </c>
      <c r="X104" s="2" t="s">
        <v>45</v>
      </c>
      <c r="Y104" s="6" t="e">
        <f t="shared" si="14"/>
        <v>#VALUE!</v>
      </c>
      <c r="AA104">
        <v>3694577</v>
      </c>
      <c r="AB104">
        <v>21407</v>
      </c>
      <c r="AD104" t="s">
        <v>4</v>
      </c>
      <c r="AE104">
        <v>1984</v>
      </c>
      <c r="AF104">
        <v>1</v>
      </c>
      <c r="AH104" t="s">
        <v>6217</v>
      </c>
      <c r="AI104" t="s">
        <v>6216</v>
      </c>
      <c r="AK104" t="s">
        <v>6215</v>
      </c>
      <c r="AL104">
        <v>0</v>
      </c>
      <c r="AM104" s="5">
        <f t="shared" si="10"/>
        <v>0</v>
      </c>
      <c r="AN104" s="4">
        <f t="shared" si="15"/>
        <v>0</v>
      </c>
      <c r="AO104" s="3"/>
      <c r="AP104">
        <v>1</v>
      </c>
      <c r="AR104" t="s">
        <v>0</v>
      </c>
      <c r="AT104" s="2" t="s">
        <v>45</v>
      </c>
      <c r="AU104" s="1" t="e">
        <f t="shared" si="11"/>
        <v>#VALUE!</v>
      </c>
      <c r="AV104" s="1" t="e">
        <f t="shared" si="12"/>
        <v>#VALUE!</v>
      </c>
      <c r="AW104" s="1" t="e">
        <f t="shared" si="13"/>
        <v>#VALUE!</v>
      </c>
    </row>
    <row r="105" spans="1:49" x14ac:dyDescent="0.2">
      <c r="A105">
        <v>103</v>
      </c>
      <c r="B105" t="s">
        <v>6214</v>
      </c>
      <c r="C105" t="s">
        <v>6213</v>
      </c>
      <c r="F105" t="s">
        <v>6212</v>
      </c>
      <c r="G105" t="s">
        <v>13</v>
      </c>
      <c r="H105" t="s">
        <v>12</v>
      </c>
      <c r="I105" t="s">
        <v>6211</v>
      </c>
      <c r="J105">
        <v>100380626</v>
      </c>
      <c r="K105" t="s">
        <v>6210</v>
      </c>
      <c r="L105" t="s">
        <v>6209</v>
      </c>
      <c r="M105" t="s">
        <v>643</v>
      </c>
      <c r="N105">
        <v>2</v>
      </c>
      <c r="O105" t="s">
        <v>6208</v>
      </c>
      <c r="P105" t="s">
        <v>6207</v>
      </c>
      <c r="Q105" t="s">
        <v>6206</v>
      </c>
      <c r="R105" s="7">
        <v>30682</v>
      </c>
      <c r="S105" s="8">
        <f t="shared" si="8"/>
        <v>1984</v>
      </c>
      <c r="T105" s="8">
        <v>1984</v>
      </c>
      <c r="U105" s="8">
        <f t="shared" si="9"/>
        <v>38</v>
      </c>
      <c r="V105" s="7">
        <v>30682</v>
      </c>
      <c r="W105" t="s">
        <v>6205</v>
      </c>
      <c r="X105" s="2">
        <v>0.36299999999999999</v>
      </c>
      <c r="Y105" s="6">
        <f t="shared" si="14"/>
        <v>9.6900776807880198E-3</v>
      </c>
      <c r="AA105">
        <v>214914</v>
      </c>
      <c r="AB105">
        <v>21042</v>
      </c>
      <c r="AC105">
        <v>13476068</v>
      </c>
      <c r="AD105" t="s">
        <v>4</v>
      </c>
      <c r="AE105">
        <v>28</v>
      </c>
      <c r="AF105">
        <v>4</v>
      </c>
      <c r="AH105" t="s">
        <v>6204</v>
      </c>
      <c r="AI105" t="s">
        <v>6203</v>
      </c>
      <c r="AK105" t="s">
        <v>6202</v>
      </c>
      <c r="AL105">
        <v>2</v>
      </c>
      <c r="AM105" s="5">
        <f t="shared" si="10"/>
        <v>5.2631578947368418E-2</v>
      </c>
      <c r="AN105" s="4">
        <f t="shared" si="15"/>
        <v>7.9714621654476962E-5</v>
      </c>
      <c r="AO105" s="3"/>
      <c r="AP105">
        <v>1</v>
      </c>
      <c r="AR105" t="s">
        <v>0</v>
      </c>
      <c r="AT105" s="2" t="s">
        <v>45</v>
      </c>
      <c r="AU105" s="1">
        <f t="shared" si="11"/>
        <v>0.68069687630479569</v>
      </c>
      <c r="AV105" s="1">
        <f t="shared" si="12"/>
        <v>0.48848961512212485</v>
      </c>
      <c r="AW105" s="1">
        <f t="shared" si="13"/>
        <v>0.29628235393945396</v>
      </c>
    </row>
    <row r="106" spans="1:49" x14ac:dyDescent="0.2">
      <c r="A106">
        <v>104</v>
      </c>
      <c r="B106" t="s">
        <v>6201</v>
      </c>
      <c r="C106" t="s">
        <v>6200</v>
      </c>
      <c r="F106" t="s">
        <v>6199</v>
      </c>
      <c r="G106" t="s">
        <v>13</v>
      </c>
      <c r="H106" t="s">
        <v>12</v>
      </c>
      <c r="I106" t="s">
        <v>6198</v>
      </c>
      <c r="J106">
        <v>60032179</v>
      </c>
      <c r="K106" t="s">
        <v>696</v>
      </c>
      <c r="L106" t="s">
        <v>695</v>
      </c>
      <c r="M106" t="s">
        <v>56</v>
      </c>
      <c r="N106">
        <v>2</v>
      </c>
      <c r="O106" t="s">
        <v>6197</v>
      </c>
      <c r="P106" t="s">
        <v>6196</v>
      </c>
      <c r="Q106" t="s">
        <v>4705</v>
      </c>
      <c r="R106" s="7">
        <v>30682</v>
      </c>
      <c r="S106" s="8">
        <f t="shared" si="8"/>
        <v>1984</v>
      </c>
      <c r="T106" s="8">
        <v>1984</v>
      </c>
      <c r="U106" s="8">
        <f t="shared" si="9"/>
        <v>38</v>
      </c>
      <c r="V106" s="7" t="s">
        <v>6185</v>
      </c>
      <c r="W106" t="s">
        <v>6184</v>
      </c>
      <c r="X106" s="2" t="s">
        <v>45</v>
      </c>
      <c r="Y106" s="6" t="e">
        <f t="shared" si="14"/>
        <v>#VALUE!</v>
      </c>
      <c r="AA106">
        <v>443573</v>
      </c>
      <c r="AB106">
        <v>86892</v>
      </c>
      <c r="AC106">
        <v>14390310</v>
      </c>
      <c r="AD106" t="s">
        <v>4</v>
      </c>
      <c r="AE106">
        <v>66</v>
      </c>
      <c r="AF106">
        <v>3</v>
      </c>
      <c r="AH106" t="s">
        <v>6195</v>
      </c>
      <c r="AI106" t="s">
        <v>6194</v>
      </c>
      <c r="AK106" t="s">
        <v>6193</v>
      </c>
      <c r="AL106">
        <v>24</v>
      </c>
      <c r="AM106" s="5">
        <f t="shared" si="10"/>
        <v>0.63157894736842102</v>
      </c>
      <c r="AN106" s="4">
        <f t="shared" si="15"/>
        <v>9.5657545985372366E-4</v>
      </c>
      <c r="AO106" s="3"/>
      <c r="AP106">
        <v>0</v>
      </c>
      <c r="AR106" t="s">
        <v>0</v>
      </c>
      <c r="AT106" s="2" t="s">
        <v>45</v>
      </c>
      <c r="AU106" s="1" t="e">
        <f t="shared" si="11"/>
        <v>#VALUE!</v>
      </c>
      <c r="AV106" s="1" t="e">
        <f t="shared" si="12"/>
        <v>#VALUE!</v>
      </c>
      <c r="AW106" s="1" t="e">
        <f t="shared" si="13"/>
        <v>#VALUE!</v>
      </c>
    </row>
    <row r="107" spans="1:49" x14ac:dyDescent="0.2">
      <c r="A107">
        <v>105</v>
      </c>
      <c r="B107" t="s">
        <v>6192</v>
      </c>
      <c r="C107" t="s">
        <v>6191</v>
      </c>
      <c r="F107" t="s">
        <v>6190</v>
      </c>
      <c r="G107" t="s">
        <v>13</v>
      </c>
      <c r="H107" t="s">
        <v>12</v>
      </c>
      <c r="I107" t="s">
        <v>6189</v>
      </c>
      <c r="J107">
        <v>60009941</v>
      </c>
      <c r="K107" t="s">
        <v>6188</v>
      </c>
      <c r="L107" t="s">
        <v>6187</v>
      </c>
      <c r="M107" t="s">
        <v>142</v>
      </c>
      <c r="N107">
        <v>1</v>
      </c>
      <c r="O107" t="s">
        <v>6186</v>
      </c>
      <c r="P107">
        <v>6506108105</v>
      </c>
      <c r="Q107">
        <v>60009941</v>
      </c>
      <c r="R107" s="7">
        <v>30682</v>
      </c>
      <c r="S107" s="8">
        <f t="shared" si="8"/>
        <v>1984</v>
      </c>
      <c r="T107" s="8">
        <v>1984</v>
      </c>
      <c r="U107" s="8">
        <f t="shared" si="9"/>
        <v>38</v>
      </c>
      <c r="V107" s="7" t="s">
        <v>6185</v>
      </c>
      <c r="W107" t="s">
        <v>6184</v>
      </c>
      <c r="X107" s="2" t="s">
        <v>45</v>
      </c>
      <c r="Y107" s="6" t="e">
        <f t="shared" si="14"/>
        <v>#VALUE!</v>
      </c>
      <c r="AA107">
        <v>443573</v>
      </c>
      <c r="AB107">
        <v>86892</v>
      </c>
      <c r="AC107">
        <v>14390310</v>
      </c>
      <c r="AD107" t="s">
        <v>4</v>
      </c>
      <c r="AE107">
        <v>64</v>
      </c>
      <c r="AF107">
        <v>2</v>
      </c>
      <c r="AH107" t="s">
        <v>6183</v>
      </c>
      <c r="AI107" t="s">
        <v>6182</v>
      </c>
      <c r="AK107" t="s">
        <v>6181</v>
      </c>
      <c r="AL107">
        <v>2</v>
      </c>
      <c r="AM107" s="5">
        <f t="shared" si="10"/>
        <v>5.2631578947368418E-2</v>
      </c>
      <c r="AN107" s="4">
        <f t="shared" si="15"/>
        <v>7.9714621654476962E-5</v>
      </c>
      <c r="AO107" s="3"/>
      <c r="AP107">
        <v>0</v>
      </c>
      <c r="AR107" t="s">
        <v>0</v>
      </c>
      <c r="AT107" s="2" t="s">
        <v>45</v>
      </c>
      <c r="AU107" s="1" t="e">
        <f t="shared" si="11"/>
        <v>#VALUE!</v>
      </c>
      <c r="AV107" s="1" t="e">
        <f t="shared" si="12"/>
        <v>#VALUE!</v>
      </c>
      <c r="AW107" s="1" t="e">
        <f t="shared" si="13"/>
        <v>#VALUE!</v>
      </c>
    </row>
    <row r="108" spans="1:49" x14ac:dyDescent="0.2">
      <c r="A108">
        <v>106</v>
      </c>
      <c r="B108" t="s">
        <v>6180</v>
      </c>
      <c r="C108" t="s">
        <v>6179</v>
      </c>
      <c r="F108" t="s">
        <v>6178</v>
      </c>
      <c r="G108" t="s">
        <v>13</v>
      </c>
      <c r="H108" t="s">
        <v>12</v>
      </c>
      <c r="I108" t="s">
        <v>6177</v>
      </c>
      <c r="J108" t="s">
        <v>6176</v>
      </c>
      <c r="K108" t="s">
        <v>6175</v>
      </c>
      <c r="L108" t="s">
        <v>6174</v>
      </c>
      <c r="M108" t="s">
        <v>2076</v>
      </c>
      <c r="N108">
        <v>6</v>
      </c>
      <c r="O108" t="s">
        <v>6173</v>
      </c>
      <c r="P108" t="s">
        <v>6172</v>
      </c>
      <c r="Q108" t="s">
        <v>6171</v>
      </c>
      <c r="R108" s="7">
        <v>30682</v>
      </c>
      <c r="S108" s="8">
        <f t="shared" si="8"/>
        <v>1984</v>
      </c>
      <c r="T108" s="8">
        <v>1984</v>
      </c>
      <c r="U108" s="8">
        <f t="shared" si="9"/>
        <v>38</v>
      </c>
      <c r="V108" s="7">
        <v>30713</v>
      </c>
      <c r="W108" t="s">
        <v>6135</v>
      </c>
      <c r="X108" s="2">
        <v>0.81799999999999995</v>
      </c>
      <c r="Y108" s="6">
        <f t="shared" si="14"/>
        <v>2.1836042817863912E-2</v>
      </c>
      <c r="AA108">
        <v>318655</v>
      </c>
      <c r="AB108">
        <v>27010</v>
      </c>
      <c r="AC108">
        <v>17511097</v>
      </c>
      <c r="AD108" t="s">
        <v>4</v>
      </c>
      <c r="AE108">
        <v>39</v>
      </c>
      <c r="AF108">
        <v>2</v>
      </c>
      <c r="AH108" t="s">
        <v>6170</v>
      </c>
      <c r="AI108" t="s">
        <v>6169</v>
      </c>
      <c r="AK108" t="s">
        <v>6168</v>
      </c>
      <c r="AL108">
        <v>81</v>
      </c>
      <c r="AM108" s="5">
        <f t="shared" si="10"/>
        <v>2.1315789473684212</v>
      </c>
      <c r="AN108" s="4">
        <f t="shared" si="15"/>
        <v>3.2284421770063178E-3</v>
      </c>
      <c r="AO108" s="3"/>
      <c r="AP108">
        <v>0</v>
      </c>
      <c r="AR108" t="s">
        <v>0</v>
      </c>
      <c r="AT108" s="2">
        <v>3.4209999999999998</v>
      </c>
      <c r="AU108" s="1">
        <f t="shared" si="11"/>
        <v>1.6253762625606634</v>
      </c>
      <c r="AV108" s="1">
        <f t="shared" si="12"/>
        <v>1.2532242497435115</v>
      </c>
      <c r="AW108" s="1">
        <f t="shared" si="13"/>
        <v>0.8810722369263595</v>
      </c>
    </row>
    <row r="109" spans="1:49" x14ac:dyDescent="0.2">
      <c r="A109">
        <v>107</v>
      </c>
      <c r="B109" t="s">
        <v>6167</v>
      </c>
      <c r="C109" t="s">
        <v>6166</v>
      </c>
      <c r="F109" t="s">
        <v>6165</v>
      </c>
      <c r="G109" t="s">
        <v>13</v>
      </c>
      <c r="H109" t="s">
        <v>12</v>
      </c>
      <c r="I109" t="s">
        <v>6164</v>
      </c>
      <c r="J109">
        <v>60030612</v>
      </c>
      <c r="K109" t="s">
        <v>6163</v>
      </c>
      <c r="L109" t="s">
        <v>2818</v>
      </c>
      <c r="M109" t="s">
        <v>56</v>
      </c>
      <c r="N109">
        <v>1</v>
      </c>
      <c r="O109" t="s">
        <v>6162</v>
      </c>
      <c r="P109">
        <v>7201698682</v>
      </c>
      <c r="Q109">
        <v>60030612</v>
      </c>
      <c r="R109" s="7">
        <v>30682</v>
      </c>
      <c r="S109" s="8">
        <f t="shared" si="8"/>
        <v>1984</v>
      </c>
      <c r="T109" s="8">
        <v>1984</v>
      </c>
      <c r="U109" s="8">
        <f t="shared" si="9"/>
        <v>38</v>
      </c>
      <c r="V109" s="7">
        <v>30956</v>
      </c>
      <c r="W109" t="s">
        <v>6135</v>
      </c>
      <c r="X109" s="2">
        <v>0.81799999999999995</v>
      </c>
      <c r="Y109" s="6">
        <f t="shared" si="14"/>
        <v>2.1836042817863912E-2</v>
      </c>
      <c r="AA109">
        <v>318655</v>
      </c>
      <c r="AB109">
        <v>27010</v>
      </c>
      <c r="AC109">
        <v>17511097</v>
      </c>
      <c r="AD109" t="s">
        <v>4</v>
      </c>
      <c r="AE109">
        <v>40</v>
      </c>
      <c r="AF109">
        <v>4</v>
      </c>
      <c r="AH109" t="s">
        <v>6161</v>
      </c>
      <c r="AI109" t="s">
        <v>6160</v>
      </c>
      <c r="AK109" t="s">
        <v>6159</v>
      </c>
      <c r="AL109">
        <v>9</v>
      </c>
      <c r="AM109" s="5">
        <f t="shared" si="10"/>
        <v>0.23684210526315788</v>
      </c>
      <c r="AN109" s="4">
        <f t="shared" si="15"/>
        <v>3.5871579744514633E-4</v>
      </c>
      <c r="AO109" s="3"/>
      <c r="AP109">
        <v>0</v>
      </c>
      <c r="AR109" t="s">
        <v>0</v>
      </c>
      <c r="AT109" s="2">
        <v>3.4209999999999998</v>
      </c>
      <c r="AU109" s="1">
        <f t="shared" si="11"/>
        <v>1.5392844711738281</v>
      </c>
      <c r="AV109" s="1">
        <f t="shared" si="12"/>
        <v>1.1097379307654529</v>
      </c>
      <c r="AW109" s="1">
        <f t="shared" si="13"/>
        <v>0.68019139035707765</v>
      </c>
    </row>
    <row r="110" spans="1:49" x14ac:dyDescent="0.2">
      <c r="A110">
        <v>108</v>
      </c>
      <c r="B110" t="s">
        <v>6158</v>
      </c>
      <c r="C110" t="s">
        <v>6157</v>
      </c>
      <c r="F110" t="s">
        <v>6156</v>
      </c>
      <c r="G110" t="s">
        <v>13</v>
      </c>
      <c r="H110" t="s">
        <v>12</v>
      </c>
      <c r="I110" t="s">
        <v>6155</v>
      </c>
      <c r="J110" t="s">
        <v>6154</v>
      </c>
      <c r="K110" t="s">
        <v>6153</v>
      </c>
      <c r="L110" t="s">
        <v>6152</v>
      </c>
      <c r="M110" t="s">
        <v>180</v>
      </c>
      <c r="N110">
        <v>3</v>
      </c>
      <c r="O110" t="s">
        <v>6151</v>
      </c>
      <c r="P110" t="s">
        <v>6150</v>
      </c>
      <c r="Q110" t="s">
        <v>6149</v>
      </c>
      <c r="R110" s="7">
        <v>30682</v>
      </c>
      <c r="S110" s="8">
        <f t="shared" si="8"/>
        <v>1984</v>
      </c>
      <c r="T110" s="8">
        <v>1984</v>
      </c>
      <c r="U110" s="8">
        <f t="shared" si="9"/>
        <v>38</v>
      </c>
      <c r="V110" s="7">
        <v>30713</v>
      </c>
      <c r="W110" t="s">
        <v>6135</v>
      </c>
      <c r="X110" s="2">
        <v>0.81799999999999995</v>
      </c>
      <c r="Y110" s="6">
        <f t="shared" si="14"/>
        <v>2.1836042817863912E-2</v>
      </c>
      <c r="AA110">
        <v>318655</v>
      </c>
      <c r="AB110">
        <v>27010</v>
      </c>
      <c r="AC110">
        <v>17511097</v>
      </c>
      <c r="AD110" t="s">
        <v>4</v>
      </c>
      <c r="AE110">
        <v>39</v>
      </c>
      <c r="AF110">
        <v>2</v>
      </c>
      <c r="AH110" t="s">
        <v>6148</v>
      </c>
      <c r="AI110" t="s">
        <v>6147</v>
      </c>
      <c r="AK110" t="s">
        <v>6146</v>
      </c>
      <c r="AL110">
        <v>38</v>
      </c>
      <c r="AM110" s="5">
        <f t="shared" si="10"/>
        <v>1</v>
      </c>
      <c r="AN110" s="4">
        <f t="shared" si="15"/>
        <v>1.5145778114350624E-3</v>
      </c>
      <c r="AO110" s="3"/>
      <c r="AP110">
        <v>0</v>
      </c>
      <c r="AR110" t="s">
        <v>0</v>
      </c>
      <c r="AT110" s="2">
        <v>3.4209999999999998</v>
      </c>
      <c r="AU110" s="1">
        <f t="shared" si="11"/>
        <v>1.5739603315935256</v>
      </c>
      <c r="AV110" s="1">
        <f t="shared" si="12"/>
        <v>1.1675310314649487</v>
      </c>
      <c r="AW110" s="1">
        <f t="shared" si="13"/>
        <v>0.76110173133637171</v>
      </c>
    </row>
    <row r="111" spans="1:49" x14ac:dyDescent="0.2">
      <c r="A111">
        <v>109</v>
      </c>
      <c r="B111" t="s">
        <v>6145</v>
      </c>
      <c r="C111" t="s">
        <v>6144</v>
      </c>
      <c r="F111" t="s">
        <v>6143</v>
      </c>
      <c r="G111" t="s">
        <v>13</v>
      </c>
      <c r="H111" t="s">
        <v>12</v>
      </c>
      <c r="I111" t="s">
        <v>6142</v>
      </c>
      <c r="J111" t="s">
        <v>6141</v>
      </c>
      <c r="K111" t="s">
        <v>6140</v>
      </c>
      <c r="L111" t="s">
        <v>6139</v>
      </c>
      <c r="M111" t="s">
        <v>206</v>
      </c>
      <c r="N111">
        <v>2</v>
      </c>
      <c r="O111" t="s">
        <v>6138</v>
      </c>
      <c r="P111" t="s">
        <v>6137</v>
      </c>
      <c r="Q111" t="s">
        <v>6136</v>
      </c>
      <c r="R111" s="7">
        <v>30682</v>
      </c>
      <c r="S111" s="8">
        <f t="shared" si="8"/>
        <v>1984</v>
      </c>
      <c r="T111" s="8">
        <v>1984</v>
      </c>
      <c r="U111" s="8">
        <f t="shared" si="9"/>
        <v>38</v>
      </c>
      <c r="V111" s="7">
        <v>30834</v>
      </c>
      <c r="W111" t="s">
        <v>6135</v>
      </c>
      <c r="X111" s="2">
        <v>0.81799999999999995</v>
      </c>
      <c r="Y111" s="6">
        <f t="shared" si="14"/>
        <v>2.1836042817863912E-2</v>
      </c>
      <c r="AA111">
        <v>318655</v>
      </c>
      <c r="AB111">
        <v>27010</v>
      </c>
      <c r="AC111">
        <v>17511097</v>
      </c>
      <c r="AD111" t="s">
        <v>4</v>
      </c>
      <c r="AE111">
        <v>39</v>
      </c>
      <c r="AF111">
        <v>6</v>
      </c>
      <c r="AH111" t="s">
        <v>6134</v>
      </c>
      <c r="AI111" t="s">
        <v>6133</v>
      </c>
      <c r="AK111" t="s">
        <v>6132</v>
      </c>
      <c r="AL111">
        <v>0</v>
      </c>
      <c r="AM111" s="5">
        <f t="shared" si="10"/>
        <v>0</v>
      </c>
      <c r="AN111" s="4">
        <f t="shared" si="15"/>
        <v>0</v>
      </c>
      <c r="AO111" s="3"/>
      <c r="AP111">
        <v>0</v>
      </c>
      <c r="AR111" t="s">
        <v>0</v>
      </c>
      <c r="AT111" s="2">
        <v>3.4209999999999998</v>
      </c>
      <c r="AU111" s="1">
        <f t="shared" si="11"/>
        <v>1.5285229972504737</v>
      </c>
      <c r="AV111" s="1">
        <f t="shared" si="12"/>
        <v>1.0918021408931955</v>
      </c>
      <c r="AW111" s="1">
        <f t="shared" si="13"/>
        <v>0.65508128453591741</v>
      </c>
    </row>
    <row r="112" spans="1:49" x14ac:dyDescent="0.2">
      <c r="A112">
        <v>110</v>
      </c>
      <c r="B112" t="s">
        <v>6131</v>
      </c>
      <c r="C112" t="s">
        <v>6130</v>
      </c>
      <c r="F112" t="s">
        <v>6129</v>
      </c>
      <c r="G112" t="s">
        <v>13</v>
      </c>
      <c r="H112" t="s">
        <v>12</v>
      </c>
      <c r="I112" t="s">
        <v>6128</v>
      </c>
      <c r="J112" t="s">
        <v>6127</v>
      </c>
      <c r="K112" t="s">
        <v>6126</v>
      </c>
      <c r="L112" t="s">
        <v>6125</v>
      </c>
      <c r="M112" t="s">
        <v>206</v>
      </c>
      <c r="N112">
        <v>2</v>
      </c>
      <c r="O112" t="s">
        <v>6124</v>
      </c>
      <c r="P112" t="s">
        <v>6123</v>
      </c>
      <c r="Q112" t="s">
        <v>6122</v>
      </c>
      <c r="R112" s="7">
        <v>30682</v>
      </c>
      <c r="S112" s="8">
        <f t="shared" ref="S112:S175" si="16">YEAR(R112)</f>
        <v>1984</v>
      </c>
      <c r="T112" s="8">
        <v>1984</v>
      </c>
      <c r="U112" s="8">
        <f t="shared" ref="U112:U175" si="17">2022-T112</f>
        <v>38</v>
      </c>
      <c r="V112" s="7">
        <v>30864</v>
      </c>
      <c r="W112" t="s">
        <v>6121</v>
      </c>
      <c r="X112" s="2">
        <v>1.351</v>
      </c>
      <c r="Y112" s="6">
        <f t="shared" si="14"/>
        <v>3.6064173407009958E-2</v>
      </c>
      <c r="AA112">
        <v>319317</v>
      </c>
      <c r="AB112">
        <v>16530</v>
      </c>
      <c r="AC112">
        <v>13993054</v>
      </c>
      <c r="AD112" t="s">
        <v>4</v>
      </c>
      <c r="AE112">
        <v>61</v>
      </c>
      <c r="AF112">
        <v>3</v>
      </c>
      <c r="AH112" t="s">
        <v>6120</v>
      </c>
      <c r="AI112" t="s">
        <v>6119</v>
      </c>
      <c r="AJ112" t="s">
        <v>6118</v>
      </c>
      <c r="AK112" t="s">
        <v>6117</v>
      </c>
      <c r="AL112">
        <v>13</v>
      </c>
      <c r="AM112" s="5">
        <f t="shared" ref="AM112:AM175" si="18">AL112/U112</f>
        <v>0.34210526315789475</v>
      </c>
      <c r="AN112" s="4">
        <f t="shared" si="15"/>
        <v>5.1814504075410031E-4</v>
      </c>
      <c r="AO112" s="3"/>
      <c r="AP112">
        <v>0</v>
      </c>
      <c r="AR112" t="s">
        <v>0</v>
      </c>
      <c r="AT112" s="2">
        <v>4.5</v>
      </c>
      <c r="AU112" s="1">
        <f t="shared" ref="AU112:AU175" si="19">(Y112*0.7+AN112*0.3)*100</f>
        <v>2.5400364897133203</v>
      </c>
      <c r="AV112" s="1">
        <f t="shared" ref="AV112:AV175" si="20">(Y112*0.5+AN112*0.5)*100</f>
        <v>1.829115922388203</v>
      </c>
      <c r="AW112" s="1">
        <f t="shared" ref="AW112:AW175" si="21">(Y112*0.3+AN112*0.7)*100</f>
        <v>1.1181953550630859</v>
      </c>
    </row>
    <row r="113" spans="1:49" x14ac:dyDescent="0.2">
      <c r="A113">
        <v>111</v>
      </c>
      <c r="B113" t="s">
        <v>6116</v>
      </c>
      <c r="C113" t="s">
        <v>6115</v>
      </c>
      <c r="F113" t="s">
        <v>6114</v>
      </c>
      <c r="G113" t="s">
        <v>13</v>
      </c>
      <c r="H113" t="s">
        <v>12</v>
      </c>
      <c r="I113" t="s">
        <v>6113</v>
      </c>
      <c r="J113" t="s">
        <v>6107</v>
      </c>
      <c r="K113" t="s">
        <v>6112</v>
      </c>
      <c r="L113" t="s">
        <v>6111</v>
      </c>
      <c r="M113" t="s">
        <v>6110</v>
      </c>
      <c r="N113">
        <v>2</v>
      </c>
      <c r="O113" t="s">
        <v>6109</v>
      </c>
      <c r="P113" t="s">
        <v>6108</v>
      </c>
      <c r="Q113" t="s">
        <v>6107</v>
      </c>
      <c r="R113" s="7">
        <v>30682</v>
      </c>
      <c r="S113" s="8">
        <f t="shared" si="16"/>
        <v>1984</v>
      </c>
      <c r="T113" s="8">
        <v>1984</v>
      </c>
      <c r="U113" s="8">
        <f t="shared" si="17"/>
        <v>38</v>
      </c>
      <c r="V113" s="7">
        <v>30682</v>
      </c>
      <c r="W113" t="s">
        <v>6106</v>
      </c>
      <c r="X113" s="2">
        <v>0.92600000000000005</v>
      </c>
      <c r="Y113" s="6">
        <f t="shared" si="14"/>
        <v>2.4719041136114894E-2</v>
      </c>
      <c r="AA113">
        <v>241164</v>
      </c>
      <c r="AB113">
        <v>13956</v>
      </c>
      <c r="AC113">
        <v>15023931</v>
      </c>
      <c r="AD113" t="s">
        <v>4</v>
      </c>
      <c r="AE113">
        <v>17</v>
      </c>
      <c r="AF113">
        <v>1</v>
      </c>
      <c r="AH113" t="s">
        <v>6105</v>
      </c>
      <c r="AI113" t="s">
        <v>6104</v>
      </c>
      <c r="AK113" t="s">
        <v>6103</v>
      </c>
      <c r="AL113">
        <v>17</v>
      </c>
      <c r="AM113" s="5">
        <f t="shared" si="18"/>
        <v>0.44736842105263158</v>
      </c>
      <c r="AN113" s="4">
        <f t="shared" si="15"/>
        <v>6.7757428406305424E-4</v>
      </c>
      <c r="AO113" s="3"/>
      <c r="AP113">
        <v>0</v>
      </c>
      <c r="AR113" t="s">
        <v>0</v>
      </c>
      <c r="AT113" s="2">
        <v>2.2469999999999999</v>
      </c>
      <c r="AU113" s="1">
        <f t="shared" si="19"/>
        <v>1.750660108049934</v>
      </c>
      <c r="AV113" s="1">
        <f t="shared" si="20"/>
        <v>1.2698307710088974</v>
      </c>
      <c r="AW113" s="1">
        <f t="shared" si="21"/>
        <v>0.7890014339678606</v>
      </c>
    </row>
    <row r="114" spans="1:49" x14ac:dyDescent="0.2">
      <c r="A114">
        <v>112</v>
      </c>
      <c r="B114" t="s">
        <v>6102</v>
      </c>
      <c r="C114" t="s">
        <v>6101</v>
      </c>
      <c r="F114" t="s">
        <v>6100</v>
      </c>
      <c r="G114" t="s">
        <v>13</v>
      </c>
      <c r="H114" t="s">
        <v>12</v>
      </c>
      <c r="I114" t="s">
        <v>6099</v>
      </c>
      <c r="J114">
        <v>60033202</v>
      </c>
      <c r="K114" t="s">
        <v>6098</v>
      </c>
      <c r="L114" t="s">
        <v>5579</v>
      </c>
      <c r="M114" t="s">
        <v>1160</v>
      </c>
      <c r="N114">
        <v>1</v>
      </c>
      <c r="O114" t="s">
        <v>6097</v>
      </c>
      <c r="P114">
        <v>7202939474</v>
      </c>
      <c r="Q114">
        <v>60033202</v>
      </c>
      <c r="R114" s="7">
        <v>30682</v>
      </c>
      <c r="S114" s="8">
        <f t="shared" si="16"/>
        <v>1984</v>
      </c>
      <c r="T114" s="8">
        <v>1984</v>
      </c>
      <c r="U114" s="8">
        <f t="shared" si="17"/>
        <v>38</v>
      </c>
      <c r="V114" s="7">
        <v>30987</v>
      </c>
      <c r="W114" t="s">
        <v>6096</v>
      </c>
      <c r="X114" s="2">
        <v>0.48399999999999999</v>
      </c>
      <c r="Y114" s="6">
        <f t="shared" si="14"/>
        <v>1.2920103574384027E-2</v>
      </c>
      <c r="AA114">
        <v>207608</v>
      </c>
      <c r="AB114">
        <v>24127</v>
      </c>
      <c r="AC114" t="s">
        <v>6095</v>
      </c>
      <c r="AD114" t="s">
        <v>4</v>
      </c>
      <c r="AE114">
        <v>26</v>
      </c>
      <c r="AF114">
        <v>5</v>
      </c>
      <c r="AH114" t="s">
        <v>6094</v>
      </c>
      <c r="AI114" t="s">
        <v>6093</v>
      </c>
      <c r="AK114" t="s">
        <v>6092</v>
      </c>
      <c r="AL114">
        <v>4</v>
      </c>
      <c r="AM114" s="5">
        <f t="shared" si="18"/>
        <v>0.10526315789473684</v>
      </c>
      <c r="AN114" s="4">
        <f t="shared" si="15"/>
        <v>1.5942924330895392E-4</v>
      </c>
      <c r="AO114" s="3"/>
      <c r="AP114">
        <v>0</v>
      </c>
      <c r="AR114" t="s">
        <v>0</v>
      </c>
      <c r="AT114" s="2" t="s">
        <v>45</v>
      </c>
      <c r="AU114" s="1">
        <f t="shared" si="19"/>
        <v>0.90919012750615058</v>
      </c>
      <c r="AV114" s="1">
        <f t="shared" si="20"/>
        <v>0.65397664088464902</v>
      </c>
      <c r="AW114" s="1">
        <f t="shared" si="21"/>
        <v>0.39876315426314757</v>
      </c>
    </row>
    <row r="115" spans="1:49" x14ac:dyDescent="0.2">
      <c r="A115">
        <v>113</v>
      </c>
      <c r="B115" t="s">
        <v>6091</v>
      </c>
      <c r="C115" t="s">
        <v>6090</v>
      </c>
      <c r="F115" t="s">
        <v>6089</v>
      </c>
      <c r="G115" t="s">
        <v>13</v>
      </c>
      <c r="H115" t="s">
        <v>12</v>
      </c>
      <c r="I115" t="s">
        <v>6088</v>
      </c>
      <c r="J115">
        <v>60031701</v>
      </c>
      <c r="K115" t="s">
        <v>6087</v>
      </c>
      <c r="L115" t="s">
        <v>3566</v>
      </c>
      <c r="M115" t="s">
        <v>643</v>
      </c>
      <c r="N115">
        <v>1</v>
      </c>
      <c r="O115" t="s">
        <v>6086</v>
      </c>
      <c r="P115">
        <v>7102316086</v>
      </c>
      <c r="Q115">
        <v>60031701</v>
      </c>
      <c r="R115" s="7">
        <v>30682</v>
      </c>
      <c r="S115" s="8">
        <f t="shared" si="16"/>
        <v>1984</v>
      </c>
      <c r="T115" s="8">
        <v>1984</v>
      </c>
      <c r="U115" s="8">
        <f t="shared" si="17"/>
        <v>38</v>
      </c>
      <c r="V115" s="7">
        <v>30803</v>
      </c>
      <c r="W115" t="s">
        <v>756</v>
      </c>
      <c r="X115" s="2">
        <v>0.111</v>
      </c>
      <c r="Y115" s="6">
        <f t="shared" si="14"/>
        <v>2.9630816048690639E-3</v>
      </c>
      <c r="AA115">
        <v>87566621</v>
      </c>
      <c r="AB115">
        <v>24890</v>
      </c>
      <c r="AC115">
        <v>15206424</v>
      </c>
      <c r="AD115" t="s">
        <v>4</v>
      </c>
      <c r="AE115">
        <v>67</v>
      </c>
      <c r="AF115">
        <v>5</v>
      </c>
      <c r="AH115" t="s">
        <v>6085</v>
      </c>
      <c r="AI115" t="s">
        <v>6084</v>
      </c>
      <c r="AK115" t="s">
        <v>6083</v>
      </c>
      <c r="AL115">
        <v>0</v>
      </c>
      <c r="AM115" s="5">
        <f t="shared" si="18"/>
        <v>0</v>
      </c>
      <c r="AN115" s="4">
        <f t="shared" si="15"/>
        <v>0</v>
      </c>
      <c r="AO115" s="3"/>
      <c r="AP115">
        <v>0</v>
      </c>
      <c r="AR115" t="s">
        <v>0</v>
      </c>
      <c r="AT115" s="2" t="s">
        <v>45</v>
      </c>
      <c r="AU115" s="1">
        <f t="shared" si="19"/>
        <v>0.20741571234083445</v>
      </c>
      <c r="AV115" s="1">
        <f t="shared" si="20"/>
        <v>0.1481540802434532</v>
      </c>
      <c r="AW115" s="1">
        <f t="shared" si="21"/>
        <v>8.8892448146071903E-2</v>
      </c>
    </row>
    <row r="116" spans="1:49" x14ac:dyDescent="0.2">
      <c r="A116">
        <v>114</v>
      </c>
      <c r="B116" t="s">
        <v>6082</v>
      </c>
      <c r="C116" t="s">
        <v>6081</v>
      </c>
      <c r="F116" t="s">
        <v>6080</v>
      </c>
      <c r="G116" t="s">
        <v>13</v>
      </c>
      <c r="H116" t="s">
        <v>12</v>
      </c>
      <c r="I116" t="s">
        <v>6079</v>
      </c>
      <c r="J116" t="s">
        <v>6078</v>
      </c>
      <c r="K116" t="s">
        <v>6077</v>
      </c>
      <c r="L116" t="s">
        <v>6076</v>
      </c>
      <c r="M116" t="s">
        <v>6075</v>
      </c>
      <c r="N116">
        <v>3</v>
      </c>
      <c r="O116" t="s">
        <v>6074</v>
      </c>
      <c r="P116" t="s">
        <v>6073</v>
      </c>
      <c r="Q116" t="s">
        <v>6072</v>
      </c>
      <c r="R116" s="7">
        <v>30682</v>
      </c>
      <c r="S116" s="8">
        <f t="shared" si="16"/>
        <v>1984</v>
      </c>
      <c r="T116" s="8">
        <v>1984</v>
      </c>
      <c r="U116" s="8">
        <f t="shared" si="17"/>
        <v>38</v>
      </c>
      <c r="V116" s="7" t="s">
        <v>6033</v>
      </c>
      <c r="W116" t="s">
        <v>6001</v>
      </c>
      <c r="X116" s="2">
        <v>0.33800000000000002</v>
      </c>
      <c r="Y116" s="6">
        <f t="shared" si="14"/>
        <v>9.0227169589706634E-3</v>
      </c>
      <c r="AA116">
        <v>7372884</v>
      </c>
      <c r="AB116">
        <v>70506</v>
      </c>
      <c r="AC116">
        <v>10991247</v>
      </c>
      <c r="AD116" t="s">
        <v>4</v>
      </c>
      <c r="AE116">
        <v>2</v>
      </c>
      <c r="AF116">
        <v>1</v>
      </c>
      <c r="AH116" t="s">
        <v>6071</v>
      </c>
      <c r="AI116" t="s">
        <v>6070</v>
      </c>
      <c r="AJ116" t="s">
        <v>6069</v>
      </c>
      <c r="AK116" t="s">
        <v>6068</v>
      </c>
      <c r="AL116">
        <v>4</v>
      </c>
      <c r="AM116" s="5">
        <f t="shared" si="18"/>
        <v>0.10526315789473684</v>
      </c>
      <c r="AN116" s="4">
        <f t="shared" si="15"/>
        <v>1.5942924330895392E-4</v>
      </c>
      <c r="AO116" s="3"/>
      <c r="AP116">
        <v>0</v>
      </c>
      <c r="AR116" t="s">
        <v>0</v>
      </c>
      <c r="AT116" s="2" t="s">
        <v>45</v>
      </c>
      <c r="AU116" s="1">
        <f t="shared" si="19"/>
        <v>0.63637306442721497</v>
      </c>
      <c r="AV116" s="1">
        <f t="shared" si="20"/>
        <v>0.45910731011398087</v>
      </c>
      <c r="AW116" s="1">
        <f t="shared" si="21"/>
        <v>0.28184155580074666</v>
      </c>
    </row>
    <row r="117" spans="1:49" x14ac:dyDescent="0.2">
      <c r="A117">
        <v>115</v>
      </c>
      <c r="B117" t="s">
        <v>6067</v>
      </c>
      <c r="C117" t="s">
        <v>6066</v>
      </c>
      <c r="F117" t="s">
        <v>6065</v>
      </c>
      <c r="G117" t="s">
        <v>13</v>
      </c>
      <c r="H117" t="s">
        <v>12</v>
      </c>
      <c r="I117" t="s">
        <v>6064</v>
      </c>
      <c r="J117">
        <v>60014439</v>
      </c>
      <c r="K117" t="s">
        <v>6063</v>
      </c>
      <c r="L117" t="s">
        <v>6062</v>
      </c>
      <c r="M117" t="s">
        <v>56</v>
      </c>
      <c r="N117">
        <v>1</v>
      </c>
      <c r="O117" t="s">
        <v>6061</v>
      </c>
      <c r="P117">
        <v>57190611697</v>
      </c>
      <c r="Q117">
        <v>60014439</v>
      </c>
      <c r="R117" s="7">
        <v>30682</v>
      </c>
      <c r="S117" s="8">
        <f t="shared" si="16"/>
        <v>1984</v>
      </c>
      <c r="T117" s="8">
        <v>1984</v>
      </c>
      <c r="U117" s="8">
        <f t="shared" si="17"/>
        <v>38</v>
      </c>
      <c r="V117" s="7">
        <v>30956</v>
      </c>
      <c r="W117" t="s">
        <v>6060</v>
      </c>
      <c r="X117" s="2">
        <v>1.552</v>
      </c>
      <c r="Y117" s="6">
        <f t="shared" si="14"/>
        <v>4.1429753610421505E-2</v>
      </c>
      <c r="AA117">
        <v>3076970</v>
      </c>
      <c r="AB117">
        <v>21594</v>
      </c>
      <c r="AC117">
        <v>13653113</v>
      </c>
      <c r="AD117" t="s">
        <v>4</v>
      </c>
      <c r="AE117">
        <v>9</v>
      </c>
      <c r="AF117">
        <v>4</v>
      </c>
      <c r="AH117" t="s">
        <v>6059</v>
      </c>
      <c r="AI117" t="s">
        <v>6058</v>
      </c>
      <c r="AK117" t="s">
        <v>6057</v>
      </c>
      <c r="AL117">
        <v>21</v>
      </c>
      <c r="AM117" s="5">
        <f t="shared" si="18"/>
        <v>0.55263157894736847</v>
      </c>
      <c r="AN117" s="4">
        <f t="shared" si="15"/>
        <v>8.3700352737200827E-4</v>
      </c>
      <c r="AO117" s="3"/>
      <c r="AP117">
        <v>0</v>
      </c>
      <c r="AR117" t="s">
        <v>0</v>
      </c>
      <c r="AT117" s="2">
        <v>3.8439999999999999</v>
      </c>
      <c r="AU117" s="1">
        <f t="shared" si="19"/>
        <v>2.9251928585506652</v>
      </c>
      <c r="AV117" s="1">
        <f t="shared" si="20"/>
        <v>2.1133378568896757</v>
      </c>
      <c r="AW117" s="1">
        <f t="shared" si="21"/>
        <v>1.3014828552286857</v>
      </c>
    </row>
    <row r="118" spans="1:49" x14ac:dyDescent="0.2">
      <c r="A118">
        <v>116</v>
      </c>
      <c r="B118" t="s">
        <v>6056</v>
      </c>
      <c r="C118" t="s">
        <v>6055</v>
      </c>
      <c r="F118" t="s">
        <v>6054</v>
      </c>
      <c r="G118" t="s">
        <v>13</v>
      </c>
      <c r="H118" t="s">
        <v>12</v>
      </c>
      <c r="I118" t="s">
        <v>6053</v>
      </c>
      <c r="J118">
        <v>106793573</v>
      </c>
      <c r="K118" t="s">
        <v>6052</v>
      </c>
      <c r="L118" t="s">
        <v>6051</v>
      </c>
      <c r="M118" t="s">
        <v>24</v>
      </c>
      <c r="N118">
        <v>2</v>
      </c>
      <c r="O118" t="s">
        <v>6050</v>
      </c>
      <c r="P118" t="s">
        <v>6049</v>
      </c>
      <c r="Q118" t="s">
        <v>6048</v>
      </c>
      <c r="R118" s="7">
        <v>30682</v>
      </c>
      <c r="S118" s="8">
        <f t="shared" si="16"/>
        <v>1984</v>
      </c>
      <c r="T118" s="8">
        <v>1984</v>
      </c>
      <c r="U118" s="8">
        <f t="shared" si="17"/>
        <v>38</v>
      </c>
      <c r="V118" s="7" t="s">
        <v>6033</v>
      </c>
      <c r="W118" t="s">
        <v>6001</v>
      </c>
      <c r="X118" s="2">
        <v>0.33800000000000002</v>
      </c>
      <c r="Y118" s="6">
        <f t="shared" si="14"/>
        <v>9.0227169589706634E-3</v>
      </c>
      <c r="AA118">
        <v>7372884</v>
      </c>
      <c r="AB118">
        <v>70506</v>
      </c>
      <c r="AC118">
        <v>10991247</v>
      </c>
      <c r="AD118" t="s">
        <v>4</v>
      </c>
      <c r="AE118">
        <v>2</v>
      </c>
      <c r="AF118">
        <v>1</v>
      </c>
      <c r="AH118" t="s">
        <v>6047</v>
      </c>
      <c r="AI118" t="s">
        <v>6046</v>
      </c>
      <c r="AJ118" t="s">
        <v>6045</v>
      </c>
      <c r="AK118" t="s">
        <v>6044</v>
      </c>
      <c r="AL118">
        <v>0</v>
      </c>
      <c r="AM118" s="5">
        <f t="shared" si="18"/>
        <v>0</v>
      </c>
      <c r="AN118" s="4">
        <f t="shared" si="15"/>
        <v>0</v>
      </c>
      <c r="AO118" s="3"/>
      <c r="AP118">
        <v>0</v>
      </c>
      <c r="AR118" t="s">
        <v>0</v>
      </c>
      <c r="AT118" s="2" t="s">
        <v>45</v>
      </c>
      <c r="AU118" s="1">
        <f t="shared" si="19"/>
        <v>0.63159018712794635</v>
      </c>
      <c r="AV118" s="1">
        <f t="shared" si="20"/>
        <v>0.45113584794853318</v>
      </c>
      <c r="AW118" s="1">
        <f t="shared" si="21"/>
        <v>0.27068150876911989</v>
      </c>
    </row>
    <row r="119" spans="1:49" x14ac:dyDescent="0.2">
      <c r="A119">
        <v>117</v>
      </c>
      <c r="B119" t="s">
        <v>6043</v>
      </c>
      <c r="C119" t="s">
        <v>6042</v>
      </c>
      <c r="F119" t="s">
        <v>6041</v>
      </c>
      <c r="G119" t="s">
        <v>13</v>
      </c>
      <c r="H119" t="s">
        <v>12</v>
      </c>
      <c r="I119" t="s">
        <v>6040</v>
      </c>
      <c r="J119" t="s">
        <v>6039</v>
      </c>
      <c r="K119" t="s">
        <v>6038</v>
      </c>
      <c r="L119" t="s">
        <v>6037</v>
      </c>
      <c r="M119" t="s">
        <v>100</v>
      </c>
      <c r="N119">
        <v>2</v>
      </c>
      <c r="O119" t="s">
        <v>6036</v>
      </c>
      <c r="P119" t="s">
        <v>6035</v>
      </c>
      <c r="Q119" t="s">
        <v>6034</v>
      </c>
      <c r="R119" s="7">
        <v>30682</v>
      </c>
      <c r="S119" s="8">
        <f t="shared" si="16"/>
        <v>1984</v>
      </c>
      <c r="T119" s="8">
        <v>1984</v>
      </c>
      <c r="U119" s="8">
        <f t="shared" si="17"/>
        <v>38</v>
      </c>
      <c r="V119" s="7" t="s">
        <v>6033</v>
      </c>
      <c r="W119" t="s">
        <v>6001</v>
      </c>
      <c r="X119" s="2">
        <v>0.33800000000000002</v>
      </c>
      <c r="Y119" s="6">
        <f t="shared" si="14"/>
        <v>9.0227169589706634E-3</v>
      </c>
      <c r="AA119">
        <v>7372884</v>
      </c>
      <c r="AB119">
        <v>70506</v>
      </c>
      <c r="AC119">
        <v>10991247</v>
      </c>
      <c r="AD119" t="s">
        <v>4</v>
      </c>
      <c r="AE119">
        <v>2</v>
      </c>
      <c r="AF119">
        <v>1</v>
      </c>
      <c r="AH119" t="s">
        <v>6032</v>
      </c>
      <c r="AI119" t="s">
        <v>6031</v>
      </c>
      <c r="AJ119" t="s">
        <v>6030</v>
      </c>
      <c r="AK119" t="s">
        <v>6029</v>
      </c>
      <c r="AL119">
        <v>3</v>
      </c>
      <c r="AM119" s="5">
        <f t="shared" si="18"/>
        <v>7.8947368421052627E-2</v>
      </c>
      <c r="AN119" s="4">
        <f t="shared" si="15"/>
        <v>1.1957193248171546E-4</v>
      </c>
      <c r="AO119" s="3"/>
      <c r="AP119">
        <v>0</v>
      </c>
      <c r="AR119" t="s">
        <v>0</v>
      </c>
      <c r="AT119" s="2" t="s">
        <v>45</v>
      </c>
      <c r="AU119" s="1">
        <f t="shared" si="19"/>
        <v>0.63517734510239787</v>
      </c>
      <c r="AV119" s="1">
        <f t="shared" si="20"/>
        <v>0.45711444457261896</v>
      </c>
      <c r="AW119" s="1">
        <f t="shared" si="21"/>
        <v>0.27905154404283999</v>
      </c>
    </row>
    <row r="120" spans="1:49" x14ac:dyDescent="0.2">
      <c r="A120">
        <v>118</v>
      </c>
      <c r="B120" t="s">
        <v>6028</v>
      </c>
      <c r="C120" t="s">
        <v>6027</v>
      </c>
      <c r="F120" t="s">
        <v>6026</v>
      </c>
      <c r="G120" t="s">
        <v>13</v>
      </c>
      <c r="H120" t="s">
        <v>12</v>
      </c>
      <c r="I120" t="s">
        <v>6025</v>
      </c>
      <c r="J120">
        <v>60023345</v>
      </c>
      <c r="K120" t="s">
        <v>6024</v>
      </c>
      <c r="L120" t="s">
        <v>6023</v>
      </c>
      <c r="M120" t="s">
        <v>125</v>
      </c>
      <c r="N120">
        <v>1</v>
      </c>
      <c r="O120" t="s">
        <v>6022</v>
      </c>
      <c r="P120">
        <v>6603611053</v>
      </c>
      <c r="Q120">
        <v>60023345</v>
      </c>
      <c r="R120" s="7">
        <v>30682</v>
      </c>
      <c r="S120" s="8">
        <f t="shared" si="16"/>
        <v>1984</v>
      </c>
      <c r="T120" s="8">
        <v>1984</v>
      </c>
      <c r="U120" s="8">
        <f t="shared" si="17"/>
        <v>38</v>
      </c>
      <c r="V120" s="7" t="s">
        <v>6021</v>
      </c>
      <c r="W120" t="s">
        <v>6001</v>
      </c>
      <c r="X120" s="2">
        <v>0.33800000000000002</v>
      </c>
      <c r="Y120" s="6">
        <f t="shared" si="14"/>
        <v>9.0227169589706634E-3</v>
      </c>
      <c r="AA120">
        <v>7372884</v>
      </c>
      <c r="AB120">
        <v>70506</v>
      </c>
      <c r="AC120">
        <v>10991247</v>
      </c>
      <c r="AD120" t="s">
        <v>4</v>
      </c>
      <c r="AE120">
        <v>2</v>
      </c>
      <c r="AF120">
        <v>4</v>
      </c>
      <c r="AH120" t="s">
        <v>6020</v>
      </c>
      <c r="AI120" t="s">
        <v>6019</v>
      </c>
      <c r="AJ120" t="s">
        <v>6018</v>
      </c>
      <c r="AK120" t="s">
        <v>6017</v>
      </c>
      <c r="AL120">
        <v>0</v>
      </c>
      <c r="AM120" s="5">
        <f t="shared" si="18"/>
        <v>0</v>
      </c>
      <c r="AN120" s="4">
        <f t="shared" si="15"/>
        <v>0</v>
      </c>
      <c r="AO120" s="3"/>
      <c r="AP120">
        <v>0</v>
      </c>
      <c r="AR120" t="s">
        <v>0</v>
      </c>
      <c r="AT120" s="2" t="s">
        <v>45</v>
      </c>
      <c r="AU120" s="1">
        <f t="shared" si="19"/>
        <v>0.63159018712794635</v>
      </c>
      <c r="AV120" s="1">
        <f t="shared" si="20"/>
        <v>0.45113584794853318</v>
      </c>
      <c r="AW120" s="1">
        <f t="shared" si="21"/>
        <v>0.27068150876911989</v>
      </c>
    </row>
    <row r="121" spans="1:49" x14ac:dyDescent="0.2">
      <c r="A121">
        <v>119</v>
      </c>
      <c r="B121" t="s">
        <v>6016</v>
      </c>
      <c r="C121" t="s">
        <v>6015</v>
      </c>
      <c r="F121" t="s">
        <v>6014</v>
      </c>
      <c r="G121" t="s">
        <v>13</v>
      </c>
      <c r="H121" t="s">
        <v>12</v>
      </c>
      <c r="I121" t="s">
        <v>6013</v>
      </c>
      <c r="J121">
        <v>60005460</v>
      </c>
      <c r="K121" t="s">
        <v>5666</v>
      </c>
      <c r="L121" t="s">
        <v>5665</v>
      </c>
      <c r="M121" t="s">
        <v>142</v>
      </c>
      <c r="N121">
        <v>1</v>
      </c>
      <c r="O121" t="s">
        <v>6012</v>
      </c>
      <c r="P121">
        <v>7401918861</v>
      </c>
      <c r="Q121">
        <v>60005460</v>
      </c>
      <c r="R121" s="7">
        <v>30682</v>
      </c>
      <c r="S121" s="8">
        <f t="shared" si="16"/>
        <v>1984</v>
      </c>
      <c r="T121" s="8">
        <v>1984</v>
      </c>
      <c r="U121" s="8">
        <f t="shared" si="17"/>
        <v>38</v>
      </c>
      <c r="V121" s="7">
        <v>30742</v>
      </c>
      <c r="W121" t="s">
        <v>6011</v>
      </c>
      <c r="X121" s="2">
        <v>0.69299999999999995</v>
      </c>
      <c r="Y121" s="6">
        <f t="shared" si="14"/>
        <v>1.8499239208777128E-2</v>
      </c>
      <c r="AA121">
        <v>3076962</v>
      </c>
      <c r="AB121">
        <v>21084</v>
      </c>
      <c r="AC121">
        <v>13653032</v>
      </c>
      <c r="AD121" t="s">
        <v>4</v>
      </c>
      <c r="AE121">
        <v>9</v>
      </c>
      <c r="AF121">
        <v>1</v>
      </c>
      <c r="AH121" s="10">
        <v>43344</v>
      </c>
      <c r="AI121" t="s">
        <v>6010</v>
      </c>
      <c r="AJ121" t="s">
        <v>6009</v>
      </c>
      <c r="AK121" t="s">
        <v>6008</v>
      </c>
      <c r="AL121">
        <v>82</v>
      </c>
      <c r="AM121" s="5">
        <f t="shared" si="18"/>
        <v>2.1578947368421053</v>
      </c>
      <c r="AN121" s="4">
        <f t="shared" si="15"/>
        <v>3.2682994878335558E-3</v>
      </c>
      <c r="AO121" s="3"/>
      <c r="AP121">
        <v>0</v>
      </c>
      <c r="AR121" t="s">
        <v>0</v>
      </c>
      <c r="AT121" s="2">
        <v>1.833</v>
      </c>
      <c r="AU121" s="1">
        <f t="shared" si="19"/>
        <v>1.3929957292494057</v>
      </c>
      <c r="AV121" s="1">
        <f t="shared" si="20"/>
        <v>1.0883769348305343</v>
      </c>
      <c r="AW121" s="1">
        <f t="shared" si="21"/>
        <v>0.7837581404116627</v>
      </c>
    </row>
    <row r="122" spans="1:49" x14ac:dyDescent="0.2">
      <c r="A122">
        <v>120</v>
      </c>
      <c r="B122" t="s">
        <v>6007</v>
      </c>
      <c r="C122" t="s">
        <v>6006</v>
      </c>
      <c r="F122" t="s">
        <v>6005</v>
      </c>
      <c r="G122" t="s">
        <v>13</v>
      </c>
      <c r="H122" t="s">
        <v>12</v>
      </c>
      <c r="I122" t="s">
        <v>6004</v>
      </c>
      <c r="J122">
        <v>60007742</v>
      </c>
      <c r="K122" t="s">
        <v>4746</v>
      </c>
      <c r="L122" t="s">
        <v>4745</v>
      </c>
      <c r="M122" t="s">
        <v>56</v>
      </c>
      <c r="N122">
        <v>1</v>
      </c>
      <c r="O122" t="s">
        <v>6003</v>
      </c>
      <c r="P122">
        <v>55885748500</v>
      </c>
      <c r="Q122">
        <v>60007742</v>
      </c>
      <c r="R122" s="7">
        <v>30682</v>
      </c>
      <c r="S122" s="8">
        <f t="shared" si="16"/>
        <v>1984</v>
      </c>
      <c r="T122" s="8">
        <v>1984</v>
      </c>
      <c r="U122" s="8">
        <f t="shared" si="17"/>
        <v>38</v>
      </c>
      <c r="V122" s="7" t="s">
        <v>6002</v>
      </c>
      <c r="W122" t="s">
        <v>6001</v>
      </c>
      <c r="X122" s="2">
        <v>0.33800000000000002</v>
      </c>
      <c r="Y122" s="6">
        <f t="shared" si="14"/>
        <v>9.0227169589706634E-3</v>
      </c>
      <c r="AA122">
        <v>7372884</v>
      </c>
      <c r="AB122">
        <v>70506</v>
      </c>
      <c r="AC122">
        <v>10991247</v>
      </c>
      <c r="AD122" t="s">
        <v>4</v>
      </c>
      <c r="AE122">
        <v>2</v>
      </c>
      <c r="AF122">
        <v>2</v>
      </c>
      <c r="AH122" t="s">
        <v>6000</v>
      </c>
      <c r="AI122" t="s">
        <v>5999</v>
      </c>
      <c r="AJ122" t="s">
        <v>5998</v>
      </c>
      <c r="AK122" t="s">
        <v>5997</v>
      </c>
      <c r="AL122">
        <v>1</v>
      </c>
      <c r="AM122" s="5">
        <f t="shared" si="18"/>
        <v>2.6315789473684209E-2</v>
      </c>
      <c r="AN122" s="4">
        <f t="shared" si="15"/>
        <v>3.9857310827238481E-5</v>
      </c>
      <c r="AO122" s="3"/>
      <c r="AP122">
        <v>0</v>
      </c>
      <c r="AR122" t="s">
        <v>0</v>
      </c>
      <c r="AT122" s="2" t="s">
        <v>45</v>
      </c>
      <c r="AU122" s="1">
        <f t="shared" si="19"/>
        <v>0.63278590645276356</v>
      </c>
      <c r="AV122" s="1">
        <f t="shared" si="20"/>
        <v>0.45312871348989509</v>
      </c>
      <c r="AW122" s="1">
        <f t="shared" si="21"/>
        <v>0.27347152052702661</v>
      </c>
    </row>
    <row r="123" spans="1:49" x14ac:dyDescent="0.2">
      <c r="A123">
        <v>121</v>
      </c>
      <c r="B123" t="s">
        <v>5996</v>
      </c>
      <c r="C123" t="s">
        <v>5995</v>
      </c>
      <c r="F123" t="s">
        <v>5994</v>
      </c>
      <c r="G123" t="s">
        <v>13</v>
      </c>
      <c r="H123" t="s">
        <v>12</v>
      </c>
      <c r="I123" t="s">
        <v>5993</v>
      </c>
      <c r="J123">
        <v>60001490</v>
      </c>
      <c r="K123" t="s">
        <v>5992</v>
      </c>
      <c r="L123" t="s">
        <v>5991</v>
      </c>
      <c r="M123" t="s">
        <v>167</v>
      </c>
      <c r="N123">
        <v>1</v>
      </c>
      <c r="O123" t="s">
        <v>5990</v>
      </c>
      <c r="P123">
        <v>7405892022</v>
      </c>
      <c r="Q123">
        <v>60001490</v>
      </c>
      <c r="R123" s="7">
        <v>30682</v>
      </c>
      <c r="S123" s="8">
        <f t="shared" si="16"/>
        <v>1984</v>
      </c>
      <c r="T123" s="8">
        <v>1984</v>
      </c>
      <c r="U123" s="8">
        <f t="shared" si="17"/>
        <v>38</v>
      </c>
      <c r="V123" s="7">
        <v>30713</v>
      </c>
      <c r="W123" t="s">
        <v>5989</v>
      </c>
      <c r="X123" s="2">
        <v>0.5</v>
      </c>
      <c r="Y123" s="6">
        <f t="shared" si="14"/>
        <v>1.3347214436347135E-2</v>
      </c>
      <c r="AA123">
        <v>253154</v>
      </c>
      <c r="AB123">
        <v>12162</v>
      </c>
      <c r="AC123">
        <v>14697769</v>
      </c>
      <c r="AD123" t="s">
        <v>4</v>
      </c>
      <c r="AE123">
        <v>64</v>
      </c>
      <c r="AF123">
        <v>1</v>
      </c>
      <c r="AH123" s="10">
        <v>44013</v>
      </c>
      <c r="AI123" t="s">
        <v>5988</v>
      </c>
      <c r="AK123" t="s">
        <v>5987</v>
      </c>
      <c r="AL123">
        <v>13</v>
      </c>
      <c r="AM123" s="5">
        <f t="shared" si="18"/>
        <v>0.34210526315789475</v>
      </c>
      <c r="AN123" s="4">
        <f t="shared" si="15"/>
        <v>5.1814504075410031E-4</v>
      </c>
      <c r="AO123" s="3"/>
      <c r="AP123">
        <v>0</v>
      </c>
      <c r="AR123" t="s">
        <v>5986</v>
      </c>
      <c r="AT123" s="2" t="s">
        <v>45</v>
      </c>
      <c r="AU123" s="1">
        <f t="shared" si="19"/>
        <v>0.94984936176692236</v>
      </c>
      <c r="AV123" s="1">
        <f t="shared" si="20"/>
        <v>0.69326797385506178</v>
      </c>
      <c r="AW123" s="1">
        <f t="shared" si="21"/>
        <v>0.43668658594320103</v>
      </c>
    </row>
    <row r="124" spans="1:49" x14ac:dyDescent="0.2">
      <c r="A124">
        <v>122</v>
      </c>
      <c r="B124" t="s">
        <v>5985</v>
      </c>
      <c r="C124" t="s">
        <v>5984</v>
      </c>
      <c r="F124" t="s">
        <v>5983</v>
      </c>
      <c r="G124" t="s">
        <v>13</v>
      </c>
      <c r="H124" t="s">
        <v>12</v>
      </c>
      <c r="I124" t="s">
        <v>5982</v>
      </c>
      <c r="J124">
        <v>60020595</v>
      </c>
      <c r="K124" t="s">
        <v>5981</v>
      </c>
      <c r="L124" t="s">
        <v>5980</v>
      </c>
      <c r="M124" t="s">
        <v>167</v>
      </c>
      <c r="N124">
        <v>1</v>
      </c>
      <c r="O124" t="s">
        <v>5979</v>
      </c>
      <c r="P124">
        <v>7005883805</v>
      </c>
      <c r="Q124">
        <v>60020595</v>
      </c>
      <c r="R124" s="7">
        <v>30682</v>
      </c>
      <c r="S124" s="8">
        <f t="shared" si="16"/>
        <v>1984</v>
      </c>
      <c r="T124" s="8">
        <v>1984</v>
      </c>
      <c r="U124" s="8">
        <f t="shared" si="17"/>
        <v>38</v>
      </c>
      <c r="V124" s="7">
        <v>1984</v>
      </c>
      <c r="W124" t="s">
        <v>5978</v>
      </c>
      <c r="X124" s="2">
        <v>0.68</v>
      </c>
      <c r="Y124" s="6">
        <f t="shared" si="14"/>
        <v>1.8152211633432103E-2</v>
      </c>
      <c r="AA124" t="s">
        <v>5977</v>
      </c>
      <c r="AB124">
        <v>20393</v>
      </c>
      <c r="AC124" t="s">
        <v>5976</v>
      </c>
      <c r="AD124" t="s">
        <v>4</v>
      </c>
      <c r="AE124">
        <v>15</v>
      </c>
      <c r="AF124">
        <v>2</v>
      </c>
      <c r="AH124" t="s">
        <v>5975</v>
      </c>
      <c r="AI124" t="s">
        <v>5974</v>
      </c>
      <c r="AK124" t="s">
        <v>5973</v>
      </c>
      <c r="AL124">
        <v>2</v>
      </c>
      <c r="AM124" s="5">
        <f t="shared" si="18"/>
        <v>5.2631578947368418E-2</v>
      </c>
      <c r="AN124" s="4">
        <f t="shared" si="15"/>
        <v>7.9714621654476962E-5</v>
      </c>
      <c r="AO124" s="3"/>
      <c r="AP124">
        <v>0</v>
      </c>
      <c r="AR124" t="s">
        <v>0</v>
      </c>
      <c r="AT124" s="2" t="s">
        <v>45</v>
      </c>
      <c r="AU124" s="1">
        <f t="shared" si="19"/>
        <v>1.2730462529898816</v>
      </c>
      <c r="AV124" s="1">
        <f t="shared" si="20"/>
        <v>0.91159631275432895</v>
      </c>
      <c r="AW124" s="1">
        <f t="shared" si="21"/>
        <v>0.55014637251877652</v>
      </c>
    </row>
    <row r="125" spans="1:49" x14ac:dyDescent="0.2">
      <c r="A125">
        <v>123</v>
      </c>
      <c r="B125" t="s">
        <v>5972</v>
      </c>
      <c r="C125" t="s">
        <v>5971</v>
      </c>
      <c r="F125" t="s">
        <v>5970</v>
      </c>
      <c r="G125" t="s">
        <v>13</v>
      </c>
      <c r="H125" t="s">
        <v>12</v>
      </c>
      <c r="I125" t="s">
        <v>5969</v>
      </c>
      <c r="J125">
        <v>60024324</v>
      </c>
      <c r="K125" t="s">
        <v>5968</v>
      </c>
      <c r="L125" t="s">
        <v>5967</v>
      </c>
      <c r="M125" t="s">
        <v>56</v>
      </c>
      <c r="N125">
        <v>3</v>
      </c>
      <c r="O125" t="s">
        <v>5966</v>
      </c>
      <c r="P125" t="s">
        <v>5965</v>
      </c>
      <c r="Q125" t="s">
        <v>5964</v>
      </c>
      <c r="R125" s="7">
        <v>30682</v>
      </c>
      <c r="S125" s="8">
        <f t="shared" si="16"/>
        <v>1984</v>
      </c>
      <c r="T125" s="8">
        <v>1984</v>
      </c>
      <c r="U125" s="8">
        <f t="shared" si="17"/>
        <v>38</v>
      </c>
      <c r="V125" s="7">
        <v>30682</v>
      </c>
      <c r="W125" t="s">
        <v>255</v>
      </c>
      <c r="X125" s="2">
        <v>0.22500000000000001</v>
      </c>
      <c r="Y125" s="6">
        <f t="shared" si="14"/>
        <v>6.0062464963562111E-3</v>
      </c>
      <c r="AA125">
        <v>2726343</v>
      </c>
      <c r="AB125">
        <v>16128</v>
      </c>
      <c r="AC125" t="s">
        <v>254</v>
      </c>
      <c r="AD125" t="s">
        <v>4</v>
      </c>
      <c r="AE125">
        <v>4</v>
      </c>
      <c r="AF125">
        <v>1</v>
      </c>
      <c r="AH125" t="s">
        <v>5963</v>
      </c>
      <c r="AI125" t="s">
        <v>5962</v>
      </c>
      <c r="AK125" t="s">
        <v>5961</v>
      </c>
      <c r="AL125">
        <v>2</v>
      </c>
      <c r="AM125" s="5">
        <f t="shared" si="18"/>
        <v>5.2631578947368418E-2</v>
      </c>
      <c r="AN125" s="4">
        <f t="shared" si="15"/>
        <v>7.9714621654476962E-5</v>
      </c>
      <c r="AO125" s="3"/>
      <c r="AP125">
        <v>0</v>
      </c>
      <c r="AQ125" t="s">
        <v>48</v>
      </c>
      <c r="AR125" t="s">
        <v>0</v>
      </c>
      <c r="AS125" t="s">
        <v>46</v>
      </c>
      <c r="AT125" s="2">
        <v>1.099</v>
      </c>
      <c r="AU125" s="1">
        <f t="shared" si="19"/>
        <v>0.42282869339456913</v>
      </c>
      <c r="AV125" s="1">
        <f t="shared" si="20"/>
        <v>0.30429805590053438</v>
      </c>
      <c r="AW125" s="1">
        <f t="shared" si="21"/>
        <v>0.18576741840649971</v>
      </c>
    </row>
    <row r="126" spans="1:49" x14ac:dyDescent="0.2">
      <c r="A126">
        <v>124</v>
      </c>
      <c r="B126" t="s">
        <v>5960</v>
      </c>
      <c r="C126" t="s">
        <v>5959</v>
      </c>
      <c r="F126" t="s">
        <v>5958</v>
      </c>
      <c r="G126" t="s">
        <v>13</v>
      </c>
      <c r="H126" t="s">
        <v>12</v>
      </c>
      <c r="I126" t="s">
        <v>5957</v>
      </c>
      <c r="J126">
        <v>60021378</v>
      </c>
      <c r="K126" t="s">
        <v>3356</v>
      </c>
      <c r="L126" t="s">
        <v>3355</v>
      </c>
      <c r="M126" t="s">
        <v>56</v>
      </c>
      <c r="N126">
        <v>2</v>
      </c>
      <c r="O126" t="s">
        <v>5956</v>
      </c>
      <c r="P126" t="s">
        <v>5955</v>
      </c>
      <c r="Q126" t="s">
        <v>5954</v>
      </c>
      <c r="R126" s="7">
        <v>30682</v>
      </c>
      <c r="S126" s="8">
        <f t="shared" si="16"/>
        <v>1984</v>
      </c>
      <c r="T126" s="8">
        <v>1984</v>
      </c>
      <c r="U126" s="8">
        <f t="shared" si="17"/>
        <v>38</v>
      </c>
      <c r="V126" s="7">
        <v>1984</v>
      </c>
      <c r="W126" t="s">
        <v>5953</v>
      </c>
      <c r="X126" s="2">
        <v>0.3</v>
      </c>
      <c r="Y126" s="6">
        <f t="shared" si="14"/>
        <v>8.0083286618082804E-3</v>
      </c>
      <c r="AA126">
        <v>3608581</v>
      </c>
      <c r="AB126">
        <v>29780</v>
      </c>
      <c r="AD126" t="s">
        <v>4</v>
      </c>
      <c r="AE126">
        <v>12</v>
      </c>
      <c r="AF126">
        <v>3</v>
      </c>
      <c r="AH126" s="9">
        <v>44318</v>
      </c>
      <c r="AI126" t="s">
        <v>5952</v>
      </c>
      <c r="AK126" t="s">
        <v>5951</v>
      </c>
      <c r="AL126">
        <v>0</v>
      </c>
      <c r="AM126" s="5">
        <f t="shared" si="18"/>
        <v>0</v>
      </c>
      <c r="AN126" s="4">
        <f t="shared" si="15"/>
        <v>0</v>
      </c>
      <c r="AO126" s="3"/>
      <c r="AP126">
        <v>0</v>
      </c>
      <c r="AR126" t="s">
        <v>0</v>
      </c>
      <c r="AT126" s="2" t="s">
        <v>45</v>
      </c>
      <c r="AU126" s="1">
        <f t="shared" si="19"/>
        <v>0.56058300632657965</v>
      </c>
      <c r="AV126" s="1">
        <f t="shared" si="20"/>
        <v>0.40041643309041403</v>
      </c>
      <c r="AW126" s="1">
        <f t="shared" si="21"/>
        <v>0.2402498598542484</v>
      </c>
    </row>
    <row r="127" spans="1:49" x14ac:dyDescent="0.2">
      <c r="A127">
        <v>125</v>
      </c>
      <c r="B127" t="s">
        <v>5950</v>
      </c>
      <c r="C127" t="s">
        <v>5949</v>
      </c>
      <c r="F127" t="s">
        <v>5948</v>
      </c>
      <c r="G127" t="s">
        <v>13</v>
      </c>
      <c r="H127" t="s">
        <v>12</v>
      </c>
      <c r="I127" t="s">
        <v>5947</v>
      </c>
      <c r="J127">
        <v>60011373</v>
      </c>
      <c r="K127" t="s">
        <v>1162</v>
      </c>
      <c r="L127" t="s">
        <v>1161</v>
      </c>
      <c r="M127" t="s">
        <v>1160</v>
      </c>
      <c r="N127">
        <v>1</v>
      </c>
      <c r="O127" t="s">
        <v>5946</v>
      </c>
      <c r="P127">
        <v>35966329600</v>
      </c>
      <c r="Q127">
        <v>60011373</v>
      </c>
      <c r="R127" s="7">
        <v>30682</v>
      </c>
      <c r="S127" s="8">
        <f t="shared" si="16"/>
        <v>1984</v>
      </c>
      <c r="T127" s="8">
        <v>1984</v>
      </c>
      <c r="U127" s="8">
        <f t="shared" si="17"/>
        <v>38</v>
      </c>
      <c r="V127" s="7">
        <v>30926</v>
      </c>
      <c r="W127" t="s">
        <v>380</v>
      </c>
      <c r="X127" s="2">
        <v>1.6519999999999999</v>
      </c>
      <c r="Y127" s="6">
        <f t="shared" si="14"/>
        <v>4.409919649769093E-2</v>
      </c>
      <c r="AA127" t="s">
        <v>379</v>
      </c>
      <c r="AB127">
        <v>17337</v>
      </c>
      <c r="AC127">
        <v>15582221</v>
      </c>
      <c r="AD127" t="s">
        <v>4</v>
      </c>
      <c r="AE127">
        <v>32</v>
      </c>
      <c r="AF127">
        <v>9</v>
      </c>
      <c r="AH127">
        <v>1012</v>
      </c>
      <c r="AL127">
        <v>2</v>
      </c>
      <c r="AM127" s="5">
        <f t="shared" si="18"/>
        <v>5.2631578947368418E-2</v>
      </c>
      <c r="AN127" s="4">
        <f t="shared" si="15"/>
        <v>7.9714621654476962E-5</v>
      </c>
      <c r="AO127" s="3"/>
      <c r="AP127">
        <v>0</v>
      </c>
      <c r="AR127" t="s">
        <v>0</v>
      </c>
      <c r="AT127" s="2" t="s">
        <v>45</v>
      </c>
      <c r="AU127" s="1">
        <f t="shared" si="19"/>
        <v>3.0893351934879991</v>
      </c>
      <c r="AV127" s="1">
        <f t="shared" si="20"/>
        <v>2.2089455559672704</v>
      </c>
      <c r="AW127" s="1">
        <f t="shared" si="21"/>
        <v>1.3285559184465412</v>
      </c>
    </row>
    <row r="128" spans="1:49" x14ac:dyDescent="0.2">
      <c r="A128">
        <v>126</v>
      </c>
      <c r="B128" t="s">
        <v>5945</v>
      </c>
      <c r="C128" t="s">
        <v>5944</v>
      </c>
      <c r="F128" t="s">
        <v>5943</v>
      </c>
      <c r="G128" t="s">
        <v>13</v>
      </c>
      <c r="H128" t="s">
        <v>12</v>
      </c>
      <c r="I128" t="s">
        <v>2658</v>
      </c>
      <c r="J128">
        <v>60008435</v>
      </c>
      <c r="K128" t="s">
        <v>1386</v>
      </c>
      <c r="L128" t="s">
        <v>1385</v>
      </c>
      <c r="M128" t="s">
        <v>643</v>
      </c>
      <c r="N128">
        <v>1</v>
      </c>
      <c r="O128" t="s">
        <v>2657</v>
      </c>
      <c r="P128">
        <v>57225662103</v>
      </c>
      <c r="Q128">
        <v>60008435</v>
      </c>
      <c r="R128" s="7">
        <v>30682</v>
      </c>
      <c r="S128" s="8">
        <f t="shared" si="16"/>
        <v>1984</v>
      </c>
      <c r="T128" s="8">
        <v>1984</v>
      </c>
      <c r="U128" s="8">
        <f t="shared" si="17"/>
        <v>38</v>
      </c>
      <c r="V128" s="7">
        <v>30803</v>
      </c>
      <c r="W128" t="s">
        <v>111</v>
      </c>
      <c r="X128" s="2">
        <v>2.383</v>
      </c>
      <c r="Y128" s="6">
        <f t="shared" si="14"/>
        <v>6.3612824003630442E-2</v>
      </c>
      <c r="AA128">
        <v>189219</v>
      </c>
      <c r="AB128">
        <v>17915</v>
      </c>
      <c r="AC128">
        <v>15582256</v>
      </c>
      <c r="AD128" t="s">
        <v>4</v>
      </c>
      <c r="AE128">
        <v>72</v>
      </c>
      <c r="AF128">
        <v>5</v>
      </c>
      <c r="AH128" t="s">
        <v>5942</v>
      </c>
      <c r="AI128" t="s">
        <v>5941</v>
      </c>
      <c r="AK128" t="s">
        <v>5940</v>
      </c>
      <c r="AL128">
        <v>5</v>
      </c>
      <c r="AM128" s="5">
        <f t="shared" si="18"/>
        <v>0.13157894736842105</v>
      </c>
      <c r="AN128" s="4">
        <f t="shared" si="15"/>
        <v>1.9928655413619243E-4</v>
      </c>
      <c r="AO128" s="3"/>
      <c r="AP128">
        <v>0</v>
      </c>
      <c r="AR128" t="s">
        <v>0</v>
      </c>
      <c r="AT128" s="2">
        <v>10.961</v>
      </c>
      <c r="AU128" s="1">
        <f t="shared" si="19"/>
        <v>4.4588762768782164</v>
      </c>
      <c r="AV128" s="1">
        <f t="shared" si="20"/>
        <v>3.1906055278883314</v>
      </c>
      <c r="AW128" s="1">
        <f t="shared" si="21"/>
        <v>1.9223347788984466</v>
      </c>
    </row>
    <row r="129" spans="1:49" x14ac:dyDescent="0.2">
      <c r="A129">
        <v>127</v>
      </c>
      <c r="B129" t="s">
        <v>5939</v>
      </c>
      <c r="C129" t="s">
        <v>5938</v>
      </c>
      <c r="F129" t="s">
        <v>5937</v>
      </c>
      <c r="G129" t="s">
        <v>13</v>
      </c>
      <c r="H129" t="s">
        <v>12</v>
      </c>
      <c r="I129" t="s">
        <v>2560</v>
      </c>
      <c r="N129">
        <v>1</v>
      </c>
      <c r="O129" t="s">
        <v>2559</v>
      </c>
      <c r="P129">
        <v>56697571600</v>
      </c>
      <c r="R129" s="7">
        <v>30682</v>
      </c>
      <c r="S129" s="8">
        <f t="shared" si="16"/>
        <v>1984</v>
      </c>
      <c r="T129" s="8">
        <v>1984</v>
      </c>
      <c r="U129" s="8">
        <f t="shared" si="17"/>
        <v>38</v>
      </c>
      <c r="V129" s="7">
        <v>30803</v>
      </c>
      <c r="W129" t="s">
        <v>111</v>
      </c>
      <c r="X129" s="2">
        <v>2.383</v>
      </c>
      <c r="Y129" s="6">
        <f t="shared" si="14"/>
        <v>6.3612824003630442E-2</v>
      </c>
      <c r="AA129">
        <v>189219</v>
      </c>
      <c r="AB129">
        <v>17915</v>
      </c>
      <c r="AC129">
        <v>15582256</v>
      </c>
      <c r="AD129" t="s">
        <v>4</v>
      </c>
      <c r="AE129">
        <v>72</v>
      </c>
      <c r="AF129">
        <v>5</v>
      </c>
      <c r="AH129" t="s">
        <v>5936</v>
      </c>
      <c r="AI129" t="s">
        <v>5935</v>
      </c>
      <c r="AK129" t="s">
        <v>5934</v>
      </c>
      <c r="AL129">
        <v>0</v>
      </c>
      <c r="AM129" s="5">
        <f t="shared" si="18"/>
        <v>0</v>
      </c>
      <c r="AN129" s="4">
        <f t="shared" si="15"/>
        <v>0</v>
      </c>
      <c r="AO129" s="3"/>
      <c r="AP129">
        <v>0</v>
      </c>
      <c r="AR129" t="s">
        <v>0</v>
      </c>
      <c r="AT129" s="2">
        <v>10.961</v>
      </c>
      <c r="AU129" s="1">
        <f t="shared" si="19"/>
        <v>4.4528976802541305</v>
      </c>
      <c r="AV129" s="1">
        <f t="shared" si="20"/>
        <v>3.1806412001815221</v>
      </c>
      <c r="AW129" s="1">
        <f t="shared" si="21"/>
        <v>1.9083847201089132</v>
      </c>
    </row>
    <row r="130" spans="1:49" x14ac:dyDescent="0.2">
      <c r="A130">
        <v>128</v>
      </c>
      <c r="B130" t="s">
        <v>5933</v>
      </c>
      <c r="C130" t="s">
        <v>5932</v>
      </c>
      <c r="F130" t="s">
        <v>5931</v>
      </c>
      <c r="G130" t="s">
        <v>13</v>
      </c>
      <c r="H130" t="s">
        <v>12</v>
      </c>
      <c r="I130" t="s">
        <v>5930</v>
      </c>
      <c r="J130">
        <v>106667386</v>
      </c>
      <c r="K130" t="s">
        <v>5929</v>
      </c>
      <c r="L130" t="s">
        <v>5928</v>
      </c>
      <c r="M130" t="s">
        <v>56</v>
      </c>
      <c r="N130">
        <v>2</v>
      </c>
      <c r="O130" t="s">
        <v>5927</v>
      </c>
      <c r="P130" t="s">
        <v>5926</v>
      </c>
      <c r="Q130" t="s">
        <v>5925</v>
      </c>
      <c r="R130" s="7">
        <v>30682</v>
      </c>
      <c r="S130" s="8">
        <f t="shared" si="16"/>
        <v>1984</v>
      </c>
      <c r="T130" s="8">
        <v>1984</v>
      </c>
      <c r="U130" s="8">
        <f t="shared" si="17"/>
        <v>38</v>
      </c>
      <c r="V130" s="7">
        <v>31017</v>
      </c>
      <c r="W130" t="s">
        <v>111</v>
      </c>
      <c r="X130" s="2">
        <v>2.383</v>
      </c>
      <c r="Y130" s="6">
        <f t="shared" ref="Y130:Y193" si="22">(X130-$Z$4)/($Z$3-$Z$4)</f>
        <v>6.3612824003630442E-2</v>
      </c>
      <c r="AA130">
        <v>189219</v>
      </c>
      <c r="AB130">
        <v>17915</v>
      </c>
      <c r="AC130">
        <v>15582256</v>
      </c>
      <c r="AD130" t="s">
        <v>4</v>
      </c>
      <c r="AE130">
        <v>72</v>
      </c>
      <c r="AF130">
        <v>12</v>
      </c>
      <c r="AH130" t="s">
        <v>5924</v>
      </c>
      <c r="AI130" t="s">
        <v>5923</v>
      </c>
      <c r="AK130" t="s">
        <v>5922</v>
      </c>
      <c r="AL130">
        <v>0</v>
      </c>
      <c r="AM130" s="5">
        <f t="shared" si="18"/>
        <v>0</v>
      </c>
      <c r="AN130" s="4">
        <f t="shared" ref="AN130:AN193" si="23">(AM130-$AO$4)/($AO$3-$AO$4)</f>
        <v>0</v>
      </c>
      <c r="AO130" s="3"/>
      <c r="AP130">
        <v>0</v>
      </c>
      <c r="AR130" t="s">
        <v>0</v>
      </c>
      <c r="AT130" s="2">
        <v>10.961</v>
      </c>
      <c r="AU130" s="1">
        <f t="shared" si="19"/>
        <v>4.4528976802541305</v>
      </c>
      <c r="AV130" s="1">
        <f t="shared" si="20"/>
        <v>3.1806412001815221</v>
      </c>
      <c r="AW130" s="1">
        <f t="shared" si="21"/>
        <v>1.9083847201089132</v>
      </c>
    </row>
    <row r="131" spans="1:49" x14ac:dyDescent="0.2">
      <c r="A131">
        <v>129</v>
      </c>
      <c r="B131" t="s">
        <v>5921</v>
      </c>
      <c r="C131" t="s">
        <v>5920</v>
      </c>
      <c r="F131" t="s">
        <v>5919</v>
      </c>
      <c r="G131" t="s">
        <v>13</v>
      </c>
      <c r="H131" t="s">
        <v>12</v>
      </c>
      <c r="I131" t="s">
        <v>5918</v>
      </c>
      <c r="J131">
        <v>60019647</v>
      </c>
      <c r="K131" t="s">
        <v>1736</v>
      </c>
      <c r="L131" t="s">
        <v>1735</v>
      </c>
      <c r="M131" t="s">
        <v>56</v>
      </c>
      <c r="N131">
        <v>1</v>
      </c>
      <c r="O131" t="s">
        <v>5917</v>
      </c>
      <c r="P131">
        <v>7005264251</v>
      </c>
      <c r="Q131">
        <v>60019647</v>
      </c>
      <c r="R131" s="7">
        <v>30682</v>
      </c>
      <c r="S131" s="8">
        <f t="shared" si="16"/>
        <v>1984</v>
      </c>
      <c r="T131" s="8">
        <v>1984</v>
      </c>
      <c r="U131" s="8">
        <f t="shared" si="17"/>
        <v>38</v>
      </c>
      <c r="V131" s="7">
        <v>30926</v>
      </c>
      <c r="W131" t="s">
        <v>111</v>
      </c>
      <c r="X131" s="2">
        <v>2.383</v>
      </c>
      <c r="Y131" s="6">
        <f t="shared" si="22"/>
        <v>6.3612824003630442E-2</v>
      </c>
      <c r="AA131">
        <v>189219</v>
      </c>
      <c r="AB131">
        <v>17915</v>
      </c>
      <c r="AC131">
        <v>15582256</v>
      </c>
      <c r="AD131" t="s">
        <v>4</v>
      </c>
      <c r="AE131">
        <v>72</v>
      </c>
      <c r="AF131">
        <v>9</v>
      </c>
      <c r="AH131">
        <v>1164</v>
      </c>
      <c r="AL131">
        <v>1</v>
      </c>
      <c r="AM131" s="5">
        <f t="shared" si="18"/>
        <v>2.6315789473684209E-2</v>
      </c>
      <c r="AN131" s="4">
        <f t="shared" si="23"/>
        <v>3.9857310827238481E-5</v>
      </c>
      <c r="AO131" s="3"/>
      <c r="AP131">
        <v>0</v>
      </c>
      <c r="AR131" t="s">
        <v>0</v>
      </c>
      <c r="AT131" s="2">
        <v>10.961</v>
      </c>
      <c r="AU131" s="1">
        <f t="shared" si="19"/>
        <v>4.454093399578948</v>
      </c>
      <c r="AV131" s="1">
        <f t="shared" si="20"/>
        <v>3.1826340657228842</v>
      </c>
      <c r="AW131" s="1">
        <f t="shared" si="21"/>
        <v>1.9111747318668197</v>
      </c>
    </row>
    <row r="132" spans="1:49" x14ac:dyDescent="0.2">
      <c r="A132">
        <v>130</v>
      </c>
      <c r="B132" t="s">
        <v>5916</v>
      </c>
      <c r="C132" t="s">
        <v>5915</v>
      </c>
      <c r="F132" t="s">
        <v>5914</v>
      </c>
      <c r="G132" t="s">
        <v>13</v>
      </c>
      <c r="H132" t="s">
        <v>12</v>
      </c>
      <c r="R132" s="7">
        <v>30682</v>
      </c>
      <c r="S132" s="8">
        <f t="shared" si="16"/>
        <v>1984</v>
      </c>
      <c r="T132" s="8">
        <v>1984</v>
      </c>
      <c r="U132" s="8">
        <f t="shared" si="17"/>
        <v>38</v>
      </c>
      <c r="V132" s="7">
        <v>30987</v>
      </c>
      <c r="W132" t="s">
        <v>1446</v>
      </c>
      <c r="X132" s="2">
        <v>1.137</v>
      </c>
      <c r="Y132" s="6">
        <f t="shared" si="22"/>
        <v>3.0351565628253384E-2</v>
      </c>
      <c r="AA132">
        <v>189251</v>
      </c>
      <c r="AB132">
        <v>17336</v>
      </c>
      <c r="AD132" t="s">
        <v>4</v>
      </c>
      <c r="AE132" t="s">
        <v>1445</v>
      </c>
      <c r="AF132">
        <v>6</v>
      </c>
      <c r="AH132">
        <v>844</v>
      </c>
      <c r="AL132">
        <v>0</v>
      </c>
      <c r="AM132" s="5">
        <f t="shared" si="18"/>
        <v>0</v>
      </c>
      <c r="AN132" s="4">
        <f t="shared" si="23"/>
        <v>0</v>
      </c>
      <c r="AO132" s="3"/>
      <c r="AP132">
        <v>0</v>
      </c>
      <c r="AR132" t="s">
        <v>0</v>
      </c>
      <c r="AT132" s="2" t="s">
        <v>45</v>
      </c>
      <c r="AU132" s="1">
        <f t="shared" si="19"/>
        <v>2.1246095939777367</v>
      </c>
      <c r="AV132" s="1">
        <f t="shared" si="20"/>
        <v>1.5175782814126693</v>
      </c>
      <c r="AW132" s="1">
        <f t="shared" si="21"/>
        <v>0.91054696884760156</v>
      </c>
    </row>
    <row r="133" spans="1:49" x14ac:dyDescent="0.2">
      <c r="A133">
        <v>131</v>
      </c>
      <c r="B133" t="s">
        <v>5913</v>
      </c>
      <c r="C133" t="s">
        <v>5912</v>
      </c>
      <c r="F133" t="s">
        <v>5911</v>
      </c>
      <c r="G133" t="s">
        <v>13</v>
      </c>
      <c r="H133" t="s">
        <v>12</v>
      </c>
      <c r="I133" t="s">
        <v>5910</v>
      </c>
      <c r="J133">
        <v>60006288</v>
      </c>
      <c r="K133" t="s">
        <v>3925</v>
      </c>
      <c r="L133" t="s">
        <v>3924</v>
      </c>
      <c r="M133" t="s">
        <v>605</v>
      </c>
      <c r="N133">
        <v>2</v>
      </c>
      <c r="O133" t="s">
        <v>5909</v>
      </c>
      <c r="P133" t="s">
        <v>5908</v>
      </c>
      <c r="Q133" t="s">
        <v>3921</v>
      </c>
      <c r="R133" s="7">
        <v>30682</v>
      </c>
      <c r="S133" s="8">
        <f t="shared" si="16"/>
        <v>1984</v>
      </c>
      <c r="T133" s="8">
        <v>1984</v>
      </c>
      <c r="U133" s="8">
        <f t="shared" si="17"/>
        <v>38</v>
      </c>
      <c r="V133" s="7">
        <v>30895</v>
      </c>
      <c r="W133" t="s">
        <v>5907</v>
      </c>
      <c r="X133" s="2">
        <v>0.76700000000000002</v>
      </c>
      <c r="Y133" s="6">
        <f t="shared" si="22"/>
        <v>2.0474626945356504E-2</v>
      </c>
      <c r="AA133">
        <v>983063</v>
      </c>
      <c r="AB133">
        <v>26048</v>
      </c>
      <c r="AD133" t="s">
        <v>4</v>
      </c>
      <c r="AE133" t="s">
        <v>5906</v>
      </c>
      <c r="AF133">
        <v>4</v>
      </c>
      <c r="AH133" t="s">
        <v>5905</v>
      </c>
      <c r="AI133" t="s">
        <v>5904</v>
      </c>
      <c r="AK133" t="s">
        <v>5903</v>
      </c>
      <c r="AL133">
        <v>1</v>
      </c>
      <c r="AM133" s="5">
        <f t="shared" si="18"/>
        <v>2.6315789473684209E-2</v>
      </c>
      <c r="AN133" s="4">
        <f t="shared" si="23"/>
        <v>3.9857310827238481E-5</v>
      </c>
      <c r="AO133" s="3"/>
      <c r="AP133">
        <v>0</v>
      </c>
      <c r="AR133" t="s">
        <v>0</v>
      </c>
      <c r="AT133" s="2" t="s">
        <v>45</v>
      </c>
      <c r="AU133" s="1">
        <f t="shared" si="19"/>
        <v>1.4344196054997724</v>
      </c>
      <c r="AV133" s="1">
        <f t="shared" si="20"/>
        <v>1.0257242128091872</v>
      </c>
      <c r="AW133" s="1">
        <f t="shared" si="21"/>
        <v>0.61702882011860183</v>
      </c>
    </row>
    <row r="134" spans="1:49" x14ac:dyDescent="0.2">
      <c r="A134">
        <v>132</v>
      </c>
      <c r="B134" t="s">
        <v>5902</v>
      </c>
      <c r="C134" t="s">
        <v>5901</v>
      </c>
      <c r="F134" t="s">
        <v>5888</v>
      </c>
      <c r="G134" t="s">
        <v>13</v>
      </c>
      <c r="H134" t="s">
        <v>12</v>
      </c>
      <c r="I134" t="s">
        <v>5887</v>
      </c>
      <c r="J134">
        <v>60020818</v>
      </c>
      <c r="K134" t="s">
        <v>5886</v>
      </c>
      <c r="L134" t="s">
        <v>5885</v>
      </c>
      <c r="M134" t="s">
        <v>56</v>
      </c>
      <c r="N134">
        <v>1</v>
      </c>
      <c r="O134" t="s">
        <v>5884</v>
      </c>
      <c r="P134">
        <v>57189501138</v>
      </c>
      <c r="Q134">
        <v>60020818</v>
      </c>
      <c r="R134" s="7">
        <v>30682</v>
      </c>
      <c r="S134" s="8">
        <f t="shared" si="16"/>
        <v>1984</v>
      </c>
      <c r="T134" s="8">
        <v>1984</v>
      </c>
      <c r="U134" s="8">
        <f t="shared" si="17"/>
        <v>38</v>
      </c>
      <c r="V134" s="7">
        <v>30713</v>
      </c>
      <c r="W134" s="11" t="s">
        <v>5883</v>
      </c>
      <c r="X134" s="2">
        <v>1.3280000000000001</v>
      </c>
      <c r="Y134" s="6">
        <f t="shared" si="22"/>
        <v>3.5450201542937994E-2</v>
      </c>
      <c r="AA134">
        <v>21680329</v>
      </c>
      <c r="AB134">
        <v>21100399421</v>
      </c>
      <c r="AD134" t="s">
        <v>4</v>
      </c>
      <c r="AE134">
        <v>26</v>
      </c>
      <c r="AF134">
        <v>1</v>
      </c>
      <c r="AH134" t="s">
        <v>5900</v>
      </c>
      <c r="AL134">
        <v>0</v>
      </c>
      <c r="AM134" s="5">
        <f t="shared" si="18"/>
        <v>0</v>
      </c>
      <c r="AN134" s="4">
        <f t="shared" si="23"/>
        <v>0</v>
      </c>
      <c r="AO134" s="3"/>
      <c r="AP134">
        <v>0</v>
      </c>
      <c r="AR134" t="s">
        <v>0</v>
      </c>
      <c r="AT134" s="2" t="s">
        <v>45</v>
      </c>
      <c r="AU134" s="1">
        <f t="shared" si="19"/>
        <v>2.4815141080056597</v>
      </c>
      <c r="AV134" s="1">
        <f t="shared" si="20"/>
        <v>1.7725100771468998</v>
      </c>
      <c r="AW134" s="1">
        <f t="shared" si="21"/>
        <v>1.0635060462881398</v>
      </c>
    </row>
    <row r="135" spans="1:49" x14ac:dyDescent="0.2">
      <c r="A135">
        <v>133</v>
      </c>
      <c r="B135" t="s">
        <v>5899</v>
      </c>
      <c r="C135" t="s">
        <v>5898</v>
      </c>
      <c r="F135" t="s">
        <v>5888</v>
      </c>
      <c r="G135" t="s">
        <v>13</v>
      </c>
      <c r="H135" t="s">
        <v>12</v>
      </c>
      <c r="I135" t="s">
        <v>5887</v>
      </c>
      <c r="J135">
        <v>60020818</v>
      </c>
      <c r="K135" t="s">
        <v>5886</v>
      </c>
      <c r="L135" t="s">
        <v>5885</v>
      </c>
      <c r="M135" t="s">
        <v>56</v>
      </c>
      <c r="N135">
        <v>1</v>
      </c>
      <c r="O135" t="s">
        <v>5884</v>
      </c>
      <c r="P135">
        <v>57189501138</v>
      </c>
      <c r="Q135">
        <v>60020818</v>
      </c>
      <c r="R135" s="7">
        <v>30682</v>
      </c>
      <c r="S135" s="8">
        <f t="shared" si="16"/>
        <v>1984</v>
      </c>
      <c r="T135" s="8">
        <v>1984</v>
      </c>
      <c r="U135" s="8">
        <f t="shared" si="17"/>
        <v>38</v>
      </c>
      <c r="V135" s="7">
        <v>30895</v>
      </c>
      <c r="W135" s="11" t="s">
        <v>5883</v>
      </c>
      <c r="X135" s="2">
        <v>1.3280000000000001</v>
      </c>
      <c r="Y135" s="6">
        <f t="shared" si="22"/>
        <v>3.5450201542937994E-2</v>
      </c>
      <c r="AA135">
        <v>21680329</v>
      </c>
      <c r="AB135">
        <v>21100399421</v>
      </c>
      <c r="AD135" t="s">
        <v>4</v>
      </c>
      <c r="AE135">
        <v>26</v>
      </c>
      <c r="AF135">
        <v>4</v>
      </c>
      <c r="AH135" t="s">
        <v>5882</v>
      </c>
      <c r="AL135">
        <v>0</v>
      </c>
      <c r="AM135" s="5">
        <f t="shared" si="18"/>
        <v>0</v>
      </c>
      <c r="AN135" s="4">
        <f t="shared" si="23"/>
        <v>0</v>
      </c>
      <c r="AO135" s="3"/>
      <c r="AP135">
        <v>0</v>
      </c>
      <c r="AR135" t="s">
        <v>0</v>
      </c>
      <c r="AT135" s="2" t="s">
        <v>45</v>
      </c>
      <c r="AU135" s="1">
        <f t="shared" si="19"/>
        <v>2.4815141080056597</v>
      </c>
      <c r="AV135" s="1">
        <f t="shared" si="20"/>
        <v>1.7725100771468998</v>
      </c>
      <c r="AW135" s="1">
        <f t="shared" si="21"/>
        <v>1.0635060462881398</v>
      </c>
    </row>
    <row r="136" spans="1:49" x14ac:dyDescent="0.2">
      <c r="A136">
        <v>134</v>
      </c>
      <c r="B136" t="s">
        <v>5897</v>
      </c>
      <c r="C136" t="s">
        <v>5896</v>
      </c>
      <c r="F136" t="s">
        <v>5888</v>
      </c>
      <c r="G136" t="s">
        <v>13</v>
      </c>
      <c r="H136" t="s">
        <v>12</v>
      </c>
      <c r="I136" t="s">
        <v>5887</v>
      </c>
      <c r="J136">
        <v>60020818</v>
      </c>
      <c r="K136" t="s">
        <v>5886</v>
      </c>
      <c r="L136" t="s">
        <v>5885</v>
      </c>
      <c r="M136" t="s">
        <v>56</v>
      </c>
      <c r="N136">
        <v>1</v>
      </c>
      <c r="O136" t="s">
        <v>5884</v>
      </c>
      <c r="P136">
        <v>57189501138</v>
      </c>
      <c r="Q136">
        <v>60020818</v>
      </c>
      <c r="R136" s="7">
        <v>30682</v>
      </c>
      <c r="S136" s="8">
        <f t="shared" si="16"/>
        <v>1984</v>
      </c>
      <c r="T136" s="8">
        <v>1984</v>
      </c>
      <c r="U136" s="8">
        <f t="shared" si="17"/>
        <v>38</v>
      </c>
      <c r="V136" s="7">
        <v>30773</v>
      </c>
      <c r="W136" s="11" t="s">
        <v>5883</v>
      </c>
      <c r="X136" s="2">
        <v>1.3280000000000001</v>
      </c>
      <c r="Y136" s="6">
        <f t="shared" si="22"/>
        <v>3.5450201542937994E-2</v>
      </c>
      <c r="AA136">
        <v>21680329</v>
      </c>
      <c r="AB136">
        <v>21100399421</v>
      </c>
      <c r="AD136" t="s">
        <v>4</v>
      </c>
      <c r="AE136">
        <v>26</v>
      </c>
      <c r="AF136">
        <v>2</v>
      </c>
      <c r="AH136" t="s">
        <v>5895</v>
      </c>
      <c r="AL136">
        <v>0</v>
      </c>
      <c r="AM136" s="5">
        <f t="shared" si="18"/>
        <v>0</v>
      </c>
      <c r="AN136" s="4">
        <f t="shared" si="23"/>
        <v>0</v>
      </c>
      <c r="AO136" s="3"/>
      <c r="AP136">
        <v>0</v>
      </c>
      <c r="AR136" t="s">
        <v>0</v>
      </c>
      <c r="AT136" s="2" t="s">
        <v>45</v>
      </c>
      <c r="AU136" s="1">
        <f t="shared" si="19"/>
        <v>2.4815141080056597</v>
      </c>
      <c r="AV136" s="1">
        <f t="shared" si="20"/>
        <v>1.7725100771468998</v>
      </c>
      <c r="AW136" s="1">
        <f t="shared" si="21"/>
        <v>1.0635060462881398</v>
      </c>
    </row>
    <row r="137" spans="1:49" x14ac:dyDescent="0.2">
      <c r="A137">
        <v>135</v>
      </c>
      <c r="B137" t="s">
        <v>5894</v>
      </c>
      <c r="C137" t="s">
        <v>5893</v>
      </c>
      <c r="F137" t="s">
        <v>5888</v>
      </c>
      <c r="G137" t="s">
        <v>13</v>
      </c>
      <c r="H137" t="s">
        <v>12</v>
      </c>
      <c r="I137" t="s">
        <v>5887</v>
      </c>
      <c r="J137">
        <v>60020818</v>
      </c>
      <c r="K137" t="s">
        <v>5886</v>
      </c>
      <c r="L137" t="s">
        <v>5885</v>
      </c>
      <c r="M137" t="s">
        <v>56</v>
      </c>
      <c r="N137">
        <v>1</v>
      </c>
      <c r="O137" t="s">
        <v>5884</v>
      </c>
      <c r="P137">
        <v>57189501138</v>
      </c>
      <c r="Q137">
        <v>60020818</v>
      </c>
      <c r="R137" s="7">
        <v>30682</v>
      </c>
      <c r="S137" s="8">
        <f t="shared" si="16"/>
        <v>1984</v>
      </c>
      <c r="T137" s="8">
        <v>1984</v>
      </c>
      <c r="U137" s="8">
        <f t="shared" si="17"/>
        <v>38</v>
      </c>
      <c r="V137" s="7">
        <v>31017</v>
      </c>
      <c r="W137" s="11" t="s">
        <v>5883</v>
      </c>
      <c r="X137" s="2">
        <v>1.3280000000000001</v>
      </c>
      <c r="Y137" s="6">
        <f t="shared" si="22"/>
        <v>3.5450201542937994E-2</v>
      </c>
      <c r="AA137">
        <v>21680329</v>
      </c>
      <c r="AB137">
        <v>21100399421</v>
      </c>
      <c r="AD137" t="s">
        <v>4</v>
      </c>
      <c r="AE137">
        <v>26</v>
      </c>
      <c r="AF137">
        <v>6</v>
      </c>
      <c r="AH137" s="9">
        <v>44447</v>
      </c>
      <c r="AL137">
        <v>0</v>
      </c>
      <c r="AM137" s="5">
        <f t="shared" si="18"/>
        <v>0</v>
      </c>
      <c r="AN137" s="4">
        <f t="shared" si="23"/>
        <v>0</v>
      </c>
      <c r="AO137" s="3"/>
      <c r="AP137">
        <v>0</v>
      </c>
      <c r="AR137" t="s">
        <v>0</v>
      </c>
      <c r="AT137" s="2" t="s">
        <v>45</v>
      </c>
      <c r="AU137" s="1">
        <f t="shared" si="19"/>
        <v>2.4815141080056597</v>
      </c>
      <c r="AV137" s="1">
        <f t="shared" si="20"/>
        <v>1.7725100771468998</v>
      </c>
      <c r="AW137" s="1">
        <f t="shared" si="21"/>
        <v>1.0635060462881398</v>
      </c>
    </row>
    <row r="138" spans="1:49" x14ac:dyDescent="0.2">
      <c r="A138">
        <v>136</v>
      </c>
      <c r="B138" t="s">
        <v>5892</v>
      </c>
      <c r="C138" t="s">
        <v>5891</v>
      </c>
      <c r="F138" t="s">
        <v>5888</v>
      </c>
      <c r="G138" t="s">
        <v>13</v>
      </c>
      <c r="H138" t="s">
        <v>12</v>
      </c>
      <c r="I138" t="s">
        <v>5887</v>
      </c>
      <c r="J138">
        <v>60020818</v>
      </c>
      <c r="K138" t="s">
        <v>5886</v>
      </c>
      <c r="L138" t="s">
        <v>5885</v>
      </c>
      <c r="M138" t="s">
        <v>56</v>
      </c>
      <c r="N138">
        <v>1</v>
      </c>
      <c r="O138" t="s">
        <v>5884</v>
      </c>
      <c r="P138">
        <v>57189501138</v>
      </c>
      <c r="Q138">
        <v>60020818</v>
      </c>
      <c r="R138" s="7">
        <v>30682</v>
      </c>
      <c r="S138" s="8">
        <f t="shared" si="16"/>
        <v>1984</v>
      </c>
      <c r="T138" s="8">
        <v>1984</v>
      </c>
      <c r="U138" s="8">
        <f t="shared" si="17"/>
        <v>38</v>
      </c>
      <c r="V138" s="7">
        <v>30956</v>
      </c>
      <c r="W138" s="11" t="s">
        <v>5883</v>
      </c>
      <c r="X138" s="2">
        <v>1.3280000000000001</v>
      </c>
      <c r="Y138" s="6">
        <f t="shared" si="22"/>
        <v>3.5450201542937994E-2</v>
      </c>
      <c r="AA138">
        <v>21680329</v>
      </c>
      <c r="AB138">
        <v>21100399421</v>
      </c>
      <c r="AD138" t="s">
        <v>4</v>
      </c>
      <c r="AE138">
        <v>26</v>
      </c>
      <c r="AF138">
        <v>5</v>
      </c>
      <c r="AH138">
        <v>12</v>
      </c>
      <c r="AL138">
        <v>1</v>
      </c>
      <c r="AM138" s="5">
        <f t="shared" si="18"/>
        <v>2.6315789473684209E-2</v>
      </c>
      <c r="AN138" s="4">
        <f t="shared" si="23"/>
        <v>3.9857310827238481E-5</v>
      </c>
      <c r="AO138" s="3"/>
      <c r="AP138">
        <v>0</v>
      </c>
      <c r="AR138" t="s">
        <v>0</v>
      </c>
      <c r="AT138" s="2" t="s">
        <v>45</v>
      </c>
      <c r="AU138" s="1">
        <f t="shared" si="19"/>
        <v>2.4827098273304768</v>
      </c>
      <c r="AV138" s="1">
        <f t="shared" si="20"/>
        <v>1.7745029426882615</v>
      </c>
      <c r="AW138" s="1">
        <f t="shared" si="21"/>
        <v>1.0662960580460465</v>
      </c>
    </row>
    <row r="139" spans="1:49" x14ac:dyDescent="0.2">
      <c r="A139">
        <v>137</v>
      </c>
      <c r="B139" t="s">
        <v>5890</v>
      </c>
      <c r="C139" t="s">
        <v>5889</v>
      </c>
      <c r="F139" t="s">
        <v>5888</v>
      </c>
      <c r="G139" t="s">
        <v>13</v>
      </c>
      <c r="H139" t="s">
        <v>12</v>
      </c>
      <c r="I139" t="s">
        <v>5887</v>
      </c>
      <c r="J139">
        <v>60020818</v>
      </c>
      <c r="K139" t="s">
        <v>5886</v>
      </c>
      <c r="L139" t="s">
        <v>5885</v>
      </c>
      <c r="M139" t="s">
        <v>56</v>
      </c>
      <c r="N139">
        <v>1</v>
      </c>
      <c r="O139" t="s">
        <v>5884</v>
      </c>
      <c r="P139">
        <v>57189501138</v>
      </c>
      <c r="Q139">
        <v>60020818</v>
      </c>
      <c r="R139" s="7">
        <v>30682</v>
      </c>
      <c r="S139" s="8">
        <f t="shared" si="16"/>
        <v>1984</v>
      </c>
      <c r="T139" s="8">
        <v>1984</v>
      </c>
      <c r="U139" s="8">
        <f t="shared" si="17"/>
        <v>38</v>
      </c>
      <c r="V139" s="7">
        <v>30834</v>
      </c>
      <c r="W139" s="11" t="s">
        <v>5883</v>
      </c>
      <c r="X139" s="2">
        <v>1.3280000000000001</v>
      </c>
      <c r="Y139" s="6">
        <f t="shared" si="22"/>
        <v>3.5450201542937994E-2</v>
      </c>
      <c r="AA139">
        <v>21680329</v>
      </c>
      <c r="AB139">
        <v>21100399421</v>
      </c>
      <c r="AD139" t="s">
        <v>4</v>
      </c>
      <c r="AE139">
        <v>26</v>
      </c>
      <c r="AF139">
        <v>3</v>
      </c>
      <c r="AH139" t="s">
        <v>5882</v>
      </c>
      <c r="AL139">
        <v>0</v>
      </c>
      <c r="AM139" s="5">
        <f t="shared" si="18"/>
        <v>0</v>
      </c>
      <c r="AN139" s="4">
        <f t="shared" si="23"/>
        <v>0</v>
      </c>
      <c r="AO139" s="3"/>
      <c r="AP139">
        <v>0</v>
      </c>
      <c r="AR139" t="s">
        <v>0</v>
      </c>
      <c r="AT139" s="2" t="s">
        <v>45</v>
      </c>
      <c r="AU139" s="1">
        <f t="shared" si="19"/>
        <v>2.4815141080056597</v>
      </c>
      <c r="AV139" s="1">
        <f t="shared" si="20"/>
        <v>1.7725100771468998</v>
      </c>
      <c r="AW139" s="1">
        <f t="shared" si="21"/>
        <v>1.0635060462881398</v>
      </c>
    </row>
    <row r="140" spans="1:49" x14ac:dyDescent="0.2">
      <c r="A140">
        <v>138</v>
      </c>
      <c r="B140" t="s">
        <v>5881</v>
      </c>
      <c r="C140" t="s">
        <v>5880</v>
      </c>
      <c r="F140" t="s">
        <v>5879</v>
      </c>
      <c r="G140" t="s">
        <v>13</v>
      </c>
      <c r="H140" t="s">
        <v>12</v>
      </c>
      <c r="I140" t="s">
        <v>5878</v>
      </c>
      <c r="J140">
        <v>60070174</v>
      </c>
      <c r="K140" t="s">
        <v>5877</v>
      </c>
      <c r="L140" t="s">
        <v>5876</v>
      </c>
      <c r="M140" t="s">
        <v>605</v>
      </c>
      <c r="N140">
        <v>1</v>
      </c>
      <c r="O140" t="s">
        <v>5875</v>
      </c>
      <c r="P140">
        <v>6701849147</v>
      </c>
      <c r="Q140">
        <v>60070174</v>
      </c>
      <c r="R140" s="7">
        <v>30682</v>
      </c>
      <c r="S140" s="8">
        <f t="shared" si="16"/>
        <v>1984</v>
      </c>
      <c r="T140" s="8">
        <v>1984</v>
      </c>
      <c r="U140" s="8">
        <f t="shared" si="17"/>
        <v>38</v>
      </c>
      <c r="V140" s="7">
        <v>30956</v>
      </c>
      <c r="W140" t="s">
        <v>380</v>
      </c>
      <c r="X140" s="2">
        <v>1.6519999999999999</v>
      </c>
      <c r="Y140" s="6">
        <f t="shared" si="22"/>
        <v>4.409919649769093E-2</v>
      </c>
      <c r="AA140" t="s">
        <v>379</v>
      </c>
      <c r="AB140">
        <v>17337</v>
      </c>
      <c r="AC140">
        <v>15582221</v>
      </c>
      <c r="AD140" t="s">
        <v>4</v>
      </c>
      <c r="AE140">
        <v>32</v>
      </c>
      <c r="AF140">
        <v>10</v>
      </c>
      <c r="AH140" t="s">
        <v>5874</v>
      </c>
      <c r="AI140" t="s">
        <v>5873</v>
      </c>
      <c r="AK140" t="s">
        <v>5872</v>
      </c>
      <c r="AL140">
        <v>8</v>
      </c>
      <c r="AM140" s="5">
        <f t="shared" si="18"/>
        <v>0.21052631578947367</v>
      </c>
      <c r="AN140" s="4">
        <f t="shared" si="23"/>
        <v>3.1885848661790785E-4</v>
      </c>
      <c r="AO140" s="3"/>
      <c r="AP140">
        <v>0</v>
      </c>
      <c r="AR140" t="s">
        <v>0</v>
      </c>
      <c r="AT140" s="2" t="s">
        <v>45</v>
      </c>
      <c r="AU140" s="1">
        <f t="shared" si="19"/>
        <v>3.0965095094369026</v>
      </c>
      <c r="AV140" s="1">
        <f t="shared" si="20"/>
        <v>2.2209027492154423</v>
      </c>
      <c r="AW140" s="1">
        <f t="shared" si="21"/>
        <v>1.3452959889939813</v>
      </c>
    </row>
    <row r="141" spans="1:49" x14ac:dyDescent="0.2">
      <c r="A141">
        <v>139</v>
      </c>
      <c r="B141" t="s">
        <v>5871</v>
      </c>
      <c r="C141" t="s">
        <v>5870</v>
      </c>
      <c r="F141" t="s">
        <v>5869</v>
      </c>
      <c r="G141" t="s">
        <v>13</v>
      </c>
      <c r="H141" t="s">
        <v>12</v>
      </c>
      <c r="I141" t="s">
        <v>5868</v>
      </c>
      <c r="J141">
        <v>60032270</v>
      </c>
      <c r="K141" t="s">
        <v>5867</v>
      </c>
      <c r="L141" t="s">
        <v>5866</v>
      </c>
      <c r="M141" t="s">
        <v>56</v>
      </c>
      <c r="N141">
        <v>2</v>
      </c>
      <c r="O141" t="s">
        <v>5865</v>
      </c>
      <c r="P141" t="s">
        <v>5864</v>
      </c>
      <c r="Q141" t="s">
        <v>5863</v>
      </c>
      <c r="R141" s="7">
        <v>30682</v>
      </c>
      <c r="S141" s="8">
        <f t="shared" si="16"/>
        <v>1984</v>
      </c>
      <c r="T141" s="8">
        <v>1984</v>
      </c>
      <c r="U141" s="8">
        <f t="shared" si="17"/>
        <v>38</v>
      </c>
      <c r="V141" s="7">
        <v>30926</v>
      </c>
      <c r="W141" t="s">
        <v>5862</v>
      </c>
      <c r="X141" s="2" t="s">
        <v>45</v>
      </c>
      <c r="Y141" s="6" t="e">
        <f t="shared" si="22"/>
        <v>#VALUE!</v>
      </c>
      <c r="AA141" t="s">
        <v>5861</v>
      </c>
      <c r="AB141">
        <v>19716</v>
      </c>
      <c r="AC141">
        <v>19183240</v>
      </c>
      <c r="AD141" t="s">
        <v>4</v>
      </c>
      <c r="AE141">
        <v>116</v>
      </c>
      <c r="AF141">
        <v>9</v>
      </c>
      <c r="AH141" t="s">
        <v>5860</v>
      </c>
      <c r="AI141" t="s">
        <v>5859</v>
      </c>
      <c r="AK141" t="s">
        <v>5858</v>
      </c>
      <c r="AL141">
        <v>5</v>
      </c>
      <c r="AM141" s="5">
        <f t="shared" si="18"/>
        <v>0.13157894736842105</v>
      </c>
      <c r="AN141" s="4">
        <f t="shared" si="23"/>
        <v>1.9928655413619243E-4</v>
      </c>
      <c r="AO141" s="3"/>
      <c r="AP141">
        <v>0</v>
      </c>
      <c r="AR141" t="s">
        <v>0</v>
      </c>
      <c r="AT141" s="2" t="s">
        <v>45</v>
      </c>
      <c r="AU141" s="1" t="e">
        <f t="shared" si="19"/>
        <v>#VALUE!</v>
      </c>
      <c r="AV141" s="1" t="e">
        <f t="shared" si="20"/>
        <v>#VALUE!</v>
      </c>
      <c r="AW141" s="1" t="e">
        <f t="shared" si="21"/>
        <v>#VALUE!</v>
      </c>
    </row>
    <row r="142" spans="1:49" x14ac:dyDescent="0.2">
      <c r="A142">
        <v>140</v>
      </c>
      <c r="B142" t="s">
        <v>5857</v>
      </c>
      <c r="C142" t="s">
        <v>5856</v>
      </c>
      <c r="D142" t="s">
        <v>5855</v>
      </c>
      <c r="F142" t="s">
        <v>5854</v>
      </c>
      <c r="G142" t="s">
        <v>13</v>
      </c>
      <c r="H142" t="s">
        <v>12</v>
      </c>
      <c r="I142" t="s">
        <v>5853</v>
      </c>
      <c r="J142" t="s">
        <v>5848</v>
      </c>
      <c r="K142" t="s">
        <v>5852</v>
      </c>
      <c r="L142" t="s">
        <v>5851</v>
      </c>
      <c r="M142" t="s">
        <v>206</v>
      </c>
      <c r="N142">
        <v>2</v>
      </c>
      <c r="O142" t="s">
        <v>5850</v>
      </c>
      <c r="P142" t="s">
        <v>5849</v>
      </c>
      <c r="Q142" t="s">
        <v>5848</v>
      </c>
      <c r="R142" s="7">
        <v>30682</v>
      </c>
      <c r="S142" s="8">
        <f t="shared" si="16"/>
        <v>1984</v>
      </c>
      <c r="T142" s="8">
        <v>1984</v>
      </c>
      <c r="U142" s="8">
        <f t="shared" si="17"/>
        <v>38</v>
      </c>
      <c r="V142" s="7">
        <v>30713</v>
      </c>
      <c r="W142" t="s">
        <v>5847</v>
      </c>
      <c r="X142" s="2">
        <v>1.2609999999999999</v>
      </c>
      <c r="Y142" s="6">
        <f t="shared" si="22"/>
        <v>3.3661674808467469E-2</v>
      </c>
      <c r="AA142">
        <v>33472</v>
      </c>
      <c r="AB142">
        <v>24580</v>
      </c>
      <c r="AD142" t="s">
        <v>4</v>
      </c>
      <c r="AE142">
        <v>32</v>
      </c>
      <c r="AF142">
        <v>1</v>
      </c>
      <c r="AH142" t="s">
        <v>5846</v>
      </c>
      <c r="AI142" t="s">
        <v>5845</v>
      </c>
      <c r="AK142" t="s">
        <v>5844</v>
      </c>
      <c r="AL142">
        <v>4</v>
      </c>
      <c r="AM142" s="5">
        <f t="shared" si="18"/>
        <v>0.10526315789473684</v>
      </c>
      <c r="AN142" s="4">
        <f t="shared" si="23"/>
        <v>1.5942924330895392E-4</v>
      </c>
      <c r="AO142" s="3"/>
      <c r="AP142">
        <v>0</v>
      </c>
      <c r="AQ142" t="s">
        <v>48</v>
      </c>
      <c r="AR142" t="s">
        <v>5843</v>
      </c>
      <c r="AS142" t="s">
        <v>46</v>
      </c>
      <c r="AT142" s="2">
        <v>2.8439999999999999</v>
      </c>
      <c r="AU142" s="1">
        <f t="shared" si="19"/>
        <v>2.3611001138919914</v>
      </c>
      <c r="AV142" s="1">
        <f t="shared" si="20"/>
        <v>1.691055202588821</v>
      </c>
      <c r="AW142" s="1">
        <f t="shared" si="21"/>
        <v>1.0210102912856509</v>
      </c>
    </row>
    <row r="143" spans="1:49" x14ac:dyDescent="0.2">
      <c r="A143">
        <v>141</v>
      </c>
      <c r="B143" t="s">
        <v>5842</v>
      </c>
      <c r="C143" t="s">
        <v>5841</v>
      </c>
      <c r="F143" t="s">
        <v>5840</v>
      </c>
      <c r="G143" t="s">
        <v>13</v>
      </c>
      <c r="H143" t="s">
        <v>12</v>
      </c>
      <c r="I143" t="s">
        <v>5839</v>
      </c>
      <c r="J143">
        <v>60032179</v>
      </c>
      <c r="K143" t="s">
        <v>696</v>
      </c>
      <c r="L143" t="s">
        <v>695</v>
      </c>
      <c r="M143" t="s">
        <v>56</v>
      </c>
      <c r="N143">
        <v>3</v>
      </c>
      <c r="O143" t="s">
        <v>5838</v>
      </c>
      <c r="P143" t="s">
        <v>5837</v>
      </c>
      <c r="Q143" t="s">
        <v>5836</v>
      </c>
      <c r="R143" s="7">
        <v>30682</v>
      </c>
      <c r="S143" s="8">
        <f t="shared" si="16"/>
        <v>1984</v>
      </c>
      <c r="T143" s="8">
        <v>1984</v>
      </c>
      <c r="U143" s="8">
        <f t="shared" si="17"/>
        <v>38</v>
      </c>
      <c r="V143" s="7">
        <v>1984</v>
      </c>
      <c r="W143" t="s">
        <v>5603</v>
      </c>
      <c r="X143" s="2">
        <v>3.6880000000000002</v>
      </c>
      <c r="Y143" s="6">
        <f t="shared" si="22"/>
        <v>9.8449053682496471E-2</v>
      </c>
      <c r="AA143">
        <v>319007</v>
      </c>
      <c r="AB143">
        <v>29150</v>
      </c>
      <c r="AD143" t="s">
        <v>4</v>
      </c>
      <c r="AE143">
        <v>53</v>
      </c>
      <c r="AF143">
        <v>16</v>
      </c>
      <c r="AH143" t="s">
        <v>5835</v>
      </c>
      <c r="AI143" t="s">
        <v>5834</v>
      </c>
      <c r="AK143" t="s">
        <v>5833</v>
      </c>
      <c r="AL143">
        <v>16</v>
      </c>
      <c r="AM143" s="5">
        <f t="shared" si="18"/>
        <v>0.42105263157894735</v>
      </c>
      <c r="AN143" s="4">
        <f t="shared" si="23"/>
        <v>6.377169732358157E-4</v>
      </c>
      <c r="AO143" s="3"/>
      <c r="AP143">
        <v>0</v>
      </c>
      <c r="AR143" t="s">
        <v>0</v>
      </c>
      <c r="AT143" s="2">
        <v>9.1609999999999996</v>
      </c>
      <c r="AU143" s="1">
        <f t="shared" si="19"/>
        <v>6.9105652669718269</v>
      </c>
      <c r="AV143" s="1">
        <f t="shared" si="20"/>
        <v>4.9543385327866147</v>
      </c>
      <c r="AW143" s="1">
        <f t="shared" si="21"/>
        <v>2.9981117986014012</v>
      </c>
    </row>
    <row r="144" spans="1:49" x14ac:dyDescent="0.2">
      <c r="A144">
        <v>142</v>
      </c>
      <c r="B144" t="s">
        <v>5832</v>
      </c>
      <c r="C144" t="s">
        <v>5831</v>
      </c>
      <c r="F144" t="s">
        <v>5830</v>
      </c>
      <c r="G144" t="s">
        <v>13</v>
      </c>
      <c r="H144" t="s">
        <v>12</v>
      </c>
      <c r="I144" t="s">
        <v>5829</v>
      </c>
      <c r="J144">
        <v>60005465</v>
      </c>
      <c r="K144" t="s">
        <v>5828</v>
      </c>
      <c r="L144" t="s">
        <v>5827</v>
      </c>
      <c r="M144" t="s">
        <v>217</v>
      </c>
      <c r="N144">
        <v>2</v>
      </c>
      <c r="O144" t="s">
        <v>5826</v>
      </c>
      <c r="P144" t="s">
        <v>5825</v>
      </c>
      <c r="Q144" t="s">
        <v>5824</v>
      </c>
      <c r="R144" s="7">
        <v>30682</v>
      </c>
      <c r="S144" s="8">
        <f t="shared" si="16"/>
        <v>1984</v>
      </c>
      <c r="T144" s="8">
        <v>1984</v>
      </c>
      <c r="U144" s="8">
        <f t="shared" si="17"/>
        <v>38</v>
      </c>
      <c r="V144" s="7">
        <v>30682</v>
      </c>
      <c r="W144" t="s">
        <v>5823</v>
      </c>
      <c r="X144" s="2">
        <v>0.11700000000000001</v>
      </c>
      <c r="Y144" s="6">
        <f t="shared" si="22"/>
        <v>3.1232481781052297E-3</v>
      </c>
      <c r="AA144">
        <v>2179822</v>
      </c>
      <c r="AB144">
        <v>5300152612</v>
      </c>
      <c r="AC144">
        <v>19930615</v>
      </c>
      <c r="AD144" t="s">
        <v>4</v>
      </c>
      <c r="AE144">
        <v>1</v>
      </c>
      <c r="AF144">
        <v>1</v>
      </c>
      <c r="AH144" s="9">
        <v>44507</v>
      </c>
      <c r="AI144" t="s">
        <v>5822</v>
      </c>
      <c r="AK144" t="s">
        <v>5821</v>
      </c>
      <c r="AL144">
        <v>1</v>
      </c>
      <c r="AM144" s="5">
        <f t="shared" si="18"/>
        <v>2.6315789473684209E-2</v>
      </c>
      <c r="AN144" s="4">
        <f t="shared" si="23"/>
        <v>3.9857310827238481E-5</v>
      </c>
      <c r="AO144" s="3"/>
      <c r="AP144">
        <v>0</v>
      </c>
      <c r="AR144" t="s">
        <v>0</v>
      </c>
      <c r="AT144" s="2" t="s">
        <v>45</v>
      </c>
      <c r="AU144" s="1">
        <f t="shared" si="19"/>
        <v>0.21982309179218326</v>
      </c>
      <c r="AV144" s="1">
        <f t="shared" si="20"/>
        <v>0.15815527444662342</v>
      </c>
      <c r="AW144" s="1">
        <f t="shared" si="21"/>
        <v>9.6487457101063587E-2</v>
      </c>
    </row>
    <row r="145" spans="1:49" x14ac:dyDescent="0.2">
      <c r="A145">
        <v>143</v>
      </c>
      <c r="B145" t="s">
        <v>5820</v>
      </c>
      <c r="C145" t="s">
        <v>5819</v>
      </c>
      <c r="F145" t="s">
        <v>5818</v>
      </c>
      <c r="G145" t="s">
        <v>13</v>
      </c>
      <c r="H145" t="s">
        <v>12</v>
      </c>
      <c r="I145" t="s">
        <v>5817</v>
      </c>
      <c r="J145" t="s">
        <v>5816</v>
      </c>
      <c r="K145" t="s">
        <v>5815</v>
      </c>
      <c r="L145" t="s">
        <v>5814</v>
      </c>
      <c r="M145" t="s">
        <v>5813</v>
      </c>
      <c r="N145">
        <v>2</v>
      </c>
      <c r="O145" t="s">
        <v>5812</v>
      </c>
      <c r="P145" t="s">
        <v>5811</v>
      </c>
      <c r="Q145" t="s">
        <v>5810</v>
      </c>
      <c r="R145" s="7">
        <v>30682</v>
      </c>
      <c r="S145" s="8">
        <f t="shared" si="16"/>
        <v>1984</v>
      </c>
      <c r="T145" s="8">
        <v>1984</v>
      </c>
      <c r="U145" s="8">
        <f t="shared" si="17"/>
        <v>38</v>
      </c>
      <c r="V145" s="7">
        <v>30682</v>
      </c>
      <c r="W145" t="s">
        <v>5797</v>
      </c>
      <c r="X145" s="2" t="s">
        <v>45</v>
      </c>
      <c r="Y145" s="6" t="e">
        <f t="shared" si="22"/>
        <v>#VALUE!</v>
      </c>
      <c r="AA145">
        <v>3905551</v>
      </c>
      <c r="AB145">
        <v>15400155600</v>
      </c>
      <c r="AD145" t="s">
        <v>4</v>
      </c>
      <c r="AE145">
        <v>7</v>
      </c>
      <c r="AF145">
        <v>1</v>
      </c>
      <c r="AH145" s="10">
        <v>44075</v>
      </c>
      <c r="AI145" t="s">
        <v>5809</v>
      </c>
      <c r="AJ145" t="s">
        <v>5808</v>
      </c>
      <c r="AK145" t="s">
        <v>5807</v>
      </c>
      <c r="AL145">
        <v>5</v>
      </c>
      <c r="AM145" s="5">
        <f t="shared" si="18"/>
        <v>0.13157894736842105</v>
      </c>
      <c r="AN145" s="4">
        <f t="shared" si="23"/>
        <v>1.9928655413619243E-4</v>
      </c>
      <c r="AO145" s="3"/>
      <c r="AP145">
        <v>0</v>
      </c>
      <c r="AR145" t="s">
        <v>0</v>
      </c>
      <c r="AT145" s="2" t="s">
        <v>45</v>
      </c>
      <c r="AU145" s="1" t="e">
        <f t="shared" si="19"/>
        <v>#VALUE!</v>
      </c>
      <c r="AV145" s="1" t="e">
        <f t="shared" si="20"/>
        <v>#VALUE!</v>
      </c>
      <c r="AW145" s="1" t="e">
        <f t="shared" si="21"/>
        <v>#VALUE!</v>
      </c>
    </row>
    <row r="146" spans="1:49" x14ac:dyDescent="0.2">
      <c r="A146">
        <v>144</v>
      </c>
      <c r="B146" t="s">
        <v>5806</v>
      </c>
      <c r="C146" t="s">
        <v>5805</v>
      </c>
      <c r="F146" t="s">
        <v>5804</v>
      </c>
      <c r="G146" t="s">
        <v>13</v>
      </c>
      <c r="H146" t="s">
        <v>12</v>
      </c>
      <c r="I146" t="s">
        <v>3433</v>
      </c>
      <c r="J146" t="s">
        <v>5803</v>
      </c>
      <c r="K146" t="s">
        <v>5802</v>
      </c>
      <c r="L146" t="s">
        <v>5801</v>
      </c>
      <c r="M146" t="s">
        <v>463</v>
      </c>
      <c r="N146">
        <v>2</v>
      </c>
      <c r="O146" t="s">
        <v>5800</v>
      </c>
      <c r="P146" t="s">
        <v>5799</v>
      </c>
      <c r="Q146" t="s">
        <v>5798</v>
      </c>
      <c r="R146" s="7">
        <v>30682</v>
      </c>
      <c r="S146" s="8">
        <f t="shared" si="16"/>
        <v>1984</v>
      </c>
      <c r="T146" s="8">
        <v>1984</v>
      </c>
      <c r="U146" s="8">
        <f t="shared" si="17"/>
        <v>38</v>
      </c>
      <c r="V146" s="7">
        <v>30682</v>
      </c>
      <c r="W146" t="s">
        <v>5797</v>
      </c>
      <c r="X146" s="2" t="s">
        <v>45</v>
      </c>
      <c r="Y146" s="6" t="e">
        <f t="shared" si="22"/>
        <v>#VALUE!</v>
      </c>
      <c r="AA146">
        <v>3905551</v>
      </c>
      <c r="AB146">
        <v>15400155600</v>
      </c>
      <c r="AD146" t="s">
        <v>4</v>
      </c>
      <c r="AE146">
        <v>7</v>
      </c>
      <c r="AF146">
        <v>1</v>
      </c>
      <c r="AH146" t="s">
        <v>5796</v>
      </c>
      <c r="AI146" t="s">
        <v>5795</v>
      </c>
      <c r="AJ146" t="s">
        <v>5794</v>
      </c>
      <c r="AK146" t="s">
        <v>5793</v>
      </c>
      <c r="AL146">
        <v>21</v>
      </c>
      <c r="AM146" s="5">
        <f t="shared" si="18"/>
        <v>0.55263157894736847</v>
      </c>
      <c r="AN146" s="4">
        <f t="shared" si="23"/>
        <v>8.3700352737200827E-4</v>
      </c>
      <c r="AO146" s="3"/>
      <c r="AP146">
        <v>0</v>
      </c>
      <c r="AR146" t="s">
        <v>0</v>
      </c>
      <c r="AT146" s="2" t="s">
        <v>45</v>
      </c>
      <c r="AU146" s="1" t="e">
        <f t="shared" si="19"/>
        <v>#VALUE!</v>
      </c>
      <c r="AV146" s="1" t="e">
        <f t="shared" si="20"/>
        <v>#VALUE!</v>
      </c>
      <c r="AW146" s="1" t="e">
        <f t="shared" si="21"/>
        <v>#VALUE!</v>
      </c>
    </row>
    <row r="147" spans="1:49" x14ac:dyDescent="0.2">
      <c r="A147">
        <v>145</v>
      </c>
      <c r="B147" t="s">
        <v>5792</v>
      </c>
      <c r="D147">
        <v>6350984901881</v>
      </c>
      <c r="F147" t="s">
        <v>5791</v>
      </c>
      <c r="G147" t="s">
        <v>13</v>
      </c>
      <c r="H147" t="s">
        <v>12</v>
      </c>
      <c r="I147" t="s">
        <v>5790</v>
      </c>
      <c r="J147" t="s">
        <v>5789</v>
      </c>
      <c r="K147" t="s">
        <v>5788</v>
      </c>
      <c r="L147" t="s">
        <v>5787</v>
      </c>
      <c r="M147" t="s">
        <v>5786</v>
      </c>
      <c r="N147">
        <v>6</v>
      </c>
      <c r="O147" t="s">
        <v>5785</v>
      </c>
      <c r="P147" t="s">
        <v>5784</v>
      </c>
      <c r="Q147" t="s">
        <v>5783</v>
      </c>
      <c r="R147" s="7">
        <v>30682</v>
      </c>
      <c r="S147" s="8">
        <f t="shared" si="16"/>
        <v>1984</v>
      </c>
      <c r="T147" s="8">
        <v>1984</v>
      </c>
      <c r="U147" s="8">
        <f t="shared" si="17"/>
        <v>38</v>
      </c>
      <c r="V147" s="7">
        <v>1984</v>
      </c>
      <c r="W147" t="s">
        <v>5782</v>
      </c>
      <c r="X147" s="2" t="s">
        <v>45</v>
      </c>
      <c r="Y147" s="6" t="e">
        <f t="shared" si="22"/>
        <v>#VALUE!</v>
      </c>
      <c r="AA147">
        <v>63509</v>
      </c>
      <c r="AB147">
        <v>14860</v>
      </c>
      <c r="AD147" t="s">
        <v>4</v>
      </c>
      <c r="AE147">
        <v>29</v>
      </c>
      <c r="AF147">
        <v>3</v>
      </c>
      <c r="AH147" t="s">
        <v>5781</v>
      </c>
      <c r="AI147" t="s">
        <v>5780</v>
      </c>
      <c r="AK147" t="s">
        <v>5779</v>
      </c>
      <c r="AL147">
        <v>1</v>
      </c>
      <c r="AM147" s="5">
        <f t="shared" si="18"/>
        <v>2.6315789473684209E-2</v>
      </c>
      <c r="AN147" s="4">
        <f t="shared" si="23"/>
        <v>3.9857310827238481E-5</v>
      </c>
      <c r="AO147" s="3"/>
      <c r="AP147">
        <v>0</v>
      </c>
      <c r="AR147" t="s">
        <v>0</v>
      </c>
      <c r="AT147" s="2" t="s">
        <v>45</v>
      </c>
      <c r="AU147" s="1" t="e">
        <f t="shared" si="19"/>
        <v>#VALUE!</v>
      </c>
      <c r="AV147" s="1" t="e">
        <f t="shared" si="20"/>
        <v>#VALUE!</v>
      </c>
      <c r="AW147" s="1" t="e">
        <f t="shared" si="21"/>
        <v>#VALUE!</v>
      </c>
    </row>
    <row r="148" spans="1:49" x14ac:dyDescent="0.2">
      <c r="A148">
        <v>146</v>
      </c>
      <c r="B148" t="s">
        <v>5778</v>
      </c>
      <c r="C148" t="s">
        <v>5777</v>
      </c>
      <c r="D148" t="s">
        <v>5776</v>
      </c>
      <c r="F148" t="s">
        <v>5775</v>
      </c>
      <c r="G148" t="s">
        <v>13</v>
      </c>
      <c r="H148" t="s">
        <v>12</v>
      </c>
      <c r="I148" t="s">
        <v>5774</v>
      </c>
      <c r="J148">
        <v>60024199</v>
      </c>
      <c r="K148" t="s">
        <v>5773</v>
      </c>
      <c r="L148" t="s">
        <v>5772</v>
      </c>
      <c r="M148" t="s">
        <v>24</v>
      </c>
      <c r="N148">
        <v>1</v>
      </c>
      <c r="O148" t="s">
        <v>5771</v>
      </c>
      <c r="P148">
        <v>24513588700</v>
      </c>
      <c r="Q148">
        <v>60024199</v>
      </c>
      <c r="R148" s="7">
        <v>30682</v>
      </c>
      <c r="S148" s="8">
        <f t="shared" si="16"/>
        <v>1984</v>
      </c>
      <c r="T148" s="8">
        <v>1984</v>
      </c>
      <c r="U148" s="8">
        <f t="shared" si="17"/>
        <v>38</v>
      </c>
      <c r="V148" s="7">
        <v>1984</v>
      </c>
      <c r="W148" t="s">
        <v>5770</v>
      </c>
      <c r="X148" s="2">
        <v>1.4219999999999999</v>
      </c>
      <c r="Y148" s="6">
        <f t="shared" si="22"/>
        <v>3.7959477856971249E-2</v>
      </c>
      <c r="AA148" t="s">
        <v>5769</v>
      </c>
      <c r="AB148">
        <v>23256</v>
      </c>
      <c r="AD148" t="s">
        <v>4</v>
      </c>
      <c r="AE148">
        <v>12</v>
      </c>
      <c r="AF148">
        <v>2</v>
      </c>
      <c r="AH148" t="s">
        <v>5768</v>
      </c>
      <c r="AI148" t="s">
        <v>5767</v>
      </c>
      <c r="AK148" t="s">
        <v>5766</v>
      </c>
      <c r="AL148">
        <v>0</v>
      </c>
      <c r="AM148" s="5">
        <f t="shared" si="18"/>
        <v>0</v>
      </c>
      <c r="AN148" s="4">
        <f t="shared" si="23"/>
        <v>0</v>
      </c>
      <c r="AO148" s="3"/>
      <c r="AP148">
        <v>0</v>
      </c>
      <c r="AR148" t="s">
        <v>0</v>
      </c>
      <c r="AT148" s="2">
        <v>3.1669999999999998</v>
      </c>
      <c r="AU148" s="1">
        <f t="shared" si="19"/>
        <v>2.6571634499879875</v>
      </c>
      <c r="AV148" s="1">
        <f t="shared" si="20"/>
        <v>1.8979738928485625</v>
      </c>
      <c r="AW148" s="1">
        <f t="shared" si="21"/>
        <v>1.1387843357091374</v>
      </c>
    </row>
    <row r="149" spans="1:49" x14ac:dyDescent="0.2">
      <c r="A149">
        <v>147</v>
      </c>
      <c r="B149" t="s">
        <v>5765</v>
      </c>
      <c r="C149" t="s">
        <v>5764</v>
      </c>
      <c r="D149" t="s">
        <v>5763</v>
      </c>
      <c r="F149" t="s">
        <v>5762</v>
      </c>
      <c r="G149" t="s">
        <v>13</v>
      </c>
      <c r="H149" t="s">
        <v>12</v>
      </c>
      <c r="I149" t="s">
        <v>5761</v>
      </c>
      <c r="J149">
        <v>60011460</v>
      </c>
      <c r="K149" t="s">
        <v>5760</v>
      </c>
      <c r="L149" t="s">
        <v>5759</v>
      </c>
      <c r="M149" t="s">
        <v>56</v>
      </c>
      <c r="N149">
        <v>2</v>
      </c>
      <c r="O149" t="s">
        <v>5758</v>
      </c>
      <c r="P149" t="s">
        <v>5757</v>
      </c>
      <c r="Q149" t="s">
        <v>5756</v>
      </c>
      <c r="R149" s="7">
        <v>30682</v>
      </c>
      <c r="S149" s="8">
        <f t="shared" si="16"/>
        <v>1984</v>
      </c>
      <c r="T149" s="8">
        <v>1984</v>
      </c>
      <c r="U149" s="8">
        <f t="shared" si="17"/>
        <v>38</v>
      </c>
      <c r="V149" s="7">
        <v>1984</v>
      </c>
      <c r="W149" t="s">
        <v>5755</v>
      </c>
      <c r="X149" s="2" t="s">
        <v>45</v>
      </c>
      <c r="Y149" s="6" t="e">
        <f t="shared" si="22"/>
        <v>#VALUE!</v>
      </c>
      <c r="AA149">
        <v>2700255</v>
      </c>
      <c r="AB149">
        <v>38292</v>
      </c>
      <c r="AD149" t="s">
        <v>4</v>
      </c>
      <c r="AE149">
        <v>5</v>
      </c>
      <c r="AF149">
        <v>2</v>
      </c>
      <c r="AH149" t="s">
        <v>5754</v>
      </c>
      <c r="AI149" t="s">
        <v>5753</v>
      </c>
      <c r="AK149" t="s">
        <v>5752</v>
      </c>
      <c r="AL149">
        <v>7</v>
      </c>
      <c r="AM149" s="5">
        <f t="shared" si="18"/>
        <v>0.18421052631578946</v>
      </c>
      <c r="AN149" s="4">
        <f t="shared" si="23"/>
        <v>2.7900117579066937E-4</v>
      </c>
      <c r="AO149" s="3"/>
      <c r="AP149">
        <v>1</v>
      </c>
      <c r="AQ149" t="s">
        <v>65</v>
      </c>
      <c r="AR149" t="s">
        <v>5751</v>
      </c>
      <c r="AS149" t="s">
        <v>63</v>
      </c>
      <c r="AT149" s="2" t="s">
        <v>45</v>
      </c>
      <c r="AU149" s="1" t="e">
        <f t="shared" si="19"/>
        <v>#VALUE!</v>
      </c>
      <c r="AV149" s="1" t="e">
        <f t="shared" si="20"/>
        <v>#VALUE!</v>
      </c>
      <c r="AW149" s="1" t="e">
        <f t="shared" si="21"/>
        <v>#VALUE!</v>
      </c>
    </row>
    <row r="150" spans="1:49" x14ac:dyDescent="0.2">
      <c r="A150">
        <v>148</v>
      </c>
      <c r="B150" t="s">
        <v>5750</v>
      </c>
      <c r="C150" t="s">
        <v>5749</v>
      </c>
      <c r="D150">
        <v>21916984901144</v>
      </c>
      <c r="F150" t="s">
        <v>5748</v>
      </c>
      <c r="G150" t="s">
        <v>13</v>
      </c>
      <c r="H150" t="s">
        <v>12</v>
      </c>
      <c r="I150" t="s">
        <v>5747</v>
      </c>
      <c r="J150">
        <v>60017597</v>
      </c>
      <c r="K150" t="s">
        <v>5746</v>
      </c>
      <c r="L150" t="s">
        <v>5745</v>
      </c>
      <c r="M150" t="s">
        <v>38</v>
      </c>
      <c r="N150">
        <v>1</v>
      </c>
      <c r="O150" t="s">
        <v>5744</v>
      </c>
      <c r="P150">
        <v>56416231600</v>
      </c>
      <c r="Q150">
        <v>60017597</v>
      </c>
      <c r="R150" s="7">
        <v>30682</v>
      </c>
      <c r="S150" s="8">
        <f t="shared" si="16"/>
        <v>1984</v>
      </c>
      <c r="T150" s="8">
        <v>1984</v>
      </c>
      <c r="U150" s="8">
        <f t="shared" si="17"/>
        <v>38</v>
      </c>
      <c r="V150" s="7">
        <v>30773</v>
      </c>
      <c r="W150" t="s">
        <v>83</v>
      </c>
      <c r="X150" s="2">
        <v>0.51500000000000001</v>
      </c>
      <c r="Y150" s="6">
        <f t="shared" si="22"/>
        <v>1.374763086943755E-2</v>
      </c>
      <c r="AA150">
        <v>219169</v>
      </c>
      <c r="AB150">
        <v>30966</v>
      </c>
      <c r="AD150" t="s">
        <v>4</v>
      </c>
      <c r="AE150">
        <v>46</v>
      </c>
      <c r="AF150">
        <v>4</v>
      </c>
      <c r="AI150" t="s">
        <v>5743</v>
      </c>
      <c r="AK150" t="s">
        <v>5742</v>
      </c>
      <c r="AL150">
        <v>0</v>
      </c>
      <c r="AM150" s="5">
        <f t="shared" si="18"/>
        <v>0</v>
      </c>
      <c r="AN150" s="4">
        <f t="shared" si="23"/>
        <v>0</v>
      </c>
      <c r="AO150" s="3"/>
      <c r="AP150">
        <v>0</v>
      </c>
      <c r="AR150" t="s">
        <v>0</v>
      </c>
      <c r="AT150" s="2" t="s">
        <v>45</v>
      </c>
      <c r="AU150" s="1">
        <f t="shared" si="19"/>
        <v>0.9623341608606284</v>
      </c>
      <c r="AV150" s="1">
        <f t="shared" si="20"/>
        <v>0.68738154347187752</v>
      </c>
      <c r="AW150" s="1">
        <f t="shared" si="21"/>
        <v>0.41242892608312653</v>
      </c>
    </row>
    <row r="151" spans="1:49" x14ac:dyDescent="0.2">
      <c r="A151">
        <v>149</v>
      </c>
      <c r="B151" t="s">
        <v>5741</v>
      </c>
      <c r="C151" t="s">
        <v>5740</v>
      </c>
      <c r="D151" t="s">
        <v>5739</v>
      </c>
      <c r="F151" t="s">
        <v>5738</v>
      </c>
      <c r="G151" t="s">
        <v>13</v>
      </c>
      <c r="H151" t="s">
        <v>12</v>
      </c>
      <c r="I151" t="s">
        <v>5737</v>
      </c>
      <c r="J151">
        <v>60006051</v>
      </c>
      <c r="K151" t="s">
        <v>5736</v>
      </c>
      <c r="L151" t="s">
        <v>5735</v>
      </c>
      <c r="M151" t="s">
        <v>56</v>
      </c>
      <c r="N151">
        <v>2</v>
      </c>
      <c r="O151" t="s">
        <v>5734</v>
      </c>
      <c r="P151" t="s">
        <v>5733</v>
      </c>
      <c r="Q151" t="s">
        <v>5732</v>
      </c>
      <c r="R151" s="7">
        <v>30682</v>
      </c>
      <c r="S151" s="8">
        <f t="shared" si="16"/>
        <v>1984</v>
      </c>
      <c r="T151" s="8">
        <v>1984</v>
      </c>
      <c r="U151" s="8">
        <f t="shared" si="17"/>
        <v>38</v>
      </c>
      <c r="V151" s="7">
        <v>30834</v>
      </c>
      <c r="W151" t="s">
        <v>5731</v>
      </c>
      <c r="X151" s="2">
        <v>1.1479999999999999</v>
      </c>
      <c r="Y151" s="6">
        <f t="shared" si="22"/>
        <v>3.0645204345853019E-2</v>
      </c>
      <c r="AA151" t="s">
        <v>5730</v>
      </c>
      <c r="AB151">
        <v>15980</v>
      </c>
      <c r="AD151" t="s">
        <v>4</v>
      </c>
      <c r="AE151">
        <v>9</v>
      </c>
      <c r="AF151">
        <v>1</v>
      </c>
      <c r="AH151" t="s">
        <v>5729</v>
      </c>
      <c r="AI151" t="s">
        <v>5728</v>
      </c>
      <c r="AK151" t="s">
        <v>5727</v>
      </c>
      <c r="AL151">
        <v>9</v>
      </c>
      <c r="AM151" s="5">
        <f t="shared" si="18"/>
        <v>0.23684210526315788</v>
      </c>
      <c r="AN151" s="4">
        <f t="shared" si="23"/>
        <v>3.5871579744514633E-4</v>
      </c>
      <c r="AO151" s="3"/>
      <c r="AP151">
        <v>0</v>
      </c>
      <c r="AR151" t="s">
        <v>0</v>
      </c>
      <c r="AS151" t="s">
        <v>5726</v>
      </c>
      <c r="AT151" s="2">
        <v>3.726</v>
      </c>
      <c r="AU151" s="1">
        <f t="shared" si="19"/>
        <v>2.1559257781330659</v>
      </c>
      <c r="AV151" s="1">
        <f t="shared" si="20"/>
        <v>1.5501960071649084</v>
      </c>
      <c r="AW151" s="1">
        <f t="shared" si="21"/>
        <v>0.94446623619675074</v>
      </c>
    </row>
    <row r="152" spans="1:49" x14ac:dyDescent="0.2">
      <c r="A152">
        <v>150</v>
      </c>
      <c r="B152" t="s">
        <v>5725</v>
      </c>
      <c r="C152" t="s">
        <v>5724</v>
      </c>
      <c r="D152">
        <v>21916984901089</v>
      </c>
      <c r="F152" t="s">
        <v>5723</v>
      </c>
      <c r="G152" t="s">
        <v>13</v>
      </c>
      <c r="H152" t="s">
        <v>12</v>
      </c>
      <c r="I152" t="s">
        <v>5722</v>
      </c>
      <c r="J152">
        <v>60031004</v>
      </c>
      <c r="K152" t="s">
        <v>1771</v>
      </c>
      <c r="L152" t="s">
        <v>1770</v>
      </c>
      <c r="M152" t="s">
        <v>85</v>
      </c>
      <c r="N152">
        <v>1</v>
      </c>
      <c r="O152" t="s">
        <v>5721</v>
      </c>
      <c r="P152">
        <v>24356044800</v>
      </c>
      <c r="Q152">
        <v>60031004</v>
      </c>
      <c r="R152" s="7">
        <v>30682</v>
      </c>
      <c r="S152" s="8">
        <f t="shared" si="16"/>
        <v>1984</v>
      </c>
      <c r="T152" s="8">
        <v>1984</v>
      </c>
      <c r="U152" s="8">
        <f t="shared" si="17"/>
        <v>38</v>
      </c>
      <c r="V152" s="7">
        <v>31017</v>
      </c>
      <c r="W152" t="s">
        <v>83</v>
      </c>
      <c r="X152" s="2">
        <v>0.51500000000000001</v>
      </c>
      <c r="Y152" s="6">
        <f t="shared" si="22"/>
        <v>1.374763086943755E-2</v>
      </c>
      <c r="AA152">
        <v>219169</v>
      </c>
      <c r="AB152">
        <v>30966</v>
      </c>
      <c r="AD152" t="s">
        <v>4</v>
      </c>
      <c r="AE152">
        <v>46</v>
      </c>
      <c r="AF152">
        <v>12</v>
      </c>
      <c r="AH152" t="s">
        <v>5720</v>
      </c>
      <c r="AI152" t="s">
        <v>5719</v>
      </c>
      <c r="AK152" t="s">
        <v>5718</v>
      </c>
      <c r="AL152">
        <v>4</v>
      </c>
      <c r="AM152" s="5">
        <f t="shared" si="18"/>
        <v>0.10526315789473684</v>
      </c>
      <c r="AN152" s="4">
        <f t="shared" si="23"/>
        <v>1.5942924330895392E-4</v>
      </c>
      <c r="AO152" s="3"/>
      <c r="AP152">
        <v>0</v>
      </c>
      <c r="AR152" t="s">
        <v>0</v>
      </c>
      <c r="AT152" s="2" t="s">
        <v>45</v>
      </c>
      <c r="AU152" s="1">
        <f t="shared" si="19"/>
        <v>0.96711703815989714</v>
      </c>
      <c r="AV152" s="1">
        <f t="shared" si="20"/>
        <v>0.69535300563732516</v>
      </c>
      <c r="AW152" s="1">
        <f t="shared" si="21"/>
        <v>0.4235889731147533</v>
      </c>
    </row>
    <row r="153" spans="1:49" x14ac:dyDescent="0.2">
      <c r="A153">
        <v>151</v>
      </c>
      <c r="B153" t="s">
        <v>5717</v>
      </c>
      <c r="C153" t="s">
        <v>5716</v>
      </c>
      <c r="F153" t="s">
        <v>5715</v>
      </c>
      <c r="G153" t="s">
        <v>13</v>
      </c>
      <c r="H153" t="s">
        <v>12</v>
      </c>
      <c r="I153" t="s">
        <v>5714</v>
      </c>
      <c r="J153" t="s">
        <v>5713</v>
      </c>
      <c r="K153" t="s">
        <v>5712</v>
      </c>
      <c r="L153" t="s">
        <v>5711</v>
      </c>
      <c r="M153" t="s">
        <v>5710</v>
      </c>
      <c r="N153">
        <v>5</v>
      </c>
      <c r="O153" t="s">
        <v>5709</v>
      </c>
      <c r="P153" t="s">
        <v>5708</v>
      </c>
      <c r="Q153" t="s">
        <v>5707</v>
      </c>
      <c r="R153" s="7">
        <v>30682</v>
      </c>
      <c r="S153" s="8">
        <f t="shared" si="16"/>
        <v>1984</v>
      </c>
      <c r="T153" s="8">
        <v>1984</v>
      </c>
      <c r="U153" s="8">
        <f t="shared" si="17"/>
        <v>38</v>
      </c>
      <c r="V153" s="7">
        <v>1984</v>
      </c>
      <c r="W153" t="s">
        <v>5706</v>
      </c>
      <c r="X153" s="2">
        <v>1.78</v>
      </c>
      <c r="Y153" s="6">
        <f t="shared" si="22"/>
        <v>4.7516083393395803E-2</v>
      </c>
      <c r="AA153">
        <v>1631829</v>
      </c>
      <c r="AB153">
        <v>85318</v>
      </c>
      <c r="AD153" t="s">
        <v>4</v>
      </c>
      <c r="AE153">
        <v>30</v>
      </c>
      <c r="AF153">
        <v>5</v>
      </c>
      <c r="AH153" t="s">
        <v>5705</v>
      </c>
      <c r="AI153" t="s">
        <v>5704</v>
      </c>
      <c r="AK153" t="s">
        <v>5703</v>
      </c>
      <c r="AL153">
        <v>25</v>
      </c>
      <c r="AM153" s="5">
        <f t="shared" si="18"/>
        <v>0.65789473684210531</v>
      </c>
      <c r="AN153" s="4">
        <f t="shared" si="23"/>
        <v>9.9643277068096219E-4</v>
      </c>
      <c r="AO153" s="3"/>
      <c r="AP153">
        <v>0</v>
      </c>
      <c r="AR153" t="s">
        <v>0</v>
      </c>
      <c r="AT153" s="2">
        <v>4.0359999999999996</v>
      </c>
      <c r="AU153" s="1">
        <f t="shared" si="19"/>
        <v>3.3560188206581345</v>
      </c>
      <c r="AV153" s="1">
        <f t="shared" si="20"/>
        <v>2.4256258082038382</v>
      </c>
      <c r="AW153" s="1">
        <f t="shared" si="21"/>
        <v>1.4952327957495413</v>
      </c>
    </row>
    <row r="154" spans="1:49" x14ac:dyDescent="0.2">
      <c r="A154">
        <v>152</v>
      </c>
      <c r="B154" t="s">
        <v>5702</v>
      </c>
      <c r="C154" t="s">
        <v>5701</v>
      </c>
      <c r="F154" t="s">
        <v>5700</v>
      </c>
      <c r="G154" t="s">
        <v>13</v>
      </c>
      <c r="H154" t="s">
        <v>12</v>
      </c>
      <c r="I154" t="s">
        <v>5699</v>
      </c>
      <c r="J154" t="s">
        <v>5698</v>
      </c>
      <c r="K154" t="s">
        <v>5697</v>
      </c>
      <c r="L154" t="s">
        <v>5696</v>
      </c>
      <c r="M154" t="s">
        <v>206</v>
      </c>
      <c r="N154">
        <v>1</v>
      </c>
      <c r="O154" t="s">
        <v>5695</v>
      </c>
      <c r="P154">
        <v>22967435100</v>
      </c>
      <c r="Q154" t="s">
        <v>5694</v>
      </c>
      <c r="R154" s="7">
        <v>30682</v>
      </c>
      <c r="S154" s="8">
        <f t="shared" si="16"/>
        <v>1984</v>
      </c>
      <c r="T154" s="8">
        <v>1984</v>
      </c>
      <c r="U154" s="8">
        <f t="shared" si="17"/>
        <v>38</v>
      </c>
      <c r="V154" s="7">
        <v>1984</v>
      </c>
      <c r="W154" t="s">
        <v>192</v>
      </c>
      <c r="X154" s="2">
        <v>1.887</v>
      </c>
      <c r="Y154" s="6">
        <f t="shared" si="22"/>
        <v>5.0372387282774087E-2</v>
      </c>
      <c r="AA154">
        <v>5562821</v>
      </c>
      <c r="AB154">
        <v>29459</v>
      </c>
      <c r="AD154" t="s">
        <v>4</v>
      </c>
      <c r="AE154">
        <v>30</v>
      </c>
      <c r="AF154">
        <v>10</v>
      </c>
      <c r="AH154" t="s">
        <v>5693</v>
      </c>
      <c r="AI154" t="s">
        <v>5692</v>
      </c>
      <c r="AK154" t="s">
        <v>5691</v>
      </c>
      <c r="AL154">
        <v>5</v>
      </c>
      <c r="AM154" s="5">
        <f t="shared" si="18"/>
        <v>0.13157894736842105</v>
      </c>
      <c r="AN154" s="4">
        <f t="shared" si="23"/>
        <v>1.9928655413619243E-4</v>
      </c>
      <c r="AO154" s="3"/>
      <c r="AP154">
        <v>0</v>
      </c>
      <c r="AR154" t="s">
        <v>0</v>
      </c>
      <c r="AT154" s="2">
        <v>5.2960000000000003</v>
      </c>
      <c r="AU154" s="1">
        <f t="shared" si="19"/>
        <v>3.5320457064182715</v>
      </c>
      <c r="AV154" s="1">
        <f t="shared" si="20"/>
        <v>2.528583691845514</v>
      </c>
      <c r="AW154" s="1">
        <f t="shared" si="21"/>
        <v>1.5251216772727558</v>
      </c>
    </row>
    <row r="155" spans="1:49" x14ac:dyDescent="0.2">
      <c r="A155">
        <v>153</v>
      </c>
      <c r="B155" t="s">
        <v>5690</v>
      </c>
      <c r="C155" t="s">
        <v>5689</v>
      </c>
      <c r="F155" t="s">
        <v>5688</v>
      </c>
      <c r="G155" t="s">
        <v>13</v>
      </c>
      <c r="H155" t="s">
        <v>12</v>
      </c>
      <c r="I155" t="s">
        <v>5687</v>
      </c>
      <c r="J155">
        <v>60014313</v>
      </c>
      <c r="K155" t="s">
        <v>1351</v>
      </c>
      <c r="L155" t="s">
        <v>1350</v>
      </c>
      <c r="M155" t="s">
        <v>56</v>
      </c>
      <c r="N155">
        <v>2</v>
      </c>
      <c r="O155" t="s">
        <v>5686</v>
      </c>
      <c r="P155" t="s">
        <v>5685</v>
      </c>
      <c r="Q155" t="s">
        <v>2979</v>
      </c>
      <c r="R155" s="7">
        <v>30682</v>
      </c>
      <c r="S155" s="8">
        <f t="shared" si="16"/>
        <v>1984</v>
      </c>
      <c r="T155" s="8">
        <v>1984</v>
      </c>
      <c r="U155" s="8">
        <f t="shared" si="17"/>
        <v>38</v>
      </c>
      <c r="V155" s="7">
        <v>30864</v>
      </c>
      <c r="W155" t="s">
        <v>34</v>
      </c>
      <c r="X155" s="2">
        <v>1.43</v>
      </c>
      <c r="Y155" s="6">
        <f t="shared" si="22"/>
        <v>3.8173033287952803E-2</v>
      </c>
      <c r="AA155">
        <v>62960</v>
      </c>
      <c r="AB155">
        <v>16867</v>
      </c>
      <c r="AC155">
        <v>15204995</v>
      </c>
      <c r="AD155" t="s">
        <v>4</v>
      </c>
      <c r="AE155">
        <v>23</v>
      </c>
      <c r="AF155">
        <v>16</v>
      </c>
      <c r="AH155" t="s">
        <v>5684</v>
      </c>
      <c r="AI155" t="s">
        <v>5683</v>
      </c>
      <c r="AK155" t="s">
        <v>5682</v>
      </c>
      <c r="AL155">
        <v>125</v>
      </c>
      <c r="AM155" s="5">
        <f t="shared" si="18"/>
        <v>3.2894736842105261</v>
      </c>
      <c r="AN155" s="4">
        <f t="shared" si="23"/>
        <v>4.9821638534048108E-3</v>
      </c>
      <c r="AO155" s="3"/>
      <c r="AP155">
        <v>0</v>
      </c>
      <c r="AR155" t="s">
        <v>0</v>
      </c>
      <c r="AT155" s="2">
        <v>3.1619999999999999</v>
      </c>
      <c r="AU155" s="1">
        <f t="shared" si="19"/>
        <v>2.8215772457588404</v>
      </c>
      <c r="AV155" s="1">
        <f t="shared" si="20"/>
        <v>2.1577598570678806</v>
      </c>
      <c r="AW155" s="1">
        <f t="shared" si="21"/>
        <v>1.4939424683769207</v>
      </c>
    </row>
    <row r="156" spans="1:49" x14ac:dyDescent="0.2">
      <c r="A156">
        <v>154</v>
      </c>
      <c r="B156" t="s">
        <v>5681</v>
      </c>
      <c r="C156" t="s">
        <v>5680</v>
      </c>
      <c r="F156" t="s">
        <v>5679</v>
      </c>
      <c r="G156" t="s">
        <v>13</v>
      </c>
      <c r="H156" t="s">
        <v>12</v>
      </c>
      <c r="I156" t="s">
        <v>5678</v>
      </c>
      <c r="J156">
        <v>60010187</v>
      </c>
      <c r="K156" t="s">
        <v>5677</v>
      </c>
      <c r="L156" t="s">
        <v>405</v>
      </c>
      <c r="M156" t="s">
        <v>56</v>
      </c>
      <c r="N156">
        <v>1</v>
      </c>
      <c r="O156" t="s">
        <v>5676</v>
      </c>
      <c r="P156">
        <v>6506156326</v>
      </c>
      <c r="Q156">
        <v>60010187</v>
      </c>
      <c r="R156" s="7">
        <v>30682</v>
      </c>
      <c r="S156" s="8">
        <f t="shared" si="16"/>
        <v>1984</v>
      </c>
      <c r="T156" s="8">
        <v>1984</v>
      </c>
      <c r="U156" s="8">
        <f t="shared" si="17"/>
        <v>38</v>
      </c>
      <c r="V156" s="7">
        <v>30834</v>
      </c>
      <c r="W156" t="s">
        <v>5675</v>
      </c>
      <c r="X156" s="2">
        <v>0.54100000000000004</v>
      </c>
      <c r="Y156" s="6">
        <f t="shared" si="22"/>
        <v>1.4441686020127601E-2</v>
      </c>
      <c r="AA156">
        <v>29505</v>
      </c>
      <c r="AB156">
        <v>26997</v>
      </c>
      <c r="AC156">
        <v>19432909</v>
      </c>
      <c r="AD156" t="s">
        <v>4</v>
      </c>
      <c r="AE156">
        <v>52</v>
      </c>
      <c r="AF156">
        <v>6</v>
      </c>
      <c r="AH156" t="s">
        <v>5674</v>
      </c>
      <c r="AI156" t="s">
        <v>5673</v>
      </c>
      <c r="AJ156" t="s">
        <v>5672</v>
      </c>
      <c r="AK156" t="s">
        <v>5671</v>
      </c>
      <c r="AL156">
        <v>3</v>
      </c>
      <c r="AM156" s="5">
        <f t="shared" si="18"/>
        <v>7.8947368421052627E-2</v>
      </c>
      <c r="AN156" s="4">
        <f t="shared" si="23"/>
        <v>1.1957193248171546E-4</v>
      </c>
      <c r="AO156" s="3"/>
      <c r="AP156">
        <v>0</v>
      </c>
      <c r="AR156" t="s">
        <v>0</v>
      </c>
      <c r="AT156" s="2">
        <v>1.022</v>
      </c>
      <c r="AU156" s="1">
        <f t="shared" si="19"/>
        <v>1.0145051793833835</v>
      </c>
      <c r="AV156" s="1">
        <f t="shared" si="20"/>
        <v>0.72806289763046583</v>
      </c>
      <c r="AW156" s="1">
        <f t="shared" si="21"/>
        <v>0.44162061587754803</v>
      </c>
    </row>
    <row r="157" spans="1:49" x14ac:dyDescent="0.2">
      <c r="A157">
        <v>155</v>
      </c>
      <c r="B157" t="s">
        <v>5670</v>
      </c>
      <c r="C157" t="s">
        <v>5669</v>
      </c>
      <c r="F157" t="s">
        <v>5668</v>
      </c>
      <c r="G157" t="s">
        <v>13</v>
      </c>
      <c r="H157" t="s">
        <v>12</v>
      </c>
      <c r="I157" t="s">
        <v>5667</v>
      </c>
      <c r="J157">
        <v>60005460</v>
      </c>
      <c r="K157" t="s">
        <v>5666</v>
      </c>
      <c r="L157" t="s">
        <v>5665</v>
      </c>
      <c r="M157" t="s">
        <v>142</v>
      </c>
      <c r="N157">
        <v>5</v>
      </c>
      <c r="O157" t="s">
        <v>5664</v>
      </c>
      <c r="P157" t="s">
        <v>5663</v>
      </c>
      <c r="Q157" t="s">
        <v>5662</v>
      </c>
      <c r="R157" s="7">
        <v>30682</v>
      </c>
      <c r="S157" s="8">
        <f t="shared" si="16"/>
        <v>1984</v>
      </c>
      <c r="T157" s="8">
        <v>1984</v>
      </c>
      <c r="U157" s="8">
        <f t="shared" si="17"/>
        <v>38</v>
      </c>
      <c r="V157" s="7">
        <v>30803</v>
      </c>
      <c r="W157" t="s">
        <v>5525</v>
      </c>
      <c r="X157" s="2">
        <v>0.8</v>
      </c>
      <c r="Y157" s="6">
        <f t="shared" si="22"/>
        <v>2.1355543098155415E-2</v>
      </c>
      <c r="AA157">
        <v>3407594</v>
      </c>
      <c r="AB157">
        <v>23456</v>
      </c>
      <c r="AC157">
        <v>14321351</v>
      </c>
      <c r="AD157" t="s">
        <v>4</v>
      </c>
      <c r="AE157">
        <v>155</v>
      </c>
      <c r="AF157">
        <v>3</v>
      </c>
      <c r="AH157" t="s">
        <v>5661</v>
      </c>
      <c r="AI157" t="s">
        <v>5660</v>
      </c>
      <c r="AK157" t="s">
        <v>5659</v>
      </c>
      <c r="AL157">
        <v>4</v>
      </c>
      <c r="AM157" s="5">
        <f t="shared" si="18"/>
        <v>0.10526315789473684</v>
      </c>
      <c r="AN157" s="4">
        <f t="shared" si="23"/>
        <v>1.5942924330895392E-4</v>
      </c>
      <c r="AO157" s="3"/>
      <c r="AP157">
        <v>0</v>
      </c>
      <c r="AR157" t="s">
        <v>0</v>
      </c>
      <c r="AT157" s="2" t="s">
        <v>45</v>
      </c>
      <c r="AU157" s="1">
        <f t="shared" si="19"/>
        <v>1.4996708941701475</v>
      </c>
      <c r="AV157" s="1">
        <f t="shared" si="20"/>
        <v>1.0757486170732184</v>
      </c>
      <c r="AW157" s="1">
        <f t="shared" si="21"/>
        <v>0.65182633997628914</v>
      </c>
    </row>
    <row r="158" spans="1:49" x14ac:dyDescent="0.2">
      <c r="A158">
        <v>156</v>
      </c>
      <c r="B158" t="s">
        <v>5658</v>
      </c>
      <c r="C158" t="s">
        <v>5657</v>
      </c>
      <c r="F158" t="s">
        <v>5656</v>
      </c>
      <c r="G158" t="s">
        <v>13</v>
      </c>
      <c r="H158" t="s">
        <v>12</v>
      </c>
      <c r="I158" t="s">
        <v>5655</v>
      </c>
      <c r="J158" t="s">
        <v>5654</v>
      </c>
      <c r="K158" t="s">
        <v>5653</v>
      </c>
      <c r="L158" t="s">
        <v>5652</v>
      </c>
      <c r="M158" t="s">
        <v>5651</v>
      </c>
      <c r="N158">
        <v>6</v>
      </c>
      <c r="O158" t="s">
        <v>5650</v>
      </c>
      <c r="P158" t="s">
        <v>5649</v>
      </c>
      <c r="Q158" t="s">
        <v>5648</v>
      </c>
      <c r="R158" s="7">
        <v>30682</v>
      </c>
      <c r="S158" s="8">
        <f t="shared" si="16"/>
        <v>1984</v>
      </c>
      <c r="T158" s="8">
        <v>1984</v>
      </c>
      <c r="U158" s="8">
        <f t="shared" si="17"/>
        <v>38</v>
      </c>
      <c r="V158" s="7">
        <v>1984</v>
      </c>
      <c r="W158" t="s">
        <v>5647</v>
      </c>
      <c r="X158" s="2">
        <v>12.555999999999999</v>
      </c>
      <c r="Y158" s="6">
        <f t="shared" si="22"/>
        <v>0.33517524892554923</v>
      </c>
      <c r="AA158">
        <v>368075</v>
      </c>
      <c r="AB158">
        <v>23571</v>
      </c>
      <c r="AD158" t="s">
        <v>4</v>
      </c>
      <c r="AE158">
        <v>225</v>
      </c>
      <c r="AF158">
        <v>4658</v>
      </c>
      <c r="AH158" t="s">
        <v>5646</v>
      </c>
      <c r="AI158" t="s">
        <v>5645</v>
      </c>
      <c r="AK158" t="s">
        <v>5644</v>
      </c>
      <c r="AL158">
        <v>29</v>
      </c>
      <c r="AM158" s="5">
        <f t="shared" si="18"/>
        <v>0.76315789473684215</v>
      </c>
      <c r="AN158" s="4">
        <f t="shared" si="23"/>
        <v>1.1558620139899161E-3</v>
      </c>
      <c r="AO158" s="3"/>
      <c r="AP158">
        <v>0</v>
      </c>
      <c r="AR158" t="s">
        <v>0</v>
      </c>
      <c r="AT158" s="2">
        <v>47.728000000000002</v>
      </c>
      <c r="AU158" s="1">
        <f t="shared" si="19"/>
        <v>23.49694328520814</v>
      </c>
      <c r="AV158" s="1">
        <f t="shared" si="20"/>
        <v>16.816555546976957</v>
      </c>
      <c r="AW158" s="1">
        <f t="shared" si="21"/>
        <v>10.136167808745771</v>
      </c>
    </row>
    <row r="159" spans="1:49" x14ac:dyDescent="0.2">
      <c r="A159">
        <v>157</v>
      </c>
      <c r="B159" t="s">
        <v>5643</v>
      </c>
      <c r="C159" t="s">
        <v>5642</v>
      </c>
      <c r="D159" t="s">
        <v>5641</v>
      </c>
      <c r="F159" t="s">
        <v>5640</v>
      </c>
      <c r="G159" t="s">
        <v>13</v>
      </c>
      <c r="H159" t="s">
        <v>12</v>
      </c>
      <c r="I159" t="s">
        <v>5639</v>
      </c>
      <c r="J159">
        <v>60009386</v>
      </c>
      <c r="K159" t="s">
        <v>2430</v>
      </c>
      <c r="L159" t="s">
        <v>2429</v>
      </c>
      <c r="M159" t="s">
        <v>24</v>
      </c>
      <c r="N159">
        <v>4</v>
      </c>
      <c r="O159" t="s">
        <v>5638</v>
      </c>
      <c r="P159" t="s">
        <v>5637</v>
      </c>
      <c r="Q159" t="s">
        <v>5636</v>
      </c>
      <c r="R159" s="7">
        <v>30682</v>
      </c>
      <c r="S159" s="8">
        <f t="shared" si="16"/>
        <v>1984</v>
      </c>
      <c r="T159" s="8">
        <v>1984</v>
      </c>
      <c r="U159" s="8">
        <f t="shared" si="17"/>
        <v>38</v>
      </c>
      <c r="V159" s="7">
        <v>31017</v>
      </c>
      <c r="W159" t="s">
        <v>5022</v>
      </c>
      <c r="X159" s="2">
        <v>1.123</v>
      </c>
      <c r="Y159" s="6">
        <f t="shared" si="22"/>
        <v>2.9977843624035664E-2</v>
      </c>
      <c r="AA159">
        <v>223115</v>
      </c>
      <c r="AB159">
        <v>29021</v>
      </c>
      <c r="AD159" t="s">
        <v>4</v>
      </c>
      <c r="AE159" t="s">
        <v>5021</v>
      </c>
      <c r="AF159" t="s">
        <v>5020</v>
      </c>
      <c r="AH159" t="s">
        <v>5635</v>
      </c>
      <c r="AI159" t="s">
        <v>5634</v>
      </c>
      <c r="AJ159" t="s">
        <v>5633</v>
      </c>
      <c r="AK159" t="s">
        <v>5632</v>
      </c>
      <c r="AL159">
        <v>27</v>
      </c>
      <c r="AM159" s="5">
        <f t="shared" si="18"/>
        <v>0.71052631578947367</v>
      </c>
      <c r="AN159" s="4">
        <f t="shared" si="23"/>
        <v>1.076147392335439E-3</v>
      </c>
      <c r="AO159" s="3"/>
      <c r="AP159">
        <v>0</v>
      </c>
      <c r="AR159" t="s">
        <v>0</v>
      </c>
      <c r="AT159" s="2">
        <v>2.9359999999999999</v>
      </c>
      <c r="AU159" s="1">
        <f t="shared" si="19"/>
        <v>2.1307334754525598</v>
      </c>
      <c r="AV159" s="1">
        <f t="shared" si="20"/>
        <v>1.552699550818555</v>
      </c>
      <c r="AW159" s="1">
        <f t="shared" si="21"/>
        <v>0.97466562618455066</v>
      </c>
    </row>
    <row r="160" spans="1:49" x14ac:dyDescent="0.2">
      <c r="A160">
        <v>158</v>
      </c>
      <c r="B160" t="s">
        <v>5631</v>
      </c>
      <c r="C160" t="s">
        <v>5630</v>
      </c>
      <c r="D160">
        <v>5272884902676</v>
      </c>
      <c r="F160" t="s">
        <v>5629</v>
      </c>
      <c r="G160" t="s">
        <v>13</v>
      </c>
      <c r="H160" t="s">
        <v>12</v>
      </c>
      <c r="I160" t="s">
        <v>5628</v>
      </c>
      <c r="J160">
        <v>60025038</v>
      </c>
      <c r="K160" t="s">
        <v>1092</v>
      </c>
      <c r="L160" t="s">
        <v>1091</v>
      </c>
      <c r="M160" t="s">
        <v>56</v>
      </c>
      <c r="N160">
        <v>4</v>
      </c>
      <c r="O160" t="s">
        <v>5627</v>
      </c>
      <c r="P160" t="s">
        <v>5626</v>
      </c>
      <c r="Q160" t="s">
        <v>5625</v>
      </c>
      <c r="R160" s="7">
        <v>30682</v>
      </c>
      <c r="S160" s="8">
        <f t="shared" si="16"/>
        <v>1984</v>
      </c>
      <c r="T160" s="8">
        <v>1984</v>
      </c>
      <c r="U160" s="8">
        <f t="shared" si="17"/>
        <v>38</v>
      </c>
      <c r="V160" s="7">
        <v>1984</v>
      </c>
      <c r="W160" t="s">
        <v>5624</v>
      </c>
      <c r="X160" s="2">
        <v>1.59</v>
      </c>
      <c r="Y160" s="6">
        <f t="shared" si="22"/>
        <v>4.2444141907583888E-2</v>
      </c>
      <c r="AA160">
        <v>52728</v>
      </c>
      <c r="AB160">
        <v>16791</v>
      </c>
      <c r="AD160" t="s">
        <v>4</v>
      </c>
      <c r="AE160">
        <v>766</v>
      </c>
      <c r="AF160">
        <v>2</v>
      </c>
      <c r="AH160" t="s">
        <v>5623</v>
      </c>
      <c r="AI160" t="s">
        <v>5622</v>
      </c>
      <c r="AJ160" t="s">
        <v>5621</v>
      </c>
      <c r="AK160" t="s">
        <v>5620</v>
      </c>
      <c r="AL160">
        <v>26</v>
      </c>
      <c r="AM160" s="5">
        <f t="shared" si="18"/>
        <v>0.68421052631578949</v>
      </c>
      <c r="AN160" s="4">
        <f t="shared" si="23"/>
        <v>1.0362900815082006E-3</v>
      </c>
      <c r="AO160" s="3"/>
      <c r="AP160">
        <v>0</v>
      </c>
      <c r="AR160" t="s">
        <v>0</v>
      </c>
      <c r="AT160" s="2" t="s">
        <v>45</v>
      </c>
      <c r="AU160" s="1">
        <f t="shared" si="19"/>
        <v>3.0021786359761182</v>
      </c>
      <c r="AV160" s="1">
        <f t="shared" si="20"/>
        <v>2.1740215994546044</v>
      </c>
      <c r="AW160" s="1">
        <f t="shared" si="21"/>
        <v>1.3458645629330905</v>
      </c>
    </row>
    <row r="161" spans="1:49" x14ac:dyDescent="0.2">
      <c r="A161">
        <v>159</v>
      </c>
      <c r="B161" t="s">
        <v>5619</v>
      </c>
      <c r="C161" t="s">
        <v>5618</v>
      </c>
      <c r="F161" t="s">
        <v>5617</v>
      </c>
      <c r="G161" t="s">
        <v>13</v>
      </c>
      <c r="H161" t="s">
        <v>12</v>
      </c>
      <c r="I161" t="s">
        <v>3785</v>
      </c>
      <c r="J161" t="s">
        <v>5616</v>
      </c>
      <c r="K161" t="s">
        <v>5615</v>
      </c>
      <c r="L161" t="s">
        <v>5614</v>
      </c>
      <c r="M161" t="s">
        <v>206</v>
      </c>
      <c r="N161">
        <v>3</v>
      </c>
      <c r="O161" t="s">
        <v>5613</v>
      </c>
      <c r="P161" t="s">
        <v>3783</v>
      </c>
      <c r="Q161" t="s">
        <v>5612</v>
      </c>
      <c r="R161" s="7">
        <v>30682</v>
      </c>
      <c r="S161" s="8">
        <f t="shared" si="16"/>
        <v>1984</v>
      </c>
      <c r="T161" s="8">
        <v>1984</v>
      </c>
      <c r="U161" s="8">
        <f t="shared" si="17"/>
        <v>38</v>
      </c>
      <c r="V161" s="7">
        <v>30895</v>
      </c>
      <c r="W161" t="s">
        <v>2466</v>
      </c>
      <c r="X161" s="2">
        <v>1.3720000000000001</v>
      </c>
      <c r="Y161" s="6">
        <f t="shared" si="22"/>
        <v>3.662475641333654E-2</v>
      </c>
      <c r="AA161">
        <v>189480</v>
      </c>
      <c r="AB161">
        <v>17366</v>
      </c>
      <c r="AC161">
        <v>15579670</v>
      </c>
      <c r="AD161" t="s">
        <v>4</v>
      </c>
      <c r="AE161">
        <v>32</v>
      </c>
      <c r="AF161">
        <v>8</v>
      </c>
      <c r="AH161" t="s">
        <v>3781</v>
      </c>
      <c r="AI161" t="s">
        <v>5611</v>
      </c>
      <c r="AK161" t="s">
        <v>5610</v>
      </c>
      <c r="AL161">
        <v>6</v>
      </c>
      <c r="AM161" s="5">
        <f t="shared" si="18"/>
        <v>0.15789473684210525</v>
      </c>
      <c r="AN161" s="4">
        <f t="shared" si="23"/>
        <v>2.3914386496343091E-4</v>
      </c>
      <c r="AO161" s="3"/>
      <c r="AP161">
        <v>0</v>
      </c>
      <c r="AR161" t="s">
        <v>0</v>
      </c>
      <c r="AT161" s="2" t="s">
        <v>45</v>
      </c>
      <c r="AU161" s="1">
        <f t="shared" si="19"/>
        <v>2.5709072648824605</v>
      </c>
      <c r="AV161" s="1">
        <f t="shared" si="20"/>
        <v>1.8431950139149986</v>
      </c>
      <c r="AW161" s="1">
        <f t="shared" si="21"/>
        <v>1.1154827629475363</v>
      </c>
    </row>
    <row r="162" spans="1:49" x14ac:dyDescent="0.2">
      <c r="A162">
        <v>160</v>
      </c>
      <c r="B162" t="s">
        <v>5609</v>
      </c>
      <c r="C162" t="s">
        <v>5608</v>
      </c>
      <c r="F162" t="s">
        <v>5607</v>
      </c>
      <c r="G162" t="s">
        <v>13</v>
      </c>
      <c r="H162" t="s">
        <v>12</v>
      </c>
      <c r="I162" t="s">
        <v>5606</v>
      </c>
      <c r="J162">
        <v>60025038</v>
      </c>
      <c r="K162" t="s">
        <v>1092</v>
      </c>
      <c r="L162" t="s">
        <v>1091</v>
      </c>
      <c r="M162" t="s">
        <v>56</v>
      </c>
      <c r="N162">
        <v>2</v>
      </c>
      <c r="O162" t="s">
        <v>5605</v>
      </c>
      <c r="P162" t="s">
        <v>5604</v>
      </c>
      <c r="Q162" t="s">
        <v>5490</v>
      </c>
      <c r="R162" s="7">
        <v>30682</v>
      </c>
      <c r="S162" s="8">
        <f t="shared" si="16"/>
        <v>1984</v>
      </c>
      <c r="T162" s="8">
        <v>1984</v>
      </c>
      <c r="U162" s="8">
        <f t="shared" si="17"/>
        <v>38</v>
      </c>
      <c r="V162" s="7">
        <v>1984</v>
      </c>
      <c r="W162" t="s">
        <v>5603</v>
      </c>
      <c r="X162" s="2">
        <v>3.6880000000000002</v>
      </c>
      <c r="Y162" s="6">
        <f t="shared" si="22"/>
        <v>9.8449053682496471E-2</v>
      </c>
      <c r="AA162">
        <v>319007</v>
      </c>
      <c r="AB162">
        <v>29150</v>
      </c>
      <c r="AD162" t="s">
        <v>4</v>
      </c>
      <c r="AE162">
        <v>53</v>
      </c>
      <c r="AF162">
        <v>11</v>
      </c>
      <c r="AH162" t="s">
        <v>5602</v>
      </c>
      <c r="AI162" t="s">
        <v>5601</v>
      </c>
      <c r="AK162" t="s">
        <v>5600</v>
      </c>
      <c r="AL162">
        <v>22</v>
      </c>
      <c r="AM162" s="5">
        <f t="shared" si="18"/>
        <v>0.57894736842105265</v>
      </c>
      <c r="AN162" s="4">
        <f t="shared" si="23"/>
        <v>8.768608381992467E-4</v>
      </c>
      <c r="AO162" s="3"/>
      <c r="AP162">
        <v>0</v>
      </c>
      <c r="AR162" t="s">
        <v>0</v>
      </c>
      <c r="AT162" s="2">
        <v>9.1609999999999996</v>
      </c>
      <c r="AU162" s="1">
        <f t="shared" si="19"/>
        <v>6.9177395829207304</v>
      </c>
      <c r="AV162" s="1">
        <f t="shared" si="20"/>
        <v>4.9662957260347866</v>
      </c>
      <c r="AW162" s="1">
        <f t="shared" si="21"/>
        <v>3.0148518691488415</v>
      </c>
    </row>
    <row r="163" spans="1:49" x14ac:dyDescent="0.2">
      <c r="A163">
        <v>161</v>
      </c>
      <c r="B163" t="s">
        <v>5599</v>
      </c>
      <c r="C163" t="s">
        <v>5598</v>
      </c>
      <c r="F163" t="s">
        <v>5597</v>
      </c>
      <c r="G163" t="s">
        <v>13</v>
      </c>
      <c r="H163" t="s">
        <v>12</v>
      </c>
      <c r="I163" t="s">
        <v>5596</v>
      </c>
      <c r="J163">
        <v>60010819</v>
      </c>
      <c r="K163" t="s">
        <v>5595</v>
      </c>
      <c r="L163" t="s">
        <v>4458</v>
      </c>
      <c r="M163" t="s">
        <v>142</v>
      </c>
      <c r="N163">
        <v>3</v>
      </c>
      <c r="O163" t="s">
        <v>5594</v>
      </c>
      <c r="P163" t="s">
        <v>5593</v>
      </c>
      <c r="Q163" t="s">
        <v>5592</v>
      </c>
      <c r="R163" s="7">
        <v>30682</v>
      </c>
      <c r="S163" s="8">
        <f t="shared" si="16"/>
        <v>1984</v>
      </c>
      <c r="T163" s="8">
        <v>1984</v>
      </c>
      <c r="U163" s="8">
        <f t="shared" si="17"/>
        <v>38</v>
      </c>
      <c r="V163" s="7">
        <v>30926</v>
      </c>
      <c r="W163" t="s">
        <v>5591</v>
      </c>
      <c r="X163" s="2" t="s">
        <v>45</v>
      </c>
      <c r="Y163" s="6" t="e">
        <f t="shared" si="22"/>
        <v>#VALUE!</v>
      </c>
      <c r="AA163">
        <v>1688170</v>
      </c>
      <c r="AB163">
        <v>21100874205</v>
      </c>
      <c r="AD163" t="s">
        <v>4</v>
      </c>
      <c r="AE163">
        <v>7</v>
      </c>
      <c r="AF163">
        <v>4</v>
      </c>
      <c r="AH163" t="s">
        <v>5590</v>
      </c>
      <c r="AI163" t="s">
        <v>5589</v>
      </c>
      <c r="AJ163" t="s">
        <v>5588</v>
      </c>
      <c r="AK163" t="s">
        <v>5587</v>
      </c>
      <c r="AL163">
        <v>3</v>
      </c>
      <c r="AM163" s="5">
        <f t="shared" si="18"/>
        <v>7.8947368421052627E-2</v>
      </c>
      <c r="AN163" s="4">
        <f t="shared" si="23"/>
        <v>1.1957193248171546E-4</v>
      </c>
      <c r="AO163" s="3"/>
      <c r="AP163">
        <v>0</v>
      </c>
      <c r="AQ163" t="s">
        <v>133</v>
      </c>
      <c r="AR163" t="s">
        <v>5586</v>
      </c>
      <c r="AS163" t="s">
        <v>132</v>
      </c>
      <c r="AT163" s="2" t="s">
        <v>45</v>
      </c>
      <c r="AU163" s="1" t="e">
        <f t="shared" si="19"/>
        <v>#VALUE!</v>
      </c>
      <c r="AV163" s="1" t="e">
        <f t="shared" si="20"/>
        <v>#VALUE!</v>
      </c>
      <c r="AW163" s="1" t="e">
        <f t="shared" si="21"/>
        <v>#VALUE!</v>
      </c>
    </row>
    <row r="164" spans="1:49" x14ac:dyDescent="0.2">
      <c r="A164">
        <v>162</v>
      </c>
      <c r="B164" t="s">
        <v>5585</v>
      </c>
      <c r="C164" t="s">
        <v>5584</v>
      </c>
      <c r="D164" t="s">
        <v>5583</v>
      </c>
      <c r="F164" t="s">
        <v>5582</v>
      </c>
      <c r="G164" t="s">
        <v>13</v>
      </c>
      <c r="H164" t="s">
        <v>12</v>
      </c>
      <c r="I164" t="s">
        <v>5581</v>
      </c>
      <c r="J164">
        <v>60005980</v>
      </c>
      <c r="K164" t="s">
        <v>5580</v>
      </c>
      <c r="L164" t="s">
        <v>5579</v>
      </c>
      <c r="M164" t="s">
        <v>1160</v>
      </c>
      <c r="N164">
        <v>1</v>
      </c>
      <c r="O164" t="s">
        <v>5578</v>
      </c>
      <c r="P164">
        <v>7005170280</v>
      </c>
      <c r="Q164">
        <v>60005980</v>
      </c>
      <c r="R164" s="7">
        <v>30682</v>
      </c>
      <c r="S164" s="8">
        <f t="shared" si="16"/>
        <v>1984</v>
      </c>
      <c r="T164" s="8">
        <v>1984</v>
      </c>
      <c r="U164" s="8">
        <f t="shared" si="17"/>
        <v>38</v>
      </c>
      <c r="V164" s="7">
        <v>1984</v>
      </c>
      <c r="W164" t="s">
        <v>96</v>
      </c>
      <c r="X164" s="2">
        <v>0.998</v>
      </c>
      <c r="Y164" s="6">
        <f t="shared" si="22"/>
        <v>2.664104001494888E-2</v>
      </c>
      <c r="AA164">
        <v>207322</v>
      </c>
      <c r="AB164">
        <v>90127</v>
      </c>
      <c r="AD164" t="s">
        <v>4</v>
      </c>
      <c r="AE164">
        <v>13</v>
      </c>
      <c r="AF164">
        <v>2</v>
      </c>
      <c r="AH164" t="s">
        <v>5577</v>
      </c>
      <c r="AI164" t="s">
        <v>5576</v>
      </c>
      <c r="AJ164" t="s">
        <v>5575</v>
      </c>
      <c r="AK164" t="s">
        <v>5574</v>
      </c>
      <c r="AL164">
        <v>6</v>
      </c>
      <c r="AM164" s="5">
        <f t="shared" si="18"/>
        <v>0.15789473684210525</v>
      </c>
      <c r="AN164" s="4">
        <f t="shared" si="23"/>
        <v>2.3914386496343091E-4</v>
      </c>
      <c r="AO164" s="3"/>
      <c r="AP164">
        <v>0</v>
      </c>
      <c r="AR164" t="s">
        <v>0</v>
      </c>
      <c r="AT164" s="2" t="s">
        <v>45</v>
      </c>
      <c r="AU164" s="1">
        <f t="shared" si="19"/>
        <v>1.8720471169953246</v>
      </c>
      <c r="AV164" s="1">
        <f t="shared" si="20"/>
        <v>1.3440091939956156</v>
      </c>
      <c r="AW164" s="1">
        <f t="shared" si="21"/>
        <v>0.81597127099590649</v>
      </c>
    </row>
    <row r="165" spans="1:49" x14ac:dyDescent="0.2">
      <c r="A165">
        <v>163</v>
      </c>
      <c r="B165" t="s">
        <v>5573</v>
      </c>
      <c r="C165" t="s">
        <v>5572</v>
      </c>
      <c r="F165" t="s">
        <v>5571</v>
      </c>
      <c r="G165" t="s">
        <v>13</v>
      </c>
      <c r="H165" t="s">
        <v>12</v>
      </c>
      <c r="I165" t="s">
        <v>5570</v>
      </c>
      <c r="J165">
        <v>60026610</v>
      </c>
      <c r="K165" t="s">
        <v>5569</v>
      </c>
      <c r="L165" t="s">
        <v>5568</v>
      </c>
      <c r="M165" t="s">
        <v>56</v>
      </c>
      <c r="N165">
        <v>3</v>
      </c>
      <c r="O165" t="s">
        <v>5567</v>
      </c>
      <c r="P165" t="s">
        <v>5566</v>
      </c>
      <c r="Q165" t="s">
        <v>5565</v>
      </c>
      <c r="R165" s="7">
        <v>30682</v>
      </c>
      <c r="S165" s="8">
        <f t="shared" si="16"/>
        <v>1984</v>
      </c>
      <c r="T165" s="8">
        <v>1984</v>
      </c>
      <c r="U165" s="8">
        <f t="shared" si="17"/>
        <v>38</v>
      </c>
      <c r="V165" s="7">
        <v>31017</v>
      </c>
      <c r="W165" t="s">
        <v>5564</v>
      </c>
      <c r="X165" s="2">
        <v>1.3480000000000001</v>
      </c>
      <c r="Y165" s="6">
        <f t="shared" si="22"/>
        <v>3.598409012039188E-2</v>
      </c>
      <c r="AA165">
        <v>201669</v>
      </c>
      <c r="AB165">
        <v>25264</v>
      </c>
      <c r="AC165" t="s">
        <v>5563</v>
      </c>
      <c r="AD165" t="s">
        <v>4</v>
      </c>
      <c r="AE165">
        <v>23</v>
      </c>
      <c r="AF165">
        <v>25</v>
      </c>
      <c r="AH165" t="s">
        <v>5562</v>
      </c>
      <c r="AI165" t="s">
        <v>5561</v>
      </c>
      <c r="AK165" t="s">
        <v>5560</v>
      </c>
      <c r="AL165">
        <v>30</v>
      </c>
      <c r="AM165" s="5">
        <f t="shared" si="18"/>
        <v>0.78947368421052633</v>
      </c>
      <c r="AN165" s="4">
        <f t="shared" si="23"/>
        <v>1.1957193248171545E-3</v>
      </c>
      <c r="AO165" s="3"/>
      <c r="AP165">
        <v>0</v>
      </c>
      <c r="AR165" t="s">
        <v>0</v>
      </c>
      <c r="AT165" s="2">
        <v>5.165</v>
      </c>
      <c r="AU165" s="1">
        <f t="shared" si="19"/>
        <v>2.5547578881719462</v>
      </c>
      <c r="AV165" s="1">
        <f t="shared" si="20"/>
        <v>1.8589904722604518</v>
      </c>
      <c r="AW165" s="1">
        <f t="shared" si="21"/>
        <v>1.1632230563489572</v>
      </c>
    </row>
    <row r="166" spans="1:49" x14ac:dyDescent="0.2">
      <c r="A166">
        <v>164</v>
      </c>
      <c r="B166" t="s">
        <v>5559</v>
      </c>
      <c r="C166" t="s">
        <v>5558</v>
      </c>
      <c r="D166" t="s">
        <v>5557</v>
      </c>
      <c r="F166" t="s">
        <v>5556</v>
      </c>
      <c r="G166" t="s">
        <v>13</v>
      </c>
      <c r="H166" t="s">
        <v>12</v>
      </c>
      <c r="I166" t="s">
        <v>5555</v>
      </c>
      <c r="J166">
        <v>60030807</v>
      </c>
      <c r="K166" t="s">
        <v>144</v>
      </c>
      <c r="L166" t="s">
        <v>143</v>
      </c>
      <c r="M166" t="s">
        <v>142</v>
      </c>
      <c r="N166">
        <v>2</v>
      </c>
      <c r="O166" t="s">
        <v>5554</v>
      </c>
      <c r="P166" t="s">
        <v>5553</v>
      </c>
      <c r="Q166" t="s">
        <v>5471</v>
      </c>
      <c r="R166" s="7">
        <v>30682</v>
      </c>
      <c r="S166" s="8">
        <f t="shared" si="16"/>
        <v>1984</v>
      </c>
      <c r="T166" s="8">
        <v>1984</v>
      </c>
      <c r="U166" s="8">
        <f t="shared" si="17"/>
        <v>38</v>
      </c>
      <c r="V166" s="7">
        <v>1984</v>
      </c>
      <c r="W166" t="s">
        <v>96</v>
      </c>
      <c r="X166" s="2">
        <v>0.998</v>
      </c>
      <c r="Y166" s="6">
        <f t="shared" si="22"/>
        <v>2.664104001494888E-2</v>
      </c>
      <c r="AA166">
        <v>207322</v>
      </c>
      <c r="AB166">
        <v>90127</v>
      </c>
      <c r="AD166" t="s">
        <v>4</v>
      </c>
      <c r="AE166">
        <v>13</v>
      </c>
      <c r="AF166" s="9">
        <v>44352</v>
      </c>
      <c r="AH166" t="s">
        <v>5552</v>
      </c>
      <c r="AI166" t="s">
        <v>5551</v>
      </c>
      <c r="AJ166" t="s">
        <v>5550</v>
      </c>
      <c r="AK166" t="s">
        <v>5549</v>
      </c>
      <c r="AL166">
        <v>13</v>
      </c>
      <c r="AM166" s="5">
        <f t="shared" si="18"/>
        <v>0.34210526315789475</v>
      </c>
      <c r="AN166" s="4">
        <f t="shared" si="23"/>
        <v>5.1814504075410031E-4</v>
      </c>
      <c r="AO166" s="3"/>
      <c r="AP166">
        <v>0</v>
      </c>
      <c r="AR166" t="s">
        <v>0</v>
      </c>
      <c r="AT166" s="2" t="s">
        <v>45</v>
      </c>
      <c r="AU166" s="1">
        <f t="shared" si="19"/>
        <v>1.8804171522690447</v>
      </c>
      <c r="AV166" s="1">
        <f t="shared" si="20"/>
        <v>1.357959252785149</v>
      </c>
      <c r="AW166" s="1">
        <f t="shared" si="21"/>
        <v>0.83550135330125352</v>
      </c>
    </row>
    <row r="167" spans="1:49" x14ac:dyDescent="0.2">
      <c r="A167">
        <v>165</v>
      </c>
      <c r="B167" t="s">
        <v>5548</v>
      </c>
      <c r="C167" t="s">
        <v>5547</v>
      </c>
      <c r="D167" t="s">
        <v>5546</v>
      </c>
      <c r="F167" t="s">
        <v>5545</v>
      </c>
      <c r="G167" t="s">
        <v>13</v>
      </c>
      <c r="H167" t="s">
        <v>12</v>
      </c>
      <c r="I167" t="s">
        <v>5544</v>
      </c>
      <c r="J167">
        <v>60010884</v>
      </c>
      <c r="K167" t="s">
        <v>5543</v>
      </c>
      <c r="L167" t="s">
        <v>245</v>
      </c>
      <c r="M167" t="s">
        <v>38</v>
      </c>
      <c r="N167">
        <v>2</v>
      </c>
      <c r="O167" t="s">
        <v>5542</v>
      </c>
      <c r="P167" t="s">
        <v>5541</v>
      </c>
      <c r="Q167" t="s">
        <v>5540</v>
      </c>
      <c r="R167" s="7">
        <v>30682</v>
      </c>
      <c r="S167" s="8">
        <f t="shared" si="16"/>
        <v>1984</v>
      </c>
      <c r="T167" s="8">
        <v>1984</v>
      </c>
      <c r="U167" s="8">
        <f t="shared" si="17"/>
        <v>38</v>
      </c>
      <c r="V167" s="7">
        <v>1984</v>
      </c>
      <c r="W167" t="s">
        <v>96</v>
      </c>
      <c r="X167" s="2">
        <v>0.998</v>
      </c>
      <c r="Y167" s="6">
        <f t="shared" si="22"/>
        <v>2.664104001494888E-2</v>
      </c>
      <c r="AA167">
        <v>207322</v>
      </c>
      <c r="AB167">
        <v>90127</v>
      </c>
      <c r="AD167" t="s">
        <v>4</v>
      </c>
      <c r="AE167">
        <v>13</v>
      </c>
      <c r="AF167">
        <v>2</v>
      </c>
      <c r="AH167" t="s">
        <v>5539</v>
      </c>
      <c r="AI167" t="s">
        <v>5538</v>
      </c>
      <c r="AJ167" t="s">
        <v>5537</v>
      </c>
      <c r="AK167" t="s">
        <v>5536</v>
      </c>
      <c r="AL167">
        <v>37</v>
      </c>
      <c r="AM167" s="5">
        <f t="shared" si="18"/>
        <v>0.97368421052631582</v>
      </c>
      <c r="AN167" s="4">
        <f t="shared" si="23"/>
        <v>1.474720500607824E-3</v>
      </c>
      <c r="AO167" s="3"/>
      <c r="AP167">
        <v>0</v>
      </c>
      <c r="AR167" t="s">
        <v>0</v>
      </c>
      <c r="AT167" s="2" t="s">
        <v>45</v>
      </c>
      <c r="AU167" s="1">
        <f t="shared" si="19"/>
        <v>1.9091144160646563</v>
      </c>
      <c r="AV167" s="1">
        <f t="shared" si="20"/>
        <v>1.4057880257778352</v>
      </c>
      <c r="AW167" s="1">
        <f t="shared" si="21"/>
        <v>0.90246163549101399</v>
      </c>
    </row>
    <row r="168" spans="1:49" x14ac:dyDescent="0.2">
      <c r="A168">
        <v>166</v>
      </c>
      <c r="B168" t="s">
        <v>5535</v>
      </c>
      <c r="C168" t="s">
        <v>5534</v>
      </c>
      <c r="F168" t="s">
        <v>5533</v>
      </c>
      <c r="G168" t="s">
        <v>13</v>
      </c>
      <c r="H168" t="s">
        <v>12</v>
      </c>
      <c r="I168" t="s">
        <v>5532</v>
      </c>
      <c r="J168" t="s">
        <v>5531</v>
      </c>
      <c r="K168" t="s">
        <v>5530</v>
      </c>
      <c r="L168" t="s">
        <v>5529</v>
      </c>
      <c r="M168" t="s">
        <v>628</v>
      </c>
      <c r="N168">
        <v>3</v>
      </c>
      <c r="O168" t="s">
        <v>5528</v>
      </c>
      <c r="P168" t="s">
        <v>5527</v>
      </c>
      <c r="Q168" t="s">
        <v>5526</v>
      </c>
      <c r="R168" s="7">
        <v>30682</v>
      </c>
      <c r="S168" s="8">
        <f t="shared" si="16"/>
        <v>1984</v>
      </c>
      <c r="T168" s="8">
        <v>1984</v>
      </c>
      <c r="U168" s="8">
        <f t="shared" si="17"/>
        <v>38</v>
      </c>
      <c r="V168" s="7">
        <v>30682</v>
      </c>
      <c r="W168" t="s">
        <v>5525</v>
      </c>
      <c r="X168" s="2">
        <v>0.8</v>
      </c>
      <c r="Y168" s="6">
        <f t="shared" si="22"/>
        <v>2.1355543098155415E-2</v>
      </c>
      <c r="AA168">
        <v>3407594</v>
      </c>
      <c r="AB168">
        <v>23456</v>
      </c>
      <c r="AC168">
        <v>14321351</v>
      </c>
      <c r="AD168" t="s">
        <v>4</v>
      </c>
      <c r="AE168">
        <v>154</v>
      </c>
      <c r="AF168">
        <v>1</v>
      </c>
      <c r="AH168" t="s">
        <v>5524</v>
      </c>
      <c r="AI168" t="s">
        <v>5523</v>
      </c>
      <c r="AK168" t="s">
        <v>5522</v>
      </c>
      <c r="AL168">
        <v>33</v>
      </c>
      <c r="AM168" s="5">
        <f t="shared" si="18"/>
        <v>0.86842105263157898</v>
      </c>
      <c r="AN168" s="4">
        <f t="shared" si="23"/>
        <v>1.31529125729887E-3</v>
      </c>
      <c r="AO168" s="3"/>
      <c r="AP168">
        <v>0</v>
      </c>
      <c r="AR168" t="s">
        <v>0</v>
      </c>
      <c r="AT168" s="2" t="s">
        <v>45</v>
      </c>
      <c r="AU168" s="1">
        <f t="shared" si="19"/>
        <v>1.534346754589845</v>
      </c>
      <c r="AV168" s="1">
        <f t="shared" si="20"/>
        <v>1.1335417177727143</v>
      </c>
      <c r="AW168" s="1">
        <f t="shared" si="21"/>
        <v>0.73273668095558331</v>
      </c>
    </row>
    <row r="169" spans="1:49" x14ac:dyDescent="0.2">
      <c r="A169">
        <v>167</v>
      </c>
      <c r="B169" t="s">
        <v>5521</v>
      </c>
      <c r="C169" t="s">
        <v>5520</v>
      </c>
      <c r="D169" t="s">
        <v>5519</v>
      </c>
      <c r="F169" t="s">
        <v>5518</v>
      </c>
      <c r="G169" t="s">
        <v>13</v>
      </c>
      <c r="H169" t="s">
        <v>12</v>
      </c>
      <c r="I169" t="s">
        <v>3500</v>
      </c>
      <c r="J169">
        <v>60017695</v>
      </c>
      <c r="K169" t="s">
        <v>5517</v>
      </c>
      <c r="L169" t="s">
        <v>5516</v>
      </c>
      <c r="M169" t="s">
        <v>142</v>
      </c>
      <c r="N169">
        <v>2</v>
      </c>
      <c r="O169" t="s">
        <v>3499</v>
      </c>
      <c r="P169" t="s">
        <v>3498</v>
      </c>
      <c r="Q169" t="s">
        <v>5515</v>
      </c>
      <c r="R169" s="7">
        <v>30682</v>
      </c>
      <c r="S169" s="8">
        <f t="shared" si="16"/>
        <v>1984</v>
      </c>
      <c r="T169" s="8">
        <v>1984</v>
      </c>
      <c r="U169" s="8">
        <f t="shared" si="17"/>
        <v>38</v>
      </c>
      <c r="V169" s="7">
        <v>30773</v>
      </c>
      <c r="W169" t="s">
        <v>83</v>
      </c>
      <c r="X169" s="2">
        <v>0.51500000000000001</v>
      </c>
      <c r="Y169" s="6">
        <f t="shared" si="22"/>
        <v>1.374763086943755E-2</v>
      </c>
      <c r="AA169">
        <v>219169</v>
      </c>
      <c r="AB169">
        <v>30966</v>
      </c>
      <c r="AD169" t="s">
        <v>4</v>
      </c>
      <c r="AE169">
        <v>46</v>
      </c>
      <c r="AF169">
        <v>4</v>
      </c>
      <c r="AH169" t="s">
        <v>5514</v>
      </c>
      <c r="AI169" t="s">
        <v>5513</v>
      </c>
      <c r="AK169" t="s">
        <v>5512</v>
      </c>
      <c r="AL169">
        <v>38</v>
      </c>
      <c r="AM169" s="5">
        <f t="shared" si="18"/>
        <v>1</v>
      </c>
      <c r="AN169" s="4">
        <f t="shared" si="23"/>
        <v>1.5145778114350624E-3</v>
      </c>
      <c r="AO169" s="3"/>
      <c r="AP169">
        <v>0</v>
      </c>
      <c r="AR169" t="s">
        <v>0</v>
      </c>
      <c r="AT169" s="2" t="s">
        <v>45</v>
      </c>
      <c r="AU169" s="1">
        <f t="shared" si="19"/>
        <v>1.0077714952036803</v>
      </c>
      <c r="AV169" s="1">
        <f t="shared" si="20"/>
        <v>0.76311043404363066</v>
      </c>
      <c r="AW169" s="1">
        <f t="shared" si="21"/>
        <v>0.51844937288358084</v>
      </c>
    </row>
    <row r="170" spans="1:49" x14ac:dyDescent="0.2">
      <c r="A170">
        <v>168</v>
      </c>
      <c r="B170" t="s">
        <v>5511</v>
      </c>
      <c r="C170" t="s">
        <v>5510</v>
      </c>
      <c r="D170" t="s">
        <v>5509</v>
      </c>
      <c r="F170" t="s">
        <v>5508</v>
      </c>
      <c r="G170" t="s">
        <v>13</v>
      </c>
      <c r="H170" t="s">
        <v>12</v>
      </c>
      <c r="I170" t="s">
        <v>5507</v>
      </c>
      <c r="J170" t="s">
        <v>5506</v>
      </c>
      <c r="K170" t="s">
        <v>5505</v>
      </c>
      <c r="L170" t="s">
        <v>5504</v>
      </c>
      <c r="M170" t="s">
        <v>206</v>
      </c>
      <c r="N170">
        <v>6</v>
      </c>
      <c r="O170" t="s">
        <v>5503</v>
      </c>
      <c r="P170" t="s">
        <v>5502</v>
      </c>
      <c r="Q170" t="s">
        <v>5501</v>
      </c>
      <c r="R170" s="7">
        <v>30682</v>
      </c>
      <c r="S170" s="8">
        <f t="shared" si="16"/>
        <v>1984</v>
      </c>
      <c r="T170" s="8">
        <v>1984</v>
      </c>
      <c r="U170" s="8">
        <f t="shared" si="17"/>
        <v>38</v>
      </c>
      <c r="V170" s="7">
        <v>30956</v>
      </c>
      <c r="W170" t="s">
        <v>83</v>
      </c>
      <c r="X170" s="2">
        <v>0.51500000000000001</v>
      </c>
      <c r="Y170" s="6">
        <f t="shared" si="22"/>
        <v>1.374763086943755E-2</v>
      </c>
      <c r="AA170">
        <v>219169</v>
      </c>
      <c r="AB170">
        <v>30966</v>
      </c>
      <c r="AD170" t="s">
        <v>4</v>
      </c>
      <c r="AE170">
        <v>46</v>
      </c>
      <c r="AF170">
        <v>10</v>
      </c>
      <c r="AH170" t="s">
        <v>5500</v>
      </c>
      <c r="AI170" t="s">
        <v>5499</v>
      </c>
      <c r="AK170" t="s">
        <v>5498</v>
      </c>
      <c r="AL170">
        <v>43</v>
      </c>
      <c r="AM170" s="5">
        <f t="shared" si="18"/>
        <v>1.131578947368421</v>
      </c>
      <c r="AN170" s="4">
        <f t="shared" si="23"/>
        <v>1.7138643655712547E-3</v>
      </c>
      <c r="AO170" s="3"/>
      <c r="AP170">
        <v>0</v>
      </c>
      <c r="AQ170" t="s">
        <v>48</v>
      </c>
      <c r="AR170" t="s">
        <v>5497</v>
      </c>
      <c r="AS170" t="s">
        <v>46</v>
      </c>
      <c r="AT170" s="2" t="s">
        <v>45</v>
      </c>
      <c r="AU170" s="1">
        <f t="shared" si="19"/>
        <v>1.013750091827766</v>
      </c>
      <c r="AV170" s="1">
        <f t="shared" si="20"/>
        <v>0.77307476175044021</v>
      </c>
      <c r="AW170" s="1">
        <f t="shared" si="21"/>
        <v>0.53239943167311432</v>
      </c>
    </row>
    <row r="171" spans="1:49" x14ac:dyDescent="0.2">
      <c r="A171">
        <v>169</v>
      </c>
      <c r="B171" t="s">
        <v>5496</v>
      </c>
      <c r="C171" t="s">
        <v>5495</v>
      </c>
      <c r="F171" t="s">
        <v>5494</v>
      </c>
      <c r="G171" t="s">
        <v>13</v>
      </c>
      <c r="H171" t="s">
        <v>12</v>
      </c>
      <c r="I171" t="s">
        <v>5493</v>
      </c>
      <c r="J171">
        <v>60025038</v>
      </c>
      <c r="K171" t="s">
        <v>1092</v>
      </c>
      <c r="L171" t="s">
        <v>1091</v>
      </c>
      <c r="M171" t="s">
        <v>56</v>
      </c>
      <c r="N171">
        <v>2</v>
      </c>
      <c r="O171" t="s">
        <v>5492</v>
      </c>
      <c r="P171" t="s">
        <v>5491</v>
      </c>
      <c r="Q171" t="s">
        <v>5490</v>
      </c>
      <c r="R171" s="7">
        <v>30682</v>
      </c>
      <c r="S171" s="8">
        <f t="shared" si="16"/>
        <v>1984</v>
      </c>
      <c r="T171" s="8">
        <v>1984</v>
      </c>
      <c r="U171" s="8">
        <f t="shared" si="17"/>
        <v>38</v>
      </c>
      <c r="V171" s="7">
        <v>1984</v>
      </c>
      <c r="W171" t="s">
        <v>5489</v>
      </c>
      <c r="X171" s="2">
        <v>3.5539999999999998</v>
      </c>
      <c r="Y171" s="6">
        <f t="shared" si="22"/>
        <v>9.4872000213555435E-2</v>
      </c>
      <c r="AA171">
        <v>320889</v>
      </c>
      <c r="AB171">
        <v>16615</v>
      </c>
      <c r="AC171">
        <v>15322548</v>
      </c>
      <c r="AD171" t="s">
        <v>4</v>
      </c>
      <c r="AE171">
        <v>74</v>
      </c>
      <c r="AH171" t="s">
        <v>5488</v>
      </c>
      <c r="AI171" t="s">
        <v>5487</v>
      </c>
      <c r="AK171" t="s">
        <v>5486</v>
      </c>
      <c r="AL171">
        <v>29</v>
      </c>
      <c r="AM171" s="5">
        <f t="shared" si="18"/>
        <v>0.76315789473684215</v>
      </c>
      <c r="AN171" s="4">
        <f t="shared" si="23"/>
        <v>1.1558620139899161E-3</v>
      </c>
      <c r="AO171" s="3"/>
      <c r="AP171">
        <v>1</v>
      </c>
      <c r="AR171" t="s">
        <v>0</v>
      </c>
      <c r="AT171" s="2">
        <v>8.34</v>
      </c>
      <c r="AU171" s="1">
        <f t="shared" si="19"/>
        <v>6.6757158753685779</v>
      </c>
      <c r="AV171" s="1">
        <f t="shared" si="20"/>
        <v>4.8013931113772674</v>
      </c>
      <c r="AW171" s="1">
        <f t="shared" si="21"/>
        <v>2.9270703473859569</v>
      </c>
    </row>
    <row r="172" spans="1:49" x14ac:dyDescent="0.2">
      <c r="A172">
        <v>170</v>
      </c>
      <c r="B172" t="s">
        <v>5485</v>
      </c>
      <c r="C172" t="s">
        <v>5484</v>
      </c>
      <c r="E172">
        <v>6097326</v>
      </c>
      <c r="F172" t="s">
        <v>5483</v>
      </c>
      <c r="G172" t="s">
        <v>13</v>
      </c>
      <c r="H172" t="s">
        <v>12</v>
      </c>
      <c r="I172" t="s">
        <v>3208</v>
      </c>
      <c r="N172">
        <v>1</v>
      </c>
      <c r="O172" t="s">
        <v>5482</v>
      </c>
      <c r="P172">
        <v>56377616100</v>
      </c>
      <c r="R172" s="7">
        <v>30682</v>
      </c>
      <c r="S172" s="8">
        <f t="shared" si="16"/>
        <v>1984</v>
      </c>
      <c r="T172" s="8">
        <v>1984</v>
      </c>
      <c r="U172" s="8">
        <f t="shared" si="17"/>
        <v>38</v>
      </c>
      <c r="V172" s="7">
        <v>1984</v>
      </c>
      <c r="W172" t="s">
        <v>5454</v>
      </c>
      <c r="X172" s="2">
        <v>1.5429999999999999</v>
      </c>
      <c r="Y172" s="6">
        <f t="shared" si="22"/>
        <v>4.1189503750567256E-2</v>
      </c>
      <c r="AA172">
        <v>2484900</v>
      </c>
      <c r="AB172">
        <v>18422</v>
      </c>
      <c r="AC172" t="s">
        <v>5453</v>
      </c>
      <c r="AD172" t="s">
        <v>4</v>
      </c>
      <c r="AE172">
        <v>51</v>
      </c>
      <c r="AF172">
        <v>2</v>
      </c>
      <c r="AH172" t="s">
        <v>5481</v>
      </c>
      <c r="AI172" t="s">
        <v>5480</v>
      </c>
      <c r="AK172" t="s">
        <v>5479</v>
      </c>
      <c r="AL172">
        <v>110</v>
      </c>
      <c r="AM172" s="5">
        <f t="shared" si="18"/>
        <v>2.8947368421052633</v>
      </c>
      <c r="AN172" s="4">
        <f t="shared" si="23"/>
        <v>4.3843041909962339E-3</v>
      </c>
      <c r="AO172" s="3"/>
      <c r="AP172">
        <v>0</v>
      </c>
      <c r="AR172" t="s">
        <v>0</v>
      </c>
      <c r="AT172" s="2">
        <v>4.4580000000000002</v>
      </c>
      <c r="AU172" s="1">
        <f t="shared" si="19"/>
        <v>3.0147943882695949</v>
      </c>
      <c r="AV172" s="1">
        <f t="shared" si="20"/>
        <v>2.2786903970781744</v>
      </c>
      <c r="AW172" s="1">
        <f t="shared" si="21"/>
        <v>1.542586405886754</v>
      </c>
    </row>
    <row r="173" spans="1:49" x14ac:dyDescent="0.2">
      <c r="A173">
        <v>171</v>
      </c>
      <c r="B173" t="s">
        <v>5478</v>
      </c>
      <c r="C173" t="s">
        <v>5477</v>
      </c>
      <c r="D173" t="s">
        <v>5476</v>
      </c>
      <c r="F173" t="s">
        <v>5475</v>
      </c>
      <c r="G173" t="s">
        <v>13</v>
      </c>
      <c r="H173" t="s">
        <v>12</v>
      </c>
      <c r="I173" t="s">
        <v>5474</v>
      </c>
      <c r="J173">
        <v>60030807</v>
      </c>
      <c r="K173" t="s">
        <v>144</v>
      </c>
      <c r="L173" t="s">
        <v>143</v>
      </c>
      <c r="M173" t="s">
        <v>142</v>
      </c>
      <c r="N173">
        <v>2</v>
      </c>
      <c r="O173" t="s">
        <v>5473</v>
      </c>
      <c r="P173" t="s">
        <v>5472</v>
      </c>
      <c r="Q173" t="s">
        <v>5471</v>
      </c>
      <c r="R173" s="7">
        <v>30682</v>
      </c>
      <c r="S173" s="8">
        <f t="shared" si="16"/>
        <v>1984</v>
      </c>
      <c r="T173" s="8">
        <v>1984</v>
      </c>
      <c r="U173" s="8">
        <f t="shared" si="17"/>
        <v>38</v>
      </c>
      <c r="V173" s="7">
        <v>30773</v>
      </c>
      <c r="W173" t="s">
        <v>5470</v>
      </c>
      <c r="X173" s="2" t="s">
        <v>45</v>
      </c>
      <c r="Y173" s="6" t="e">
        <f t="shared" si="22"/>
        <v>#VALUE!</v>
      </c>
      <c r="AA173">
        <v>225320</v>
      </c>
      <c r="AB173">
        <v>33357</v>
      </c>
      <c r="AD173" t="s">
        <v>4</v>
      </c>
      <c r="AE173">
        <v>87</v>
      </c>
      <c r="AF173">
        <v>1</v>
      </c>
      <c r="AH173" t="s">
        <v>5469</v>
      </c>
      <c r="AI173" t="s">
        <v>5468</v>
      </c>
      <c r="AK173" t="s">
        <v>5467</v>
      </c>
      <c r="AL173">
        <v>7</v>
      </c>
      <c r="AM173" s="5">
        <f t="shared" si="18"/>
        <v>0.18421052631578946</v>
      </c>
      <c r="AN173" s="4">
        <f t="shared" si="23"/>
        <v>2.7900117579066937E-4</v>
      </c>
      <c r="AO173" s="3"/>
      <c r="AP173">
        <v>0</v>
      </c>
      <c r="AR173" t="s">
        <v>0</v>
      </c>
      <c r="AT173" s="2" t="s">
        <v>45</v>
      </c>
      <c r="AU173" s="1" t="e">
        <f t="shared" si="19"/>
        <v>#VALUE!</v>
      </c>
      <c r="AV173" s="1" t="e">
        <f t="shared" si="20"/>
        <v>#VALUE!</v>
      </c>
      <c r="AW173" s="1" t="e">
        <f t="shared" si="21"/>
        <v>#VALUE!</v>
      </c>
    </row>
    <row r="174" spans="1:49" x14ac:dyDescent="0.2">
      <c r="A174">
        <v>172</v>
      </c>
      <c r="B174" t="s">
        <v>5466</v>
      </c>
      <c r="F174" t="s">
        <v>5465</v>
      </c>
      <c r="G174" t="s">
        <v>13</v>
      </c>
      <c r="H174" t="s">
        <v>12</v>
      </c>
      <c r="I174" t="s">
        <v>5464</v>
      </c>
      <c r="N174">
        <v>1</v>
      </c>
      <c r="O174" t="s">
        <v>5463</v>
      </c>
      <c r="P174">
        <v>7004649170</v>
      </c>
      <c r="R174" s="7">
        <v>30682</v>
      </c>
      <c r="S174" s="8">
        <f t="shared" si="16"/>
        <v>1984</v>
      </c>
      <c r="T174" s="8">
        <v>1984</v>
      </c>
      <c r="U174" s="8">
        <f t="shared" si="17"/>
        <v>38</v>
      </c>
      <c r="V174" s="7" t="s">
        <v>4897</v>
      </c>
      <c r="W174" t="s">
        <v>5462</v>
      </c>
      <c r="X174" s="2" t="s">
        <v>45</v>
      </c>
      <c r="Y174" s="6" t="e">
        <f t="shared" si="22"/>
        <v>#VALUE!</v>
      </c>
      <c r="AA174">
        <v>97594</v>
      </c>
      <c r="AB174">
        <v>21913</v>
      </c>
      <c r="AD174" t="s">
        <v>4</v>
      </c>
      <c r="AE174">
        <v>64</v>
      </c>
      <c r="AF174">
        <v>12</v>
      </c>
      <c r="AI174" t="s">
        <v>5461</v>
      </c>
      <c r="AK174" t="s">
        <v>5460</v>
      </c>
      <c r="AL174">
        <v>0</v>
      </c>
      <c r="AM174" s="5">
        <f t="shared" si="18"/>
        <v>0</v>
      </c>
      <c r="AN174" s="4">
        <f t="shared" si="23"/>
        <v>0</v>
      </c>
      <c r="AO174" s="3"/>
      <c r="AP174">
        <v>0</v>
      </c>
      <c r="AR174" t="s">
        <v>0</v>
      </c>
      <c r="AT174" s="2" t="s">
        <v>45</v>
      </c>
      <c r="AU174" s="1" t="e">
        <f t="shared" si="19"/>
        <v>#VALUE!</v>
      </c>
      <c r="AV174" s="1" t="e">
        <f t="shared" si="20"/>
        <v>#VALUE!</v>
      </c>
      <c r="AW174" s="1" t="e">
        <f t="shared" si="21"/>
        <v>#VALUE!</v>
      </c>
    </row>
    <row r="175" spans="1:49" x14ac:dyDescent="0.2">
      <c r="A175">
        <v>173</v>
      </c>
      <c r="B175" t="s">
        <v>5459</v>
      </c>
      <c r="C175" t="s">
        <v>5458</v>
      </c>
      <c r="E175">
        <v>6240296</v>
      </c>
      <c r="F175" t="s">
        <v>5457</v>
      </c>
      <c r="G175" t="s">
        <v>13</v>
      </c>
      <c r="H175" t="s">
        <v>12</v>
      </c>
      <c r="I175" t="s">
        <v>5456</v>
      </c>
      <c r="N175">
        <v>1</v>
      </c>
      <c r="O175" t="s">
        <v>5455</v>
      </c>
      <c r="P175">
        <v>7005997960</v>
      </c>
      <c r="R175" s="7">
        <v>30682</v>
      </c>
      <c r="S175" s="8">
        <f t="shared" si="16"/>
        <v>1984</v>
      </c>
      <c r="T175" s="8">
        <v>1984</v>
      </c>
      <c r="U175" s="8">
        <f t="shared" si="17"/>
        <v>38</v>
      </c>
      <c r="V175" s="7">
        <v>1984</v>
      </c>
      <c r="W175" t="s">
        <v>5454</v>
      </c>
      <c r="X175" s="2">
        <v>1.5429999999999999</v>
      </c>
      <c r="Y175" s="6">
        <f t="shared" si="22"/>
        <v>4.1189503750567256E-2</v>
      </c>
      <c r="AA175">
        <v>2484900</v>
      </c>
      <c r="AB175">
        <v>18422</v>
      </c>
      <c r="AC175" t="s">
        <v>5453</v>
      </c>
      <c r="AD175" t="s">
        <v>4</v>
      </c>
      <c r="AE175">
        <v>51</v>
      </c>
      <c r="AF175">
        <v>2</v>
      </c>
      <c r="AH175" t="s">
        <v>5452</v>
      </c>
      <c r="AI175" t="s">
        <v>5451</v>
      </c>
      <c r="AK175" t="s">
        <v>5450</v>
      </c>
      <c r="AL175">
        <v>34</v>
      </c>
      <c r="AM175" s="5">
        <f t="shared" si="18"/>
        <v>0.89473684210526316</v>
      </c>
      <c r="AN175" s="4">
        <f t="shared" si="23"/>
        <v>1.3551485681261085E-3</v>
      </c>
      <c r="AO175" s="3"/>
      <c r="AP175">
        <v>0</v>
      </c>
      <c r="AR175" t="s">
        <v>0</v>
      </c>
      <c r="AT175" s="2">
        <v>4.4580000000000002</v>
      </c>
      <c r="AU175" s="1">
        <f t="shared" si="19"/>
        <v>2.9239197195834912</v>
      </c>
      <c r="AV175" s="1">
        <f t="shared" si="20"/>
        <v>2.1272326159346684</v>
      </c>
      <c r="AW175" s="1">
        <f t="shared" si="21"/>
        <v>1.3305455122858454</v>
      </c>
    </row>
    <row r="176" spans="1:49" x14ac:dyDescent="0.2">
      <c r="A176">
        <v>174</v>
      </c>
      <c r="B176" t="s">
        <v>5449</v>
      </c>
      <c r="C176" t="s">
        <v>5448</v>
      </c>
      <c r="D176">
        <v>3986184902364</v>
      </c>
      <c r="E176">
        <v>6393881</v>
      </c>
      <c r="F176" t="s">
        <v>5447</v>
      </c>
      <c r="G176" t="s">
        <v>13</v>
      </c>
      <c r="H176" t="s">
        <v>12</v>
      </c>
      <c r="I176" t="s">
        <v>5446</v>
      </c>
      <c r="J176">
        <v>60031707</v>
      </c>
      <c r="K176" t="s">
        <v>5445</v>
      </c>
      <c r="L176" t="s">
        <v>5444</v>
      </c>
      <c r="M176" t="s">
        <v>56</v>
      </c>
      <c r="N176">
        <v>5</v>
      </c>
      <c r="O176" t="s">
        <v>5443</v>
      </c>
      <c r="P176" t="s">
        <v>5442</v>
      </c>
      <c r="Q176" t="s">
        <v>5441</v>
      </c>
      <c r="R176" s="7">
        <v>30682</v>
      </c>
      <c r="S176" s="8">
        <f t="shared" ref="S176:S239" si="24">YEAR(R176)</f>
        <v>1984</v>
      </c>
      <c r="T176" s="8">
        <v>1984</v>
      </c>
      <c r="U176" s="8">
        <f t="shared" ref="U176:U239" si="25">2022-T176</f>
        <v>38</v>
      </c>
      <c r="V176" s="7">
        <v>31017</v>
      </c>
      <c r="W176" t="s">
        <v>5440</v>
      </c>
      <c r="X176" s="2">
        <v>1.097</v>
      </c>
      <c r="Y176" s="6">
        <f t="shared" si="22"/>
        <v>2.9283788473345614E-2</v>
      </c>
      <c r="AA176">
        <v>39861</v>
      </c>
      <c r="AB176">
        <v>16811</v>
      </c>
      <c r="AC176">
        <v>10960384</v>
      </c>
      <c r="AD176" t="s">
        <v>4</v>
      </c>
      <c r="AE176">
        <v>235</v>
      </c>
      <c r="AF176">
        <v>2</v>
      </c>
      <c r="AH176" t="s">
        <v>5439</v>
      </c>
      <c r="AI176" t="s">
        <v>5438</v>
      </c>
      <c r="AK176" t="s">
        <v>5437</v>
      </c>
      <c r="AL176">
        <v>60</v>
      </c>
      <c r="AM176" s="5">
        <f t="shared" ref="AM176:AM239" si="26">AL176/U176</f>
        <v>1.5789473684210527</v>
      </c>
      <c r="AN176" s="4">
        <f t="shared" si="23"/>
        <v>2.3914386496343091E-3</v>
      </c>
      <c r="AO176" s="3"/>
      <c r="AP176">
        <v>0</v>
      </c>
      <c r="AQ176" t="s">
        <v>48</v>
      </c>
      <c r="AR176" t="s">
        <v>5436</v>
      </c>
      <c r="AS176" t="s">
        <v>46</v>
      </c>
      <c r="AT176" s="2" t="s">
        <v>45</v>
      </c>
      <c r="AU176" s="1">
        <f t="shared" ref="AU176:AU239" si="27">(Y176*0.7+AN176*0.3)*100</f>
        <v>2.1216083526232223</v>
      </c>
      <c r="AV176" s="1">
        <f t="shared" ref="AV176:AV239" si="28">(Y176*0.5+AN176*0.5)*100</f>
        <v>1.5837613561489963</v>
      </c>
      <c r="AW176" s="1">
        <f t="shared" ref="AW176:AW239" si="29">(Y176*0.3+AN176*0.7)*100</f>
        <v>1.04591435967477</v>
      </c>
    </row>
    <row r="177" spans="1:49" x14ac:dyDescent="0.2">
      <c r="A177">
        <v>175</v>
      </c>
      <c r="B177" t="s">
        <v>5435</v>
      </c>
      <c r="C177" t="s">
        <v>5434</v>
      </c>
      <c r="F177" t="s">
        <v>5433</v>
      </c>
      <c r="G177" t="s">
        <v>13</v>
      </c>
      <c r="H177" t="s">
        <v>12</v>
      </c>
      <c r="I177" t="s">
        <v>5432</v>
      </c>
      <c r="J177">
        <v>60029170</v>
      </c>
      <c r="K177" t="s">
        <v>732</v>
      </c>
      <c r="L177" t="s">
        <v>731</v>
      </c>
      <c r="M177" t="s">
        <v>417</v>
      </c>
      <c r="N177">
        <v>3</v>
      </c>
      <c r="O177" t="s">
        <v>5431</v>
      </c>
      <c r="P177" t="s">
        <v>5430</v>
      </c>
      <c r="Q177" t="s">
        <v>728</v>
      </c>
      <c r="R177" s="7">
        <v>30682</v>
      </c>
      <c r="S177" s="8">
        <f t="shared" si="24"/>
        <v>1984</v>
      </c>
      <c r="T177" s="8">
        <v>1984</v>
      </c>
      <c r="U177" s="8">
        <f t="shared" si="25"/>
        <v>38</v>
      </c>
      <c r="V177" s="7">
        <v>30956</v>
      </c>
      <c r="W177" t="s">
        <v>727</v>
      </c>
      <c r="X177" s="2">
        <v>0.65200000000000002</v>
      </c>
      <c r="Y177" s="6">
        <f t="shared" si="22"/>
        <v>1.7404767624996664E-2</v>
      </c>
      <c r="AA177">
        <v>3622525</v>
      </c>
      <c r="AB177">
        <v>29629</v>
      </c>
      <c r="AC177">
        <v>10974687</v>
      </c>
      <c r="AD177" t="s">
        <v>4</v>
      </c>
      <c r="AE177">
        <v>182</v>
      </c>
      <c r="AF177">
        <v>1</v>
      </c>
      <c r="AH177" t="s">
        <v>5429</v>
      </c>
      <c r="AI177" t="s">
        <v>5428</v>
      </c>
      <c r="AK177" t="s">
        <v>5427</v>
      </c>
      <c r="AL177">
        <v>4</v>
      </c>
      <c r="AM177" s="5">
        <f t="shared" si="26"/>
        <v>0.10526315789473684</v>
      </c>
      <c r="AN177" s="4">
        <f t="shared" si="23"/>
        <v>1.5942924330895392E-4</v>
      </c>
      <c r="AO177" s="3"/>
      <c r="AP177">
        <v>0</v>
      </c>
      <c r="AR177" t="s">
        <v>0</v>
      </c>
      <c r="AT177" s="2">
        <v>1.804</v>
      </c>
      <c r="AU177" s="1">
        <f t="shared" si="27"/>
        <v>1.223116611049035</v>
      </c>
      <c r="AV177" s="1">
        <f t="shared" si="28"/>
        <v>0.87820984341528097</v>
      </c>
      <c r="AW177" s="1">
        <f t="shared" si="29"/>
        <v>0.53330307578152658</v>
      </c>
    </row>
    <row r="178" spans="1:49" x14ac:dyDescent="0.2">
      <c r="A178">
        <v>176</v>
      </c>
      <c r="B178" t="s">
        <v>5426</v>
      </c>
      <c r="C178" t="s">
        <v>5425</v>
      </c>
      <c r="D178">
        <v>43164884900231</v>
      </c>
      <c r="F178" t="s">
        <v>5424</v>
      </c>
      <c r="G178" t="s">
        <v>13</v>
      </c>
      <c r="H178" t="s">
        <v>12</v>
      </c>
      <c r="I178" t="s">
        <v>5423</v>
      </c>
      <c r="J178">
        <v>106015622</v>
      </c>
      <c r="K178" t="s">
        <v>5422</v>
      </c>
      <c r="L178" t="s">
        <v>5421</v>
      </c>
      <c r="M178" t="s">
        <v>1259</v>
      </c>
      <c r="N178">
        <v>1</v>
      </c>
      <c r="O178" t="s">
        <v>5420</v>
      </c>
      <c r="P178">
        <v>7005687932</v>
      </c>
      <c r="Q178">
        <v>106015622</v>
      </c>
      <c r="R178" s="7">
        <v>30682</v>
      </c>
      <c r="S178" s="8">
        <f t="shared" si="24"/>
        <v>1984</v>
      </c>
      <c r="T178" s="8">
        <v>1984</v>
      </c>
      <c r="U178" s="8">
        <f t="shared" si="25"/>
        <v>38</v>
      </c>
      <c r="V178" s="7">
        <v>31017</v>
      </c>
      <c r="W178" t="s">
        <v>5419</v>
      </c>
      <c r="X178" s="2">
        <v>1.2050000000000001</v>
      </c>
      <c r="Y178" s="6">
        <f t="shared" si="22"/>
        <v>3.2166786791596597E-2</v>
      </c>
      <c r="AA178">
        <v>431648</v>
      </c>
      <c r="AB178">
        <v>22156</v>
      </c>
      <c r="AD178" t="s">
        <v>4</v>
      </c>
      <c r="AE178">
        <v>100</v>
      </c>
      <c r="AF178" s="9">
        <v>44256</v>
      </c>
      <c r="AH178" t="s">
        <v>5418</v>
      </c>
      <c r="AI178" t="s">
        <v>5417</v>
      </c>
      <c r="AK178" t="s">
        <v>5416</v>
      </c>
      <c r="AL178">
        <v>158</v>
      </c>
      <c r="AM178" s="5">
        <f t="shared" si="26"/>
        <v>4.1578947368421053</v>
      </c>
      <c r="AN178" s="4">
        <f t="shared" si="23"/>
        <v>6.297455110703681E-3</v>
      </c>
      <c r="AO178" s="3"/>
      <c r="AP178">
        <v>0</v>
      </c>
      <c r="AR178" t="s">
        <v>0</v>
      </c>
      <c r="AT178" s="2">
        <v>3.8919999999999999</v>
      </c>
      <c r="AU178" s="1">
        <f t="shared" si="27"/>
        <v>2.4405987287328719</v>
      </c>
      <c r="AV178" s="1">
        <f t="shared" si="28"/>
        <v>1.923212095115014</v>
      </c>
      <c r="AW178" s="1">
        <f t="shared" si="29"/>
        <v>1.4058254614971555</v>
      </c>
    </row>
    <row r="179" spans="1:49" x14ac:dyDescent="0.2">
      <c r="A179">
        <v>177</v>
      </c>
      <c r="B179" t="s">
        <v>5415</v>
      </c>
      <c r="C179" t="s">
        <v>5414</v>
      </c>
      <c r="F179" t="s">
        <v>5413</v>
      </c>
      <c r="G179" t="s">
        <v>13</v>
      </c>
      <c r="H179" t="s">
        <v>12</v>
      </c>
      <c r="I179" t="s">
        <v>5412</v>
      </c>
      <c r="J179">
        <v>60077590</v>
      </c>
      <c r="K179" t="s">
        <v>5411</v>
      </c>
      <c r="L179" t="s">
        <v>194</v>
      </c>
      <c r="M179" t="s">
        <v>56</v>
      </c>
      <c r="N179">
        <v>1</v>
      </c>
      <c r="O179" t="s">
        <v>5410</v>
      </c>
      <c r="P179">
        <v>26643168800</v>
      </c>
      <c r="Q179">
        <v>60077590</v>
      </c>
      <c r="R179" s="7">
        <v>30682</v>
      </c>
      <c r="S179" s="8">
        <f t="shared" si="24"/>
        <v>1984</v>
      </c>
      <c r="T179" s="8">
        <v>1984</v>
      </c>
      <c r="U179" s="8">
        <f t="shared" si="25"/>
        <v>38</v>
      </c>
      <c r="V179" s="7">
        <v>1984</v>
      </c>
      <c r="W179" t="s">
        <v>3575</v>
      </c>
      <c r="X179" s="2">
        <v>1.1779999999999999</v>
      </c>
      <c r="Y179" s="6">
        <f t="shared" si="22"/>
        <v>3.1446037212033845E-2</v>
      </c>
      <c r="AA179">
        <v>168033</v>
      </c>
      <c r="AB179">
        <v>27965</v>
      </c>
      <c r="AD179" t="s">
        <v>4</v>
      </c>
      <c r="AE179">
        <v>49</v>
      </c>
      <c r="AF179">
        <v>1</v>
      </c>
      <c r="AH179" t="s">
        <v>5409</v>
      </c>
      <c r="AI179" t="s">
        <v>5408</v>
      </c>
      <c r="AK179" t="s">
        <v>5407</v>
      </c>
      <c r="AL179">
        <v>28</v>
      </c>
      <c r="AM179" s="5">
        <f t="shared" si="26"/>
        <v>0.73684210526315785</v>
      </c>
      <c r="AN179" s="4">
        <f t="shared" si="23"/>
        <v>1.1160047031626775E-3</v>
      </c>
      <c r="AO179" s="3"/>
      <c r="AP179">
        <v>0</v>
      </c>
      <c r="AR179" t="s">
        <v>0</v>
      </c>
      <c r="AT179" s="2">
        <v>2.9279999999999999</v>
      </c>
      <c r="AU179" s="1">
        <f t="shared" si="27"/>
        <v>2.2347027459372493</v>
      </c>
      <c r="AV179" s="1">
        <f t="shared" si="28"/>
        <v>1.6281020957598262</v>
      </c>
      <c r="AW179" s="1">
        <f t="shared" si="29"/>
        <v>1.0215014455824027</v>
      </c>
    </row>
    <row r="180" spans="1:49" x14ac:dyDescent="0.2">
      <c r="A180">
        <v>178</v>
      </c>
      <c r="B180" t="s">
        <v>5406</v>
      </c>
      <c r="C180" t="s">
        <v>5405</v>
      </c>
      <c r="F180" t="s">
        <v>5404</v>
      </c>
      <c r="G180" t="s">
        <v>13</v>
      </c>
      <c r="H180" t="s">
        <v>12</v>
      </c>
      <c r="I180" t="s">
        <v>5403</v>
      </c>
      <c r="J180">
        <v>60011666</v>
      </c>
      <c r="K180" t="s">
        <v>5402</v>
      </c>
      <c r="L180" t="s">
        <v>5401</v>
      </c>
      <c r="M180" t="s">
        <v>56</v>
      </c>
      <c r="N180">
        <v>1</v>
      </c>
      <c r="O180" t="s">
        <v>5400</v>
      </c>
      <c r="P180">
        <v>7004164863</v>
      </c>
      <c r="Q180">
        <v>60011666</v>
      </c>
      <c r="R180" s="7">
        <v>30682</v>
      </c>
      <c r="S180" s="8">
        <f t="shared" si="24"/>
        <v>1984</v>
      </c>
      <c r="T180" s="8">
        <v>1984</v>
      </c>
      <c r="U180" s="8">
        <f t="shared" si="25"/>
        <v>38</v>
      </c>
      <c r="V180" s="7">
        <v>1984</v>
      </c>
      <c r="W180" t="s">
        <v>497</v>
      </c>
      <c r="X180" s="2">
        <v>1.67</v>
      </c>
      <c r="Y180" s="6">
        <f t="shared" si="22"/>
        <v>4.4579696217399427E-2</v>
      </c>
      <c r="AA180">
        <v>1480227</v>
      </c>
      <c r="AB180">
        <v>28428</v>
      </c>
      <c r="AD180" t="s">
        <v>4</v>
      </c>
      <c r="AE180">
        <v>89</v>
      </c>
      <c r="AF180" t="s">
        <v>5399</v>
      </c>
      <c r="AH180" t="s">
        <v>5398</v>
      </c>
      <c r="AI180" t="s">
        <v>5397</v>
      </c>
      <c r="AK180" t="s">
        <v>5396</v>
      </c>
      <c r="AL180">
        <v>4</v>
      </c>
      <c r="AM180" s="5">
        <f t="shared" si="26"/>
        <v>0.10526315789473684</v>
      </c>
      <c r="AN180" s="4">
        <f t="shared" si="23"/>
        <v>1.5942924330895392E-4</v>
      </c>
      <c r="AO180" s="3"/>
      <c r="AP180">
        <v>0</v>
      </c>
      <c r="AR180" t="s">
        <v>0</v>
      </c>
      <c r="AT180" s="2" t="s">
        <v>45</v>
      </c>
      <c r="AU180" s="1">
        <f t="shared" si="27"/>
        <v>3.1253616125172279</v>
      </c>
      <c r="AV180" s="1">
        <f t="shared" si="28"/>
        <v>2.2369562730354189</v>
      </c>
      <c r="AW180" s="1">
        <f t="shared" si="29"/>
        <v>1.3485509335536097</v>
      </c>
    </row>
    <row r="181" spans="1:49" x14ac:dyDescent="0.2">
      <c r="A181">
        <v>179</v>
      </c>
      <c r="B181" t="s">
        <v>5395</v>
      </c>
      <c r="C181" t="s">
        <v>5394</v>
      </c>
      <c r="F181" t="s">
        <v>5393</v>
      </c>
      <c r="G181" t="s">
        <v>13</v>
      </c>
      <c r="H181" t="s">
        <v>12</v>
      </c>
      <c r="I181" t="s">
        <v>5392</v>
      </c>
      <c r="J181">
        <v>60009037</v>
      </c>
      <c r="K181" t="s">
        <v>592</v>
      </c>
      <c r="L181" t="s">
        <v>591</v>
      </c>
      <c r="M181" t="s">
        <v>56</v>
      </c>
      <c r="N181">
        <v>1</v>
      </c>
      <c r="O181" t="s">
        <v>5391</v>
      </c>
      <c r="P181">
        <v>57207676410</v>
      </c>
      <c r="Q181">
        <v>60009037</v>
      </c>
      <c r="R181" s="7">
        <v>30682</v>
      </c>
      <c r="S181" s="8">
        <f t="shared" si="24"/>
        <v>1984</v>
      </c>
      <c r="T181" s="8">
        <v>1984</v>
      </c>
      <c r="U181" s="8">
        <f t="shared" si="25"/>
        <v>38</v>
      </c>
      <c r="V181" s="7">
        <v>1984</v>
      </c>
      <c r="W181" t="s">
        <v>497</v>
      </c>
      <c r="X181" s="2">
        <v>1.67</v>
      </c>
      <c r="Y181" s="6">
        <f t="shared" si="22"/>
        <v>4.4579696217399427E-2</v>
      </c>
      <c r="AA181">
        <v>1480227</v>
      </c>
      <c r="AB181">
        <v>28428</v>
      </c>
      <c r="AD181" t="s">
        <v>4</v>
      </c>
      <c r="AE181">
        <v>89</v>
      </c>
      <c r="AF181" t="s">
        <v>5390</v>
      </c>
      <c r="AH181" t="s">
        <v>5389</v>
      </c>
      <c r="AI181" t="s">
        <v>5388</v>
      </c>
      <c r="AK181" t="s">
        <v>5387</v>
      </c>
      <c r="AL181">
        <v>10</v>
      </c>
      <c r="AM181" s="5">
        <f t="shared" si="26"/>
        <v>0.26315789473684209</v>
      </c>
      <c r="AN181" s="4">
        <f t="shared" si="23"/>
        <v>3.9857310827238487E-4</v>
      </c>
      <c r="AO181" s="3"/>
      <c r="AP181">
        <v>0</v>
      </c>
      <c r="AR181" t="s">
        <v>0</v>
      </c>
      <c r="AT181" s="2" t="s">
        <v>45</v>
      </c>
      <c r="AU181" s="1">
        <f t="shared" si="27"/>
        <v>3.1325359284661314</v>
      </c>
      <c r="AV181" s="1">
        <f t="shared" si="28"/>
        <v>2.2489134662835903</v>
      </c>
      <c r="AW181" s="1">
        <f t="shared" si="29"/>
        <v>1.3652910041010498</v>
      </c>
    </row>
    <row r="182" spans="1:49" x14ac:dyDescent="0.2">
      <c r="A182">
        <v>180</v>
      </c>
      <c r="B182" t="s">
        <v>5386</v>
      </c>
      <c r="C182" t="s">
        <v>5385</v>
      </c>
      <c r="F182" t="s">
        <v>5384</v>
      </c>
      <c r="G182" t="s">
        <v>13</v>
      </c>
      <c r="H182" t="s">
        <v>12</v>
      </c>
      <c r="I182" t="s">
        <v>5383</v>
      </c>
      <c r="J182">
        <v>60013959</v>
      </c>
      <c r="K182" t="s">
        <v>1449</v>
      </c>
      <c r="L182" t="s">
        <v>1448</v>
      </c>
      <c r="M182" t="s">
        <v>56</v>
      </c>
      <c r="N182">
        <v>2</v>
      </c>
      <c r="O182" t="s">
        <v>5382</v>
      </c>
      <c r="P182" t="s">
        <v>5381</v>
      </c>
      <c r="Q182" t="s">
        <v>5380</v>
      </c>
      <c r="R182" s="7">
        <v>30682</v>
      </c>
      <c r="S182" s="8">
        <f t="shared" si="24"/>
        <v>1984</v>
      </c>
      <c r="T182" s="8">
        <v>1984</v>
      </c>
      <c r="U182" s="8">
        <f t="shared" si="25"/>
        <v>38</v>
      </c>
      <c r="V182" s="7">
        <v>1984</v>
      </c>
      <c r="W182" t="s">
        <v>5379</v>
      </c>
      <c r="X182" s="2">
        <v>0.83599999999999997</v>
      </c>
      <c r="Y182" s="6">
        <f t="shared" si="22"/>
        <v>2.2316542537572408E-2</v>
      </c>
      <c r="AA182">
        <v>3615995</v>
      </c>
      <c r="AB182">
        <v>37206</v>
      </c>
      <c r="AD182" t="s">
        <v>4</v>
      </c>
      <c r="AE182">
        <v>45</v>
      </c>
      <c r="AF182">
        <v>3</v>
      </c>
      <c r="AH182" t="s">
        <v>241</v>
      </c>
      <c r="AI182" t="s">
        <v>5378</v>
      </c>
      <c r="AK182" t="s">
        <v>5377</v>
      </c>
      <c r="AL182">
        <v>26</v>
      </c>
      <c r="AM182" s="5">
        <f t="shared" si="26"/>
        <v>0.68421052631578949</v>
      </c>
      <c r="AN182" s="4">
        <f t="shared" si="23"/>
        <v>1.0362900815082006E-3</v>
      </c>
      <c r="AO182" s="3"/>
      <c r="AP182">
        <v>0</v>
      </c>
      <c r="AR182" t="s">
        <v>0</v>
      </c>
      <c r="AT182" s="2">
        <v>2.3069999999999999</v>
      </c>
      <c r="AU182" s="1">
        <f t="shared" si="27"/>
        <v>1.5932466800753144</v>
      </c>
      <c r="AV182" s="1">
        <f t="shared" si="28"/>
        <v>1.1676416309540305</v>
      </c>
      <c r="AW182" s="1">
        <f t="shared" si="29"/>
        <v>0.74203658183274634</v>
      </c>
    </row>
    <row r="183" spans="1:49" x14ac:dyDescent="0.2">
      <c r="A183">
        <v>181</v>
      </c>
      <c r="B183" t="s">
        <v>5376</v>
      </c>
      <c r="C183" t="s">
        <v>5375</v>
      </c>
      <c r="F183" t="s">
        <v>5374</v>
      </c>
      <c r="G183" t="s">
        <v>13</v>
      </c>
      <c r="H183" t="s">
        <v>12</v>
      </c>
      <c r="I183" t="s">
        <v>5373</v>
      </c>
      <c r="J183">
        <v>60023004</v>
      </c>
      <c r="K183" t="s">
        <v>5372</v>
      </c>
      <c r="L183" t="s">
        <v>5371</v>
      </c>
      <c r="M183" t="s">
        <v>56</v>
      </c>
      <c r="N183">
        <v>2</v>
      </c>
      <c r="O183" t="s">
        <v>5370</v>
      </c>
      <c r="P183" t="s">
        <v>5369</v>
      </c>
      <c r="Q183" t="s">
        <v>5368</v>
      </c>
      <c r="R183" s="7">
        <v>30682</v>
      </c>
      <c r="S183" s="8">
        <f t="shared" si="24"/>
        <v>1984</v>
      </c>
      <c r="T183" s="8">
        <v>1984</v>
      </c>
      <c r="U183" s="8">
        <f t="shared" si="25"/>
        <v>38</v>
      </c>
      <c r="V183" s="7" t="s">
        <v>4897</v>
      </c>
      <c r="W183" t="s">
        <v>5367</v>
      </c>
      <c r="X183" s="2">
        <v>0.95399999999999996</v>
      </c>
      <c r="Y183" s="6">
        <f t="shared" si="22"/>
        <v>2.5466485144550331E-2</v>
      </c>
      <c r="AA183">
        <v>361399</v>
      </c>
      <c r="AB183">
        <v>26404</v>
      </c>
      <c r="AD183" t="s">
        <v>4</v>
      </c>
      <c r="AE183">
        <v>44</v>
      </c>
      <c r="AF183">
        <v>6</v>
      </c>
      <c r="AH183" t="s">
        <v>5366</v>
      </c>
      <c r="AI183" t="s">
        <v>5365</v>
      </c>
      <c r="AK183" t="s">
        <v>5364</v>
      </c>
      <c r="AL183">
        <v>8</v>
      </c>
      <c r="AM183" s="5">
        <f t="shared" si="26"/>
        <v>0.21052631578947367</v>
      </c>
      <c r="AN183" s="4">
        <f t="shared" si="23"/>
        <v>3.1885848661790785E-4</v>
      </c>
      <c r="AO183" s="3"/>
      <c r="AP183">
        <v>0</v>
      </c>
      <c r="AR183" t="s">
        <v>0</v>
      </c>
      <c r="AT183" s="2">
        <v>2.08</v>
      </c>
      <c r="AU183" s="1">
        <f t="shared" si="27"/>
        <v>1.7922197147170602</v>
      </c>
      <c r="AV183" s="1">
        <f t="shared" si="28"/>
        <v>1.2892671815584118</v>
      </c>
      <c r="AW183" s="1">
        <f t="shared" si="29"/>
        <v>0.78631464839976351</v>
      </c>
    </row>
    <row r="184" spans="1:49" x14ac:dyDescent="0.2">
      <c r="A184">
        <v>182</v>
      </c>
      <c r="B184" t="s">
        <v>5363</v>
      </c>
      <c r="C184" t="s">
        <v>5362</v>
      </c>
      <c r="F184" t="s">
        <v>5361</v>
      </c>
      <c r="G184" t="s">
        <v>13</v>
      </c>
      <c r="H184" t="s">
        <v>12</v>
      </c>
      <c r="I184" t="s">
        <v>5360</v>
      </c>
      <c r="J184">
        <v>60020536</v>
      </c>
      <c r="K184" t="s">
        <v>5359</v>
      </c>
      <c r="L184" t="s">
        <v>1792</v>
      </c>
      <c r="M184" t="s">
        <v>56</v>
      </c>
      <c r="N184">
        <v>1</v>
      </c>
      <c r="O184" t="s">
        <v>5358</v>
      </c>
      <c r="P184">
        <v>7402372006</v>
      </c>
      <c r="Q184">
        <v>60020536</v>
      </c>
      <c r="R184" s="7">
        <v>30682</v>
      </c>
      <c r="S184" s="8">
        <f t="shared" si="24"/>
        <v>1984</v>
      </c>
      <c r="T184" s="8">
        <v>1984</v>
      </c>
      <c r="U184" s="8">
        <f t="shared" si="25"/>
        <v>38</v>
      </c>
      <c r="V184" s="7">
        <v>31017</v>
      </c>
      <c r="W184" t="s">
        <v>111</v>
      </c>
      <c r="X184" s="2">
        <v>2.383</v>
      </c>
      <c r="Y184" s="6">
        <f t="shared" si="22"/>
        <v>6.3612824003630442E-2</v>
      </c>
      <c r="AA184">
        <v>189219</v>
      </c>
      <c r="AB184">
        <v>17915</v>
      </c>
      <c r="AC184">
        <v>15582256</v>
      </c>
      <c r="AD184" t="s">
        <v>4</v>
      </c>
      <c r="AE184">
        <v>72</v>
      </c>
      <c r="AF184">
        <v>12</v>
      </c>
      <c r="AH184" t="s">
        <v>5357</v>
      </c>
      <c r="AI184" t="s">
        <v>5356</v>
      </c>
      <c r="AK184" t="s">
        <v>5355</v>
      </c>
      <c r="AL184">
        <v>7</v>
      </c>
      <c r="AM184" s="5">
        <f t="shared" si="26"/>
        <v>0.18421052631578946</v>
      </c>
      <c r="AN184" s="4">
        <f t="shared" si="23"/>
        <v>2.7900117579066937E-4</v>
      </c>
      <c r="AO184" s="3"/>
      <c r="AP184">
        <v>0</v>
      </c>
      <c r="AR184" t="s">
        <v>0</v>
      </c>
      <c r="AT184" s="2">
        <v>10.961</v>
      </c>
      <c r="AU184" s="1">
        <f t="shared" si="27"/>
        <v>4.4612677155278506</v>
      </c>
      <c r="AV184" s="1">
        <f t="shared" si="28"/>
        <v>3.1945912589710557</v>
      </c>
      <c r="AW184" s="1">
        <f t="shared" si="29"/>
        <v>1.9279148024142601</v>
      </c>
    </row>
    <row r="185" spans="1:49" x14ac:dyDescent="0.2">
      <c r="A185">
        <v>183</v>
      </c>
      <c r="B185" t="s">
        <v>5354</v>
      </c>
      <c r="C185" t="s">
        <v>5353</v>
      </c>
      <c r="D185">
        <v>22311584903672</v>
      </c>
      <c r="F185" t="s">
        <v>5352</v>
      </c>
      <c r="G185" t="s">
        <v>13</v>
      </c>
      <c r="H185" t="s">
        <v>12</v>
      </c>
      <c r="I185" t="s">
        <v>5351</v>
      </c>
      <c r="J185">
        <v>60018020</v>
      </c>
      <c r="K185" t="s">
        <v>2372</v>
      </c>
      <c r="L185" t="s">
        <v>2371</v>
      </c>
      <c r="M185" t="s">
        <v>56</v>
      </c>
      <c r="N185">
        <v>18</v>
      </c>
      <c r="O185" t="s">
        <v>5350</v>
      </c>
      <c r="P185" t="s">
        <v>5349</v>
      </c>
      <c r="Q185" t="s">
        <v>5348</v>
      </c>
      <c r="R185" s="7">
        <v>30682</v>
      </c>
      <c r="S185" s="8">
        <f t="shared" si="24"/>
        <v>1984</v>
      </c>
      <c r="T185" s="8">
        <v>1984</v>
      </c>
      <c r="U185" s="8">
        <f t="shared" si="25"/>
        <v>38</v>
      </c>
      <c r="V185" s="7">
        <v>31017</v>
      </c>
      <c r="W185" t="s">
        <v>5022</v>
      </c>
      <c r="X185" s="2">
        <v>1.123</v>
      </c>
      <c r="Y185" s="6">
        <f t="shared" si="22"/>
        <v>2.9977843624035664E-2</v>
      </c>
      <c r="AA185">
        <v>223115</v>
      </c>
      <c r="AB185">
        <v>29021</v>
      </c>
      <c r="AD185" t="s">
        <v>4</v>
      </c>
      <c r="AE185" t="s">
        <v>5021</v>
      </c>
      <c r="AF185" t="s">
        <v>5020</v>
      </c>
      <c r="AH185" t="s">
        <v>5347</v>
      </c>
      <c r="AI185" t="s">
        <v>5346</v>
      </c>
      <c r="AJ185" t="s">
        <v>5345</v>
      </c>
      <c r="AK185" t="s">
        <v>5344</v>
      </c>
      <c r="AL185">
        <v>28</v>
      </c>
      <c r="AM185" s="5">
        <f t="shared" si="26"/>
        <v>0.73684210526315785</v>
      </c>
      <c r="AN185" s="4">
        <f t="shared" si="23"/>
        <v>1.1160047031626775E-3</v>
      </c>
      <c r="AO185" s="3"/>
      <c r="AP185">
        <v>0</v>
      </c>
      <c r="AR185" t="s">
        <v>0</v>
      </c>
      <c r="AT185" s="2">
        <v>2.9359999999999999</v>
      </c>
      <c r="AU185" s="1">
        <f t="shared" si="27"/>
        <v>2.1319291947773769</v>
      </c>
      <c r="AV185" s="1">
        <f t="shared" si="28"/>
        <v>1.5546924163599172</v>
      </c>
      <c r="AW185" s="1">
        <f t="shared" si="29"/>
        <v>0.97745563794245738</v>
      </c>
    </row>
    <row r="186" spans="1:49" x14ac:dyDescent="0.2">
      <c r="A186">
        <v>184</v>
      </c>
      <c r="B186" t="s">
        <v>5343</v>
      </c>
      <c r="C186" t="s">
        <v>5342</v>
      </c>
      <c r="F186" t="s">
        <v>5341</v>
      </c>
      <c r="G186" t="s">
        <v>13</v>
      </c>
      <c r="H186" t="s">
        <v>12</v>
      </c>
      <c r="I186" t="s">
        <v>5340</v>
      </c>
      <c r="J186">
        <v>113069943</v>
      </c>
      <c r="K186" t="s">
        <v>4501</v>
      </c>
      <c r="L186" t="s">
        <v>5339</v>
      </c>
      <c r="M186" t="s">
        <v>167</v>
      </c>
      <c r="N186">
        <v>2</v>
      </c>
      <c r="O186" t="s">
        <v>5338</v>
      </c>
      <c r="P186" t="s">
        <v>5337</v>
      </c>
      <c r="Q186" t="s">
        <v>5336</v>
      </c>
      <c r="R186" s="7">
        <v>30682</v>
      </c>
      <c r="S186" s="8">
        <f t="shared" si="24"/>
        <v>1984</v>
      </c>
      <c r="T186" s="8">
        <v>1984</v>
      </c>
      <c r="U186" s="8">
        <f t="shared" si="25"/>
        <v>38</v>
      </c>
      <c r="V186" s="7">
        <v>31017</v>
      </c>
      <c r="W186" t="s">
        <v>380</v>
      </c>
      <c r="X186" s="2">
        <v>1.6519999999999999</v>
      </c>
      <c r="Y186" s="6">
        <f t="shared" si="22"/>
        <v>4.409919649769093E-2</v>
      </c>
      <c r="AA186" t="s">
        <v>379</v>
      </c>
      <c r="AB186">
        <v>17337</v>
      </c>
      <c r="AC186">
        <v>15582221</v>
      </c>
      <c r="AD186" t="s">
        <v>4</v>
      </c>
      <c r="AE186">
        <v>32</v>
      </c>
      <c r="AF186">
        <v>12</v>
      </c>
      <c r="AH186" t="s">
        <v>5335</v>
      </c>
      <c r="AI186" t="s">
        <v>5334</v>
      </c>
      <c r="AK186" t="s">
        <v>5333</v>
      </c>
      <c r="AL186">
        <v>4</v>
      </c>
      <c r="AM186" s="5">
        <f t="shared" si="26"/>
        <v>0.10526315789473684</v>
      </c>
      <c r="AN186" s="4">
        <f t="shared" si="23"/>
        <v>1.5942924330895392E-4</v>
      </c>
      <c r="AO186" s="3"/>
      <c r="AP186">
        <v>0</v>
      </c>
      <c r="AR186" t="s">
        <v>0</v>
      </c>
      <c r="AT186" s="2" t="s">
        <v>45</v>
      </c>
      <c r="AU186" s="1">
        <f t="shared" si="27"/>
        <v>3.0917266321376338</v>
      </c>
      <c r="AV186" s="1">
        <f t="shared" si="28"/>
        <v>2.2129312870499942</v>
      </c>
      <c r="AW186" s="1">
        <f t="shared" si="29"/>
        <v>1.3341359419623546</v>
      </c>
    </row>
    <row r="187" spans="1:49" x14ac:dyDescent="0.2">
      <c r="A187">
        <v>185</v>
      </c>
      <c r="B187" t="s">
        <v>5332</v>
      </c>
      <c r="C187" t="s">
        <v>5331</v>
      </c>
      <c r="F187" t="s">
        <v>5330</v>
      </c>
      <c r="G187" t="s">
        <v>13</v>
      </c>
      <c r="H187" t="s">
        <v>12</v>
      </c>
      <c r="I187" t="s">
        <v>5329</v>
      </c>
      <c r="J187" t="s">
        <v>5323</v>
      </c>
      <c r="K187" t="s">
        <v>5328</v>
      </c>
      <c r="L187" t="s">
        <v>5327</v>
      </c>
      <c r="M187" t="s">
        <v>5326</v>
      </c>
      <c r="N187">
        <v>2</v>
      </c>
      <c r="O187" t="s">
        <v>5325</v>
      </c>
      <c r="P187" t="s">
        <v>5324</v>
      </c>
      <c r="Q187" t="s">
        <v>5323</v>
      </c>
      <c r="R187" s="7">
        <v>30682</v>
      </c>
      <c r="S187" s="8">
        <f t="shared" si="24"/>
        <v>1984</v>
      </c>
      <c r="T187" s="8">
        <v>1984</v>
      </c>
      <c r="U187" s="8">
        <f t="shared" si="25"/>
        <v>38</v>
      </c>
      <c r="V187" s="7">
        <v>31017</v>
      </c>
      <c r="W187" t="s">
        <v>380</v>
      </c>
      <c r="X187" s="2">
        <v>1.6519999999999999</v>
      </c>
      <c r="Y187" s="6">
        <f t="shared" si="22"/>
        <v>4.409919649769093E-2</v>
      </c>
      <c r="AA187" t="s">
        <v>379</v>
      </c>
      <c r="AB187">
        <v>17337</v>
      </c>
      <c r="AC187">
        <v>15582221</v>
      </c>
      <c r="AD187" t="s">
        <v>4</v>
      </c>
      <c r="AE187">
        <v>32</v>
      </c>
      <c r="AF187">
        <v>12</v>
      </c>
      <c r="AH187" t="s">
        <v>5322</v>
      </c>
      <c r="AI187" t="s">
        <v>5321</v>
      </c>
      <c r="AK187" t="s">
        <v>5320</v>
      </c>
      <c r="AL187">
        <v>186</v>
      </c>
      <c r="AM187" s="5">
        <f t="shared" si="26"/>
        <v>4.8947368421052628</v>
      </c>
      <c r="AN187" s="4">
        <f t="shared" si="23"/>
        <v>7.4134598138663578E-3</v>
      </c>
      <c r="AO187" s="3"/>
      <c r="AP187">
        <v>0</v>
      </c>
      <c r="AR187" t="s">
        <v>0</v>
      </c>
      <c r="AT187" s="2" t="s">
        <v>45</v>
      </c>
      <c r="AU187" s="1">
        <f t="shared" si="27"/>
        <v>3.309347549254356</v>
      </c>
      <c r="AV187" s="1">
        <f t="shared" si="28"/>
        <v>2.5756328155778645</v>
      </c>
      <c r="AW187" s="1">
        <f t="shared" si="29"/>
        <v>1.841918081901373</v>
      </c>
    </row>
    <row r="188" spans="1:49" x14ac:dyDescent="0.2">
      <c r="A188">
        <v>186</v>
      </c>
      <c r="B188" t="s">
        <v>5319</v>
      </c>
      <c r="C188" t="s">
        <v>5318</v>
      </c>
      <c r="F188" t="s">
        <v>5317</v>
      </c>
      <c r="G188" t="s">
        <v>13</v>
      </c>
      <c r="H188" t="s">
        <v>12</v>
      </c>
      <c r="I188" t="s">
        <v>5316</v>
      </c>
      <c r="J188">
        <v>60013141</v>
      </c>
      <c r="K188" t="s">
        <v>2855</v>
      </c>
      <c r="L188" t="s">
        <v>2854</v>
      </c>
      <c r="M188" t="s">
        <v>2853</v>
      </c>
      <c r="N188">
        <v>3</v>
      </c>
      <c r="O188" t="s">
        <v>5315</v>
      </c>
      <c r="P188" t="s">
        <v>5314</v>
      </c>
      <c r="Q188" t="s">
        <v>5313</v>
      </c>
      <c r="R188" s="7">
        <v>30682</v>
      </c>
      <c r="S188" s="8">
        <f t="shared" si="24"/>
        <v>1984</v>
      </c>
      <c r="T188" s="8">
        <v>1984</v>
      </c>
      <c r="U188" s="8">
        <f t="shared" si="25"/>
        <v>38</v>
      </c>
      <c r="V188" s="7" t="s">
        <v>4897</v>
      </c>
      <c r="W188" s="11" t="s">
        <v>1146</v>
      </c>
      <c r="X188" s="2">
        <v>2.383</v>
      </c>
      <c r="Y188" s="6">
        <f t="shared" si="22"/>
        <v>6.3612824003630442E-2</v>
      </c>
      <c r="AA188">
        <v>1437097</v>
      </c>
      <c r="AB188">
        <v>101236</v>
      </c>
      <c r="AD188" t="s">
        <v>4</v>
      </c>
      <c r="AE188">
        <v>131</v>
      </c>
      <c r="AF188" t="s">
        <v>4896</v>
      </c>
      <c r="AH188" t="s">
        <v>5312</v>
      </c>
      <c r="AI188" t="s">
        <v>5311</v>
      </c>
      <c r="AK188" t="s">
        <v>5310</v>
      </c>
      <c r="AL188">
        <v>34</v>
      </c>
      <c r="AM188" s="5">
        <f t="shared" si="26"/>
        <v>0.89473684210526316</v>
      </c>
      <c r="AN188" s="4">
        <f t="shared" si="23"/>
        <v>1.3551485681261085E-3</v>
      </c>
      <c r="AO188" s="3"/>
      <c r="AP188">
        <v>0</v>
      </c>
      <c r="AR188" t="s">
        <v>0</v>
      </c>
      <c r="AT188" s="2" t="s">
        <v>45</v>
      </c>
      <c r="AU188" s="1">
        <f t="shared" si="27"/>
        <v>4.4935521372979137</v>
      </c>
      <c r="AV188" s="1">
        <f t="shared" si="28"/>
        <v>3.248398628587827</v>
      </c>
      <c r="AW188" s="1">
        <f t="shared" si="29"/>
        <v>2.0032451198777408</v>
      </c>
    </row>
    <row r="189" spans="1:49" x14ac:dyDescent="0.2">
      <c r="A189">
        <v>187</v>
      </c>
      <c r="B189" t="s">
        <v>5309</v>
      </c>
      <c r="C189" t="s">
        <v>5308</v>
      </c>
      <c r="F189" t="s">
        <v>5307</v>
      </c>
      <c r="G189" t="s">
        <v>13</v>
      </c>
      <c r="H189" t="s">
        <v>12</v>
      </c>
      <c r="I189" t="s">
        <v>5306</v>
      </c>
      <c r="J189">
        <v>60024825</v>
      </c>
      <c r="K189" t="s">
        <v>5305</v>
      </c>
      <c r="L189" t="s">
        <v>5304</v>
      </c>
      <c r="M189" t="s">
        <v>5303</v>
      </c>
      <c r="N189">
        <v>3</v>
      </c>
      <c r="O189" t="s">
        <v>5302</v>
      </c>
      <c r="P189" t="s">
        <v>5301</v>
      </c>
      <c r="Q189" t="s">
        <v>5300</v>
      </c>
      <c r="R189" s="7">
        <v>30682</v>
      </c>
      <c r="S189" s="8">
        <f t="shared" si="24"/>
        <v>1984</v>
      </c>
      <c r="T189" s="8">
        <v>1984</v>
      </c>
      <c r="U189" s="8">
        <f t="shared" si="25"/>
        <v>38</v>
      </c>
      <c r="V189" s="7" t="s">
        <v>4897</v>
      </c>
      <c r="W189" s="11" t="s">
        <v>1146</v>
      </c>
      <c r="X189" s="2">
        <v>2.383</v>
      </c>
      <c r="Y189" s="6">
        <f t="shared" si="22"/>
        <v>6.3612824003630442E-2</v>
      </c>
      <c r="AA189">
        <v>1437097</v>
      </c>
      <c r="AB189">
        <v>101236</v>
      </c>
      <c r="AD189" t="s">
        <v>4</v>
      </c>
      <c r="AE189">
        <v>131</v>
      </c>
      <c r="AF189" t="s">
        <v>4896</v>
      </c>
      <c r="AH189" t="s">
        <v>5299</v>
      </c>
      <c r="AI189" t="s">
        <v>5298</v>
      </c>
      <c r="AK189" t="s">
        <v>5297</v>
      </c>
      <c r="AL189">
        <v>6</v>
      </c>
      <c r="AM189" s="5">
        <f t="shared" si="26"/>
        <v>0.15789473684210525</v>
      </c>
      <c r="AN189" s="4">
        <f t="shared" si="23"/>
        <v>2.3914386496343091E-4</v>
      </c>
      <c r="AO189" s="3"/>
      <c r="AP189">
        <v>0</v>
      </c>
      <c r="AR189" t="s">
        <v>0</v>
      </c>
      <c r="AT189" s="2" t="s">
        <v>45</v>
      </c>
      <c r="AU189" s="1">
        <f t="shared" si="27"/>
        <v>4.460071996203034</v>
      </c>
      <c r="AV189" s="1">
        <f t="shared" si="28"/>
        <v>3.1925983934296935</v>
      </c>
      <c r="AW189" s="1">
        <f t="shared" si="29"/>
        <v>1.9251247906563536</v>
      </c>
    </row>
    <row r="190" spans="1:49" x14ac:dyDescent="0.2">
      <c r="A190">
        <v>188</v>
      </c>
      <c r="B190" t="s">
        <v>5296</v>
      </c>
      <c r="C190" t="s">
        <v>5295</v>
      </c>
      <c r="F190" t="s">
        <v>5294</v>
      </c>
      <c r="G190" t="s">
        <v>13</v>
      </c>
      <c r="H190" t="s">
        <v>12</v>
      </c>
      <c r="I190" t="s">
        <v>5293</v>
      </c>
      <c r="J190" t="s">
        <v>5292</v>
      </c>
      <c r="K190" t="s">
        <v>5291</v>
      </c>
      <c r="L190" t="s">
        <v>5290</v>
      </c>
      <c r="M190" t="s">
        <v>72</v>
      </c>
      <c r="N190">
        <v>2</v>
      </c>
      <c r="O190" t="s">
        <v>5289</v>
      </c>
      <c r="P190" t="s">
        <v>5288</v>
      </c>
      <c r="Q190" t="s">
        <v>5287</v>
      </c>
      <c r="R190" s="7">
        <v>30682</v>
      </c>
      <c r="S190" s="8">
        <f t="shared" si="24"/>
        <v>1984</v>
      </c>
      <c r="T190" s="8">
        <v>1984</v>
      </c>
      <c r="U190" s="8">
        <f t="shared" si="25"/>
        <v>38</v>
      </c>
      <c r="V190" s="7">
        <v>31017</v>
      </c>
      <c r="W190" t="s">
        <v>380</v>
      </c>
      <c r="X190" s="2">
        <v>1.6519999999999999</v>
      </c>
      <c r="Y190" s="6">
        <f t="shared" si="22"/>
        <v>4.409919649769093E-2</v>
      </c>
      <c r="AA190" t="s">
        <v>379</v>
      </c>
      <c r="AB190">
        <v>17337</v>
      </c>
      <c r="AC190">
        <v>15582221</v>
      </c>
      <c r="AD190" t="s">
        <v>4</v>
      </c>
      <c r="AE190">
        <v>32</v>
      </c>
      <c r="AF190">
        <v>12</v>
      </c>
      <c r="AH190" t="s">
        <v>5286</v>
      </c>
      <c r="AI190" t="s">
        <v>5285</v>
      </c>
      <c r="AK190" t="s">
        <v>5284</v>
      </c>
      <c r="AL190">
        <v>6</v>
      </c>
      <c r="AM190" s="5">
        <f t="shared" si="26"/>
        <v>0.15789473684210525</v>
      </c>
      <c r="AN190" s="4">
        <f t="shared" si="23"/>
        <v>2.3914386496343091E-4</v>
      </c>
      <c r="AO190" s="3"/>
      <c r="AP190">
        <v>0</v>
      </c>
      <c r="AR190" t="s">
        <v>0</v>
      </c>
      <c r="AT190" s="2" t="s">
        <v>45</v>
      </c>
      <c r="AU190" s="1">
        <f t="shared" si="27"/>
        <v>3.094118070787268</v>
      </c>
      <c r="AV190" s="1">
        <f t="shared" si="28"/>
        <v>2.216917018132718</v>
      </c>
      <c r="AW190" s="1">
        <f t="shared" si="29"/>
        <v>1.3397159654781678</v>
      </c>
    </row>
    <row r="191" spans="1:49" x14ac:dyDescent="0.2">
      <c r="A191">
        <v>189</v>
      </c>
      <c r="B191" t="s">
        <v>5283</v>
      </c>
      <c r="C191" t="s">
        <v>5282</v>
      </c>
      <c r="F191" t="s">
        <v>5281</v>
      </c>
      <c r="G191" t="s">
        <v>13</v>
      </c>
      <c r="H191" t="s">
        <v>12</v>
      </c>
      <c r="I191" t="s">
        <v>5280</v>
      </c>
      <c r="J191">
        <v>60021378</v>
      </c>
      <c r="K191" t="s">
        <v>3356</v>
      </c>
      <c r="L191" t="s">
        <v>3355</v>
      </c>
      <c r="M191" t="s">
        <v>56</v>
      </c>
      <c r="N191">
        <v>3</v>
      </c>
      <c r="O191" t="s">
        <v>5279</v>
      </c>
      <c r="P191" t="s">
        <v>5278</v>
      </c>
      <c r="Q191" t="s">
        <v>5277</v>
      </c>
      <c r="R191" s="7">
        <v>30682</v>
      </c>
      <c r="S191" s="8">
        <f t="shared" si="24"/>
        <v>1984</v>
      </c>
      <c r="T191" s="8">
        <v>1984</v>
      </c>
      <c r="U191" s="8">
        <f t="shared" si="25"/>
        <v>38</v>
      </c>
      <c r="V191" s="7">
        <v>31017</v>
      </c>
      <c r="W191" t="s">
        <v>3618</v>
      </c>
      <c r="X191" s="2">
        <v>0.61899999999999999</v>
      </c>
      <c r="Y191" s="6">
        <f t="shared" si="22"/>
        <v>1.6523851472197752E-2</v>
      </c>
      <c r="AA191">
        <v>14966</v>
      </c>
      <c r="AB191">
        <v>12936</v>
      </c>
      <c r="AC191" t="s">
        <v>3617</v>
      </c>
      <c r="AD191" t="s">
        <v>4</v>
      </c>
      <c r="AE191">
        <v>76</v>
      </c>
      <c r="AF191">
        <v>6</v>
      </c>
      <c r="AH191" t="s">
        <v>5276</v>
      </c>
      <c r="AI191" t="s">
        <v>5275</v>
      </c>
      <c r="AK191" t="s">
        <v>5274</v>
      </c>
      <c r="AL191">
        <v>4</v>
      </c>
      <c r="AM191" s="5">
        <f t="shared" si="26"/>
        <v>0.10526315789473684</v>
      </c>
      <c r="AN191" s="4">
        <f t="shared" si="23"/>
        <v>1.5942924330895392E-4</v>
      </c>
      <c r="AO191" s="3"/>
      <c r="AP191">
        <v>0</v>
      </c>
      <c r="AR191" t="s">
        <v>0</v>
      </c>
      <c r="AT191" s="2" t="s">
        <v>45</v>
      </c>
      <c r="AU191" s="1">
        <f t="shared" si="27"/>
        <v>1.1614524803531112</v>
      </c>
      <c r="AV191" s="1">
        <f t="shared" si="28"/>
        <v>0.83416403577533538</v>
      </c>
      <c r="AW191" s="1">
        <f t="shared" si="29"/>
        <v>0.50687559119755932</v>
      </c>
    </row>
    <row r="192" spans="1:49" x14ac:dyDescent="0.2">
      <c r="A192">
        <v>190</v>
      </c>
      <c r="B192" t="s">
        <v>5273</v>
      </c>
      <c r="C192" t="s">
        <v>5272</v>
      </c>
      <c r="F192" t="s">
        <v>5271</v>
      </c>
      <c r="G192" t="s">
        <v>13</v>
      </c>
      <c r="H192" t="s">
        <v>12</v>
      </c>
      <c r="I192" t="s">
        <v>5270</v>
      </c>
      <c r="J192">
        <v>60009037</v>
      </c>
      <c r="K192" t="s">
        <v>592</v>
      </c>
      <c r="L192" t="s">
        <v>591</v>
      </c>
      <c r="M192" t="s">
        <v>56</v>
      </c>
      <c r="N192">
        <v>1</v>
      </c>
      <c r="O192" t="s">
        <v>5269</v>
      </c>
      <c r="P192">
        <v>7006218843</v>
      </c>
      <c r="Q192">
        <v>60009037</v>
      </c>
      <c r="R192" s="7">
        <v>30682</v>
      </c>
      <c r="S192" s="8">
        <f t="shared" si="24"/>
        <v>1984</v>
      </c>
      <c r="T192" s="8">
        <v>1984</v>
      </c>
      <c r="U192" s="8">
        <f t="shared" si="25"/>
        <v>38</v>
      </c>
      <c r="V192" s="7" t="s">
        <v>4897</v>
      </c>
      <c r="W192" t="s">
        <v>5268</v>
      </c>
      <c r="X192" s="2">
        <v>0.52800000000000002</v>
      </c>
      <c r="Y192" s="6">
        <f t="shared" si="22"/>
        <v>1.4094658444782575E-2</v>
      </c>
      <c r="AA192">
        <v>220434</v>
      </c>
      <c r="AB192">
        <v>21141</v>
      </c>
      <c r="AD192" t="s">
        <v>4</v>
      </c>
      <c r="AE192">
        <v>106</v>
      </c>
      <c r="AF192">
        <v>4</v>
      </c>
      <c r="AH192" t="s">
        <v>5267</v>
      </c>
      <c r="AI192" t="s">
        <v>5266</v>
      </c>
      <c r="AK192" t="s">
        <v>5265</v>
      </c>
      <c r="AL192">
        <v>5</v>
      </c>
      <c r="AM192" s="5">
        <f t="shared" si="26"/>
        <v>0.13157894736842105</v>
      </c>
      <c r="AN192" s="4">
        <f t="shared" si="23"/>
        <v>1.9928655413619243E-4</v>
      </c>
      <c r="AO192" s="3"/>
      <c r="AP192">
        <v>0</v>
      </c>
      <c r="AR192" t="s">
        <v>0</v>
      </c>
      <c r="AT192" s="2" t="s">
        <v>45</v>
      </c>
      <c r="AU192" s="1">
        <f t="shared" si="27"/>
        <v>0.9926046877588659</v>
      </c>
      <c r="AV192" s="1">
        <f t="shared" si="28"/>
        <v>0.71469724994593831</v>
      </c>
      <c r="AW192" s="1">
        <f t="shared" si="29"/>
        <v>0.43678981213301066</v>
      </c>
    </row>
    <row r="193" spans="1:49" x14ac:dyDescent="0.2">
      <c r="A193">
        <v>191</v>
      </c>
      <c r="B193" t="s">
        <v>5264</v>
      </c>
      <c r="C193" t="s">
        <v>5263</v>
      </c>
      <c r="F193" t="s">
        <v>5262</v>
      </c>
      <c r="G193" t="s">
        <v>13</v>
      </c>
      <c r="H193" t="s">
        <v>12</v>
      </c>
      <c r="I193" t="s">
        <v>5261</v>
      </c>
      <c r="J193">
        <v>60008435</v>
      </c>
      <c r="K193" t="s">
        <v>1386</v>
      </c>
      <c r="L193" t="s">
        <v>1385</v>
      </c>
      <c r="M193" t="s">
        <v>643</v>
      </c>
      <c r="N193">
        <v>3</v>
      </c>
      <c r="O193" t="s">
        <v>5260</v>
      </c>
      <c r="P193" t="s">
        <v>5259</v>
      </c>
      <c r="Q193" t="s">
        <v>1382</v>
      </c>
      <c r="R193" s="7">
        <v>30682</v>
      </c>
      <c r="S193" s="8">
        <f t="shared" si="24"/>
        <v>1984</v>
      </c>
      <c r="T193" s="8">
        <v>1984</v>
      </c>
      <c r="U193" s="8">
        <f t="shared" si="25"/>
        <v>38</v>
      </c>
      <c r="V193" s="7">
        <v>31017</v>
      </c>
      <c r="W193" t="s">
        <v>380</v>
      </c>
      <c r="X193" s="2">
        <v>1.6519999999999999</v>
      </c>
      <c r="Y193" s="6">
        <f t="shared" si="22"/>
        <v>4.409919649769093E-2</v>
      </c>
      <c r="AA193" t="s">
        <v>379</v>
      </c>
      <c r="AB193">
        <v>17337</v>
      </c>
      <c r="AC193">
        <v>15582221</v>
      </c>
      <c r="AD193" t="s">
        <v>4</v>
      </c>
      <c r="AE193">
        <v>32</v>
      </c>
      <c r="AF193">
        <v>12</v>
      </c>
      <c r="AH193" t="s">
        <v>5258</v>
      </c>
      <c r="AI193" t="s">
        <v>5257</v>
      </c>
      <c r="AK193" t="s">
        <v>5256</v>
      </c>
      <c r="AL193">
        <v>1</v>
      </c>
      <c r="AM193" s="5">
        <f t="shared" si="26"/>
        <v>2.6315789473684209E-2</v>
      </c>
      <c r="AN193" s="4">
        <f t="shared" si="23"/>
        <v>3.9857310827238481E-5</v>
      </c>
      <c r="AO193" s="3"/>
      <c r="AP193">
        <v>0</v>
      </c>
      <c r="AR193" t="s">
        <v>0</v>
      </c>
      <c r="AT193" s="2" t="s">
        <v>45</v>
      </c>
      <c r="AU193" s="1">
        <f t="shared" si="27"/>
        <v>3.088139474163182</v>
      </c>
      <c r="AV193" s="1">
        <f t="shared" si="28"/>
        <v>2.2069526904259082</v>
      </c>
      <c r="AW193" s="1">
        <f t="shared" si="29"/>
        <v>1.3257659066886345</v>
      </c>
    </row>
    <row r="194" spans="1:49" x14ac:dyDescent="0.2">
      <c r="A194">
        <v>192</v>
      </c>
      <c r="B194" t="s">
        <v>5255</v>
      </c>
      <c r="C194" t="s">
        <v>5254</v>
      </c>
      <c r="F194" t="s">
        <v>5253</v>
      </c>
      <c r="G194" t="s">
        <v>13</v>
      </c>
      <c r="H194" t="s">
        <v>12</v>
      </c>
      <c r="I194" t="s">
        <v>5252</v>
      </c>
      <c r="J194">
        <v>115845968</v>
      </c>
      <c r="K194" t="s">
        <v>5251</v>
      </c>
      <c r="M194" t="s">
        <v>56</v>
      </c>
      <c r="N194">
        <v>1</v>
      </c>
      <c r="O194" t="s">
        <v>5250</v>
      </c>
      <c r="P194">
        <v>6505969060</v>
      </c>
      <c r="Q194">
        <v>115845968</v>
      </c>
      <c r="R194" s="7">
        <v>30682</v>
      </c>
      <c r="S194" s="8">
        <f t="shared" si="24"/>
        <v>1984</v>
      </c>
      <c r="T194" s="8">
        <v>1984</v>
      </c>
      <c r="U194" s="8">
        <f t="shared" si="25"/>
        <v>38</v>
      </c>
      <c r="V194" s="7">
        <v>31017</v>
      </c>
      <c r="W194" t="s">
        <v>1523</v>
      </c>
      <c r="X194" s="2">
        <v>0.78200000000000003</v>
      </c>
      <c r="Y194" s="6">
        <f t="shared" ref="Y194:Y257" si="30">(X194-$Z$4)/($Z$3-$Z$4)</f>
        <v>2.0875043378446919E-2</v>
      </c>
      <c r="AA194">
        <v>189316</v>
      </c>
      <c r="AB194">
        <v>19901</v>
      </c>
      <c r="AC194">
        <v>15579611</v>
      </c>
      <c r="AD194" t="s">
        <v>4</v>
      </c>
      <c r="AE194" t="s">
        <v>1522</v>
      </c>
      <c r="AF194">
        <v>4</v>
      </c>
      <c r="AH194" t="s">
        <v>5249</v>
      </c>
      <c r="AI194" t="s">
        <v>5248</v>
      </c>
      <c r="AK194" t="s">
        <v>5247</v>
      </c>
      <c r="AL194">
        <v>0</v>
      </c>
      <c r="AM194" s="5">
        <f t="shared" si="26"/>
        <v>0</v>
      </c>
      <c r="AN194" s="4">
        <f t="shared" ref="AN194:AN257" si="31">(AM194-$AO$4)/($AO$3-$AO$4)</f>
        <v>0</v>
      </c>
      <c r="AO194" s="3"/>
      <c r="AP194">
        <v>0</v>
      </c>
      <c r="AR194" t="s">
        <v>0</v>
      </c>
      <c r="AT194" s="2">
        <v>3.863</v>
      </c>
      <c r="AU194" s="1">
        <f t="shared" si="27"/>
        <v>1.4612530364912841</v>
      </c>
      <c r="AV194" s="1">
        <f t="shared" si="28"/>
        <v>1.0437521689223459</v>
      </c>
      <c r="AW194" s="1">
        <f t="shared" si="29"/>
        <v>0.62625130135340756</v>
      </c>
    </row>
    <row r="195" spans="1:49" x14ac:dyDescent="0.2">
      <c r="A195">
        <v>193</v>
      </c>
      <c r="B195" t="s">
        <v>5246</v>
      </c>
      <c r="C195" t="s">
        <v>5245</v>
      </c>
      <c r="F195" t="s">
        <v>5244</v>
      </c>
      <c r="G195" t="s">
        <v>13</v>
      </c>
      <c r="H195" t="s">
        <v>12</v>
      </c>
      <c r="I195" t="s">
        <v>5243</v>
      </c>
      <c r="J195" t="s">
        <v>5242</v>
      </c>
      <c r="K195" t="s">
        <v>5241</v>
      </c>
      <c r="L195" t="s">
        <v>5240</v>
      </c>
      <c r="M195" t="s">
        <v>206</v>
      </c>
      <c r="N195">
        <v>1</v>
      </c>
      <c r="O195" t="s">
        <v>5239</v>
      </c>
      <c r="P195">
        <v>55423489600</v>
      </c>
      <c r="Q195" t="s">
        <v>5238</v>
      </c>
      <c r="R195" s="7">
        <v>30682</v>
      </c>
      <c r="S195" s="8">
        <f t="shared" si="24"/>
        <v>1984</v>
      </c>
      <c r="T195" s="8">
        <v>1984</v>
      </c>
      <c r="U195" s="8">
        <f t="shared" si="25"/>
        <v>38</v>
      </c>
      <c r="V195" s="7">
        <v>31017</v>
      </c>
      <c r="W195" t="s">
        <v>5237</v>
      </c>
      <c r="X195" s="2">
        <v>0.64</v>
      </c>
      <c r="Y195" s="6">
        <f t="shared" si="30"/>
        <v>1.7084434478524334E-2</v>
      </c>
      <c r="AA195">
        <v>218669</v>
      </c>
      <c r="AB195">
        <v>29583</v>
      </c>
      <c r="AD195" t="s">
        <v>4</v>
      </c>
      <c r="AE195">
        <v>21</v>
      </c>
      <c r="AF195">
        <v>12</v>
      </c>
      <c r="AH195" t="s">
        <v>5236</v>
      </c>
      <c r="AI195" t="s">
        <v>5235</v>
      </c>
      <c r="AK195" t="s">
        <v>5234</v>
      </c>
      <c r="AL195">
        <v>5</v>
      </c>
      <c r="AM195" s="5">
        <f t="shared" si="26"/>
        <v>0.13157894736842105</v>
      </c>
      <c r="AN195" s="4">
        <f t="shared" si="31"/>
        <v>1.9928655413619243E-4</v>
      </c>
      <c r="AO195" s="3"/>
      <c r="AP195">
        <v>0</v>
      </c>
      <c r="AR195" t="s">
        <v>0</v>
      </c>
      <c r="AT195" s="2">
        <v>1.2490000000000001</v>
      </c>
      <c r="AU195" s="1">
        <f t="shared" si="27"/>
        <v>1.2018890101207891</v>
      </c>
      <c r="AV195" s="1">
        <f t="shared" si="28"/>
        <v>0.86418605163302631</v>
      </c>
      <c r="AW195" s="1">
        <f t="shared" si="29"/>
        <v>0.52648309314526343</v>
      </c>
    </row>
    <row r="196" spans="1:49" x14ac:dyDescent="0.2">
      <c r="A196">
        <v>194</v>
      </c>
      <c r="B196" t="s">
        <v>5233</v>
      </c>
      <c r="C196" t="s">
        <v>5232</v>
      </c>
      <c r="F196" t="s">
        <v>5231</v>
      </c>
      <c r="G196" t="s">
        <v>13</v>
      </c>
      <c r="H196" t="s">
        <v>12</v>
      </c>
      <c r="I196" t="s">
        <v>5230</v>
      </c>
      <c r="J196">
        <v>60011688</v>
      </c>
      <c r="K196" t="s">
        <v>4910</v>
      </c>
      <c r="L196" t="s">
        <v>1792</v>
      </c>
      <c r="M196" t="s">
        <v>56</v>
      </c>
      <c r="N196">
        <v>1</v>
      </c>
      <c r="O196" t="s">
        <v>5229</v>
      </c>
      <c r="P196">
        <v>7004685468</v>
      </c>
      <c r="Q196">
        <v>60011688</v>
      </c>
      <c r="R196" s="7">
        <v>30682</v>
      </c>
      <c r="S196" s="8">
        <f t="shared" si="24"/>
        <v>1984</v>
      </c>
      <c r="T196" s="8">
        <v>1984</v>
      </c>
      <c r="U196" s="8">
        <f t="shared" si="25"/>
        <v>38</v>
      </c>
      <c r="V196" s="7">
        <v>31017</v>
      </c>
      <c r="W196" t="s">
        <v>380</v>
      </c>
      <c r="X196" s="2">
        <v>1.6519999999999999</v>
      </c>
      <c r="Y196" s="6">
        <f t="shared" si="30"/>
        <v>4.409919649769093E-2</v>
      </c>
      <c r="AA196" t="s">
        <v>379</v>
      </c>
      <c r="AB196">
        <v>17337</v>
      </c>
      <c r="AC196">
        <v>15582221</v>
      </c>
      <c r="AD196" t="s">
        <v>4</v>
      </c>
      <c r="AE196">
        <v>32</v>
      </c>
      <c r="AF196">
        <v>12</v>
      </c>
      <c r="AH196" t="s">
        <v>5228</v>
      </c>
      <c r="AI196" t="s">
        <v>5227</v>
      </c>
      <c r="AK196" t="s">
        <v>5226</v>
      </c>
      <c r="AL196">
        <v>3</v>
      </c>
      <c r="AM196" s="5">
        <f t="shared" si="26"/>
        <v>7.8947368421052627E-2</v>
      </c>
      <c r="AN196" s="4">
        <f t="shared" si="31"/>
        <v>1.1957193248171546E-4</v>
      </c>
      <c r="AO196" s="3"/>
      <c r="AP196">
        <v>0</v>
      </c>
      <c r="AR196" t="s">
        <v>0</v>
      </c>
      <c r="AT196" s="2" t="s">
        <v>45</v>
      </c>
      <c r="AU196" s="1">
        <f t="shared" si="27"/>
        <v>3.0905309128128167</v>
      </c>
      <c r="AV196" s="1">
        <f t="shared" si="28"/>
        <v>2.2109384215086325</v>
      </c>
      <c r="AW196" s="1">
        <f t="shared" si="29"/>
        <v>1.3313459302044479</v>
      </c>
    </row>
    <row r="197" spans="1:49" x14ac:dyDescent="0.2">
      <c r="A197">
        <v>195</v>
      </c>
      <c r="B197" t="s">
        <v>5225</v>
      </c>
      <c r="C197" t="s">
        <v>5224</v>
      </c>
      <c r="F197" t="s">
        <v>5223</v>
      </c>
      <c r="G197" t="s">
        <v>13</v>
      </c>
      <c r="H197" t="s">
        <v>12</v>
      </c>
      <c r="I197" t="s">
        <v>5222</v>
      </c>
      <c r="J197">
        <v>60011313</v>
      </c>
      <c r="K197" t="s">
        <v>5221</v>
      </c>
      <c r="L197" t="s">
        <v>5220</v>
      </c>
      <c r="M197" t="s">
        <v>5219</v>
      </c>
      <c r="N197">
        <v>1</v>
      </c>
      <c r="O197" t="s">
        <v>5218</v>
      </c>
      <c r="P197">
        <v>57198152396</v>
      </c>
      <c r="Q197">
        <v>60011313</v>
      </c>
      <c r="R197" s="7">
        <v>30682</v>
      </c>
      <c r="S197" s="8">
        <f t="shared" si="24"/>
        <v>1984</v>
      </c>
      <c r="T197" s="8">
        <v>1984</v>
      </c>
      <c r="U197" s="8">
        <f t="shared" si="25"/>
        <v>38</v>
      </c>
      <c r="V197" s="7" t="s">
        <v>4897</v>
      </c>
      <c r="W197" s="11" t="s">
        <v>1146</v>
      </c>
      <c r="X197" s="2">
        <v>2.383</v>
      </c>
      <c r="Y197" s="6">
        <f t="shared" si="30"/>
        <v>6.3612824003630442E-2</v>
      </c>
      <c r="AA197">
        <v>1437097</v>
      </c>
      <c r="AB197">
        <v>101236</v>
      </c>
      <c r="AD197" t="s">
        <v>4</v>
      </c>
      <c r="AE197">
        <v>131</v>
      </c>
      <c r="AF197" t="s">
        <v>4896</v>
      </c>
      <c r="AH197">
        <v>426</v>
      </c>
      <c r="AI197" t="s">
        <v>5217</v>
      </c>
      <c r="AK197" t="s">
        <v>5216</v>
      </c>
      <c r="AL197">
        <v>0</v>
      </c>
      <c r="AM197" s="5">
        <f t="shared" si="26"/>
        <v>0</v>
      </c>
      <c r="AN197" s="4">
        <f t="shared" si="31"/>
        <v>0</v>
      </c>
      <c r="AO197" s="3"/>
      <c r="AP197">
        <v>0</v>
      </c>
      <c r="AR197" t="s">
        <v>0</v>
      </c>
      <c r="AT197" s="2" t="s">
        <v>45</v>
      </c>
      <c r="AU197" s="1">
        <f t="shared" si="27"/>
        <v>4.4528976802541305</v>
      </c>
      <c r="AV197" s="1">
        <f t="shared" si="28"/>
        <v>3.1806412001815221</v>
      </c>
      <c r="AW197" s="1">
        <f t="shared" si="29"/>
        <v>1.9083847201089132</v>
      </c>
    </row>
    <row r="198" spans="1:49" x14ac:dyDescent="0.2">
      <c r="A198">
        <v>196</v>
      </c>
      <c r="B198" t="s">
        <v>5215</v>
      </c>
      <c r="C198" t="s">
        <v>5214</v>
      </c>
      <c r="F198" t="s">
        <v>5213</v>
      </c>
      <c r="G198" t="s">
        <v>13</v>
      </c>
      <c r="H198" t="s">
        <v>12</v>
      </c>
      <c r="I198" t="s">
        <v>5212</v>
      </c>
      <c r="J198">
        <v>60009658</v>
      </c>
      <c r="K198" t="s">
        <v>5211</v>
      </c>
      <c r="L198" t="s">
        <v>5210</v>
      </c>
      <c r="M198" t="s">
        <v>167</v>
      </c>
      <c r="N198">
        <v>3</v>
      </c>
      <c r="O198" t="s">
        <v>5209</v>
      </c>
      <c r="P198" t="s">
        <v>5208</v>
      </c>
      <c r="Q198" t="s">
        <v>5207</v>
      </c>
      <c r="R198" s="7">
        <v>30682</v>
      </c>
      <c r="S198" s="8">
        <f t="shared" si="24"/>
        <v>1984</v>
      </c>
      <c r="T198" s="8">
        <v>1984</v>
      </c>
      <c r="U198" s="8">
        <f t="shared" si="25"/>
        <v>38</v>
      </c>
      <c r="V198" s="7" t="s">
        <v>4897</v>
      </c>
      <c r="W198" s="11" t="s">
        <v>1146</v>
      </c>
      <c r="X198" s="2">
        <v>2.383</v>
      </c>
      <c r="Y198" s="6">
        <f t="shared" si="30"/>
        <v>6.3612824003630442E-2</v>
      </c>
      <c r="AA198">
        <v>1437097</v>
      </c>
      <c r="AB198">
        <v>101236</v>
      </c>
      <c r="AD198" t="s">
        <v>4</v>
      </c>
      <c r="AE198">
        <v>131</v>
      </c>
      <c r="AF198" t="s">
        <v>4896</v>
      </c>
      <c r="AH198" t="s">
        <v>5206</v>
      </c>
      <c r="AI198" t="s">
        <v>5205</v>
      </c>
      <c r="AK198" t="s">
        <v>5204</v>
      </c>
      <c r="AL198">
        <v>7</v>
      </c>
      <c r="AM198" s="5">
        <f t="shared" si="26"/>
        <v>0.18421052631578946</v>
      </c>
      <c r="AN198" s="4">
        <f t="shared" si="31"/>
        <v>2.7900117579066937E-4</v>
      </c>
      <c r="AO198" s="3"/>
      <c r="AP198">
        <v>0</v>
      </c>
      <c r="AR198" t="s">
        <v>0</v>
      </c>
      <c r="AT198" s="2" t="s">
        <v>45</v>
      </c>
      <c r="AU198" s="1">
        <f t="shared" si="27"/>
        <v>4.4612677155278506</v>
      </c>
      <c r="AV198" s="1">
        <f t="shared" si="28"/>
        <v>3.1945912589710557</v>
      </c>
      <c r="AW198" s="1">
        <f t="shared" si="29"/>
        <v>1.9279148024142601</v>
      </c>
    </row>
    <row r="199" spans="1:49" x14ac:dyDescent="0.2">
      <c r="A199">
        <v>197</v>
      </c>
      <c r="B199" t="s">
        <v>5203</v>
      </c>
      <c r="C199" t="s">
        <v>5202</v>
      </c>
      <c r="D199">
        <v>22311584903702</v>
      </c>
      <c r="F199" t="s">
        <v>5201</v>
      </c>
      <c r="G199" t="s">
        <v>13</v>
      </c>
      <c r="H199" t="s">
        <v>12</v>
      </c>
      <c r="I199" t="s">
        <v>5200</v>
      </c>
      <c r="J199">
        <v>60000264</v>
      </c>
      <c r="K199" t="s">
        <v>5199</v>
      </c>
      <c r="L199" t="s">
        <v>5198</v>
      </c>
      <c r="M199" t="s">
        <v>643</v>
      </c>
      <c r="N199">
        <v>15</v>
      </c>
      <c r="O199" t="s">
        <v>5197</v>
      </c>
      <c r="P199" t="s">
        <v>5196</v>
      </c>
      <c r="Q199" t="s">
        <v>5195</v>
      </c>
      <c r="R199" s="7">
        <v>30682</v>
      </c>
      <c r="S199" s="8">
        <f t="shared" si="24"/>
        <v>1984</v>
      </c>
      <c r="T199" s="8">
        <v>1984</v>
      </c>
      <c r="U199" s="8">
        <f t="shared" si="25"/>
        <v>38</v>
      </c>
      <c r="V199" s="7">
        <v>31017</v>
      </c>
      <c r="W199" t="s">
        <v>5022</v>
      </c>
      <c r="X199" s="2">
        <v>1.123</v>
      </c>
      <c r="Y199" s="6">
        <f t="shared" si="30"/>
        <v>2.9977843624035664E-2</v>
      </c>
      <c r="AA199">
        <v>223115</v>
      </c>
      <c r="AB199">
        <v>29021</v>
      </c>
      <c r="AD199" t="s">
        <v>4</v>
      </c>
      <c r="AE199" t="s">
        <v>5021</v>
      </c>
      <c r="AF199" t="s">
        <v>5020</v>
      </c>
      <c r="AH199" t="s">
        <v>5194</v>
      </c>
      <c r="AI199" t="s">
        <v>5193</v>
      </c>
      <c r="AJ199" t="s">
        <v>5192</v>
      </c>
      <c r="AK199" t="s">
        <v>5191</v>
      </c>
      <c r="AL199">
        <v>13</v>
      </c>
      <c r="AM199" s="5">
        <f t="shared" si="26"/>
        <v>0.34210526315789475</v>
      </c>
      <c r="AN199" s="4">
        <f t="shared" si="31"/>
        <v>5.1814504075410031E-4</v>
      </c>
      <c r="AO199" s="3"/>
      <c r="AP199">
        <v>0</v>
      </c>
      <c r="AR199" t="s">
        <v>0</v>
      </c>
      <c r="AT199" s="2">
        <v>2.9359999999999999</v>
      </c>
      <c r="AU199" s="1">
        <f t="shared" si="27"/>
        <v>2.1139934049051194</v>
      </c>
      <c r="AV199" s="1">
        <f t="shared" si="28"/>
        <v>1.5247994332394881</v>
      </c>
      <c r="AW199" s="1">
        <f t="shared" si="29"/>
        <v>0.93560546157385704</v>
      </c>
    </row>
    <row r="200" spans="1:49" x14ac:dyDescent="0.2">
      <c r="A200">
        <v>198</v>
      </c>
      <c r="B200" t="s">
        <v>5190</v>
      </c>
      <c r="C200" t="s">
        <v>5189</v>
      </c>
      <c r="D200">
        <v>22311584903684</v>
      </c>
      <c r="F200" t="s">
        <v>5188</v>
      </c>
      <c r="G200" t="s">
        <v>13</v>
      </c>
      <c r="H200" t="s">
        <v>12</v>
      </c>
      <c r="R200" s="7">
        <v>30682</v>
      </c>
      <c r="S200" s="8">
        <f t="shared" si="24"/>
        <v>1984</v>
      </c>
      <c r="T200" s="8">
        <v>1984</v>
      </c>
      <c r="U200" s="8">
        <f t="shared" si="25"/>
        <v>38</v>
      </c>
      <c r="V200" s="7">
        <v>31017</v>
      </c>
      <c r="W200" t="s">
        <v>5022</v>
      </c>
      <c r="X200" s="2">
        <v>1.123</v>
      </c>
      <c r="Y200" s="6">
        <f t="shared" si="30"/>
        <v>2.9977843624035664E-2</v>
      </c>
      <c r="AA200">
        <v>223115</v>
      </c>
      <c r="AB200">
        <v>29021</v>
      </c>
      <c r="AD200" t="s">
        <v>4</v>
      </c>
      <c r="AE200" t="s">
        <v>5021</v>
      </c>
      <c r="AF200" t="s">
        <v>5020</v>
      </c>
      <c r="AH200" t="s">
        <v>5187</v>
      </c>
      <c r="AI200" t="s">
        <v>5186</v>
      </c>
      <c r="AJ200" t="s">
        <v>5185</v>
      </c>
      <c r="AK200" t="s">
        <v>5184</v>
      </c>
      <c r="AL200">
        <v>11</v>
      </c>
      <c r="AM200" s="5">
        <f t="shared" si="26"/>
        <v>0.28947368421052633</v>
      </c>
      <c r="AN200" s="4">
        <f t="shared" si="31"/>
        <v>4.3843041909962335E-4</v>
      </c>
      <c r="AO200" s="3"/>
      <c r="AP200">
        <v>0</v>
      </c>
      <c r="AR200" t="s">
        <v>0</v>
      </c>
      <c r="AT200" s="2">
        <v>2.9359999999999999</v>
      </c>
      <c r="AU200" s="1">
        <f t="shared" si="27"/>
        <v>2.1116019662554852</v>
      </c>
      <c r="AV200" s="1">
        <f t="shared" si="28"/>
        <v>1.5208137021567643</v>
      </c>
      <c r="AW200" s="1">
        <f t="shared" si="29"/>
        <v>0.93002543805804361</v>
      </c>
    </row>
    <row r="201" spans="1:49" x14ac:dyDescent="0.2">
      <c r="A201">
        <v>199</v>
      </c>
      <c r="B201" t="s">
        <v>5183</v>
      </c>
      <c r="C201" t="s">
        <v>5182</v>
      </c>
      <c r="F201" t="s">
        <v>5181</v>
      </c>
      <c r="G201" t="s">
        <v>13</v>
      </c>
      <c r="H201" t="s">
        <v>12</v>
      </c>
      <c r="I201" t="s">
        <v>3994</v>
      </c>
      <c r="J201">
        <v>60021902</v>
      </c>
      <c r="K201" t="s">
        <v>3993</v>
      </c>
      <c r="L201" t="s">
        <v>3992</v>
      </c>
      <c r="M201" t="s">
        <v>3991</v>
      </c>
      <c r="N201">
        <v>5</v>
      </c>
      <c r="O201" t="s">
        <v>5180</v>
      </c>
      <c r="P201" t="s">
        <v>5179</v>
      </c>
      <c r="Q201" t="s">
        <v>5178</v>
      </c>
      <c r="R201" s="7">
        <v>30682</v>
      </c>
      <c r="S201" s="8">
        <f t="shared" si="24"/>
        <v>1984</v>
      </c>
      <c r="T201" s="8">
        <v>1984</v>
      </c>
      <c r="U201" s="8">
        <f t="shared" si="25"/>
        <v>38</v>
      </c>
      <c r="V201" s="7">
        <v>31017</v>
      </c>
      <c r="W201" t="s">
        <v>380</v>
      </c>
      <c r="X201" s="2">
        <v>1.6519999999999999</v>
      </c>
      <c r="Y201" s="6">
        <f t="shared" si="30"/>
        <v>4.409919649769093E-2</v>
      </c>
      <c r="AA201" t="s">
        <v>379</v>
      </c>
      <c r="AB201">
        <v>17337</v>
      </c>
      <c r="AC201">
        <v>15582221</v>
      </c>
      <c r="AD201" t="s">
        <v>4</v>
      </c>
      <c r="AE201">
        <v>32</v>
      </c>
      <c r="AF201">
        <v>12</v>
      </c>
      <c r="AH201" t="s">
        <v>5177</v>
      </c>
      <c r="AI201" t="s">
        <v>5176</v>
      </c>
      <c r="AK201" t="s">
        <v>5175</v>
      </c>
      <c r="AL201">
        <v>20</v>
      </c>
      <c r="AM201" s="5">
        <f t="shared" si="26"/>
        <v>0.52631578947368418</v>
      </c>
      <c r="AN201" s="4">
        <f t="shared" si="31"/>
        <v>7.9714621654476973E-4</v>
      </c>
      <c r="AO201" s="3"/>
      <c r="AP201">
        <v>0</v>
      </c>
      <c r="AR201" t="s">
        <v>0</v>
      </c>
      <c r="AT201" s="2" t="s">
        <v>45</v>
      </c>
      <c r="AU201" s="1">
        <f t="shared" si="27"/>
        <v>3.1108581413347083</v>
      </c>
      <c r="AV201" s="1">
        <f t="shared" si="28"/>
        <v>2.2448171357117848</v>
      </c>
      <c r="AW201" s="1">
        <f t="shared" si="29"/>
        <v>1.3787761300888617</v>
      </c>
    </row>
    <row r="202" spans="1:49" x14ac:dyDescent="0.2">
      <c r="A202">
        <v>200</v>
      </c>
      <c r="B202" t="s">
        <v>5174</v>
      </c>
      <c r="C202" t="s">
        <v>5173</v>
      </c>
      <c r="F202" t="s">
        <v>5172</v>
      </c>
      <c r="G202" t="s">
        <v>13</v>
      </c>
      <c r="H202" t="s">
        <v>12</v>
      </c>
      <c r="I202" t="s">
        <v>5171</v>
      </c>
      <c r="J202" t="s">
        <v>5170</v>
      </c>
      <c r="K202" t="s">
        <v>5169</v>
      </c>
      <c r="L202" t="s">
        <v>5168</v>
      </c>
      <c r="M202" t="s">
        <v>1700</v>
      </c>
      <c r="N202">
        <v>3</v>
      </c>
      <c r="O202" t="s">
        <v>5167</v>
      </c>
      <c r="P202" t="s">
        <v>5166</v>
      </c>
      <c r="Q202" t="s">
        <v>5165</v>
      </c>
      <c r="R202" s="7">
        <v>30682</v>
      </c>
      <c r="S202" s="8">
        <f t="shared" si="24"/>
        <v>1984</v>
      </c>
      <c r="T202" s="8">
        <v>1984</v>
      </c>
      <c r="U202" s="8">
        <f t="shared" si="25"/>
        <v>38</v>
      </c>
      <c r="V202" s="7">
        <v>31017</v>
      </c>
      <c r="W202" t="s">
        <v>380</v>
      </c>
      <c r="X202" s="2">
        <v>1.6519999999999999</v>
      </c>
      <c r="Y202" s="6">
        <f t="shared" si="30"/>
        <v>4.409919649769093E-2</v>
      </c>
      <c r="AA202" t="s">
        <v>379</v>
      </c>
      <c r="AB202">
        <v>17337</v>
      </c>
      <c r="AC202">
        <v>15582221</v>
      </c>
      <c r="AD202" t="s">
        <v>4</v>
      </c>
      <c r="AE202">
        <v>32</v>
      </c>
      <c r="AF202">
        <v>12</v>
      </c>
      <c r="AH202" t="s">
        <v>5164</v>
      </c>
      <c r="AI202" t="s">
        <v>5163</v>
      </c>
      <c r="AK202" t="s">
        <v>5162</v>
      </c>
      <c r="AL202">
        <v>22</v>
      </c>
      <c r="AM202" s="5">
        <f t="shared" si="26"/>
        <v>0.57894736842105265</v>
      </c>
      <c r="AN202" s="4">
        <f t="shared" si="31"/>
        <v>8.768608381992467E-4</v>
      </c>
      <c r="AO202" s="3"/>
      <c r="AP202">
        <v>0</v>
      </c>
      <c r="AR202" t="s">
        <v>0</v>
      </c>
      <c r="AT202" s="2" t="s">
        <v>45</v>
      </c>
      <c r="AU202" s="1">
        <f t="shared" si="27"/>
        <v>3.1132495799843425</v>
      </c>
      <c r="AV202" s="1">
        <f t="shared" si="28"/>
        <v>2.248802866794509</v>
      </c>
      <c r="AW202" s="1">
        <f t="shared" si="29"/>
        <v>1.3843561536046751</v>
      </c>
    </row>
    <row r="203" spans="1:49" x14ac:dyDescent="0.2">
      <c r="A203">
        <v>201</v>
      </c>
      <c r="B203" t="s">
        <v>5161</v>
      </c>
      <c r="C203" t="s">
        <v>5160</v>
      </c>
      <c r="F203" t="s">
        <v>5159</v>
      </c>
      <c r="G203" t="s">
        <v>13</v>
      </c>
      <c r="H203" t="s">
        <v>12</v>
      </c>
      <c r="I203" t="s">
        <v>5158</v>
      </c>
      <c r="J203">
        <v>60001247</v>
      </c>
      <c r="K203" t="s">
        <v>2022</v>
      </c>
      <c r="M203" t="s">
        <v>56</v>
      </c>
      <c r="N203">
        <v>1</v>
      </c>
      <c r="O203" t="s">
        <v>5157</v>
      </c>
      <c r="P203">
        <v>55951888900</v>
      </c>
      <c r="Q203">
        <v>60001247</v>
      </c>
      <c r="R203" s="7">
        <v>30682</v>
      </c>
      <c r="S203" s="8">
        <f t="shared" si="24"/>
        <v>1984</v>
      </c>
      <c r="T203" s="8">
        <v>1984</v>
      </c>
      <c r="U203" s="8">
        <f t="shared" si="25"/>
        <v>38</v>
      </c>
      <c r="V203" s="7">
        <v>31017</v>
      </c>
      <c r="W203" t="s">
        <v>380</v>
      </c>
      <c r="X203" s="2">
        <v>1.6519999999999999</v>
      </c>
      <c r="Y203" s="6">
        <f t="shared" si="30"/>
        <v>4.409919649769093E-2</v>
      </c>
      <c r="AA203" t="s">
        <v>379</v>
      </c>
      <c r="AB203">
        <v>17337</v>
      </c>
      <c r="AC203">
        <v>15582221</v>
      </c>
      <c r="AD203" t="s">
        <v>4</v>
      </c>
      <c r="AE203">
        <v>32</v>
      </c>
      <c r="AF203">
        <v>12</v>
      </c>
      <c r="AH203" t="s">
        <v>5156</v>
      </c>
      <c r="AI203" t="s">
        <v>5155</v>
      </c>
      <c r="AK203" t="s">
        <v>5154</v>
      </c>
      <c r="AL203">
        <v>61</v>
      </c>
      <c r="AM203" s="5">
        <f t="shared" si="26"/>
        <v>1.6052631578947369</v>
      </c>
      <c r="AN203" s="4">
        <f t="shared" si="31"/>
        <v>2.431295960461548E-3</v>
      </c>
      <c r="AO203" s="3"/>
      <c r="AP203">
        <v>0</v>
      </c>
      <c r="AR203" t="s">
        <v>0</v>
      </c>
      <c r="AT203" s="2" t="s">
        <v>45</v>
      </c>
      <c r="AU203" s="1">
        <f t="shared" si="27"/>
        <v>3.1598826336522112</v>
      </c>
      <c r="AV203" s="1">
        <f t="shared" si="28"/>
        <v>2.3265246229076242</v>
      </c>
      <c r="AW203" s="1">
        <f t="shared" si="29"/>
        <v>1.4931666121630363</v>
      </c>
    </row>
    <row r="204" spans="1:49" x14ac:dyDescent="0.2">
      <c r="A204">
        <v>202</v>
      </c>
      <c r="B204" t="s">
        <v>5153</v>
      </c>
      <c r="C204" t="s">
        <v>5152</v>
      </c>
      <c r="F204" t="s">
        <v>5151</v>
      </c>
      <c r="G204" t="s">
        <v>13</v>
      </c>
      <c r="H204" t="s">
        <v>12</v>
      </c>
      <c r="I204" t="s">
        <v>3994</v>
      </c>
      <c r="J204">
        <v>60021902</v>
      </c>
      <c r="K204" t="s">
        <v>3993</v>
      </c>
      <c r="L204" t="s">
        <v>3992</v>
      </c>
      <c r="M204" t="s">
        <v>3991</v>
      </c>
      <c r="N204">
        <v>1</v>
      </c>
      <c r="O204" t="s">
        <v>5150</v>
      </c>
      <c r="P204">
        <v>35565202000</v>
      </c>
      <c r="Q204">
        <v>60021902</v>
      </c>
      <c r="R204" s="7">
        <v>30682</v>
      </c>
      <c r="S204" s="8">
        <f t="shared" si="24"/>
        <v>1984</v>
      </c>
      <c r="T204" s="8">
        <v>1984</v>
      </c>
      <c r="U204" s="8">
        <f t="shared" si="25"/>
        <v>38</v>
      </c>
      <c r="V204" s="7">
        <v>31017</v>
      </c>
      <c r="W204" t="s">
        <v>380</v>
      </c>
      <c r="X204" s="2">
        <v>1.6519999999999999</v>
      </c>
      <c r="Y204" s="6">
        <f t="shared" si="30"/>
        <v>4.409919649769093E-2</v>
      </c>
      <c r="AA204" t="s">
        <v>379</v>
      </c>
      <c r="AB204">
        <v>17337</v>
      </c>
      <c r="AC204">
        <v>15582221</v>
      </c>
      <c r="AD204" t="s">
        <v>4</v>
      </c>
      <c r="AE204">
        <v>32</v>
      </c>
      <c r="AF204">
        <v>12</v>
      </c>
      <c r="AH204" t="s">
        <v>5149</v>
      </c>
      <c r="AI204" t="s">
        <v>5148</v>
      </c>
      <c r="AK204" t="s">
        <v>5147</v>
      </c>
      <c r="AL204">
        <v>21</v>
      </c>
      <c r="AM204" s="5">
        <f t="shared" si="26"/>
        <v>0.55263157894736847</v>
      </c>
      <c r="AN204" s="4">
        <f t="shared" si="31"/>
        <v>8.3700352737200827E-4</v>
      </c>
      <c r="AO204" s="3"/>
      <c r="AP204">
        <v>0</v>
      </c>
      <c r="AR204" t="s">
        <v>0</v>
      </c>
      <c r="AT204" s="2" t="s">
        <v>45</v>
      </c>
      <c r="AU204" s="1">
        <f t="shared" si="27"/>
        <v>3.1120538606595254</v>
      </c>
      <c r="AV204" s="1">
        <f t="shared" si="28"/>
        <v>2.2468100012531469</v>
      </c>
      <c r="AW204" s="1">
        <f t="shared" si="29"/>
        <v>1.3815661418467684</v>
      </c>
    </row>
    <row r="205" spans="1:49" x14ac:dyDescent="0.2">
      <c r="A205">
        <v>203</v>
      </c>
      <c r="B205" t="s">
        <v>5146</v>
      </c>
      <c r="F205" t="s">
        <v>5145</v>
      </c>
      <c r="G205" t="s">
        <v>13</v>
      </c>
      <c r="H205" t="s">
        <v>12</v>
      </c>
      <c r="I205" t="s">
        <v>5144</v>
      </c>
      <c r="J205">
        <v>60008877</v>
      </c>
      <c r="K205" t="s">
        <v>5143</v>
      </c>
      <c r="L205" t="s">
        <v>5142</v>
      </c>
      <c r="M205" t="s">
        <v>167</v>
      </c>
      <c r="N205">
        <v>2</v>
      </c>
      <c r="O205" t="s">
        <v>5141</v>
      </c>
      <c r="P205" t="s">
        <v>5140</v>
      </c>
      <c r="Q205" t="s">
        <v>5139</v>
      </c>
      <c r="R205" s="7">
        <v>30682</v>
      </c>
      <c r="S205" s="8">
        <f t="shared" si="24"/>
        <v>1984</v>
      </c>
      <c r="T205" s="8">
        <v>1984</v>
      </c>
      <c r="U205" s="8">
        <f t="shared" si="25"/>
        <v>38</v>
      </c>
      <c r="V205" s="7">
        <v>1984</v>
      </c>
      <c r="W205" t="s">
        <v>5138</v>
      </c>
      <c r="X205" s="2" t="s">
        <v>45</v>
      </c>
      <c r="Y205" s="6" t="e">
        <f t="shared" si="30"/>
        <v>#VALUE!</v>
      </c>
      <c r="AA205">
        <v>3792285</v>
      </c>
      <c r="AB205">
        <v>34899</v>
      </c>
      <c r="AD205" t="s">
        <v>4</v>
      </c>
      <c r="AE205">
        <v>8</v>
      </c>
      <c r="AF205">
        <v>4</v>
      </c>
      <c r="AH205" t="s">
        <v>5137</v>
      </c>
      <c r="AI205" t="s">
        <v>5136</v>
      </c>
      <c r="AK205" t="s">
        <v>5135</v>
      </c>
      <c r="AL205">
        <v>3</v>
      </c>
      <c r="AM205" s="5">
        <f t="shared" si="26"/>
        <v>7.8947368421052627E-2</v>
      </c>
      <c r="AN205" s="4">
        <f t="shared" si="31"/>
        <v>1.1957193248171546E-4</v>
      </c>
      <c r="AO205" s="3"/>
      <c r="AP205">
        <v>0</v>
      </c>
      <c r="AR205" t="s">
        <v>0</v>
      </c>
      <c r="AT205" s="2" t="s">
        <v>45</v>
      </c>
      <c r="AU205" s="1" t="e">
        <f t="shared" si="27"/>
        <v>#VALUE!</v>
      </c>
      <c r="AV205" s="1" t="e">
        <f t="shared" si="28"/>
        <v>#VALUE!</v>
      </c>
      <c r="AW205" s="1" t="e">
        <f t="shared" si="29"/>
        <v>#VALUE!</v>
      </c>
    </row>
    <row r="206" spans="1:49" x14ac:dyDescent="0.2">
      <c r="A206">
        <v>204</v>
      </c>
      <c r="B206" t="s">
        <v>5134</v>
      </c>
      <c r="C206" t="s">
        <v>5133</v>
      </c>
      <c r="F206" t="s">
        <v>5132</v>
      </c>
      <c r="G206" t="s">
        <v>13</v>
      </c>
      <c r="H206" t="s">
        <v>12</v>
      </c>
      <c r="I206" t="s">
        <v>5131</v>
      </c>
      <c r="J206">
        <v>60011664</v>
      </c>
      <c r="K206" t="s">
        <v>5130</v>
      </c>
      <c r="L206" t="s">
        <v>5129</v>
      </c>
      <c r="M206" t="s">
        <v>85</v>
      </c>
      <c r="N206">
        <v>2</v>
      </c>
      <c r="O206" t="s">
        <v>5128</v>
      </c>
      <c r="P206" t="s">
        <v>5127</v>
      </c>
      <c r="Q206" t="s">
        <v>5126</v>
      </c>
      <c r="R206" s="7">
        <v>30682</v>
      </c>
      <c r="S206" s="8">
        <f t="shared" si="24"/>
        <v>1984</v>
      </c>
      <c r="T206" s="8">
        <v>1984</v>
      </c>
      <c r="U206" s="8">
        <f t="shared" si="25"/>
        <v>38</v>
      </c>
      <c r="V206" s="7" t="s">
        <v>4897</v>
      </c>
      <c r="W206" s="11" t="s">
        <v>1146</v>
      </c>
      <c r="X206" s="2">
        <v>2.383</v>
      </c>
      <c r="Y206" s="6">
        <f t="shared" si="30"/>
        <v>6.3612824003630442E-2</v>
      </c>
      <c r="AA206">
        <v>1437097</v>
      </c>
      <c r="AB206">
        <v>101236</v>
      </c>
      <c r="AD206" t="s">
        <v>4</v>
      </c>
      <c r="AE206">
        <v>131</v>
      </c>
      <c r="AF206" t="s">
        <v>4896</v>
      </c>
      <c r="AH206" t="s">
        <v>3430</v>
      </c>
      <c r="AI206" t="s">
        <v>5125</v>
      </c>
      <c r="AK206" t="s">
        <v>5124</v>
      </c>
      <c r="AL206">
        <v>1</v>
      </c>
      <c r="AM206" s="5">
        <f t="shared" si="26"/>
        <v>2.6315789473684209E-2</v>
      </c>
      <c r="AN206" s="4">
        <f t="shared" si="31"/>
        <v>3.9857310827238481E-5</v>
      </c>
      <c r="AO206" s="3"/>
      <c r="AP206">
        <v>0</v>
      </c>
      <c r="AR206" t="s">
        <v>0</v>
      </c>
      <c r="AT206" s="2" t="s">
        <v>45</v>
      </c>
      <c r="AU206" s="1">
        <f t="shared" si="27"/>
        <v>4.454093399578948</v>
      </c>
      <c r="AV206" s="1">
        <f t="shared" si="28"/>
        <v>3.1826340657228842</v>
      </c>
      <c r="AW206" s="1">
        <f t="shared" si="29"/>
        <v>1.9111747318668197</v>
      </c>
    </row>
    <row r="207" spans="1:49" x14ac:dyDescent="0.2">
      <c r="A207">
        <v>205</v>
      </c>
      <c r="B207" t="s">
        <v>5123</v>
      </c>
      <c r="C207" t="s">
        <v>5122</v>
      </c>
      <c r="D207">
        <v>22311584903301</v>
      </c>
      <c r="F207" t="s">
        <v>5121</v>
      </c>
      <c r="G207" t="s">
        <v>13</v>
      </c>
      <c r="H207" t="s">
        <v>12</v>
      </c>
      <c r="I207" t="s">
        <v>5120</v>
      </c>
      <c r="J207">
        <v>60026838</v>
      </c>
      <c r="K207" t="s">
        <v>3666</v>
      </c>
      <c r="L207" t="s">
        <v>3665</v>
      </c>
      <c r="M207" t="s">
        <v>142</v>
      </c>
      <c r="N207">
        <v>27</v>
      </c>
      <c r="O207" t="s">
        <v>5119</v>
      </c>
      <c r="P207" t="s">
        <v>5118</v>
      </c>
      <c r="Q207" t="s">
        <v>5117</v>
      </c>
      <c r="R207" s="7">
        <v>30682</v>
      </c>
      <c r="S207" s="8">
        <f t="shared" si="24"/>
        <v>1984</v>
      </c>
      <c r="T207" s="8">
        <v>1984</v>
      </c>
      <c r="U207" s="8">
        <f t="shared" si="25"/>
        <v>38</v>
      </c>
      <c r="V207" s="7">
        <v>31017</v>
      </c>
      <c r="W207" t="s">
        <v>5022</v>
      </c>
      <c r="X207" s="2">
        <v>1.123</v>
      </c>
      <c r="Y207" s="6">
        <f t="shared" si="30"/>
        <v>2.9977843624035664E-2</v>
      </c>
      <c r="AA207">
        <v>223115</v>
      </c>
      <c r="AB207">
        <v>29021</v>
      </c>
      <c r="AD207" t="s">
        <v>4</v>
      </c>
      <c r="AE207" t="s">
        <v>5021</v>
      </c>
      <c r="AF207" t="s">
        <v>5020</v>
      </c>
      <c r="AH207" t="s">
        <v>5116</v>
      </c>
      <c r="AI207" t="s">
        <v>5115</v>
      </c>
      <c r="AJ207" t="s">
        <v>5114</v>
      </c>
      <c r="AK207" t="s">
        <v>5113</v>
      </c>
      <c r="AL207">
        <v>9</v>
      </c>
      <c r="AM207" s="5">
        <f t="shared" si="26"/>
        <v>0.23684210526315788</v>
      </c>
      <c r="AN207" s="4">
        <f t="shared" si="31"/>
        <v>3.5871579744514633E-4</v>
      </c>
      <c r="AO207" s="3"/>
      <c r="AP207">
        <v>0</v>
      </c>
      <c r="AR207" t="s">
        <v>0</v>
      </c>
      <c r="AT207" s="2">
        <v>2.9359999999999999</v>
      </c>
      <c r="AU207" s="1">
        <f t="shared" si="27"/>
        <v>2.109210527605851</v>
      </c>
      <c r="AV207" s="1">
        <f t="shared" si="28"/>
        <v>1.5168279710740407</v>
      </c>
      <c r="AW207" s="1">
        <f t="shared" si="29"/>
        <v>0.92444541454223017</v>
      </c>
    </row>
    <row r="208" spans="1:49" x14ac:dyDescent="0.2">
      <c r="A208">
        <v>206</v>
      </c>
      <c r="B208" t="s">
        <v>5112</v>
      </c>
      <c r="C208" t="s">
        <v>5111</v>
      </c>
      <c r="F208" t="s">
        <v>5110</v>
      </c>
      <c r="G208" t="s">
        <v>13</v>
      </c>
      <c r="H208" t="s">
        <v>12</v>
      </c>
      <c r="I208" t="s">
        <v>5109</v>
      </c>
      <c r="N208">
        <v>2</v>
      </c>
      <c r="O208" t="s">
        <v>5108</v>
      </c>
      <c r="P208" t="s">
        <v>5107</v>
      </c>
      <c r="Q208" t="s">
        <v>266</v>
      </c>
      <c r="R208" s="7">
        <v>30682</v>
      </c>
      <c r="S208" s="8">
        <f t="shared" si="24"/>
        <v>1984</v>
      </c>
      <c r="T208" s="8">
        <v>1984</v>
      </c>
      <c r="U208" s="8">
        <f t="shared" si="25"/>
        <v>38</v>
      </c>
      <c r="V208" s="7">
        <v>31017</v>
      </c>
      <c r="W208" t="s">
        <v>1171</v>
      </c>
      <c r="X208" s="2" t="s">
        <v>45</v>
      </c>
      <c r="Y208" s="6" t="e">
        <f t="shared" si="30"/>
        <v>#VALUE!</v>
      </c>
      <c r="AA208" t="s">
        <v>1170</v>
      </c>
      <c r="AB208">
        <v>58005</v>
      </c>
      <c r="AC208">
        <v>15387305</v>
      </c>
      <c r="AD208" t="s">
        <v>4</v>
      </c>
      <c r="AE208">
        <v>63</v>
      </c>
      <c r="AF208">
        <v>10</v>
      </c>
      <c r="AH208" t="s">
        <v>5106</v>
      </c>
      <c r="AI208" t="s">
        <v>5105</v>
      </c>
      <c r="AK208" t="s">
        <v>5104</v>
      </c>
      <c r="AL208">
        <v>41</v>
      </c>
      <c r="AM208" s="5">
        <f t="shared" si="26"/>
        <v>1.0789473684210527</v>
      </c>
      <c r="AN208" s="4">
        <f t="shared" si="31"/>
        <v>1.6341497439167779E-3</v>
      </c>
      <c r="AO208" s="3"/>
      <c r="AP208">
        <v>0</v>
      </c>
      <c r="AR208" t="s">
        <v>0</v>
      </c>
      <c r="AT208" s="2" t="s">
        <v>45</v>
      </c>
      <c r="AU208" s="1" t="e">
        <f t="shared" si="27"/>
        <v>#VALUE!</v>
      </c>
      <c r="AV208" s="1" t="e">
        <f t="shared" si="28"/>
        <v>#VALUE!</v>
      </c>
      <c r="AW208" s="1" t="e">
        <f t="shared" si="29"/>
        <v>#VALUE!</v>
      </c>
    </row>
    <row r="209" spans="1:49" x14ac:dyDescent="0.2">
      <c r="A209">
        <v>207</v>
      </c>
      <c r="B209" t="s">
        <v>5103</v>
      </c>
      <c r="C209" t="s">
        <v>5102</v>
      </c>
      <c r="F209" t="s">
        <v>5101</v>
      </c>
      <c r="G209" t="s">
        <v>13</v>
      </c>
      <c r="H209" t="s">
        <v>12</v>
      </c>
      <c r="I209" t="s">
        <v>5100</v>
      </c>
      <c r="J209">
        <v>60019702</v>
      </c>
      <c r="K209" t="s">
        <v>5099</v>
      </c>
      <c r="L209" t="s">
        <v>5098</v>
      </c>
      <c r="M209" t="s">
        <v>167</v>
      </c>
      <c r="N209">
        <v>1</v>
      </c>
      <c r="O209" t="s">
        <v>5097</v>
      </c>
      <c r="P209">
        <v>57216309157</v>
      </c>
      <c r="Q209">
        <v>60019702</v>
      </c>
      <c r="R209" s="7">
        <v>30682</v>
      </c>
      <c r="S209" s="8">
        <f t="shared" si="24"/>
        <v>1984</v>
      </c>
      <c r="T209" s="8">
        <v>1984</v>
      </c>
      <c r="U209" s="8">
        <f t="shared" si="25"/>
        <v>38</v>
      </c>
      <c r="V209" s="7">
        <v>31017</v>
      </c>
      <c r="W209" s="11" t="s">
        <v>1313</v>
      </c>
      <c r="X209" s="2">
        <v>2.383</v>
      </c>
      <c r="Y209" s="6">
        <f t="shared" si="30"/>
        <v>6.3612824003630442E-2</v>
      </c>
      <c r="AA209">
        <v>1437070</v>
      </c>
      <c r="AB209">
        <v>39742</v>
      </c>
      <c r="AD209" t="s">
        <v>4</v>
      </c>
      <c r="AE209">
        <v>131</v>
      </c>
      <c r="AF209">
        <v>7</v>
      </c>
      <c r="AH209" t="s">
        <v>5096</v>
      </c>
      <c r="AI209" t="s">
        <v>5095</v>
      </c>
      <c r="AJ209" t="s">
        <v>5094</v>
      </c>
      <c r="AK209" t="s">
        <v>5093</v>
      </c>
      <c r="AL209">
        <v>0</v>
      </c>
      <c r="AM209" s="5">
        <f t="shared" si="26"/>
        <v>0</v>
      </c>
      <c r="AN209" s="4">
        <f t="shared" si="31"/>
        <v>0</v>
      </c>
      <c r="AO209" s="3"/>
      <c r="AP209">
        <v>0</v>
      </c>
      <c r="AR209" t="s">
        <v>0</v>
      </c>
      <c r="AT209" s="2" t="s">
        <v>45</v>
      </c>
      <c r="AU209" s="1">
        <f t="shared" si="27"/>
        <v>4.4528976802541305</v>
      </c>
      <c r="AV209" s="1">
        <f t="shared" si="28"/>
        <v>3.1806412001815221</v>
      </c>
      <c r="AW209" s="1">
        <f t="shared" si="29"/>
        <v>1.9083847201089132</v>
      </c>
    </row>
    <row r="210" spans="1:49" x14ac:dyDescent="0.2">
      <c r="A210">
        <v>208</v>
      </c>
      <c r="B210" t="s">
        <v>5092</v>
      </c>
      <c r="C210" t="s">
        <v>5091</v>
      </c>
      <c r="F210" t="s">
        <v>5090</v>
      </c>
      <c r="G210" t="s">
        <v>13</v>
      </c>
      <c r="H210" t="s">
        <v>12</v>
      </c>
      <c r="I210" t="s">
        <v>1270</v>
      </c>
      <c r="J210">
        <v>60025225</v>
      </c>
      <c r="K210" t="s">
        <v>5089</v>
      </c>
      <c r="L210" t="s">
        <v>5088</v>
      </c>
      <c r="M210" t="s">
        <v>167</v>
      </c>
      <c r="N210">
        <v>3</v>
      </c>
      <c r="O210" t="s">
        <v>5087</v>
      </c>
      <c r="P210" t="s">
        <v>5086</v>
      </c>
      <c r="Q210" t="s">
        <v>5085</v>
      </c>
      <c r="R210" s="7">
        <v>30682</v>
      </c>
      <c r="S210" s="8">
        <f t="shared" si="24"/>
        <v>1984</v>
      </c>
      <c r="T210" s="8">
        <v>1984</v>
      </c>
      <c r="U210" s="8">
        <f t="shared" si="25"/>
        <v>38</v>
      </c>
      <c r="V210" s="7" t="s">
        <v>4897</v>
      </c>
      <c r="W210" s="11" t="s">
        <v>1146</v>
      </c>
      <c r="X210" s="2">
        <v>2.383</v>
      </c>
      <c r="Y210" s="6">
        <f t="shared" si="30"/>
        <v>6.3612824003630442E-2</v>
      </c>
      <c r="AA210">
        <v>1437097</v>
      </c>
      <c r="AB210">
        <v>101236</v>
      </c>
      <c r="AD210" t="s">
        <v>4</v>
      </c>
      <c r="AE210">
        <v>131</v>
      </c>
      <c r="AF210" t="s">
        <v>4896</v>
      </c>
      <c r="AH210" t="s">
        <v>5084</v>
      </c>
      <c r="AI210" t="s">
        <v>5083</v>
      </c>
      <c r="AK210" t="s">
        <v>5082</v>
      </c>
      <c r="AL210">
        <v>6</v>
      </c>
      <c r="AM210" s="5">
        <f t="shared" si="26"/>
        <v>0.15789473684210525</v>
      </c>
      <c r="AN210" s="4">
        <f t="shared" si="31"/>
        <v>2.3914386496343091E-4</v>
      </c>
      <c r="AO210" s="3"/>
      <c r="AP210">
        <v>0</v>
      </c>
      <c r="AR210" t="s">
        <v>0</v>
      </c>
      <c r="AT210" s="2" t="s">
        <v>45</v>
      </c>
      <c r="AU210" s="1">
        <f t="shared" si="27"/>
        <v>4.460071996203034</v>
      </c>
      <c r="AV210" s="1">
        <f t="shared" si="28"/>
        <v>3.1925983934296935</v>
      </c>
      <c r="AW210" s="1">
        <f t="shared" si="29"/>
        <v>1.9251247906563536</v>
      </c>
    </row>
    <row r="211" spans="1:49" x14ac:dyDescent="0.2">
      <c r="A211">
        <v>209</v>
      </c>
      <c r="B211" t="s">
        <v>5081</v>
      </c>
      <c r="C211" t="s">
        <v>5080</v>
      </c>
      <c r="F211" t="s">
        <v>5079</v>
      </c>
      <c r="G211" t="s">
        <v>13</v>
      </c>
      <c r="H211" t="s">
        <v>12</v>
      </c>
      <c r="I211" t="s">
        <v>5078</v>
      </c>
      <c r="J211">
        <v>60000305</v>
      </c>
      <c r="K211" t="s">
        <v>1248</v>
      </c>
      <c r="L211" t="s">
        <v>1247</v>
      </c>
      <c r="M211" t="s">
        <v>56</v>
      </c>
      <c r="N211">
        <v>2</v>
      </c>
      <c r="O211" t="s">
        <v>5077</v>
      </c>
      <c r="P211" t="s">
        <v>5076</v>
      </c>
      <c r="Q211" t="s">
        <v>4918</v>
      </c>
      <c r="R211" s="7">
        <v>30682</v>
      </c>
      <c r="S211" s="8">
        <f t="shared" si="24"/>
        <v>1984</v>
      </c>
      <c r="T211" s="8">
        <v>1984</v>
      </c>
      <c r="U211" s="8">
        <f t="shared" si="25"/>
        <v>38</v>
      </c>
      <c r="V211" s="7" t="s">
        <v>4897</v>
      </c>
      <c r="W211" s="11" t="s">
        <v>1146</v>
      </c>
      <c r="X211" s="2">
        <v>2.383</v>
      </c>
      <c r="Y211" s="6">
        <f t="shared" si="30"/>
        <v>6.3612824003630442E-2</v>
      </c>
      <c r="AA211">
        <v>1437097</v>
      </c>
      <c r="AB211">
        <v>101236</v>
      </c>
      <c r="AD211" t="s">
        <v>4</v>
      </c>
      <c r="AE211">
        <v>131</v>
      </c>
      <c r="AF211" t="s">
        <v>4896</v>
      </c>
      <c r="AH211" t="s">
        <v>5075</v>
      </c>
      <c r="AI211" t="s">
        <v>5074</v>
      </c>
      <c r="AK211" t="s">
        <v>5073</v>
      </c>
      <c r="AL211">
        <v>3</v>
      </c>
      <c r="AM211" s="5">
        <f t="shared" si="26"/>
        <v>7.8947368421052627E-2</v>
      </c>
      <c r="AN211" s="4">
        <f t="shared" si="31"/>
        <v>1.1957193248171546E-4</v>
      </c>
      <c r="AO211" s="3"/>
      <c r="AP211">
        <v>0</v>
      </c>
      <c r="AR211" t="s">
        <v>0</v>
      </c>
      <c r="AT211" s="2" t="s">
        <v>45</v>
      </c>
      <c r="AU211" s="1">
        <f t="shared" si="27"/>
        <v>4.4564848382285822</v>
      </c>
      <c r="AV211" s="1">
        <f t="shared" si="28"/>
        <v>3.186619796805608</v>
      </c>
      <c r="AW211" s="1">
        <f t="shared" si="29"/>
        <v>1.9167547553826332</v>
      </c>
    </row>
    <row r="212" spans="1:49" x14ac:dyDescent="0.2">
      <c r="A212">
        <v>210</v>
      </c>
      <c r="B212" t="s">
        <v>5072</v>
      </c>
      <c r="C212" t="s">
        <v>5071</v>
      </c>
      <c r="F212" t="s">
        <v>5070</v>
      </c>
      <c r="G212" t="s">
        <v>13</v>
      </c>
      <c r="H212" t="s">
        <v>12</v>
      </c>
      <c r="I212" t="s">
        <v>1704</v>
      </c>
      <c r="J212">
        <v>60018735</v>
      </c>
      <c r="K212" t="s">
        <v>3094</v>
      </c>
      <c r="L212" t="s">
        <v>644</v>
      </c>
      <c r="M212" t="s">
        <v>643</v>
      </c>
      <c r="N212">
        <v>1</v>
      </c>
      <c r="O212" t="s">
        <v>5069</v>
      </c>
      <c r="P212">
        <v>7402452132</v>
      </c>
      <c r="Q212">
        <v>60018735</v>
      </c>
      <c r="R212" s="7">
        <v>30682</v>
      </c>
      <c r="S212" s="8">
        <f t="shared" si="24"/>
        <v>1984</v>
      </c>
      <c r="T212" s="8">
        <v>1984</v>
      </c>
      <c r="U212" s="8">
        <f t="shared" si="25"/>
        <v>38</v>
      </c>
      <c r="V212" s="7">
        <v>31017</v>
      </c>
      <c r="W212" t="s">
        <v>380</v>
      </c>
      <c r="X212" s="2">
        <v>1.6519999999999999</v>
      </c>
      <c r="Y212" s="6">
        <f t="shared" si="30"/>
        <v>4.409919649769093E-2</v>
      </c>
      <c r="AA212" t="s">
        <v>379</v>
      </c>
      <c r="AB212">
        <v>17337</v>
      </c>
      <c r="AC212">
        <v>15582221</v>
      </c>
      <c r="AD212" t="s">
        <v>4</v>
      </c>
      <c r="AE212">
        <v>32</v>
      </c>
      <c r="AF212">
        <v>12</v>
      </c>
      <c r="AH212" t="s">
        <v>5068</v>
      </c>
      <c r="AI212" t="s">
        <v>5067</v>
      </c>
      <c r="AK212" t="s">
        <v>5066</v>
      </c>
      <c r="AL212">
        <v>3</v>
      </c>
      <c r="AM212" s="5">
        <f t="shared" si="26"/>
        <v>7.8947368421052627E-2</v>
      </c>
      <c r="AN212" s="4">
        <f t="shared" si="31"/>
        <v>1.1957193248171546E-4</v>
      </c>
      <c r="AO212" s="3"/>
      <c r="AP212">
        <v>0</v>
      </c>
      <c r="AR212" t="s">
        <v>0</v>
      </c>
      <c r="AT212" s="2" t="s">
        <v>45</v>
      </c>
      <c r="AU212" s="1">
        <f t="shared" si="27"/>
        <v>3.0905309128128167</v>
      </c>
      <c r="AV212" s="1">
        <f t="shared" si="28"/>
        <v>2.2109384215086325</v>
      </c>
      <c r="AW212" s="1">
        <f t="shared" si="29"/>
        <v>1.3313459302044479</v>
      </c>
    </row>
    <row r="213" spans="1:49" x14ac:dyDescent="0.2">
      <c r="A213">
        <v>211</v>
      </c>
      <c r="B213" t="s">
        <v>5065</v>
      </c>
      <c r="C213" t="s">
        <v>5064</v>
      </c>
      <c r="F213" t="s">
        <v>5063</v>
      </c>
      <c r="G213" t="s">
        <v>13</v>
      </c>
      <c r="H213" t="s">
        <v>12</v>
      </c>
      <c r="I213" t="s">
        <v>5062</v>
      </c>
      <c r="J213">
        <v>60031293</v>
      </c>
      <c r="K213" t="s">
        <v>5061</v>
      </c>
      <c r="L213" t="s">
        <v>644</v>
      </c>
      <c r="M213" t="s">
        <v>643</v>
      </c>
      <c r="N213">
        <v>3</v>
      </c>
      <c r="O213" t="s">
        <v>5060</v>
      </c>
      <c r="P213" t="s">
        <v>5059</v>
      </c>
      <c r="Q213" t="s">
        <v>5058</v>
      </c>
      <c r="R213" s="7">
        <v>30682</v>
      </c>
      <c r="S213" s="8">
        <f t="shared" si="24"/>
        <v>1984</v>
      </c>
      <c r="T213" s="8">
        <v>1984</v>
      </c>
      <c r="U213" s="8">
        <f t="shared" si="25"/>
        <v>38</v>
      </c>
      <c r="V213" s="7">
        <v>1984</v>
      </c>
      <c r="W213" t="s">
        <v>756</v>
      </c>
      <c r="X213" s="2">
        <v>0.111</v>
      </c>
      <c r="Y213" s="6">
        <f t="shared" si="30"/>
        <v>2.9630816048690639E-3</v>
      </c>
      <c r="AA213">
        <v>87566621</v>
      </c>
      <c r="AB213">
        <v>24890</v>
      </c>
      <c r="AC213">
        <v>15206424</v>
      </c>
      <c r="AD213" t="s">
        <v>4</v>
      </c>
      <c r="AE213">
        <v>67</v>
      </c>
      <c r="AF213">
        <v>12</v>
      </c>
      <c r="AH213" t="s">
        <v>2233</v>
      </c>
      <c r="AI213" t="s">
        <v>5057</v>
      </c>
      <c r="AK213" t="s">
        <v>5056</v>
      </c>
      <c r="AL213">
        <v>1</v>
      </c>
      <c r="AM213" s="5">
        <f t="shared" si="26"/>
        <v>2.6315789473684209E-2</v>
      </c>
      <c r="AN213" s="4">
        <f t="shared" si="31"/>
        <v>3.9857310827238481E-5</v>
      </c>
      <c r="AO213" s="3"/>
      <c r="AP213">
        <v>0</v>
      </c>
      <c r="AR213" t="s">
        <v>0</v>
      </c>
      <c r="AT213" s="2" t="s">
        <v>45</v>
      </c>
      <c r="AU213" s="1">
        <f t="shared" si="27"/>
        <v>0.2086114316656516</v>
      </c>
      <c r="AV213" s="1">
        <f t="shared" si="28"/>
        <v>0.15014694578481511</v>
      </c>
      <c r="AW213" s="1">
        <f t="shared" si="29"/>
        <v>9.1682459903978594E-2</v>
      </c>
    </row>
    <row r="214" spans="1:49" x14ac:dyDescent="0.2">
      <c r="A214">
        <v>212</v>
      </c>
      <c r="B214" t="s">
        <v>5055</v>
      </c>
      <c r="C214" t="s">
        <v>5054</v>
      </c>
      <c r="F214" t="s">
        <v>5053</v>
      </c>
      <c r="G214" t="s">
        <v>13</v>
      </c>
      <c r="H214" t="s">
        <v>12</v>
      </c>
      <c r="I214" t="s">
        <v>5052</v>
      </c>
      <c r="J214">
        <v>60074055</v>
      </c>
      <c r="K214" t="s">
        <v>5051</v>
      </c>
      <c r="L214" t="s">
        <v>5050</v>
      </c>
      <c r="M214" t="s">
        <v>56</v>
      </c>
      <c r="N214">
        <v>5</v>
      </c>
      <c r="O214" t="s">
        <v>5049</v>
      </c>
      <c r="P214" t="s">
        <v>5048</v>
      </c>
      <c r="Q214" t="s">
        <v>5047</v>
      </c>
      <c r="R214" s="7">
        <v>30682</v>
      </c>
      <c r="S214" s="8">
        <f t="shared" si="24"/>
        <v>1984</v>
      </c>
      <c r="T214" s="8">
        <v>1984</v>
      </c>
      <c r="U214" s="8">
        <f t="shared" si="25"/>
        <v>38</v>
      </c>
      <c r="V214" s="7">
        <v>31017</v>
      </c>
      <c r="W214" t="s">
        <v>5046</v>
      </c>
      <c r="X214" s="2">
        <v>0.53700000000000003</v>
      </c>
      <c r="Y214" s="6">
        <f t="shared" si="30"/>
        <v>1.4334908304636823E-2</v>
      </c>
      <c r="AA214">
        <v>189499</v>
      </c>
      <c r="AB214">
        <v>17368</v>
      </c>
      <c r="AC214">
        <v>15581578</v>
      </c>
      <c r="AD214" t="s">
        <v>4</v>
      </c>
      <c r="AE214">
        <v>31</v>
      </c>
      <c r="AF214">
        <v>6</v>
      </c>
      <c r="AH214" t="s">
        <v>5045</v>
      </c>
      <c r="AI214" t="s">
        <v>5044</v>
      </c>
      <c r="AK214" t="s">
        <v>5043</v>
      </c>
      <c r="AL214">
        <v>0</v>
      </c>
      <c r="AM214" s="5">
        <f t="shared" si="26"/>
        <v>0</v>
      </c>
      <c r="AN214" s="4">
        <f t="shared" si="31"/>
        <v>0</v>
      </c>
      <c r="AO214" s="3"/>
      <c r="AP214">
        <v>0</v>
      </c>
      <c r="AR214" t="s">
        <v>0</v>
      </c>
      <c r="AT214" s="2">
        <v>1.679</v>
      </c>
      <c r="AU214" s="1">
        <f t="shared" si="27"/>
        <v>1.0034435813245777</v>
      </c>
      <c r="AV214" s="1">
        <f t="shared" si="28"/>
        <v>0.7167454152318411</v>
      </c>
      <c r="AW214" s="1">
        <f t="shared" si="29"/>
        <v>0.43004724913910464</v>
      </c>
    </row>
    <row r="215" spans="1:49" x14ac:dyDescent="0.2">
      <c r="A215">
        <v>213</v>
      </c>
      <c r="B215" t="s">
        <v>5042</v>
      </c>
      <c r="C215" t="s">
        <v>5041</v>
      </c>
      <c r="D215">
        <v>22311584903696</v>
      </c>
      <c r="F215" t="s">
        <v>5040</v>
      </c>
      <c r="G215" t="s">
        <v>13</v>
      </c>
      <c r="H215" t="s">
        <v>12</v>
      </c>
      <c r="I215" t="s">
        <v>5039</v>
      </c>
      <c r="J215">
        <v>60015658</v>
      </c>
      <c r="K215" t="s">
        <v>5038</v>
      </c>
      <c r="L215" t="s">
        <v>5037</v>
      </c>
      <c r="M215" t="s">
        <v>643</v>
      </c>
      <c r="N215">
        <v>25</v>
      </c>
      <c r="O215" t="s">
        <v>5036</v>
      </c>
      <c r="P215" t="s">
        <v>5035</v>
      </c>
      <c r="Q215" t="s">
        <v>5034</v>
      </c>
      <c r="R215" s="7">
        <v>30682</v>
      </c>
      <c r="S215" s="8">
        <f t="shared" si="24"/>
        <v>1984</v>
      </c>
      <c r="T215" s="8">
        <v>1984</v>
      </c>
      <c r="U215" s="8">
        <f t="shared" si="25"/>
        <v>38</v>
      </c>
      <c r="V215" s="7">
        <v>31017</v>
      </c>
      <c r="W215" t="s">
        <v>5022</v>
      </c>
      <c r="X215" s="2">
        <v>1.123</v>
      </c>
      <c r="Y215" s="6">
        <f t="shared" si="30"/>
        <v>2.9977843624035664E-2</v>
      </c>
      <c r="AA215">
        <v>223115</v>
      </c>
      <c r="AB215">
        <v>29021</v>
      </c>
      <c r="AD215" t="s">
        <v>4</v>
      </c>
      <c r="AE215" t="s">
        <v>5021</v>
      </c>
      <c r="AF215" t="s">
        <v>5020</v>
      </c>
      <c r="AH215" t="s">
        <v>5033</v>
      </c>
      <c r="AI215" t="s">
        <v>5032</v>
      </c>
      <c r="AJ215" t="s">
        <v>5031</v>
      </c>
      <c r="AK215" t="s">
        <v>5030</v>
      </c>
      <c r="AL215">
        <v>22</v>
      </c>
      <c r="AM215" s="5">
        <f t="shared" si="26"/>
        <v>0.57894736842105265</v>
      </c>
      <c r="AN215" s="4">
        <f t="shared" si="31"/>
        <v>8.768608381992467E-4</v>
      </c>
      <c r="AO215" s="3"/>
      <c r="AP215">
        <v>0</v>
      </c>
      <c r="AR215" t="s">
        <v>0</v>
      </c>
      <c r="AT215" s="2">
        <v>2.9359999999999999</v>
      </c>
      <c r="AU215" s="1">
        <f t="shared" si="27"/>
        <v>2.1247548788284738</v>
      </c>
      <c r="AV215" s="1">
        <f t="shared" si="28"/>
        <v>1.5427352231117455</v>
      </c>
      <c r="AW215" s="1">
        <f t="shared" si="29"/>
        <v>0.96071556739501729</v>
      </c>
    </row>
    <row r="216" spans="1:49" x14ac:dyDescent="0.2">
      <c r="A216">
        <v>214</v>
      </c>
      <c r="B216" t="s">
        <v>5029</v>
      </c>
      <c r="C216" t="s">
        <v>5028</v>
      </c>
      <c r="D216">
        <v>22311584903714</v>
      </c>
      <c r="F216" t="s">
        <v>5027</v>
      </c>
      <c r="G216" t="s">
        <v>13</v>
      </c>
      <c r="H216" t="s">
        <v>12</v>
      </c>
      <c r="I216" t="s">
        <v>5026</v>
      </c>
      <c r="J216">
        <v>60028186</v>
      </c>
      <c r="K216" t="s">
        <v>1261</v>
      </c>
      <c r="L216" t="s">
        <v>1260</v>
      </c>
      <c r="M216" t="s">
        <v>1259</v>
      </c>
      <c r="N216">
        <v>16</v>
      </c>
      <c r="O216" t="s">
        <v>5025</v>
      </c>
      <c r="P216" t="s">
        <v>5024</v>
      </c>
      <c r="Q216" t="s">
        <v>5023</v>
      </c>
      <c r="R216" s="7">
        <v>30682</v>
      </c>
      <c r="S216" s="8">
        <f t="shared" si="24"/>
        <v>1984</v>
      </c>
      <c r="T216" s="8">
        <v>1984</v>
      </c>
      <c r="U216" s="8">
        <f t="shared" si="25"/>
        <v>38</v>
      </c>
      <c r="V216" s="7">
        <v>31017</v>
      </c>
      <c r="W216" t="s">
        <v>5022</v>
      </c>
      <c r="X216" s="2">
        <v>1.123</v>
      </c>
      <c r="Y216" s="6">
        <f t="shared" si="30"/>
        <v>2.9977843624035664E-2</v>
      </c>
      <c r="AA216">
        <v>223115</v>
      </c>
      <c r="AB216">
        <v>29021</v>
      </c>
      <c r="AD216" t="s">
        <v>4</v>
      </c>
      <c r="AE216" t="s">
        <v>5021</v>
      </c>
      <c r="AF216" t="s">
        <v>5020</v>
      </c>
      <c r="AH216" t="s">
        <v>5019</v>
      </c>
      <c r="AI216" t="s">
        <v>5018</v>
      </c>
      <c r="AJ216" t="s">
        <v>5017</v>
      </c>
      <c r="AK216" t="s">
        <v>5016</v>
      </c>
      <c r="AL216">
        <v>16</v>
      </c>
      <c r="AM216" s="5">
        <f t="shared" si="26"/>
        <v>0.42105263157894735</v>
      </c>
      <c r="AN216" s="4">
        <f t="shared" si="31"/>
        <v>6.377169732358157E-4</v>
      </c>
      <c r="AO216" s="3"/>
      <c r="AP216">
        <v>0</v>
      </c>
      <c r="AQ216" t="s">
        <v>2781</v>
      </c>
      <c r="AR216" t="s">
        <v>0</v>
      </c>
      <c r="AS216" t="s">
        <v>2780</v>
      </c>
      <c r="AT216" s="2">
        <v>2.9359999999999999</v>
      </c>
      <c r="AU216" s="1">
        <f t="shared" si="27"/>
        <v>2.1175805628795707</v>
      </c>
      <c r="AV216" s="1">
        <f t="shared" si="28"/>
        <v>1.530778029863574</v>
      </c>
      <c r="AW216" s="1">
        <f t="shared" si="29"/>
        <v>0.94397549684757698</v>
      </c>
    </row>
    <row r="217" spans="1:49" x14ac:dyDescent="0.2">
      <c r="A217">
        <v>215</v>
      </c>
      <c r="B217" t="s">
        <v>5015</v>
      </c>
      <c r="C217" t="s">
        <v>5014</v>
      </c>
      <c r="F217" t="s">
        <v>5013</v>
      </c>
      <c r="G217" t="s">
        <v>13</v>
      </c>
      <c r="H217" t="s">
        <v>12</v>
      </c>
      <c r="I217" t="s">
        <v>5012</v>
      </c>
      <c r="J217" t="s">
        <v>5011</v>
      </c>
      <c r="K217" t="s">
        <v>5010</v>
      </c>
      <c r="L217" t="s">
        <v>5009</v>
      </c>
      <c r="M217" t="s">
        <v>898</v>
      </c>
      <c r="N217">
        <v>4</v>
      </c>
      <c r="O217" t="s">
        <v>5008</v>
      </c>
      <c r="P217" t="s">
        <v>5007</v>
      </c>
      <c r="Q217" t="s">
        <v>5006</v>
      </c>
      <c r="R217" s="7">
        <v>30682</v>
      </c>
      <c r="S217" s="8">
        <f t="shared" si="24"/>
        <v>1984</v>
      </c>
      <c r="T217" s="8">
        <v>1984</v>
      </c>
      <c r="U217" s="8">
        <f t="shared" si="25"/>
        <v>38</v>
      </c>
      <c r="V217" s="7">
        <v>31017</v>
      </c>
      <c r="W217" t="s">
        <v>380</v>
      </c>
      <c r="X217" s="2">
        <v>1.6519999999999999</v>
      </c>
      <c r="Y217" s="6">
        <f t="shared" si="30"/>
        <v>4.409919649769093E-2</v>
      </c>
      <c r="AA217" t="s">
        <v>379</v>
      </c>
      <c r="AB217">
        <v>17337</v>
      </c>
      <c r="AC217">
        <v>15582221</v>
      </c>
      <c r="AD217" t="s">
        <v>4</v>
      </c>
      <c r="AE217">
        <v>32</v>
      </c>
      <c r="AF217">
        <v>12</v>
      </c>
      <c r="AH217" t="s">
        <v>5005</v>
      </c>
      <c r="AI217" t="s">
        <v>5004</v>
      </c>
      <c r="AK217" t="s">
        <v>5003</v>
      </c>
      <c r="AL217">
        <v>1</v>
      </c>
      <c r="AM217" s="5">
        <f t="shared" si="26"/>
        <v>2.6315789473684209E-2</v>
      </c>
      <c r="AN217" s="4">
        <f t="shared" si="31"/>
        <v>3.9857310827238481E-5</v>
      </c>
      <c r="AO217" s="3"/>
      <c r="AP217">
        <v>0</v>
      </c>
      <c r="AR217" t="s">
        <v>0</v>
      </c>
      <c r="AT217" s="2" t="s">
        <v>45</v>
      </c>
      <c r="AU217" s="1">
        <f t="shared" si="27"/>
        <v>3.088139474163182</v>
      </c>
      <c r="AV217" s="1">
        <f t="shared" si="28"/>
        <v>2.2069526904259082</v>
      </c>
      <c r="AW217" s="1">
        <f t="shared" si="29"/>
        <v>1.3257659066886345</v>
      </c>
    </row>
    <row r="218" spans="1:49" x14ac:dyDescent="0.2">
      <c r="A218">
        <v>216</v>
      </c>
      <c r="B218" t="s">
        <v>5002</v>
      </c>
      <c r="C218" t="s">
        <v>5001</v>
      </c>
      <c r="F218" t="s">
        <v>5000</v>
      </c>
      <c r="G218" t="s">
        <v>13</v>
      </c>
      <c r="H218" t="s">
        <v>12</v>
      </c>
      <c r="I218" t="s">
        <v>2023</v>
      </c>
      <c r="J218">
        <v>60001247</v>
      </c>
      <c r="K218" t="s">
        <v>2022</v>
      </c>
      <c r="M218" t="s">
        <v>56</v>
      </c>
      <c r="N218">
        <v>1</v>
      </c>
      <c r="O218" t="s">
        <v>2021</v>
      </c>
      <c r="P218">
        <v>7003451771</v>
      </c>
      <c r="Q218">
        <v>60001247</v>
      </c>
      <c r="R218" s="7">
        <v>30682</v>
      </c>
      <c r="S218" s="8">
        <f t="shared" si="24"/>
        <v>1984</v>
      </c>
      <c r="T218" s="8">
        <v>1984</v>
      </c>
      <c r="U218" s="8">
        <f t="shared" si="25"/>
        <v>38</v>
      </c>
      <c r="V218" s="7">
        <v>31017</v>
      </c>
      <c r="W218" t="s">
        <v>380</v>
      </c>
      <c r="X218" s="2">
        <v>1.6519999999999999</v>
      </c>
      <c r="Y218" s="6">
        <f t="shared" si="30"/>
        <v>4.409919649769093E-2</v>
      </c>
      <c r="AA218" t="s">
        <v>379</v>
      </c>
      <c r="AB218">
        <v>17337</v>
      </c>
      <c r="AC218">
        <v>15582221</v>
      </c>
      <c r="AD218" t="s">
        <v>4</v>
      </c>
      <c r="AE218">
        <v>32</v>
      </c>
      <c r="AF218">
        <v>12</v>
      </c>
      <c r="AH218" t="s">
        <v>4999</v>
      </c>
      <c r="AI218" t="s">
        <v>4998</v>
      </c>
      <c r="AK218" t="s">
        <v>4997</v>
      </c>
      <c r="AL218">
        <v>39</v>
      </c>
      <c r="AM218" s="5">
        <f t="shared" si="26"/>
        <v>1.0263157894736843</v>
      </c>
      <c r="AN218" s="4">
        <f t="shared" si="31"/>
        <v>1.554435122262301E-3</v>
      </c>
      <c r="AO218" s="3"/>
      <c r="AP218">
        <v>0</v>
      </c>
      <c r="AR218" t="s">
        <v>0</v>
      </c>
      <c r="AT218" s="2" t="s">
        <v>45</v>
      </c>
      <c r="AU218" s="1">
        <f t="shared" si="27"/>
        <v>3.1335768085062341</v>
      </c>
      <c r="AV218" s="1">
        <f t="shared" si="28"/>
        <v>2.2826815809976617</v>
      </c>
      <c r="AW218" s="1">
        <f t="shared" si="29"/>
        <v>1.4317863534890889</v>
      </c>
    </row>
    <row r="219" spans="1:49" x14ac:dyDescent="0.2">
      <c r="A219">
        <v>217</v>
      </c>
      <c r="B219" t="s">
        <v>4996</v>
      </c>
      <c r="C219" t="s">
        <v>4995</v>
      </c>
      <c r="F219" t="s">
        <v>4994</v>
      </c>
      <c r="G219" t="s">
        <v>13</v>
      </c>
      <c r="H219" t="s">
        <v>12</v>
      </c>
      <c r="I219" t="s">
        <v>4993</v>
      </c>
      <c r="J219" t="s">
        <v>4992</v>
      </c>
      <c r="K219" t="s">
        <v>4991</v>
      </c>
      <c r="L219" t="s">
        <v>4990</v>
      </c>
      <c r="M219" t="s">
        <v>206</v>
      </c>
      <c r="N219">
        <v>5</v>
      </c>
      <c r="O219" t="s">
        <v>4989</v>
      </c>
      <c r="P219" t="s">
        <v>4988</v>
      </c>
      <c r="Q219" t="s">
        <v>4987</v>
      </c>
      <c r="R219" s="7">
        <v>30682</v>
      </c>
      <c r="S219" s="8">
        <f t="shared" si="24"/>
        <v>1984</v>
      </c>
      <c r="T219" s="8">
        <v>1984</v>
      </c>
      <c r="U219" s="8">
        <f t="shared" si="25"/>
        <v>38</v>
      </c>
      <c r="V219" s="7">
        <v>30682</v>
      </c>
      <c r="W219" t="s">
        <v>4986</v>
      </c>
      <c r="X219" s="2">
        <v>0.442</v>
      </c>
      <c r="Y219" s="6">
        <f t="shared" si="30"/>
        <v>1.1798937561730867E-2</v>
      </c>
      <c r="AA219">
        <v>1490419</v>
      </c>
      <c r="AB219">
        <v>29742</v>
      </c>
      <c r="AC219" t="s">
        <v>4985</v>
      </c>
      <c r="AD219" t="s">
        <v>4</v>
      </c>
      <c r="AE219">
        <v>8</v>
      </c>
      <c r="AF219" s="9">
        <v>44287</v>
      </c>
      <c r="AH219" t="s">
        <v>4984</v>
      </c>
      <c r="AI219" t="s">
        <v>4983</v>
      </c>
      <c r="AK219" t="s">
        <v>4982</v>
      </c>
      <c r="AL219">
        <v>12</v>
      </c>
      <c r="AM219" s="5">
        <f t="shared" si="26"/>
        <v>0.31578947368421051</v>
      </c>
      <c r="AN219" s="4">
        <f t="shared" si="31"/>
        <v>4.7828772992686183E-4</v>
      </c>
      <c r="AO219" s="3"/>
      <c r="AP219">
        <v>0</v>
      </c>
      <c r="AR219" t="s">
        <v>0</v>
      </c>
      <c r="AT219" s="2">
        <v>1.667</v>
      </c>
      <c r="AU219" s="1">
        <f t="shared" si="27"/>
        <v>0.84027426121896664</v>
      </c>
      <c r="AV219" s="1">
        <f t="shared" si="28"/>
        <v>0.61386126458288648</v>
      </c>
      <c r="AW219" s="1">
        <f t="shared" si="29"/>
        <v>0.38744826794680631</v>
      </c>
    </row>
    <row r="220" spans="1:49" x14ac:dyDescent="0.2">
      <c r="A220">
        <v>218</v>
      </c>
      <c r="B220" t="s">
        <v>4981</v>
      </c>
      <c r="C220" t="s">
        <v>4980</v>
      </c>
      <c r="F220" t="s">
        <v>4979</v>
      </c>
      <c r="G220" t="s">
        <v>13</v>
      </c>
      <c r="H220" t="s">
        <v>12</v>
      </c>
      <c r="I220" t="s">
        <v>646</v>
      </c>
      <c r="J220">
        <v>60030526</v>
      </c>
      <c r="K220" t="s">
        <v>645</v>
      </c>
      <c r="L220" t="s">
        <v>644</v>
      </c>
      <c r="M220" t="s">
        <v>643</v>
      </c>
      <c r="N220">
        <v>3</v>
      </c>
      <c r="O220" t="s">
        <v>4978</v>
      </c>
      <c r="P220" t="s">
        <v>4977</v>
      </c>
      <c r="Q220" t="s">
        <v>640</v>
      </c>
      <c r="R220" s="7">
        <v>30682</v>
      </c>
      <c r="S220" s="8">
        <f t="shared" si="24"/>
        <v>1984</v>
      </c>
      <c r="T220" s="8">
        <v>1984</v>
      </c>
      <c r="U220" s="8">
        <f t="shared" si="25"/>
        <v>38</v>
      </c>
      <c r="V220" s="7" t="s">
        <v>4897</v>
      </c>
      <c r="W220" s="11" t="s">
        <v>1146</v>
      </c>
      <c r="X220" s="2">
        <v>2.383</v>
      </c>
      <c r="Y220" s="6">
        <f t="shared" si="30"/>
        <v>6.3612824003630442E-2</v>
      </c>
      <c r="AA220">
        <v>1437097</v>
      </c>
      <c r="AB220">
        <v>101236</v>
      </c>
      <c r="AD220" t="s">
        <v>4</v>
      </c>
      <c r="AE220">
        <v>131</v>
      </c>
      <c r="AF220" t="s">
        <v>4896</v>
      </c>
      <c r="AH220" t="s">
        <v>4976</v>
      </c>
      <c r="AI220" t="s">
        <v>4975</v>
      </c>
      <c r="AK220" t="s">
        <v>4974</v>
      </c>
      <c r="AL220">
        <v>6</v>
      </c>
      <c r="AM220" s="5">
        <f t="shared" si="26"/>
        <v>0.15789473684210525</v>
      </c>
      <c r="AN220" s="4">
        <f t="shared" si="31"/>
        <v>2.3914386496343091E-4</v>
      </c>
      <c r="AO220" s="3"/>
      <c r="AP220">
        <v>0</v>
      </c>
      <c r="AR220" t="s">
        <v>0</v>
      </c>
      <c r="AT220" s="2" t="s">
        <v>45</v>
      </c>
      <c r="AU220" s="1">
        <f t="shared" si="27"/>
        <v>4.460071996203034</v>
      </c>
      <c r="AV220" s="1">
        <f t="shared" si="28"/>
        <v>3.1925983934296935</v>
      </c>
      <c r="AW220" s="1">
        <f t="shared" si="29"/>
        <v>1.9251247906563536</v>
      </c>
    </row>
    <row r="221" spans="1:49" x14ac:dyDescent="0.2">
      <c r="A221">
        <v>219</v>
      </c>
      <c r="B221" t="s">
        <v>4973</v>
      </c>
      <c r="C221" t="s">
        <v>4972</v>
      </c>
      <c r="F221" t="s">
        <v>4971</v>
      </c>
      <c r="G221" t="s">
        <v>13</v>
      </c>
      <c r="H221" t="s">
        <v>12</v>
      </c>
      <c r="I221" t="s">
        <v>4970</v>
      </c>
      <c r="J221">
        <v>60025209</v>
      </c>
      <c r="K221" t="s">
        <v>2863</v>
      </c>
      <c r="L221" t="s">
        <v>1965</v>
      </c>
      <c r="M221" t="s">
        <v>56</v>
      </c>
      <c r="N221">
        <v>1</v>
      </c>
      <c r="O221" t="s">
        <v>4969</v>
      </c>
      <c r="P221">
        <v>57214299525</v>
      </c>
      <c r="Q221">
        <v>60025209</v>
      </c>
      <c r="R221" s="7">
        <v>30682</v>
      </c>
      <c r="S221" s="8">
        <f t="shared" si="24"/>
        <v>1984</v>
      </c>
      <c r="T221" s="8">
        <v>1984</v>
      </c>
      <c r="U221" s="8">
        <f t="shared" si="25"/>
        <v>38</v>
      </c>
      <c r="V221" s="7">
        <v>31017</v>
      </c>
      <c r="W221" t="s">
        <v>380</v>
      </c>
      <c r="X221" s="2">
        <v>1.6519999999999999</v>
      </c>
      <c r="Y221" s="6">
        <f t="shared" si="30"/>
        <v>4.409919649769093E-2</v>
      </c>
      <c r="AA221" t="s">
        <v>379</v>
      </c>
      <c r="AB221">
        <v>17337</v>
      </c>
      <c r="AC221">
        <v>15582221</v>
      </c>
      <c r="AD221" t="s">
        <v>4</v>
      </c>
      <c r="AE221">
        <v>32</v>
      </c>
      <c r="AF221">
        <v>12</v>
      </c>
      <c r="AH221" t="s">
        <v>4968</v>
      </c>
      <c r="AI221" t="s">
        <v>4967</v>
      </c>
      <c r="AK221" t="s">
        <v>4966</v>
      </c>
      <c r="AL221">
        <v>7</v>
      </c>
      <c r="AM221" s="5">
        <f t="shared" si="26"/>
        <v>0.18421052631578946</v>
      </c>
      <c r="AN221" s="4">
        <f t="shared" si="31"/>
        <v>2.7900117579066937E-4</v>
      </c>
      <c r="AO221" s="3"/>
      <c r="AP221">
        <v>0</v>
      </c>
      <c r="AR221" t="s">
        <v>0</v>
      </c>
      <c r="AT221" s="2" t="s">
        <v>45</v>
      </c>
      <c r="AU221" s="1">
        <f t="shared" si="27"/>
        <v>3.0953137901120851</v>
      </c>
      <c r="AV221" s="1">
        <f t="shared" si="28"/>
        <v>2.2189098836740797</v>
      </c>
      <c r="AW221" s="1">
        <f t="shared" si="29"/>
        <v>1.3425059772360746</v>
      </c>
    </row>
    <row r="222" spans="1:49" x14ac:dyDescent="0.2">
      <c r="A222">
        <v>220</v>
      </c>
      <c r="B222" t="s">
        <v>4965</v>
      </c>
      <c r="C222" t="s">
        <v>4964</v>
      </c>
      <c r="F222" t="s">
        <v>4963</v>
      </c>
      <c r="G222" t="s">
        <v>13</v>
      </c>
      <c r="H222" t="s">
        <v>12</v>
      </c>
      <c r="I222" t="s">
        <v>4962</v>
      </c>
      <c r="J222">
        <v>60000874</v>
      </c>
      <c r="K222" t="s">
        <v>4961</v>
      </c>
      <c r="L222" t="s">
        <v>4960</v>
      </c>
      <c r="M222" t="s">
        <v>4959</v>
      </c>
      <c r="N222">
        <v>2</v>
      </c>
      <c r="O222" t="s">
        <v>4958</v>
      </c>
      <c r="P222" t="s">
        <v>4957</v>
      </c>
      <c r="Q222" t="s">
        <v>4956</v>
      </c>
      <c r="R222" s="7">
        <v>30682</v>
      </c>
      <c r="S222" s="8">
        <f t="shared" si="24"/>
        <v>1984</v>
      </c>
      <c r="T222" s="8">
        <v>1984</v>
      </c>
      <c r="U222" s="8">
        <f t="shared" si="25"/>
        <v>38</v>
      </c>
      <c r="V222" s="7" t="s">
        <v>4897</v>
      </c>
      <c r="W222" s="11" t="s">
        <v>1146</v>
      </c>
      <c r="X222" s="2">
        <v>2.383</v>
      </c>
      <c r="Y222" s="6">
        <f t="shared" si="30"/>
        <v>6.3612824003630442E-2</v>
      </c>
      <c r="AA222">
        <v>1437097</v>
      </c>
      <c r="AB222">
        <v>101236</v>
      </c>
      <c r="AD222" t="s">
        <v>4</v>
      </c>
      <c r="AE222">
        <v>131</v>
      </c>
      <c r="AF222" t="s">
        <v>4896</v>
      </c>
      <c r="AH222" t="s">
        <v>4955</v>
      </c>
      <c r="AI222" t="s">
        <v>4954</v>
      </c>
      <c r="AK222" t="s">
        <v>4953</v>
      </c>
      <c r="AL222">
        <v>152</v>
      </c>
      <c r="AM222" s="5">
        <f t="shared" si="26"/>
        <v>4</v>
      </c>
      <c r="AN222" s="4">
        <f t="shared" si="31"/>
        <v>6.0583112457402496E-3</v>
      </c>
      <c r="AO222" s="3"/>
      <c r="AP222">
        <v>0</v>
      </c>
      <c r="AR222" t="s">
        <v>0</v>
      </c>
      <c r="AT222" s="2" t="s">
        <v>45</v>
      </c>
      <c r="AU222" s="1">
        <f t="shared" si="27"/>
        <v>4.6346470176263388</v>
      </c>
      <c r="AV222" s="1">
        <f t="shared" si="28"/>
        <v>3.4835567624685342</v>
      </c>
      <c r="AW222" s="1">
        <f t="shared" si="29"/>
        <v>2.3324665073107305</v>
      </c>
    </row>
    <row r="223" spans="1:49" x14ac:dyDescent="0.2">
      <c r="A223">
        <v>221</v>
      </c>
      <c r="B223" t="s">
        <v>4952</v>
      </c>
      <c r="C223" t="s">
        <v>4951</v>
      </c>
      <c r="F223" t="s">
        <v>4950</v>
      </c>
      <c r="G223" t="s">
        <v>13</v>
      </c>
      <c r="H223" t="s">
        <v>12</v>
      </c>
      <c r="I223" t="s">
        <v>4949</v>
      </c>
      <c r="J223">
        <v>60003500</v>
      </c>
      <c r="K223" t="s">
        <v>4019</v>
      </c>
      <c r="L223" t="s">
        <v>4018</v>
      </c>
      <c r="M223" t="s">
        <v>56</v>
      </c>
      <c r="N223">
        <v>1</v>
      </c>
      <c r="O223" t="s">
        <v>4948</v>
      </c>
      <c r="P223">
        <v>7202816808</v>
      </c>
      <c r="Q223">
        <v>60003500</v>
      </c>
      <c r="R223" s="7">
        <v>30682</v>
      </c>
      <c r="S223" s="8">
        <f t="shared" si="24"/>
        <v>1984</v>
      </c>
      <c r="T223" s="8">
        <v>1984</v>
      </c>
      <c r="U223" s="8">
        <f t="shared" si="25"/>
        <v>38</v>
      </c>
      <c r="V223" s="7">
        <v>31017</v>
      </c>
      <c r="W223" t="s">
        <v>380</v>
      </c>
      <c r="X223" s="2">
        <v>1.6519999999999999</v>
      </c>
      <c r="Y223" s="6">
        <f t="shared" si="30"/>
        <v>4.409919649769093E-2</v>
      </c>
      <c r="AA223" t="s">
        <v>379</v>
      </c>
      <c r="AB223">
        <v>17337</v>
      </c>
      <c r="AC223">
        <v>15582221</v>
      </c>
      <c r="AD223" t="s">
        <v>4</v>
      </c>
      <c r="AE223">
        <v>32</v>
      </c>
      <c r="AF223">
        <v>12</v>
      </c>
      <c r="AH223" t="s">
        <v>4947</v>
      </c>
      <c r="AI223" t="s">
        <v>4946</v>
      </c>
      <c r="AK223" t="s">
        <v>4945</v>
      </c>
      <c r="AL223">
        <v>34</v>
      </c>
      <c r="AM223" s="5">
        <f t="shared" si="26"/>
        <v>0.89473684210526316</v>
      </c>
      <c r="AN223" s="4">
        <f t="shared" si="31"/>
        <v>1.3551485681261085E-3</v>
      </c>
      <c r="AO223" s="3"/>
      <c r="AP223">
        <v>0</v>
      </c>
      <c r="AR223" t="s">
        <v>0</v>
      </c>
      <c r="AT223" s="2" t="s">
        <v>45</v>
      </c>
      <c r="AU223" s="1">
        <f t="shared" si="27"/>
        <v>3.1275982118821481</v>
      </c>
      <c r="AV223" s="1">
        <f t="shared" si="28"/>
        <v>2.2727172532908519</v>
      </c>
      <c r="AW223" s="1">
        <f t="shared" si="29"/>
        <v>1.4178362946995555</v>
      </c>
    </row>
    <row r="224" spans="1:49" x14ac:dyDescent="0.2">
      <c r="A224">
        <v>222</v>
      </c>
      <c r="B224" t="s">
        <v>4944</v>
      </c>
      <c r="C224" t="s">
        <v>4943</v>
      </c>
      <c r="F224" t="s">
        <v>4942</v>
      </c>
      <c r="G224" t="s">
        <v>13</v>
      </c>
      <c r="H224" t="s">
        <v>12</v>
      </c>
      <c r="I224" t="s">
        <v>4941</v>
      </c>
      <c r="J224">
        <v>60032587</v>
      </c>
      <c r="K224" t="s">
        <v>4940</v>
      </c>
      <c r="L224" t="s">
        <v>4939</v>
      </c>
      <c r="M224" t="s">
        <v>2549</v>
      </c>
      <c r="N224">
        <v>1</v>
      </c>
      <c r="O224" t="s">
        <v>4938</v>
      </c>
      <c r="P224">
        <v>6701788189</v>
      </c>
      <c r="Q224">
        <v>60032587</v>
      </c>
      <c r="R224" s="7">
        <v>30682</v>
      </c>
      <c r="S224" s="8">
        <f t="shared" si="24"/>
        <v>1984</v>
      </c>
      <c r="T224" s="8">
        <v>1984</v>
      </c>
      <c r="U224" s="8">
        <f t="shared" si="25"/>
        <v>38</v>
      </c>
      <c r="V224" s="7" t="s">
        <v>4897</v>
      </c>
      <c r="W224" s="11" t="s">
        <v>1146</v>
      </c>
      <c r="X224" s="2">
        <v>2.383</v>
      </c>
      <c r="Y224" s="6">
        <f t="shared" si="30"/>
        <v>6.3612824003630442E-2</v>
      </c>
      <c r="AA224">
        <v>1437097</v>
      </c>
      <c r="AB224">
        <v>101236</v>
      </c>
      <c r="AD224" t="s">
        <v>4</v>
      </c>
      <c r="AE224">
        <v>131</v>
      </c>
      <c r="AF224" t="s">
        <v>4896</v>
      </c>
      <c r="AH224" t="s">
        <v>4937</v>
      </c>
      <c r="AI224" t="s">
        <v>4936</v>
      </c>
      <c r="AK224" t="s">
        <v>4935</v>
      </c>
      <c r="AL224">
        <v>9</v>
      </c>
      <c r="AM224" s="5">
        <f t="shared" si="26"/>
        <v>0.23684210526315788</v>
      </c>
      <c r="AN224" s="4">
        <f t="shared" si="31"/>
        <v>3.5871579744514633E-4</v>
      </c>
      <c r="AO224" s="3"/>
      <c r="AP224">
        <v>0</v>
      </c>
      <c r="AR224" t="s">
        <v>0</v>
      </c>
      <c r="AT224" s="2" t="s">
        <v>45</v>
      </c>
      <c r="AU224" s="1">
        <f t="shared" si="27"/>
        <v>4.4636591541774848</v>
      </c>
      <c r="AV224" s="1">
        <f t="shared" si="28"/>
        <v>3.1985769900537795</v>
      </c>
      <c r="AW224" s="1">
        <f t="shared" si="29"/>
        <v>1.9334948259300735</v>
      </c>
    </row>
    <row r="225" spans="1:49" x14ac:dyDescent="0.2">
      <c r="A225">
        <v>223</v>
      </c>
      <c r="B225" t="s">
        <v>4934</v>
      </c>
      <c r="C225" t="s">
        <v>4933</v>
      </c>
      <c r="F225" t="s">
        <v>4932</v>
      </c>
      <c r="G225" t="s">
        <v>13</v>
      </c>
      <c r="H225" t="s">
        <v>12</v>
      </c>
      <c r="I225" t="s">
        <v>4931</v>
      </c>
      <c r="J225">
        <v>60022148</v>
      </c>
      <c r="K225" t="s">
        <v>4901</v>
      </c>
      <c r="L225" t="s">
        <v>245</v>
      </c>
      <c r="M225" t="s">
        <v>167</v>
      </c>
      <c r="N225">
        <v>3</v>
      </c>
      <c r="O225" t="s">
        <v>4930</v>
      </c>
      <c r="P225" t="s">
        <v>4929</v>
      </c>
      <c r="Q225" t="s">
        <v>4928</v>
      </c>
      <c r="R225" s="7">
        <v>30682</v>
      </c>
      <c r="S225" s="8">
        <f t="shared" si="24"/>
        <v>1984</v>
      </c>
      <c r="T225" s="8">
        <v>1984</v>
      </c>
      <c r="U225" s="8">
        <f t="shared" si="25"/>
        <v>38</v>
      </c>
      <c r="V225" s="7" t="s">
        <v>4897</v>
      </c>
      <c r="W225" s="11" t="s">
        <v>1146</v>
      </c>
      <c r="X225" s="2">
        <v>2.383</v>
      </c>
      <c r="Y225" s="6">
        <f t="shared" si="30"/>
        <v>6.3612824003630442E-2</v>
      </c>
      <c r="AA225">
        <v>1437097</v>
      </c>
      <c r="AB225">
        <v>101236</v>
      </c>
      <c r="AD225" t="s">
        <v>4</v>
      </c>
      <c r="AE225">
        <v>131</v>
      </c>
      <c r="AF225" t="s">
        <v>4896</v>
      </c>
      <c r="AH225" t="s">
        <v>4927</v>
      </c>
      <c r="AI225" t="s">
        <v>4926</v>
      </c>
      <c r="AK225" t="s">
        <v>4925</v>
      </c>
      <c r="AL225">
        <v>1</v>
      </c>
      <c r="AM225" s="5">
        <f t="shared" si="26"/>
        <v>2.6315789473684209E-2</v>
      </c>
      <c r="AN225" s="4">
        <f t="shared" si="31"/>
        <v>3.9857310827238481E-5</v>
      </c>
      <c r="AO225" s="3"/>
      <c r="AP225">
        <v>0</v>
      </c>
      <c r="AR225" t="s">
        <v>0</v>
      </c>
      <c r="AT225" s="2" t="s">
        <v>45</v>
      </c>
      <c r="AU225" s="1">
        <f t="shared" si="27"/>
        <v>4.454093399578948</v>
      </c>
      <c r="AV225" s="1">
        <f t="shared" si="28"/>
        <v>3.1826340657228842</v>
      </c>
      <c r="AW225" s="1">
        <f t="shared" si="29"/>
        <v>1.9111747318668197</v>
      </c>
    </row>
    <row r="226" spans="1:49" x14ac:dyDescent="0.2">
      <c r="A226">
        <v>224</v>
      </c>
      <c r="B226" t="s">
        <v>4924</v>
      </c>
      <c r="C226" t="s">
        <v>4923</v>
      </c>
      <c r="F226" t="s">
        <v>4922</v>
      </c>
      <c r="G226" t="s">
        <v>13</v>
      </c>
      <c r="H226" t="s">
        <v>12</v>
      </c>
      <c r="I226" t="s">
        <v>4921</v>
      </c>
      <c r="J226">
        <v>60000305</v>
      </c>
      <c r="K226" t="s">
        <v>1248</v>
      </c>
      <c r="L226" t="s">
        <v>1247</v>
      </c>
      <c r="M226" t="s">
        <v>56</v>
      </c>
      <c r="N226">
        <v>2</v>
      </c>
      <c r="O226" t="s">
        <v>4920</v>
      </c>
      <c r="P226" t="s">
        <v>4919</v>
      </c>
      <c r="Q226" t="s">
        <v>4918</v>
      </c>
      <c r="R226" s="7">
        <v>30682</v>
      </c>
      <c r="S226" s="8">
        <f t="shared" si="24"/>
        <v>1984</v>
      </c>
      <c r="T226" s="8">
        <v>1984</v>
      </c>
      <c r="U226" s="8">
        <f t="shared" si="25"/>
        <v>38</v>
      </c>
      <c r="V226" s="7" t="s">
        <v>4897</v>
      </c>
      <c r="W226" s="11" t="s">
        <v>1146</v>
      </c>
      <c r="X226" s="2">
        <v>2.383</v>
      </c>
      <c r="Y226" s="6">
        <f t="shared" si="30"/>
        <v>6.3612824003630442E-2</v>
      </c>
      <c r="AA226">
        <v>1437097</v>
      </c>
      <c r="AB226">
        <v>101236</v>
      </c>
      <c r="AD226" t="s">
        <v>4</v>
      </c>
      <c r="AE226">
        <v>131</v>
      </c>
      <c r="AF226" t="s">
        <v>4896</v>
      </c>
      <c r="AH226" t="s">
        <v>4917</v>
      </c>
      <c r="AI226" t="s">
        <v>4916</v>
      </c>
      <c r="AK226" t="s">
        <v>4915</v>
      </c>
      <c r="AL226">
        <v>10</v>
      </c>
      <c r="AM226" s="5">
        <f t="shared" si="26"/>
        <v>0.26315789473684209</v>
      </c>
      <c r="AN226" s="4">
        <f t="shared" si="31"/>
        <v>3.9857310827238487E-4</v>
      </c>
      <c r="AO226" s="3"/>
      <c r="AP226">
        <v>0</v>
      </c>
      <c r="AR226" t="s">
        <v>0</v>
      </c>
      <c r="AT226" s="2" t="s">
        <v>45</v>
      </c>
      <c r="AU226" s="1">
        <f t="shared" si="27"/>
        <v>4.4648548735023024</v>
      </c>
      <c r="AV226" s="1">
        <f t="shared" si="28"/>
        <v>3.2005698555951416</v>
      </c>
      <c r="AW226" s="1">
        <f t="shared" si="29"/>
        <v>1.93628483768798</v>
      </c>
    </row>
    <row r="227" spans="1:49" x14ac:dyDescent="0.2">
      <c r="A227">
        <v>225</v>
      </c>
      <c r="B227" t="s">
        <v>4914</v>
      </c>
      <c r="C227" t="s">
        <v>4913</v>
      </c>
      <c r="F227" t="s">
        <v>4912</v>
      </c>
      <c r="G227" t="s">
        <v>13</v>
      </c>
      <c r="H227" t="s">
        <v>12</v>
      </c>
      <c r="I227" t="s">
        <v>4911</v>
      </c>
      <c r="J227">
        <v>60011688</v>
      </c>
      <c r="K227" t="s">
        <v>4910</v>
      </c>
      <c r="L227" t="s">
        <v>1792</v>
      </c>
      <c r="M227" t="s">
        <v>56</v>
      </c>
      <c r="N227">
        <v>1</v>
      </c>
      <c r="O227" t="s">
        <v>4909</v>
      </c>
      <c r="P227">
        <v>7003568836</v>
      </c>
      <c r="Q227">
        <v>60011688</v>
      </c>
      <c r="R227" s="7">
        <v>30682</v>
      </c>
      <c r="S227" s="8">
        <f t="shared" si="24"/>
        <v>1984</v>
      </c>
      <c r="T227" s="8">
        <v>1984</v>
      </c>
      <c r="U227" s="8">
        <f t="shared" si="25"/>
        <v>38</v>
      </c>
      <c r="V227" s="7">
        <v>31017</v>
      </c>
      <c r="W227" t="s">
        <v>380</v>
      </c>
      <c r="X227" s="2">
        <v>1.6519999999999999</v>
      </c>
      <c r="Y227" s="6">
        <f t="shared" si="30"/>
        <v>4.409919649769093E-2</v>
      </c>
      <c r="AA227" t="s">
        <v>379</v>
      </c>
      <c r="AB227">
        <v>17337</v>
      </c>
      <c r="AC227">
        <v>15582221</v>
      </c>
      <c r="AD227" t="s">
        <v>4</v>
      </c>
      <c r="AE227">
        <v>32</v>
      </c>
      <c r="AF227">
        <v>12</v>
      </c>
      <c r="AH227" t="s">
        <v>4908</v>
      </c>
      <c r="AI227" t="s">
        <v>4907</v>
      </c>
      <c r="AK227" t="s">
        <v>4906</v>
      </c>
      <c r="AL227">
        <v>1</v>
      </c>
      <c r="AM227" s="5">
        <f t="shared" si="26"/>
        <v>2.6315789473684209E-2</v>
      </c>
      <c r="AN227" s="4">
        <f t="shared" si="31"/>
        <v>3.9857310827238481E-5</v>
      </c>
      <c r="AO227" s="3"/>
      <c r="AP227">
        <v>0</v>
      </c>
      <c r="AR227" t="s">
        <v>0</v>
      </c>
      <c r="AT227" s="2" t="s">
        <v>45</v>
      </c>
      <c r="AU227" s="1">
        <f t="shared" si="27"/>
        <v>3.088139474163182</v>
      </c>
      <c r="AV227" s="1">
        <f t="shared" si="28"/>
        <v>2.2069526904259082</v>
      </c>
      <c r="AW227" s="1">
        <f t="shared" si="29"/>
        <v>1.3257659066886345</v>
      </c>
    </row>
    <row r="228" spans="1:49" x14ac:dyDescent="0.2">
      <c r="A228">
        <v>226</v>
      </c>
      <c r="B228" t="s">
        <v>4905</v>
      </c>
      <c r="C228" t="s">
        <v>4904</v>
      </c>
      <c r="F228" t="s">
        <v>4903</v>
      </c>
      <c r="G228" t="s">
        <v>13</v>
      </c>
      <c r="H228" t="s">
        <v>12</v>
      </c>
      <c r="I228" t="s">
        <v>4902</v>
      </c>
      <c r="J228">
        <v>60022148</v>
      </c>
      <c r="K228" t="s">
        <v>4901</v>
      </c>
      <c r="L228" t="s">
        <v>245</v>
      </c>
      <c r="M228" t="s">
        <v>167</v>
      </c>
      <c r="N228">
        <v>2</v>
      </c>
      <c r="O228" t="s">
        <v>4900</v>
      </c>
      <c r="P228" t="s">
        <v>4899</v>
      </c>
      <c r="Q228" t="s">
        <v>4898</v>
      </c>
      <c r="R228" s="7">
        <v>30682</v>
      </c>
      <c r="S228" s="8">
        <f t="shared" si="24"/>
        <v>1984</v>
      </c>
      <c r="T228" s="8">
        <v>1984</v>
      </c>
      <c r="U228" s="8">
        <f t="shared" si="25"/>
        <v>38</v>
      </c>
      <c r="V228" s="7" t="s">
        <v>4897</v>
      </c>
      <c r="W228" s="11" t="s">
        <v>1146</v>
      </c>
      <c r="X228" s="2">
        <v>2.383</v>
      </c>
      <c r="Y228" s="6">
        <f t="shared" si="30"/>
        <v>6.3612824003630442E-2</v>
      </c>
      <c r="AA228">
        <v>1437097</v>
      </c>
      <c r="AB228">
        <v>101236</v>
      </c>
      <c r="AD228" t="s">
        <v>4</v>
      </c>
      <c r="AE228">
        <v>131</v>
      </c>
      <c r="AF228" t="s">
        <v>4896</v>
      </c>
      <c r="AH228" t="s">
        <v>4895</v>
      </c>
      <c r="AI228" t="s">
        <v>4894</v>
      </c>
      <c r="AK228" t="s">
        <v>4893</v>
      </c>
      <c r="AL228">
        <v>0</v>
      </c>
      <c r="AM228" s="5">
        <f t="shared" si="26"/>
        <v>0</v>
      </c>
      <c r="AN228" s="4">
        <f t="shared" si="31"/>
        <v>0</v>
      </c>
      <c r="AO228" s="3"/>
      <c r="AP228">
        <v>0</v>
      </c>
      <c r="AR228" t="s">
        <v>0</v>
      </c>
      <c r="AT228" s="2" t="s">
        <v>45</v>
      </c>
      <c r="AU228" s="1">
        <f t="shared" si="27"/>
        <v>4.4528976802541305</v>
      </c>
      <c r="AV228" s="1">
        <f t="shared" si="28"/>
        <v>3.1806412001815221</v>
      </c>
      <c r="AW228" s="1">
        <f t="shared" si="29"/>
        <v>1.9083847201089132</v>
      </c>
    </row>
    <row r="229" spans="1:49" x14ac:dyDescent="0.2">
      <c r="A229">
        <v>227</v>
      </c>
      <c r="B229" t="s">
        <v>4892</v>
      </c>
      <c r="C229" t="s">
        <v>4891</v>
      </c>
      <c r="F229" t="s">
        <v>4890</v>
      </c>
      <c r="G229" t="s">
        <v>13</v>
      </c>
      <c r="H229" t="s">
        <v>12</v>
      </c>
      <c r="I229" t="s">
        <v>4889</v>
      </c>
      <c r="N229">
        <v>1</v>
      </c>
      <c r="O229" t="s">
        <v>4888</v>
      </c>
      <c r="P229">
        <v>55416197300</v>
      </c>
      <c r="R229" s="7">
        <v>30682</v>
      </c>
      <c r="S229" s="8">
        <f t="shared" si="24"/>
        <v>1984</v>
      </c>
      <c r="T229" s="8">
        <v>1984</v>
      </c>
      <c r="U229" s="8">
        <f t="shared" si="25"/>
        <v>38</v>
      </c>
      <c r="V229" s="7">
        <v>30742</v>
      </c>
      <c r="W229" t="s">
        <v>4887</v>
      </c>
      <c r="X229" s="2" t="s">
        <v>45</v>
      </c>
      <c r="Y229" s="6" t="e">
        <f t="shared" si="30"/>
        <v>#VALUE!</v>
      </c>
      <c r="AA229">
        <v>10693629</v>
      </c>
      <c r="AB229">
        <v>29462</v>
      </c>
      <c r="AC229">
        <v>17456592</v>
      </c>
      <c r="AD229" t="s">
        <v>4</v>
      </c>
      <c r="AE229">
        <v>4</v>
      </c>
      <c r="AF229">
        <v>1</v>
      </c>
      <c r="AH229" t="s">
        <v>4886</v>
      </c>
      <c r="AI229" t="s">
        <v>4885</v>
      </c>
      <c r="AK229" t="s">
        <v>4884</v>
      </c>
      <c r="AL229">
        <v>1</v>
      </c>
      <c r="AM229" s="5">
        <f t="shared" si="26"/>
        <v>2.6315789473684209E-2</v>
      </c>
      <c r="AN229" s="4">
        <f t="shared" si="31"/>
        <v>3.9857310827238481E-5</v>
      </c>
      <c r="AO229" s="3"/>
      <c r="AP229">
        <v>0</v>
      </c>
      <c r="AR229" t="s">
        <v>0</v>
      </c>
      <c r="AT229" s="2" t="s">
        <v>45</v>
      </c>
      <c r="AU229" s="1" t="e">
        <f t="shared" si="27"/>
        <v>#VALUE!</v>
      </c>
      <c r="AV229" s="1" t="e">
        <f t="shared" si="28"/>
        <v>#VALUE!</v>
      </c>
      <c r="AW229" s="1" t="e">
        <f t="shared" si="29"/>
        <v>#VALUE!</v>
      </c>
    </row>
    <row r="230" spans="1:49" x14ac:dyDescent="0.2">
      <c r="A230">
        <v>228</v>
      </c>
      <c r="B230" t="s">
        <v>4883</v>
      </c>
      <c r="C230" t="s">
        <v>4882</v>
      </c>
      <c r="F230" t="s">
        <v>4881</v>
      </c>
      <c r="G230" t="s">
        <v>13</v>
      </c>
      <c r="H230" t="s">
        <v>12</v>
      </c>
      <c r="I230" t="s">
        <v>1477</v>
      </c>
      <c r="J230">
        <v>60025141</v>
      </c>
      <c r="K230" t="s">
        <v>1476</v>
      </c>
      <c r="L230" t="s">
        <v>644</v>
      </c>
      <c r="M230" t="s">
        <v>643</v>
      </c>
      <c r="N230">
        <v>1</v>
      </c>
      <c r="O230" t="s">
        <v>1475</v>
      </c>
      <c r="P230">
        <v>14320555700</v>
      </c>
      <c r="Q230">
        <v>60025141</v>
      </c>
      <c r="R230" s="7">
        <v>30682</v>
      </c>
      <c r="S230" s="8">
        <f t="shared" si="24"/>
        <v>1984</v>
      </c>
      <c r="T230" s="8">
        <v>1984</v>
      </c>
      <c r="U230" s="8">
        <f t="shared" si="25"/>
        <v>38</v>
      </c>
      <c r="V230" s="7">
        <v>31017</v>
      </c>
      <c r="W230" t="s">
        <v>1474</v>
      </c>
      <c r="X230" s="2">
        <v>0.82</v>
      </c>
      <c r="Y230" s="6">
        <f t="shared" si="30"/>
        <v>2.1889431675609299E-2</v>
      </c>
      <c r="AA230">
        <v>189456</v>
      </c>
      <c r="AB230">
        <v>15361</v>
      </c>
      <c r="AC230">
        <v>15579662</v>
      </c>
      <c r="AD230" t="s">
        <v>4</v>
      </c>
      <c r="AE230">
        <v>33</v>
      </c>
      <c r="AF230">
        <v>4</v>
      </c>
      <c r="AH230" t="s">
        <v>4880</v>
      </c>
      <c r="AI230" t="s">
        <v>4879</v>
      </c>
      <c r="AK230" t="s">
        <v>4878</v>
      </c>
      <c r="AL230">
        <v>0</v>
      </c>
      <c r="AM230" s="5">
        <f t="shared" si="26"/>
        <v>0</v>
      </c>
      <c r="AN230" s="4">
        <f t="shared" si="31"/>
        <v>0</v>
      </c>
      <c r="AO230" s="3"/>
      <c r="AP230">
        <v>0</v>
      </c>
      <c r="AR230" t="s">
        <v>0</v>
      </c>
      <c r="AT230" s="2" t="s">
        <v>45</v>
      </c>
      <c r="AU230" s="1">
        <f t="shared" si="27"/>
        <v>1.5322602172926507</v>
      </c>
      <c r="AV230" s="1">
        <f t="shared" si="28"/>
        <v>1.0944715837804648</v>
      </c>
      <c r="AW230" s="1">
        <f t="shared" si="29"/>
        <v>0.65668295026827894</v>
      </c>
    </row>
    <row r="231" spans="1:49" x14ac:dyDescent="0.2">
      <c r="A231">
        <v>229</v>
      </c>
      <c r="B231" t="s">
        <v>4877</v>
      </c>
      <c r="C231" t="s">
        <v>4876</v>
      </c>
      <c r="F231" t="s">
        <v>4875</v>
      </c>
      <c r="G231" t="s">
        <v>13</v>
      </c>
      <c r="H231" t="s">
        <v>12</v>
      </c>
      <c r="I231" t="s">
        <v>4874</v>
      </c>
      <c r="J231">
        <v>60027844</v>
      </c>
      <c r="K231" t="s">
        <v>4873</v>
      </c>
      <c r="L231" t="s">
        <v>4872</v>
      </c>
      <c r="M231" t="s">
        <v>4871</v>
      </c>
      <c r="N231">
        <v>3</v>
      </c>
      <c r="O231" t="s">
        <v>4870</v>
      </c>
      <c r="P231" t="s">
        <v>4869</v>
      </c>
      <c r="Q231" t="s">
        <v>4868</v>
      </c>
      <c r="R231" s="7">
        <v>30682</v>
      </c>
      <c r="S231" s="8">
        <f t="shared" si="24"/>
        <v>1984</v>
      </c>
      <c r="T231" s="8">
        <v>1984</v>
      </c>
      <c r="U231" s="8">
        <f t="shared" si="25"/>
        <v>38</v>
      </c>
      <c r="V231" s="7">
        <v>30987</v>
      </c>
      <c r="W231" t="s">
        <v>639</v>
      </c>
      <c r="X231" s="2">
        <v>0.251</v>
      </c>
      <c r="Y231" s="6">
        <f t="shared" si="30"/>
        <v>6.7003016470462617E-3</v>
      </c>
      <c r="AA231">
        <v>207217</v>
      </c>
      <c r="AB231">
        <v>26145</v>
      </c>
      <c r="AC231">
        <v>13623060</v>
      </c>
      <c r="AD231" t="s">
        <v>4</v>
      </c>
      <c r="AE231">
        <v>57</v>
      </c>
      <c r="AF231">
        <v>5</v>
      </c>
      <c r="AH231" t="s">
        <v>4867</v>
      </c>
      <c r="AI231" t="s">
        <v>4866</v>
      </c>
      <c r="AK231" t="s">
        <v>4865</v>
      </c>
      <c r="AL231">
        <v>8</v>
      </c>
      <c r="AM231" s="5">
        <f t="shared" si="26"/>
        <v>0.21052631578947367</v>
      </c>
      <c r="AN231" s="4">
        <f t="shared" si="31"/>
        <v>3.1885848661790785E-4</v>
      </c>
      <c r="AO231" s="3"/>
      <c r="AP231">
        <v>0</v>
      </c>
      <c r="AR231" t="s">
        <v>0</v>
      </c>
      <c r="AT231" s="2">
        <v>1.3360000000000001</v>
      </c>
      <c r="AU231" s="1">
        <f t="shared" si="27"/>
        <v>0.47858686989177546</v>
      </c>
      <c r="AV231" s="1">
        <f t="shared" si="28"/>
        <v>0.35095800668320848</v>
      </c>
      <c r="AW231" s="1">
        <f t="shared" si="29"/>
        <v>0.22332914347464139</v>
      </c>
    </row>
    <row r="232" spans="1:49" x14ac:dyDescent="0.2">
      <c r="A232">
        <v>230</v>
      </c>
      <c r="B232" t="s">
        <v>4864</v>
      </c>
      <c r="C232" t="s">
        <v>4863</v>
      </c>
      <c r="F232" t="s">
        <v>4862</v>
      </c>
      <c r="G232" t="s">
        <v>13</v>
      </c>
      <c r="H232" t="s">
        <v>12</v>
      </c>
      <c r="I232" t="s">
        <v>4861</v>
      </c>
      <c r="J232">
        <v>60004541</v>
      </c>
      <c r="K232" t="s">
        <v>4860</v>
      </c>
      <c r="L232" t="s">
        <v>1373</v>
      </c>
      <c r="M232" t="s">
        <v>56</v>
      </c>
      <c r="N232">
        <v>1</v>
      </c>
      <c r="O232" t="s">
        <v>4859</v>
      </c>
      <c r="P232">
        <v>7006602637</v>
      </c>
      <c r="Q232">
        <v>60004541</v>
      </c>
      <c r="R232" s="7">
        <v>30682</v>
      </c>
      <c r="S232" s="8">
        <f t="shared" si="24"/>
        <v>1984</v>
      </c>
      <c r="T232" s="8">
        <v>1984</v>
      </c>
      <c r="U232" s="8">
        <f t="shared" si="25"/>
        <v>38</v>
      </c>
      <c r="V232" s="7">
        <v>30987</v>
      </c>
      <c r="W232" t="s">
        <v>111</v>
      </c>
      <c r="X232" s="2">
        <v>2.383</v>
      </c>
      <c r="Y232" s="6">
        <f t="shared" si="30"/>
        <v>6.3612824003630442E-2</v>
      </c>
      <c r="AA232">
        <v>189219</v>
      </c>
      <c r="AB232">
        <v>17915</v>
      </c>
      <c r="AC232">
        <v>15582256</v>
      </c>
      <c r="AD232" t="s">
        <v>4</v>
      </c>
      <c r="AE232">
        <v>72</v>
      </c>
      <c r="AF232">
        <v>11</v>
      </c>
      <c r="AH232" t="s">
        <v>4858</v>
      </c>
      <c r="AI232" t="s">
        <v>4857</v>
      </c>
      <c r="AK232" t="s">
        <v>4856</v>
      </c>
      <c r="AL232">
        <v>4</v>
      </c>
      <c r="AM232" s="5">
        <f t="shared" si="26"/>
        <v>0.10526315789473684</v>
      </c>
      <c r="AN232" s="4">
        <f t="shared" si="31"/>
        <v>1.5942924330895392E-4</v>
      </c>
      <c r="AO232" s="3"/>
      <c r="AP232">
        <v>0</v>
      </c>
      <c r="AR232" t="s">
        <v>0</v>
      </c>
      <c r="AT232" s="2">
        <v>10.961</v>
      </c>
      <c r="AU232" s="1">
        <f t="shared" si="27"/>
        <v>4.4576805575533989</v>
      </c>
      <c r="AV232" s="1">
        <f t="shared" si="28"/>
        <v>3.1886126623469702</v>
      </c>
      <c r="AW232" s="1">
        <f t="shared" si="29"/>
        <v>1.9195447671405401</v>
      </c>
    </row>
    <row r="233" spans="1:49" x14ac:dyDescent="0.2">
      <c r="A233">
        <v>231</v>
      </c>
      <c r="B233" t="s">
        <v>4855</v>
      </c>
      <c r="C233" t="s">
        <v>4854</v>
      </c>
      <c r="F233" t="s">
        <v>4853</v>
      </c>
      <c r="G233" t="s">
        <v>13</v>
      </c>
      <c r="H233" t="s">
        <v>12</v>
      </c>
      <c r="I233" t="s">
        <v>4852</v>
      </c>
      <c r="J233" t="s">
        <v>4851</v>
      </c>
      <c r="K233" t="s">
        <v>4850</v>
      </c>
      <c r="L233" t="s">
        <v>4849</v>
      </c>
      <c r="M233" t="s">
        <v>206</v>
      </c>
      <c r="N233">
        <v>1</v>
      </c>
      <c r="O233" t="s">
        <v>4848</v>
      </c>
      <c r="P233">
        <v>6603932436</v>
      </c>
      <c r="Q233" t="s">
        <v>4847</v>
      </c>
      <c r="R233" s="7">
        <v>30682</v>
      </c>
      <c r="S233" s="8">
        <f t="shared" si="24"/>
        <v>1984</v>
      </c>
      <c r="T233" s="8">
        <v>1984</v>
      </c>
      <c r="U233" s="8">
        <f t="shared" si="25"/>
        <v>38</v>
      </c>
      <c r="V233" s="7">
        <v>30987</v>
      </c>
      <c r="W233" t="s">
        <v>111</v>
      </c>
      <c r="X233" s="2">
        <v>2.383</v>
      </c>
      <c r="Y233" s="6">
        <f t="shared" si="30"/>
        <v>6.3612824003630442E-2</v>
      </c>
      <c r="AA233">
        <v>189219</v>
      </c>
      <c r="AB233">
        <v>17915</v>
      </c>
      <c r="AC233">
        <v>15582256</v>
      </c>
      <c r="AD233" t="s">
        <v>4</v>
      </c>
      <c r="AE233">
        <v>72</v>
      </c>
      <c r="AF233">
        <v>11</v>
      </c>
      <c r="AH233" t="s">
        <v>4846</v>
      </c>
      <c r="AI233" t="s">
        <v>4845</v>
      </c>
      <c r="AK233" t="s">
        <v>4844</v>
      </c>
      <c r="AL233">
        <v>0</v>
      </c>
      <c r="AM233" s="5">
        <f t="shared" si="26"/>
        <v>0</v>
      </c>
      <c r="AN233" s="4">
        <f t="shared" si="31"/>
        <v>0</v>
      </c>
      <c r="AO233" s="3"/>
      <c r="AP233">
        <v>0</v>
      </c>
      <c r="AR233" t="s">
        <v>0</v>
      </c>
      <c r="AT233" s="2">
        <v>10.961</v>
      </c>
      <c r="AU233" s="1">
        <f t="shared" si="27"/>
        <v>4.4528976802541305</v>
      </c>
      <c r="AV233" s="1">
        <f t="shared" si="28"/>
        <v>3.1806412001815221</v>
      </c>
      <c r="AW233" s="1">
        <f t="shared" si="29"/>
        <v>1.9083847201089132</v>
      </c>
    </row>
    <row r="234" spans="1:49" x14ac:dyDescent="0.2">
      <c r="A234">
        <v>232</v>
      </c>
      <c r="B234" t="s">
        <v>4843</v>
      </c>
      <c r="C234" t="s">
        <v>4842</v>
      </c>
      <c r="F234" t="s">
        <v>4841</v>
      </c>
      <c r="G234" t="s">
        <v>13</v>
      </c>
      <c r="H234" t="s">
        <v>12</v>
      </c>
      <c r="I234" t="s">
        <v>4840</v>
      </c>
      <c r="J234">
        <v>60025555</v>
      </c>
      <c r="K234" t="s">
        <v>1317</v>
      </c>
      <c r="L234" t="s">
        <v>644</v>
      </c>
      <c r="M234" t="s">
        <v>643</v>
      </c>
      <c r="N234">
        <v>1</v>
      </c>
      <c r="O234" t="s">
        <v>4839</v>
      </c>
      <c r="P234">
        <v>7402347680</v>
      </c>
      <c r="Q234">
        <v>60025555</v>
      </c>
      <c r="R234" s="7">
        <v>30682</v>
      </c>
      <c r="S234" s="8">
        <f t="shared" si="24"/>
        <v>1984</v>
      </c>
      <c r="T234" s="8">
        <v>1984</v>
      </c>
      <c r="U234" s="8">
        <f t="shared" si="25"/>
        <v>38</v>
      </c>
      <c r="V234" s="7">
        <v>30987</v>
      </c>
      <c r="W234" t="s">
        <v>111</v>
      </c>
      <c r="X234" s="2">
        <v>2.383</v>
      </c>
      <c r="Y234" s="6">
        <f t="shared" si="30"/>
        <v>6.3612824003630442E-2</v>
      </c>
      <c r="AA234">
        <v>189219</v>
      </c>
      <c r="AB234">
        <v>17915</v>
      </c>
      <c r="AC234">
        <v>15582256</v>
      </c>
      <c r="AD234" t="s">
        <v>4</v>
      </c>
      <c r="AE234">
        <v>72</v>
      </c>
      <c r="AF234">
        <v>11</v>
      </c>
      <c r="AH234" t="s">
        <v>4838</v>
      </c>
      <c r="AI234" t="s">
        <v>4837</v>
      </c>
      <c r="AK234" t="s">
        <v>4836</v>
      </c>
      <c r="AL234">
        <v>4</v>
      </c>
      <c r="AM234" s="5">
        <f t="shared" si="26"/>
        <v>0.10526315789473684</v>
      </c>
      <c r="AN234" s="4">
        <f t="shared" si="31"/>
        <v>1.5942924330895392E-4</v>
      </c>
      <c r="AO234" s="3"/>
      <c r="AP234">
        <v>0</v>
      </c>
      <c r="AR234" t="s">
        <v>0</v>
      </c>
      <c r="AT234" s="2">
        <v>10.961</v>
      </c>
      <c r="AU234" s="1">
        <f t="shared" si="27"/>
        <v>4.4576805575533989</v>
      </c>
      <c r="AV234" s="1">
        <f t="shared" si="28"/>
        <v>3.1886126623469702</v>
      </c>
      <c r="AW234" s="1">
        <f t="shared" si="29"/>
        <v>1.9195447671405401</v>
      </c>
    </row>
    <row r="235" spans="1:49" x14ac:dyDescent="0.2">
      <c r="A235">
        <v>233</v>
      </c>
      <c r="B235" t="s">
        <v>4835</v>
      </c>
      <c r="C235" t="s">
        <v>4834</v>
      </c>
      <c r="F235" t="s">
        <v>4833</v>
      </c>
      <c r="G235" t="s">
        <v>13</v>
      </c>
      <c r="H235" t="s">
        <v>12</v>
      </c>
      <c r="I235" t="s">
        <v>4832</v>
      </c>
      <c r="J235">
        <v>60011754</v>
      </c>
      <c r="K235" t="s">
        <v>4831</v>
      </c>
      <c r="L235" t="s">
        <v>4830</v>
      </c>
      <c r="M235" t="s">
        <v>56</v>
      </c>
      <c r="N235">
        <v>1</v>
      </c>
      <c r="O235" t="s">
        <v>4829</v>
      </c>
      <c r="P235">
        <v>7005783989</v>
      </c>
      <c r="Q235">
        <v>60011754</v>
      </c>
      <c r="R235" s="7">
        <v>30682</v>
      </c>
      <c r="S235" s="8">
        <f t="shared" si="24"/>
        <v>1984</v>
      </c>
      <c r="T235" s="8">
        <v>1984</v>
      </c>
      <c r="U235" s="8">
        <f t="shared" si="25"/>
        <v>38</v>
      </c>
      <c r="V235" s="7">
        <v>30987</v>
      </c>
      <c r="W235" t="s">
        <v>111</v>
      </c>
      <c r="X235" s="2">
        <v>2.383</v>
      </c>
      <c r="Y235" s="6">
        <f t="shared" si="30"/>
        <v>6.3612824003630442E-2</v>
      </c>
      <c r="AA235">
        <v>189219</v>
      </c>
      <c r="AB235">
        <v>17915</v>
      </c>
      <c r="AC235">
        <v>15582256</v>
      </c>
      <c r="AD235" t="s">
        <v>4</v>
      </c>
      <c r="AE235">
        <v>72</v>
      </c>
      <c r="AF235">
        <v>11</v>
      </c>
      <c r="AH235" t="s">
        <v>4828</v>
      </c>
      <c r="AI235" t="s">
        <v>4827</v>
      </c>
      <c r="AK235" t="s">
        <v>4826</v>
      </c>
      <c r="AL235">
        <v>2</v>
      </c>
      <c r="AM235" s="5">
        <f t="shared" si="26"/>
        <v>5.2631578947368418E-2</v>
      </c>
      <c r="AN235" s="4">
        <f t="shared" si="31"/>
        <v>7.9714621654476962E-5</v>
      </c>
      <c r="AO235" s="3"/>
      <c r="AP235">
        <v>0</v>
      </c>
      <c r="AR235" t="s">
        <v>0</v>
      </c>
      <c r="AT235" s="2">
        <v>10.961</v>
      </c>
      <c r="AU235" s="1">
        <f t="shared" si="27"/>
        <v>4.4552891189037647</v>
      </c>
      <c r="AV235" s="1">
        <f t="shared" si="28"/>
        <v>3.1846269312642459</v>
      </c>
      <c r="AW235" s="1">
        <f t="shared" si="29"/>
        <v>1.9139647436247267</v>
      </c>
    </row>
    <row r="236" spans="1:49" x14ac:dyDescent="0.2">
      <c r="A236">
        <v>234</v>
      </c>
      <c r="B236" t="s">
        <v>4825</v>
      </c>
      <c r="C236" t="s">
        <v>4824</v>
      </c>
      <c r="F236" t="s">
        <v>4823</v>
      </c>
      <c r="G236" t="s">
        <v>13</v>
      </c>
      <c r="H236" t="s">
        <v>12</v>
      </c>
      <c r="I236" t="s">
        <v>4822</v>
      </c>
      <c r="N236">
        <v>1</v>
      </c>
      <c r="O236" t="s">
        <v>4821</v>
      </c>
      <c r="P236">
        <v>57201827302</v>
      </c>
      <c r="R236" s="7">
        <v>30682</v>
      </c>
      <c r="S236" s="8">
        <f t="shared" si="24"/>
        <v>1984</v>
      </c>
      <c r="T236" s="8">
        <v>1984</v>
      </c>
      <c r="U236" s="8">
        <f t="shared" si="25"/>
        <v>38</v>
      </c>
      <c r="V236" s="7">
        <v>30987</v>
      </c>
      <c r="W236" t="s">
        <v>1171</v>
      </c>
      <c r="X236" s="2" t="s">
        <v>45</v>
      </c>
      <c r="Y236" s="6" t="e">
        <f t="shared" si="30"/>
        <v>#VALUE!</v>
      </c>
      <c r="AA236" t="s">
        <v>1170</v>
      </c>
      <c r="AB236">
        <v>58005</v>
      </c>
      <c r="AC236">
        <v>15387305</v>
      </c>
      <c r="AD236" t="s">
        <v>4</v>
      </c>
      <c r="AE236">
        <v>63</v>
      </c>
      <c r="AF236">
        <v>9</v>
      </c>
      <c r="AH236" t="s">
        <v>4820</v>
      </c>
      <c r="AI236" t="s">
        <v>4819</v>
      </c>
      <c r="AK236" t="s">
        <v>4818</v>
      </c>
      <c r="AL236">
        <v>2</v>
      </c>
      <c r="AM236" s="5">
        <f t="shared" si="26"/>
        <v>5.2631578947368418E-2</v>
      </c>
      <c r="AN236" s="4">
        <f t="shared" si="31"/>
        <v>7.9714621654476962E-5</v>
      </c>
      <c r="AO236" s="3"/>
      <c r="AP236">
        <v>0</v>
      </c>
      <c r="AR236" t="s">
        <v>0</v>
      </c>
      <c r="AT236" s="2" t="s">
        <v>45</v>
      </c>
      <c r="AU236" s="1" t="e">
        <f t="shared" si="27"/>
        <v>#VALUE!</v>
      </c>
      <c r="AV236" s="1" t="e">
        <f t="shared" si="28"/>
        <v>#VALUE!</v>
      </c>
      <c r="AW236" s="1" t="e">
        <f t="shared" si="29"/>
        <v>#VALUE!</v>
      </c>
    </row>
    <row r="237" spans="1:49" x14ac:dyDescent="0.2">
      <c r="A237">
        <v>235</v>
      </c>
      <c r="B237" t="s">
        <v>4817</v>
      </c>
      <c r="F237" t="s">
        <v>4816</v>
      </c>
      <c r="G237" t="s">
        <v>13</v>
      </c>
      <c r="H237" t="s">
        <v>12</v>
      </c>
      <c r="I237" t="s">
        <v>4815</v>
      </c>
      <c r="N237">
        <v>1</v>
      </c>
      <c r="O237" t="s">
        <v>4814</v>
      </c>
      <c r="P237">
        <v>7102021390</v>
      </c>
      <c r="R237" s="7">
        <v>30682</v>
      </c>
      <c r="S237" s="8">
        <f t="shared" si="24"/>
        <v>1984</v>
      </c>
      <c r="T237" s="8">
        <v>1984</v>
      </c>
      <c r="U237" s="8">
        <f t="shared" si="25"/>
        <v>38</v>
      </c>
      <c r="V237" s="7" t="s">
        <v>4644</v>
      </c>
      <c r="W237" t="s">
        <v>533</v>
      </c>
      <c r="X237" s="2" t="s">
        <v>45</v>
      </c>
      <c r="Y237" s="6" t="e">
        <f t="shared" si="30"/>
        <v>#VALUE!</v>
      </c>
      <c r="AB237">
        <v>31441</v>
      </c>
      <c r="AD237" t="s">
        <v>4</v>
      </c>
      <c r="AE237">
        <v>4</v>
      </c>
      <c r="AF237">
        <v>11</v>
      </c>
      <c r="AH237" t="s">
        <v>2200</v>
      </c>
      <c r="AI237" t="s">
        <v>4813</v>
      </c>
      <c r="AK237" t="s">
        <v>4812</v>
      </c>
      <c r="AL237">
        <v>0</v>
      </c>
      <c r="AM237" s="5">
        <f t="shared" si="26"/>
        <v>0</v>
      </c>
      <c r="AN237" s="4">
        <f t="shared" si="31"/>
        <v>0</v>
      </c>
      <c r="AO237" s="3"/>
      <c r="AP237">
        <v>0</v>
      </c>
      <c r="AR237" t="s">
        <v>0</v>
      </c>
      <c r="AT237" s="2" t="s">
        <v>45</v>
      </c>
      <c r="AU237" s="1" t="e">
        <f t="shared" si="27"/>
        <v>#VALUE!</v>
      </c>
      <c r="AV237" s="1" t="e">
        <f t="shared" si="28"/>
        <v>#VALUE!</v>
      </c>
      <c r="AW237" s="1" t="e">
        <f t="shared" si="29"/>
        <v>#VALUE!</v>
      </c>
    </row>
    <row r="238" spans="1:49" x14ac:dyDescent="0.2">
      <c r="A238">
        <v>236</v>
      </c>
      <c r="B238" t="s">
        <v>4811</v>
      </c>
      <c r="C238" t="s">
        <v>4810</v>
      </c>
      <c r="F238" t="s">
        <v>4809</v>
      </c>
      <c r="G238" t="s">
        <v>13</v>
      </c>
      <c r="H238" t="s">
        <v>12</v>
      </c>
      <c r="I238" t="s">
        <v>4808</v>
      </c>
      <c r="N238">
        <v>1</v>
      </c>
      <c r="O238" t="s">
        <v>4807</v>
      </c>
      <c r="P238">
        <v>7005566736</v>
      </c>
      <c r="R238" s="7">
        <v>30682</v>
      </c>
      <c r="S238" s="8">
        <f t="shared" si="24"/>
        <v>1984</v>
      </c>
      <c r="T238" s="8">
        <v>1984</v>
      </c>
      <c r="U238" s="8">
        <f t="shared" si="25"/>
        <v>38</v>
      </c>
      <c r="V238" s="7">
        <v>30987</v>
      </c>
      <c r="W238" t="s">
        <v>2312</v>
      </c>
      <c r="X238" s="2">
        <v>0.65500000000000003</v>
      </c>
      <c r="Y238" s="6">
        <f t="shared" si="30"/>
        <v>1.7484850911614749E-2</v>
      </c>
      <c r="AA238">
        <v>189375</v>
      </c>
      <c r="AB238">
        <v>26051</v>
      </c>
      <c r="AC238" t="s">
        <v>2311</v>
      </c>
      <c r="AD238" t="s">
        <v>4</v>
      </c>
      <c r="AE238" t="s">
        <v>2310</v>
      </c>
      <c r="AF238">
        <v>4</v>
      </c>
      <c r="AH238" t="s">
        <v>4806</v>
      </c>
      <c r="AI238" t="s">
        <v>4805</v>
      </c>
      <c r="AJ238" t="s">
        <v>4804</v>
      </c>
      <c r="AK238" t="s">
        <v>4803</v>
      </c>
      <c r="AL238">
        <v>12</v>
      </c>
      <c r="AM238" s="5">
        <f t="shared" si="26"/>
        <v>0.31578947368421051</v>
      </c>
      <c r="AN238" s="4">
        <f t="shared" si="31"/>
        <v>4.7828772992686183E-4</v>
      </c>
      <c r="AO238" s="3"/>
      <c r="AP238">
        <v>0</v>
      </c>
      <c r="AR238" t="s">
        <v>0</v>
      </c>
      <c r="AT238" s="2" t="s">
        <v>45</v>
      </c>
      <c r="AU238" s="1">
        <f t="shared" si="27"/>
        <v>1.2382881957108383</v>
      </c>
      <c r="AV238" s="1">
        <f t="shared" si="28"/>
        <v>0.89815693207708058</v>
      </c>
      <c r="AW238" s="1">
        <f t="shared" si="29"/>
        <v>0.5580256684433228</v>
      </c>
    </row>
    <row r="239" spans="1:49" x14ac:dyDescent="0.2">
      <c r="A239">
        <v>237</v>
      </c>
      <c r="B239" t="s">
        <v>4802</v>
      </c>
      <c r="C239" t="s">
        <v>4801</v>
      </c>
      <c r="F239" t="s">
        <v>4800</v>
      </c>
      <c r="G239" t="s">
        <v>13</v>
      </c>
      <c r="H239" t="s">
        <v>12</v>
      </c>
      <c r="I239" t="s">
        <v>4799</v>
      </c>
      <c r="J239">
        <v>60007716</v>
      </c>
      <c r="K239" t="s">
        <v>3380</v>
      </c>
      <c r="L239" t="s">
        <v>3379</v>
      </c>
      <c r="M239" t="s">
        <v>24</v>
      </c>
      <c r="N239">
        <v>1</v>
      </c>
      <c r="O239" t="s">
        <v>4798</v>
      </c>
      <c r="P239">
        <v>7202783429</v>
      </c>
      <c r="Q239">
        <v>60007716</v>
      </c>
      <c r="R239" s="7">
        <v>30682</v>
      </c>
      <c r="S239" s="8">
        <f t="shared" si="24"/>
        <v>1984</v>
      </c>
      <c r="T239" s="8">
        <v>1984</v>
      </c>
      <c r="U239" s="8">
        <f t="shared" si="25"/>
        <v>38</v>
      </c>
      <c r="V239" s="7">
        <v>30987</v>
      </c>
      <c r="W239" t="s">
        <v>111</v>
      </c>
      <c r="X239" s="2">
        <v>2.383</v>
      </c>
      <c r="Y239" s="6">
        <f t="shared" si="30"/>
        <v>6.3612824003630442E-2</v>
      </c>
      <c r="AA239">
        <v>189219</v>
      </c>
      <c r="AB239">
        <v>17915</v>
      </c>
      <c r="AC239">
        <v>15582256</v>
      </c>
      <c r="AD239" t="s">
        <v>4</v>
      </c>
      <c r="AE239">
        <v>72</v>
      </c>
      <c r="AF239">
        <v>11</v>
      </c>
      <c r="AH239" t="s">
        <v>4797</v>
      </c>
      <c r="AI239" t="s">
        <v>4796</v>
      </c>
      <c r="AK239" t="s">
        <v>4795</v>
      </c>
      <c r="AL239">
        <v>2</v>
      </c>
      <c r="AM239" s="5">
        <f t="shared" si="26"/>
        <v>5.2631578947368418E-2</v>
      </c>
      <c r="AN239" s="4">
        <f t="shared" si="31"/>
        <v>7.9714621654476962E-5</v>
      </c>
      <c r="AO239" s="3"/>
      <c r="AP239">
        <v>0</v>
      </c>
      <c r="AR239" t="s">
        <v>0</v>
      </c>
      <c r="AT239" s="2">
        <v>10.961</v>
      </c>
      <c r="AU239" s="1">
        <f t="shared" si="27"/>
        <v>4.4552891189037647</v>
      </c>
      <c r="AV239" s="1">
        <f t="shared" si="28"/>
        <v>3.1846269312642459</v>
      </c>
      <c r="AW239" s="1">
        <f t="shared" si="29"/>
        <v>1.9139647436247267</v>
      </c>
    </row>
    <row r="240" spans="1:49" x14ac:dyDescent="0.2">
      <c r="A240">
        <v>238</v>
      </c>
      <c r="B240" t="s">
        <v>4794</v>
      </c>
      <c r="C240" t="s">
        <v>4793</v>
      </c>
      <c r="F240" t="s">
        <v>4792</v>
      </c>
      <c r="G240" t="s">
        <v>13</v>
      </c>
      <c r="H240" t="s">
        <v>12</v>
      </c>
      <c r="I240" t="s">
        <v>4791</v>
      </c>
      <c r="J240" t="s">
        <v>4790</v>
      </c>
      <c r="K240" t="s">
        <v>4789</v>
      </c>
      <c r="L240" t="s">
        <v>4788</v>
      </c>
      <c r="M240" t="s">
        <v>206</v>
      </c>
      <c r="N240">
        <v>3</v>
      </c>
      <c r="O240" t="s">
        <v>4787</v>
      </c>
      <c r="P240" t="s">
        <v>4786</v>
      </c>
      <c r="Q240" t="s">
        <v>4785</v>
      </c>
      <c r="R240" s="7">
        <v>30682</v>
      </c>
      <c r="S240" s="8">
        <f t="shared" ref="S240:S303" si="32">YEAR(R240)</f>
        <v>1984</v>
      </c>
      <c r="T240" s="8">
        <v>1984</v>
      </c>
      <c r="U240" s="8">
        <f t="shared" ref="U240:U303" si="33">2022-T240</f>
        <v>38</v>
      </c>
      <c r="V240" s="7">
        <v>30987</v>
      </c>
      <c r="W240" t="s">
        <v>2312</v>
      </c>
      <c r="X240" s="2">
        <v>0.65500000000000003</v>
      </c>
      <c r="Y240" s="6">
        <f t="shared" si="30"/>
        <v>1.7484850911614749E-2</v>
      </c>
      <c r="AA240">
        <v>189375</v>
      </c>
      <c r="AB240">
        <v>26051</v>
      </c>
      <c r="AC240" t="s">
        <v>2311</v>
      </c>
      <c r="AD240" t="s">
        <v>4</v>
      </c>
      <c r="AE240" t="s">
        <v>2310</v>
      </c>
      <c r="AF240">
        <v>4</v>
      </c>
      <c r="AH240" t="s">
        <v>4784</v>
      </c>
      <c r="AI240" t="s">
        <v>4783</v>
      </c>
      <c r="AJ240" t="s">
        <v>4782</v>
      </c>
      <c r="AK240" t="s">
        <v>4781</v>
      </c>
      <c r="AL240">
        <v>3</v>
      </c>
      <c r="AM240" s="5">
        <f t="shared" ref="AM240:AM303" si="34">AL240/U240</f>
        <v>7.8947368421052627E-2</v>
      </c>
      <c r="AN240" s="4">
        <f t="shared" si="31"/>
        <v>1.1957193248171546E-4</v>
      </c>
      <c r="AO240" s="3"/>
      <c r="AP240">
        <v>0</v>
      </c>
      <c r="AR240" t="s">
        <v>0</v>
      </c>
      <c r="AT240" s="2" t="s">
        <v>45</v>
      </c>
      <c r="AU240" s="1">
        <f t="shared" ref="AU240:AU303" si="35">(Y240*0.7+AN240*0.3)*100</f>
        <v>1.2275267217874837</v>
      </c>
      <c r="AV240" s="1">
        <f t="shared" ref="AV240:AV303" si="36">(Y240*0.5+AN240*0.5)*100</f>
        <v>0.88022114220482317</v>
      </c>
      <c r="AW240" s="1">
        <f t="shared" ref="AW240:AW303" si="37">(Y240*0.3+AN240*0.7)*100</f>
        <v>0.53291556262216255</v>
      </c>
    </row>
    <row r="241" spans="1:49" x14ac:dyDescent="0.2">
      <c r="A241">
        <v>239</v>
      </c>
      <c r="B241" t="s">
        <v>4780</v>
      </c>
      <c r="C241" t="s">
        <v>4779</v>
      </c>
      <c r="F241" t="s">
        <v>4778</v>
      </c>
      <c r="G241" t="s">
        <v>13</v>
      </c>
      <c r="H241" t="s">
        <v>12</v>
      </c>
      <c r="I241" t="s">
        <v>4777</v>
      </c>
      <c r="J241">
        <v>60000854</v>
      </c>
      <c r="K241" t="s">
        <v>2013</v>
      </c>
      <c r="L241" t="s">
        <v>2012</v>
      </c>
      <c r="M241" t="s">
        <v>56</v>
      </c>
      <c r="N241">
        <v>1</v>
      </c>
      <c r="O241" t="s">
        <v>4776</v>
      </c>
      <c r="P241">
        <v>7003488922</v>
      </c>
      <c r="Q241">
        <v>60000854</v>
      </c>
      <c r="R241" s="7">
        <v>30682</v>
      </c>
      <c r="S241" s="8">
        <f t="shared" si="32"/>
        <v>1984</v>
      </c>
      <c r="T241" s="8">
        <v>1984</v>
      </c>
      <c r="U241" s="8">
        <f t="shared" si="33"/>
        <v>38</v>
      </c>
      <c r="V241" s="7">
        <v>30987</v>
      </c>
      <c r="W241" t="s">
        <v>4027</v>
      </c>
      <c r="X241" s="2">
        <v>0.82799999999999996</v>
      </c>
      <c r="Y241" s="6">
        <f t="shared" si="30"/>
        <v>2.2102987106590855E-2</v>
      </c>
      <c r="AA241">
        <v>11452</v>
      </c>
      <c r="AB241">
        <v>29964</v>
      </c>
      <c r="AD241" t="s">
        <v>4</v>
      </c>
      <c r="AE241">
        <v>22</v>
      </c>
      <c r="AF241">
        <v>11</v>
      </c>
      <c r="AH241" t="s">
        <v>4775</v>
      </c>
      <c r="AI241" t="s">
        <v>4774</v>
      </c>
      <c r="AK241" t="s">
        <v>4773</v>
      </c>
      <c r="AL241">
        <v>12</v>
      </c>
      <c r="AM241" s="5">
        <f t="shared" si="34"/>
        <v>0.31578947368421051</v>
      </c>
      <c r="AN241" s="4">
        <f t="shared" si="31"/>
        <v>4.7828772992686183E-4</v>
      </c>
      <c r="AO241" s="3"/>
      <c r="AP241">
        <v>0</v>
      </c>
      <c r="AR241" t="s">
        <v>0</v>
      </c>
      <c r="AT241" s="2">
        <v>2.1269999999999998</v>
      </c>
      <c r="AU241" s="1">
        <f t="shared" si="35"/>
        <v>1.5615577293591656</v>
      </c>
      <c r="AV241" s="1">
        <f t="shared" si="36"/>
        <v>1.129063741825886</v>
      </c>
      <c r="AW241" s="1">
        <f t="shared" si="37"/>
        <v>0.69656975429260604</v>
      </c>
    </row>
    <row r="242" spans="1:49" x14ac:dyDescent="0.2">
      <c r="A242">
        <v>240</v>
      </c>
      <c r="B242" t="s">
        <v>4772</v>
      </c>
      <c r="C242" t="s">
        <v>4771</v>
      </c>
      <c r="F242" t="s">
        <v>4770</v>
      </c>
      <c r="G242" t="s">
        <v>13</v>
      </c>
      <c r="H242" t="s">
        <v>12</v>
      </c>
      <c r="I242" t="s">
        <v>4769</v>
      </c>
      <c r="J242">
        <v>60013141</v>
      </c>
      <c r="K242" t="s">
        <v>2855</v>
      </c>
      <c r="L242" t="s">
        <v>2854</v>
      </c>
      <c r="M242" t="s">
        <v>2853</v>
      </c>
      <c r="N242">
        <v>1</v>
      </c>
      <c r="O242" t="s">
        <v>4768</v>
      </c>
      <c r="P242">
        <v>7005413512</v>
      </c>
      <c r="Q242">
        <v>60013141</v>
      </c>
      <c r="R242" s="7">
        <v>30682</v>
      </c>
      <c r="S242" s="8">
        <f t="shared" si="32"/>
        <v>1984</v>
      </c>
      <c r="T242" s="8">
        <v>1984</v>
      </c>
      <c r="U242" s="8">
        <f t="shared" si="33"/>
        <v>38</v>
      </c>
      <c r="V242" s="7">
        <v>30987</v>
      </c>
      <c r="W242" t="s">
        <v>380</v>
      </c>
      <c r="X242" s="2">
        <v>1.6519999999999999</v>
      </c>
      <c r="Y242" s="6">
        <f t="shared" si="30"/>
        <v>4.409919649769093E-2</v>
      </c>
      <c r="AA242" t="s">
        <v>379</v>
      </c>
      <c r="AB242">
        <v>17337</v>
      </c>
      <c r="AC242">
        <v>15582221</v>
      </c>
      <c r="AD242" t="s">
        <v>4</v>
      </c>
      <c r="AE242">
        <v>32</v>
      </c>
      <c r="AF242">
        <v>11</v>
      </c>
      <c r="AH242" t="s">
        <v>4767</v>
      </c>
      <c r="AI242" t="s">
        <v>4766</v>
      </c>
      <c r="AK242" t="s">
        <v>4765</v>
      </c>
      <c r="AL242">
        <v>11</v>
      </c>
      <c r="AM242" s="5">
        <f t="shared" si="34"/>
        <v>0.28947368421052633</v>
      </c>
      <c r="AN242" s="4">
        <f t="shared" si="31"/>
        <v>4.3843041909962335E-4</v>
      </c>
      <c r="AO242" s="3"/>
      <c r="AP242">
        <v>0</v>
      </c>
      <c r="AR242" t="s">
        <v>0</v>
      </c>
      <c r="AT242" s="2" t="s">
        <v>45</v>
      </c>
      <c r="AU242" s="1">
        <f t="shared" si="35"/>
        <v>3.1000966674113539</v>
      </c>
      <c r="AV242" s="1">
        <f t="shared" si="36"/>
        <v>2.2268813458395278</v>
      </c>
      <c r="AW242" s="1">
        <f t="shared" si="37"/>
        <v>1.3536660242677014</v>
      </c>
    </row>
    <row r="243" spans="1:49" x14ac:dyDescent="0.2">
      <c r="A243">
        <v>241</v>
      </c>
      <c r="B243" t="s">
        <v>4764</v>
      </c>
      <c r="C243" t="s">
        <v>4763</v>
      </c>
      <c r="F243" t="s">
        <v>4762</v>
      </c>
      <c r="G243" t="s">
        <v>13</v>
      </c>
      <c r="H243" t="s">
        <v>12</v>
      </c>
      <c r="I243" t="s">
        <v>1387</v>
      </c>
      <c r="J243">
        <v>60008435</v>
      </c>
      <c r="K243" t="s">
        <v>1386</v>
      </c>
      <c r="L243" t="s">
        <v>1385</v>
      </c>
      <c r="M243" t="s">
        <v>643</v>
      </c>
      <c r="N243">
        <v>2</v>
      </c>
      <c r="O243" t="s">
        <v>4761</v>
      </c>
      <c r="P243" t="s">
        <v>4760</v>
      </c>
      <c r="Q243" t="s">
        <v>2920</v>
      </c>
      <c r="R243" s="7">
        <v>30682</v>
      </c>
      <c r="S243" s="8">
        <f t="shared" si="32"/>
        <v>1984</v>
      </c>
      <c r="T243" s="8">
        <v>1984</v>
      </c>
      <c r="U243" s="8">
        <f t="shared" si="33"/>
        <v>38</v>
      </c>
      <c r="V243" s="7">
        <v>30987</v>
      </c>
      <c r="W243" t="s">
        <v>380</v>
      </c>
      <c r="X243" s="2">
        <v>1.6519999999999999</v>
      </c>
      <c r="Y243" s="6">
        <f t="shared" si="30"/>
        <v>4.409919649769093E-2</v>
      </c>
      <c r="AA243" t="s">
        <v>379</v>
      </c>
      <c r="AB243">
        <v>17337</v>
      </c>
      <c r="AC243">
        <v>15582221</v>
      </c>
      <c r="AD243" t="s">
        <v>4</v>
      </c>
      <c r="AE243">
        <v>32</v>
      </c>
      <c r="AF243">
        <v>11</v>
      </c>
      <c r="AH243" t="s">
        <v>4759</v>
      </c>
      <c r="AI243" t="s">
        <v>4758</v>
      </c>
      <c r="AK243" t="s">
        <v>4757</v>
      </c>
      <c r="AL243">
        <v>2</v>
      </c>
      <c r="AM243" s="5">
        <f t="shared" si="34"/>
        <v>5.2631578947368418E-2</v>
      </c>
      <c r="AN243" s="4">
        <f t="shared" si="31"/>
        <v>7.9714621654476962E-5</v>
      </c>
      <c r="AO243" s="3"/>
      <c r="AP243">
        <v>0</v>
      </c>
      <c r="AR243" t="s">
        <v>0</v>
      </c>
      <c r="AT243" s="2" t="s">
        <v>45</v>
      </c>
      <c r="AU243" s="1">
        <f t="shared" si="35"/>
        <v>3.0893351934879991</v>
      </c>
      <c r="AV243" s="1">
        <f t="shared" si="36"/>
        <v>2.2089455559672704</v>
      </c>
      <c r="AW243" s="1">
        <f t="shared" si="37"/>
        <v>1.3285559184465412</v>
      </c>
    </row>
    <row r="244" spans="1:49" x14ac:dyDescent="0.2">
      <c r="A244">
        <v>242</v>
      </c>
      <c r="B244" t="s">
        <v>4756</v>
      </c>
      <c r="C244" t="s">
        <v>4755</v>
      </c>
      <c r="F244" t="s">
        <v>4754</v>
      </c>
      <c r="G244" t="s">
        <v>13</v>
      </c>
      <c r="H244" t="s">
        <v>12</v>
      </c>
      <c r="I244" t="s">
        <v>1450</v>
      </c>
      <c r="J244">
        <v>60013959</v>
      </c>
      <c r="K244" t="s">
        <v>1449</v>
      </c>
      <c r="L244" t="s">
        <v>1448</v>
      </c>
      <c r="M244" t="s">
        <v>56</v>
      </c>
      <c r="N244">
        <v>1</v>
      </c>
      <c r="O244" t="s">
        <v>1447</v>
      </c>
      <c r="P244">
        <v>7006828788</v>
      </c>
      <c r="Q244">
        <v>60013959</v>
      </c>
      <c r="R244" s="7">
        <v>30682</v>
      </c>
      <c r="S244" s="8">
        <f t="shared" si="32"/>
        <v>1984</v>
      </c>
      <c r="T244" s="8">
        <v>1984</v>
      </c>
      <c r="U244" s="8">
        <f t="shared" si="33"/>
        <v>38</v>
      </c>
      <c r="V244" s="7">
        <v>30987</v>
      </c>
      <c r="W244" t="s">
        <v>1446</v>
      </c>
      <c r="X244" s="2">
        <v>1.137</v>
      </c>
      <c r="Y244" s="6">
        <f t="shared" si="30"/>
        <v>3.0351565628253384E-2</v>
      </c>
      <c r="AA244">
        <v>189251</v>
      </c>
      <c r="AB244">
        <v>17336</v>
      </c>
      <c r="AD244" t="s">
        <v>4</v>
      </c>
      <c r="AE244" t="s">
        <v>1445</v>
      </c>
      <c r="AF244">
        <v>6</v>
      </c>
      <c r="AH244" t="s">
        <v>4753</v>
      </c>
      <c r="AI244" t="s">
        <v>4752</v>
      </c>
      <c r="AK244" t="s">
        <v>4751</v>
      </c>
      <c r="AL244">
        <v>9</v>
      </c>
      <c r="AM244" s="5">
        <f t="shared" si="34"/>
        <v>0.23684210526315788</v>
      </c>
      <c r="AN244" s="4">
        <f t="shared" si="31"/>
        <v>3.5871579744514633E-4</v>
      </c>
      <c r="AO244" s="3"/>
      <c r="AP244">
        <v>0</v>
      </c>
      <c r="AR244" t="s">
        <v>0</v>
      </c>
      <c r="AT244" s="2" t="s">
        <v>45</v>
      </c>
      <c r="AU244" s="1">
        <f t="shared" si="35"/>
        <v>2.1353710679010911</v>
      </c>
      <c r="AV244" s="1">
        <f t="shared" si="36"/>
        <v>1.5355140712849265</v>
      </c>
      <c r="AW244" s="1">
        <f t="shared" si="37"/>
        <v>0.9356570746687618</v>
      </c>
    </row>
    <row r="245" spans="1:49" x14ac:dyDescent="0.2">
      <c r="A245">
        <v>243</v>
      </c>
      <c r="B245" t="s">
        <v>4750</v>
      </c>
      <c r="C245" t="s">
        <v>4749</v>
      </c>
      <c r="F245" t="s">
        <v>4748</v>
      </c>
      <c r="G245" t="s">
        <v>13</v>
      </c>
      <c r="H245" t="s">
        <v>12</v>
      </c>
      <c r="I245" t="s">
        <v>4747</v>
      </c>
      <c r="J245">
        <v>60007742</v>
      </c>
      <c r="K245" t="s">
        <v>4746</v>
      </c>
      <c r="L245" t="s">
        <v>4745</v>
      </c>
      <c r="M245" t="s">
        <v>56</v>
      </c>
      <c r="N245">
        <v>1</v>
      </c>
      <c r="O245" t="s">
        <v>4744</v>
      </c>
      <c r="P245">
        <v>7004701432</v>
      </c>
      <c r="Q245">
        <v>60007742</v>
      </c>
      <c r="R245" s="7">
        <v>30682</v>
      </c>
      <c r="S245" s="8">
        <f t="shared" si="32"/>
        <v>1984</v>
      </c>
      <c r="T245" s="8">
        <v>1984</v>
      </c>
      <c r="U245" s="8">
        <f t="shared" si="33"/>
        <v>38</v>
      </c>
      <c r="V245" s="7">
        <v>30987</v>
      </c>
      <c r="W245" t="s">
        <v>380</v>
      </c>
      <c r="X245" s="2">
        <v>1.6519999999999999</v>
      </c>
      <c r="Y245" s="6">
        <f t="shared" si="30"/>
        <v>4.409919649769093E-2</v>
      </c>
      <c r="AA245" t="s">
        <v>379</v>
      </c>
      <c r="AB245">
        <v>17337</v>
      </c>
      <c r="AC245">
        <v>15582221</v>
      </c>
      <c r="AD245" t="s">
        <v>4</v>
      </c>
      <c r="AE245">
        <v>32</v>
      </c>
      <c r="AF245">
        <v>11</v>
      </c>
      <c r="AH245" t="s">
        <v>4743</v>
      </c>
      <c r="AI245" t="s">
        <v>4742</v>
      </c>
      <c r="AK245" t="s">
        <v>4741</v>
      </c>
      <c r="AL245">
        <v>34</v>
      </c>
      <c r="AM245" s="5">
        <f t="shared" si="34"/>
        <v>0.89473684210526316</v>
      </c>
      <c r="AN245" s="4">
        <f t="shared" si="31"/>
        <v>1.3551485681261085E-3</v>
      </c>
      <c r="AO245" s="3"/>
      <c r="AP245">
        <v>0</v>
      </c>
      <c r="AR245" t="s">
        <v>0</v>
      </c>
      <c r="AT245" s="2" t="s">
        <v>45</v>
      </c>
      <c r="AU245" s="1">
        <f t="shared" si="35"/>
        <v>3.1275982118821481</v>
      </c>
      <c r="AV245" s="1">
        <f t="shared" si="36"/>
        <v>2.2727172532908519</v>
      </c>
      <c r="AW245" s="1">
        <f t="shared" si="37"/>
        <v>1.4178362946995555</v>
      </c>
    </row>
    <row r="246" spans="1:49" x14ac:dyDescent="0.2">
      <c r="A246">
        <v>244</v>
      </c>
      <c r="B246" t="s">
        <v>4740</v>
      </c>
      <c r="C246" t="s">
        <v>4739</v>
      </c>
      <c r="F246" t="s">
        <v>4738</v>
      </c>
      <c r="G246" t="s">
        <v>13</v>
      </c>
      <c r="H246" t="s">
        <v>12</v>
      </c>
      <c r="I246" t="s">
        <v>1865</v>
      </c>
      <c r="N246">
        <v>3</v>
      </c>
      <c r="O246" t="s">
        <v>4737</v>
      </c>
      <c r="P246" t="s">
        <v>4736</v>
      </c>
      <c r="Q246" t="s">
        <v>8</v>
      </c>
      <c r="R246" s="7">
        <v>30682</v>
      </c>
      <c r="S246" s="8">
        <f t="shared" si="32"/>
        <v>1984</v>
      </c>
      <c r="T246" s="8">
        <v>1984</v>
      </c>
      <c r="U246" s="8">
        <f t="shared" si="33"/>
        <v>38</v>
      </c>
      <c r="V246" s="7" t="s">
        <v>4572</v>
      </c>
      <c r="W246" t="s">
        <v>6</v>
      </c>
      <c r="X246" s="2">
        <v>0.371</v>
      </c>
      <c r="Y246" s="6">
        <f t="shared" si="30"/>
        <v>9.9036331117695747E-3</v>
      </c>
      <c r="AA246">
        <v>486604</v>
      </c>
      <c r="AB246">
        <v>28580</v>
      </c>
      <c r="AC246" t="s">
        <v>5</v>
      </c>
      <c r="AD246" t="s">
        <v>4</v>
      </c>
      <c r="AE246">
        <v>19</v>
      </c>
      <c r="AF246">
        <v>6</v>
      </c>
      <c r="AH246" t="s">
        <v>4735</v>
      </c>
      <c r="AI246" t="s">
        <v>4734</v>
      </c>
      <c r="AK246" t="s">
        <v>4733</v>
      </c>
      <c r="AL246">
        <v>0</v>
      </c>
      <c r="AM246" s="5">
        <f t="shared" si="34"/>
        <v>0</v>
      </c>
      <c r="AN246" s="4">
        <f t="shared" si="31"/>
        <v>0</v>
      </c>
      <c r="AO246" s="3"/>
      <c r="AP246">
        <v>0</v>
      </c>
      <c r="AR246" t="s">
        <v>0</v>
      </c>
      <c r="AT246" s="2">
        <v>1.431</v>
      </c>
      <c r="AU246" s="1">
        <f t="shared" si="35"/>
        <v>0.69325431782387015</v>
      </c>
      <c r="AV246" s="1">
        <f t="shared" si="36"/>
        <v>0.49518165558847871</v>
      </c>
      <c r="AW246" s="1">
        <f t="shared" si="37"/>
        <v>0.29710899335308727</v>
      </c>
    </row>
    <row r="247" spans="1:49" x14ac:dyDescent="0.2">
      <c r="A247">
        <v>245</v>
      </c>
      <c r="B247" t="s">
        <v>4732</v>
      </c>
      <c r="C247" t="s">
        <v>4731</v>
      </c>
      <c r="F247" t="s">
        <v>4730</v>
      </c>
      <c r="G247" t="s">
        <v>13</v>
      </c>
      <c r="H247" t="s">
        <v>12</v>
      </c>
      <c r="I247" t="s">
        <v>4729</v>
      </c>
      <c r="J247">
        <v>60032730</v>
      </c>
      <c r="K247" t="s">
        <v>4728</v>
      </c>
      <c r="L247" t="s">
        <v>4727</v>
      </c>
      <c r="M247" t="s">
        <v>125</v>
      </c>
      <c r="N247">
        <v>2</v>
      </c>
      <c r="O247" t="s">
        <v>4726</v>
      </c>
      <c r="P247" t="s">
        <v>4725</v>
      </c>
      <c r="Q247" t="s">
        <v>4724</v>
      </c>
      <c r="R247" s="7">
        <v>30682</v>
      </c>
      <c r="S247" s="8">
        <f t="shared" si="32"/>
        <v>1984</v>
      </c>
      <c r="T247" s="8">
        <v>1984</v>
      </c>
      <c r="U247" s="8">
        <f t="shared" si="33"/>
        <v>38</v>
      </c>
      <c r="V247" s="7">
        <v>30987</v>
      </c>
      <c r="W247" t="s">
        <v>1446</v>
      </c>
      <c r="X247" s="2">
        <v>1.137</v>
      </c>
      <c r="Y247" s="6">
        <f t="shared" si="30"/>
        <v>3.0351565628253384E-2</v>
      </c>
      <c r="AA247">
        <v>189251</v>
      </c>
      <c r="AB247">
        <v>17336</v>
      </c>
      <c r="AD247" t="s">
        <v>4</v>
      </c>
      <c r="AE247" t="s">
        <v>1445</v>
      </c>
      <c r="AF247">
        <v>6</v>
      </c>
      <c r="AH247" t="s">
        <v>4723</v>
      </c>
      <c r="AI247" t="s">
        <v>4722</v>
      </c>
      <c r="AK247" t="s">
        <v>4721</v>
      </c>
      <c r="AL247">
        <v>2</v>
      </c>
      <c r="AM247" s="5">
        <f t="shared" si="34"/>
        <v>5.2631578947368418E-2</v>
      </c>
      <c r="AN247" s="4">
        <f t="shared" si="31"/>
        <v>7.9714621654476962E-5</v>
      </c>
      <c r="AO247" s="3"/>
      <c r="AP247">
        <v>0</v>
      </c>
      <c r="AR247" t="s">
        <v>0</v>
      </c>
      <c r="AT247" s="2" t="s">
        <v>45</v>
      </c>
      <c r="AU247" s="1">
        <f t="shared" si="35"/>
        <v>2.1270010326273709</v>
      </c>
      <c r="AV247" s="1">
        <f t="shared" si="36"/>
        <v>1.5215640124953931</v>
      </c>
      <c r="AW247" s="1">
        <f t="shared" si="37"/>
        <v>0.91612699236341499</v>
      </c>
    </row>
    <row r="248" spans="1:49" x14ac:dyDescent="0.2">
      <c r="A248">
        <v>246</v>
      </c>
      <c r="B248" t="s">
        <v>4720</v>
      </c>
      <c r="C248" t="s">
        <v>4719</v>
      </c>
      <c r="F248" t="s">
        <v>4718</v>
      </c>
      <c r="G248" t="s">
        <v>13</v>
      </c>
      <c r="H248" t="s">
        <v>12</v>
      </c>
      <c r="I248" t="s">
        <v>4717</v>
      </c>
      <c r="J248">
        <v>60027550</v>
      </c>
      <c r="K248" t="s">
        <v>3751</v>
      </c>
      <c r="L248" t="s">
        <v>1965</v>
      </c>
      <c r="M248" t="s">
        <v>56</v>
      </c>
      <c r="N248">
        <v>2</v>
      </c>
      <c r="O248" t="s">
        <v>4716</v>
      </c>
      <c r="P248" t="s">
        <v>4715</v>
      </c>
      <c r="Q248" t="s">
        <v>3748</v>
      </c>
      <c r="R248" s="7">
        <v>30682</v>
      </c>
      <c r="S248" s="8">
        <f t="shared" si="32"/>
        <v>1984</v>
      </c>
      <c r="T248" s="8">
        <v>1984</v>
      </c>
      <c r="U248" s="8">
        <f t="shared" si="33"/>
        <v>38</v>
      </c>
      <c r="V248" s="7">
        <v>30987</v>
      </c>
      <c r="W248" t="s">
        <v>380</v>
      </c>
      <c r="X248" s="2">
        <v>1.6519999999999999</v>
      </c>
      <c r="Y248" s="6">
        <f t="shared" si="30"/>
        <v>4.409919649769093E-2</v>
      </c>
      <c r="AA248" t="s">
        <v>379</v>
      </c>
      <c r="AB248">
        <v>17337</v>
      </c>
      <c r="AC248">
        <v>15582221</v>
      </c>
      <c r="AD248" t="s">
        <v>4</v>
      </c>
      <c r="AE248">
        <v>32</v>
      </c>
      <c r="AF248">
        <v>11</v>
      </c>
      <c r="AH248" t="s">
        <v>4714</v>
      </c>
      <c r="AI248" t="s">
        <v>4713</v>
      </c>
      <c r="AK248" t="s">
        <v>4712</v>
      </c>
      <c r="AL248">
        <v>107</v>
      </c>
      <c r="AM248" s="5">
        <f t="shared" si="34"/>
        <v>2.8157894736842106</v>
      </c>
      <c r="AN248" s="4">
        <f t="shared" si="31"/>
        <v>4.2647322585145182E-3</v>
      </c>
      <c r="AO248" s="3"/>
      <c r="AP248">
        <v>0</v>
      </c>
      <c r="AR248" t="s">
        <v>0</v>
      </c>
      <c r="AT248" s="2" t="s">
        <v>45</v>
      </c>
      <c r="AU248" s="1">
        <f t="shared" si="35"/>
        <v>3.2148857225938006</v>
      </c>
      <c r="AV248" s="1">
        <f t="shared" si="36"/>
        <v>2.4181964378102725</v>
      </c>
      <c r="AW248" s="1">
        <f t="shared" si="37"/>
        <v>1.6215071530267442</v>
      </c>
    </row>
    <row r="249" spans="1:49" x14ac:dyDescent="0.2">
      <c r="A249">
        <v>247</v>
      </c>
      <c r="B249" t="s">
        <v>4711</v>
      </c>
      <c r="C249" t="s">
        <v>4710</v>
      </c>
      <c r="F249" t="s">
        <v>4709</v>
      </c>
      <c r="G249" t="s">
        <v>13</v>
      </c>
      <c r="H249" t="s">
        <v>12</v>
      </c>
      <c r="I249" t="s">
        <v>4708</v>
      </c>
      <c r="J249">
        <v>60032179</v>
      </c>
      <c r="K249" t="s">
        <v>696</v>
      </c>
      <c r="L249" t="s">
        <v>695</v>
      </c>
      <c r="M249" t="s">
        <v>56</v>
      </c>
      <c r="N249">
        <v>2</v>
      </c>
      <c r="O249" t="s">
        <v>4707</v>
      </c>
      <c r="P249" t="s">
        <v>4706</v>
      </c>
      <c r="Q249" t="s">
        <v>4705</v>
      </c>
      <c r="R249" s="7">
        <v>30682</v>
      </c>
      <c r="S249" s="8">
        <f t="shared" si="32"/>
        <v>1984</v>
      </c>
      <c r="T249" s="8">
        <v>1984</v>
      </c>
      <c r="U249" s="8">
        <f t="shared" si="33"/>
        <v>38</v>
      </c>
      <c r="V249" s="7">
        <v>30987</v>
      </c>
      <c r="W249" t="s">
        <v>691</v>
      </c>
      <c r="X249" s="2">
        <v>1.774</v>
      </c>
      <c r="Y249" s="6">
        <f t="shared" si="30"/>
        <v>4.7355916820159633E-2</v>
      </c>
      <c r="AA249">
        <v>295515</v>
      </c>
      <c r="AB249">
        <v>29066</v>
      </c>
      <c r="AC249">
        <v>17414326</v>
      </c>
      <c r="AD249" t="s">
        <v>4</v>
      </c>
      <c r="AE249">
        <v>24</v>
      </c>
      <c r="AF249">
        <v>11</v>
      </c>
      <c r="AH249" t="s">
        <v>4704</v>
      </c>
      <c r="AI249" t="s">
        <v>4703</v>
      </c>
      <c r="AK249" t="s">
        <v>4702</v>
      </c>
      <c r="AL249">
        <v>2</v>
      </c>
      <c r="AM249" s="5">
        <f t="shared" si="34"/>
        <v>5.2631578947368418E-2</v>
      </c>
      <c r="AN249" s="4">
        <f t="shared" si="31"/>
        <v>7.9714621654476962E-5</v>
      </c>
      <c r="AO249" s="3"/>
      <c r="AP249">
        <v>0</v>
      </c>
      <c r="AR249" t="s">
        <v>0</v>
      </c>
      <c r="AT249" s="2">
        <v>3.1789999999999998</v>
      </c>
      <c r="AU249" s="1">
        <f t="shared" si="35"/>
        <v>3.3173056160608083</v>
      </c>
      <c r="AV249" s="1">
        <f t="shared" si="36"/>
        <v>2.3717815720907054</v>
      </c>
      <c r="AW249" s="1">
        <f t="shared" si="37"/>
        <v>1.4262575281206022</v>
      </c>
    </row>
    <row r="250" spans="1:49" x14ac:dyDescent="0.2">
      <c r="A250">
        <v>248</v>
      </c>
      <c r="B250" t="s">
        <v>4701</v>
      </c>
      <c r="C250" t="s">
        <v>4700</v>
      </c>
      <c r="D250">
        <v>378436384901992</v>
      </c>
      <c r="F250" t="s">
        <v>4699</v>
      </c>
      <c r="G250" t="s">
        <v>13</v>
      </c>
      <c r="H250" t="s">
        <v>12</v>
      </c>
      <c r="I250" t="s">
        <v>608</v>
      </c>
      <c r="J250">
        <v>60025038</v>
      </c>
      <c r="K250" t="s">
        <v>1092</v>
      </c>
      <c r="L250" t="s">
        <v>1091</v>
      </c>
      <c r="M250" t="s">
        <v>56</v>
      </c>
      <c r="N250">
        <v>1</v>
      </c>
      <c r="O250" t="s">
        <v>4698</v>
      </c>
      <c r="P250">
        <v>35428887400</v>
      </c>
      <c r="Q250">
        <v>60025038</v>
      </c>
      <c r="R250" s="7">
        <v>30682</v>
      </c>
      <c r="S250" s="8">
        <f t="shared" si="32"/>
        <v>1984</v>
      </c>
      <c r="T250" s="8">
        <v>1984</v>
      </c>
      <c r="U250" s="8">
        <f t="shared" si="33"/>
        <v>38</v>
      </c>
      <c r="V250" s="7" t="s">
        <v>4644</v>
      </c>
      <c r="W250" t="s">
        <v>4697</v>
      </c>
      <c r="X250" s="2" t="s">
        <v>45</v>
      </c>
      <c r="Y250" s="6" t="e">
        <f t="shared" si="30"/>
        <v>#VALUE!</v>
      </c>
      <c r="AA250">
        <v>1651757</v>
      </c>
      <c r="AB250">
        <v>33292</v>
      </c>
      <c r="AD250" t="s">
        <v>4</v>
      </c>
      <c r="AE250" t="s">
        <v>4696</v>
      </c>
      <c r="AF250" s="9">
        <v>44256</v>
      </c>
      <c r="AH250" t="s">
        <v>4695</v>
      </c>
      <c r="AI250" t="s">
        <v>4694</v>
      </c>
      <c r="AK250" t="s">
        <v>4693</v>
      </c>
      <c r="AL250">
        <v>16</v>
      </c>
      <c r="AM250" s="5">
        <f t="shared" si="34"/>
        <v>0.42105263157894735</v>
      </c>
      <c r="AN250" s="4">
        <f t="shared" si="31"/>
        <v>6.377169732358157E-4</v>
      </c>
      <c r="AO250" s="3"/>
      <c r="AP250">
        <v>0</v>
      </c>
      <c r="AQ250" t="s">
        <v>4692</v>
      </c>
      <c r="AR250" t="s">
        <v>4691</v>
      </c>
      <c r="AS250" t="s">
        <v>4690</v>
      </c>
      <c r="AT250" s="2" t="s">
        <v>45</v>
      </c>
      <c r="AU250" s="1" t="e">
        <f t="shared" si="35"/>
        <v>#VALUE!</v>
      </c>
      <c r="AV250" s="1" t="e">
        <f t="shared" si="36"/>
        <v>#VALUE!</v>
      </c>
      <c r="AW250" s="1" t="e">
        <f t="shared" si="37"/>
        <v>#VALUE!</v>
      </c>
    </row>
    <row r="251" spans="1:49" x14ac:dyDescent="0.2">
      <c r="A251">
        <v>249</v>
      </c>
      <c r="B251" t="s">
        <v>4689</v>
      </c>
      <c r="C251" t="s">
        <v>4688</v>
      </c>
      <c r="F251" t="s">
        <v>4687</v>
      </c>
      <c r="G251" t="s">
        <v>13</v>
      </c>
      <c r="H251" t="s">
        <v>12</v>
      </c>
      <c r="I251" t="s">
        <v>4686</v>
      </c>
      <c r="J251">
        <v>60025555</v>
      </c>
      <c r="K251" t="s">
        <v>1317</v>
      </c>
      <c r="L251" t="s">
        <v>644</v>
      </c>
      <c r="M251" t="s">
        <v>643</v>
      </c>
      <c r="N251">
        <v>3</v>
      </c>
      <c r="O251" t="s">
        <v>4685</v>
      </c>
      <c r="P251" t="s">
        <v>4684</v>
      </c>
      <c r="Q251" t="s">
        <v>1314</v>
      </c>
      <c r="R251" s="7">
        <v>30682</v>
      </c>
      <c r="S251" s="8">
        <f t="shared" si="32"/>
        <v>1984</v>
      </c>
      <c r="T251" s="8">
        <v>1984</v>
      </c>
      <c r="U251" s="8">
        <f t="shared" si="33"/>
        <v>38</v>
      </c>
      <c r="V251" s="7">
        <v>30987</v>
      </c>
      <c r="W251" t="s">
        <v>2380</v>
      </c>
      <c r="X251" s="2">
        <v>1.365</v>
      </c>
      <c r="Y251" s="6">
        <f t="shared" si="30"/>
        <v>3.6437895411227675E-2</v>
      </c>
      <c r="AA251">
        <v>189545</v>
      </c>
      <c r="AB251">
        <v>17393</v>
      </c>
      <c r="AC251">
        <v>19399359</v>
      </c>
      <c r="AD251" t="s">
        <v>4</v>
      </c>
      <c r="AE251">
        <v>33</v>
      </c>
      <c r="AF251">
        <v>4</v>
      </c>
      <c r="AH251" t="s">
        <v>1800</v>
      </c>
      <c r="AI251" t="s">
        <v>4683</v>
      </c>
      <c r="AK251" t="s">
        <v>4682</v>
      </c>
      <c r="AL251">
        <v>142</v>
      </c>
      <c r="AM251" s="5">
        <f t="shared" si="34"/>
        <v>3.736842105263158</v>
      </c>
      <c r="AN251" s="4">
        <f t="shared" si="31"/>
        <v>5.6597381374678653E-3</v>
      </c>
      <c r="AO251" s="3"/>
      <c r="AP251">
        <v>0</v>
      </c>
      <c r="AR251" t="s">
        <v>0</v>
      </c>
      <c r="AT251" s="2" t="s">
        <v>45</v>
      </c>
      <c r="AU251" s="1">
        <f t="shared" si="35"/>
        <v>2.7204448229099727</v>
      </c>
      <c r="AV251" s="1">
        <f t="shared" si="36"/>
        <v>2.1048816774347769</v>
      </c>
      <c r="AW251" s="1">
        <f t="shared" si="37"/>
        <v>1.4893185319595807</v>
      </c>
    </row>
    <row r="252" spans="1:49" x14ac:dyDescent="0.2">
      <c r="A252">
        <v>250</v>
      </c>
      <c r="B252" t="s">
        <v>4681</v>
      </c>
      <c r="C252" t="s">
        <v>4680</v>
      </c>
      <c r="F252" t="s">
        <v>4679</v>
      </c>
      <c r="G252" t="s">
        <v>13</v>
      </c>
      <c r="H252" t="s">
        <v>12</v>
      </c>
      <c r="I252" t="s">
        <v>4678</v>
      </c>
      <c r="N252">
        <v>1</v>
      </c>
      <c r="O252" t="s">
        <v>4677</v>
      </c>
      <c r="P252">
        <v>7006884163</v>
      </c>
      <c r="R252" s="7">
        <v>30682</v>
      </c>
      <c r="S252" s="8">
        <f t="shared" si="32"/>
        <v>1984</v>
      </c>
      <c r="T252" s="8">
        <v>1984</v>
      </c>
      <c r="U252" s="8">
        <f t="shared" si="33"/>
        <v>38</v>
      </c>
      <c r="V252" s="7">
        <v>30987</v>
      </c>
      <c r="W252" t="s">
        <v>2380</v>
      </c>
      <c r="X252" s="2">
        <v>1.365</v>
      </c>
      <c r="Y252" s="6">
        <f t="shared" si="30"/>
        <v>3.6437895411227675E-2</v>
      </c>
      <c r="AA252">
        <v>189545</v>
      </c>
      <c r="AB252">
        <v>17393</v>
      </c>
      <c r="AC252">
        <v>19399359</v>
      </c>
      <c r="AD252" t="s">
        <v>4</v>
      </c>
      <c r="AE252">
        <v>33</v>
      </c>
      <c r="AF252">
        <v>4</v>
      </c>
      <c r="AH252" t="s">
        <v>4676</v>
      </c>
      <c r="AI252" t="s">
        <v>4675</v>
      </c>
      <c r="AK252" t="s">
        <v>4674</v>
      </c>
      <c r="AL252">
        <v>7</v>
      </c>
      <c r="AM252" s="5">
        <f t="shared" si="34"/>
        <v>0.18421052631578946</v>
      </c>
      <c r="AN252" s="4">
        <f t="shared" si="31"/>
        <v>2.7900117579066937E-4</v>
      </c>
      <c r="AO252" s="3"/>
      <c r="AP252">
        <v>0</v>
      </c>
      <c r="AR252" t="s">
        <v>0</v>
      </c>
      <c r="AT252" s="2" t="s">
        <v>45</v>
      </c>
      <c r="AU252" s="1">
        <f t="shared" si="35"/>
        <v>2.5590227140596569</v>
      </c>
      <c r="AV252" s="1">
        <f t="shared" si="36"/>
        <v>1.8358448293509171</v>
      </c>
      <c r="AW252" s="1">
        <f t="shared" si="37"/>
        <v>1.1126669446421771</v>
      </c>
    </row>
    <row r="253" spans="1:49" x14ac:dyDescent="0.2">
      <c r="A253">
        <v>251</v>
      </c>
      <c r="B253" t="s">
        <v>4673</v>
      </c>
      <c r="C253" t="s">
        <v>4672</v>
      </c>
      <c r="F253" t="s">
        <v>4671</v>
      </c>
      <c r="G253" t="s">
        <v>13</v>
      </c>
      <c r="H253" t="s">
        <v>12</v>
      </c>
      <c r="I253" t="s">
        <v>4670</v>
      </c>
      <c r="J253">
        <v>60009697</v>
      </c>
      <c r="K253" t="s">
        <v>4381</v>
      </c>
      <c r="L253" t="s">
        <v>4380</v>
      </c>
      <c r="M253" t="s">
        <v>38</v>
      </c>
      <c r="N253">
        <v>2</v>
      </c>
      <c r="O253" t="s">
        <v>4669</v>
      </c>
      <c r="P253" t="s">
        <v>4668</v>
      </c>
      <c r="Q253" t="s">
        <v>4377</v>
      </c>
      <c r="R253" s="7">
        <v>30682</v>
      </c>
      <c r="S253" s="8">
        <f t="shared" si="32"/>
        <v>1984</v>
      </c>
      <c r="T253" s="8">
        <v>1984</v>
      </c>
      <c r="U253" s="8">
        <f t="shared" si="33"/>
        <v>38</v>
      </c>
      <c r="V253" s="7">
        <v>30987</v>
      </c>
      <c r="W253" t="s">
        <v>380</v>
      </c>
      <c r="X253" s="2">
        <v>1.6519999999999999</v>
      </c>
      <c r="Y253" s="6">
        <f t="shared" si="30"/>
        <v>4.409919649769093E-2</v>
      </c>
      <c r="AA253" t="s">
        <v>379</v>
      </c>
      <c r="AB253">
        <v>17337</v>
      </c>
      <c r="AC253">
        <v>15582221</v>
      </c>
      <c r="AD253" t="s">
        <v>4</v>
      </c>
      <c r="AE253">
        <v>32</v>
      </c>
      <c r="AF253">
        <v>11</v>
      </c>
      <c r="AH253" t="s">
        <v>4667</v>
      </c>
      <c r="AI253" t="s">
        <v>4666</v>
      </c>
      <c r="AK253" t="s">
        <v>4665</v>
      </c>
      <c r="AL253">
        <v>16</v>
      </c>
      <c r="AM253" s="5">
        <f t="shared" si="34"/>
        <v>0.42105263157894735</v>
      </c>
      <c r="AN253" s="4">
        <f t="shared" si="31"/>
        <v>6.377169732358157E-4</v>
      </c>
      <c r="AO253" s="3"/>
      <c r="AP253">
        <v>0</v>
      </c>
      <c r="AR253" t="s">
        <v>0</v>
      </c>
      <c r="AT253" s="2" t="s">
        <v>45</v>
      </c>
      <c r="AU253" s="1">
        <f t="shared" si="35"/>
        <v>3.1060752640354394</v>
      </c>
      <c r="AV253" s="1">
        <f t="shared" si="36"/>
        <v>2.2368456735463371</v>
      </c>
      <c r="AW253" s="1">
        <f t="shared" si="37"/>
        <v>1.3676160830572348</v>
      </c>
    </row>
    <row r="254" spans="1:49" x14ac:dyDescent="0.2">
      <c r="A254">
        <v>252</v>
      </c>
      <c r="B254" t="s">
        <v>4664</v>
      </c>
      <c r="C254" t="s">
        <v>4663</v>
      </c>
      <c r="F254" t="s">
        <v>4662</v>
      </c>
      <c r="G254" t="s">
        <v>13</v>
      </c>
      <c r="H254" t="s">
        <v>12</v>
      </c>
      <c r="I254" t="s">
        <v>4661</v>
      </c>
      <c r="J254" t="s">
        <v>4660</v>
      </c>
      <c r="K254" t="s">
        <v>4659</v>
      </c>
      <c r="L254" t="s">
        <v>4658</v>
      </c>
      <c r="M254" t="s">
        <v>463</v>
      </c>
      <c r="N254">
        <v>2</v>
      </c>
      <c r="O254" t="s">
        <v>4657</v>
      </c>
      <c r="P254" t="s">
        <v>4656</v>
      </c>
      <c r="Q254" t="s">
        <v>4655</v>
      </c>
      <c r="R254" s="7">
        <v>30682</v>
      </c>
      <c r="S254" s="8">
        <f t="shared" si="32"/>
        <v>1984</v>
      </c>
      <c r="T254" s="8">
        <v>1984</v>
      </c>
      <c r="U254" s="8">
        <f t="shared" si="33"/>
        <v>38</v>
      </c>
      <c r="V254" s="7">
        <v>30987</v>
      </c>
      <c r="W254" t="s">
        <v>380</v>
      </c>
      <c r="X254" s="2">
        <v>1.6519999999999999</v>
      </c>
      <c r="Y254" s="6">
        <f t="shared" si="30"/>
        <v>4.409919649769093E-2</v>
      </c>
      <c r="AA254" t="s">
        <v>379</v>
      </c>
      <c r="AB254">
        <v>17337</v>
      </c>
      <c r="AC254">
        <v>15582221</v>
      </c>
      <c r="AD254" t="s">
        <v>4</v>
      </c>
      <c r="AE254">
        <v>32</v>
      </c>
      <c r="AF254">
        <v>11</v>
      </c>
      <c r="AH254" t="s">
        <v>4654</v>
      </c>
      <c r="AI254" t="s">
        <v>4653</v>
      </c>
      <c r="AK254" t="s">
        <v>4652</v>
      </c>
      <c r="AL254">
        <v>6</v>
      </c>
      <c r="AM254" s="5">
        <f t="shared" si="34"/>
        <v>0.15789473684210525</v>
      </c>
      <c r="AN254" s="4">
        <f t="shared" si="31"/>
        <v>2.3914386496343091E-4</v>
      </c>
      <c r="AO254" s="3"/>
      <c r="AP254">
        <v>0</v>
      </c>
      <c r="AR254" t="s">
        <v>0</v>
      </c>
      <c r="AT254" s="2" t="s">
        <v>45</v>
      </c>
      <c r="AU254" s="1">
        <f t="shared" si="35"/>
        <v>3.094118070787268</v>
      </c>
      <c r="AV254" s="1">
        <f t="shared" si="36"/>
        <v>2.216917018132718</v>
      </c>
      <c r="AW254" s="1">
        <f t="shared" si="37"/>
        <v>1.3397159654781678</v>
      </c>
    </row>
    <row r="255" spans="1:49" x14ac:dyDescent="0.2">
      <c r="A255">
        <v>253</v>
      </c>
      <c r="B255" t="s">
        <v>4651</v>
      </c>
      <c r="C255" t="s">
        <v>4650</v>
      </c>
      <c r="F255" t="s">
        <v>4649</v>
      </c>
      <c r="G255" t="s">
        <v>13</v>
      </c>
      <c r="H255" t="s">
        <v>12</v>
      </c>
      <c r="I255" t="s">
        <v>4648</v>
      </c>
      <c r="J255">
        <v>101510137</v>
      </c>
      <c r="K255" t="s">
        <v>4647</v>
      </c>
      <c r="L255" t="s">
        <v>4646</v>
      </c>
      <c r="M255" t="s">
        <v>38</v>
      </c>
      <c r="N255">
        <v>1</v>
      </c>
      <c r="O255" t="s">
        <v>4645</v>
      </c>
      <c r="P255">
        <v>7103012391</v>
      </c>
      <c r="Q255">
        <v>101510137</v>
      </c>
      <c r="R255" s="7">
        <v>30682</v>
      </c>
      <c r="S255" s="8">
        <f t="shared" si="32"/>
        <v>1984</v>
      </c>
      <c r="T255" s="8">
        <v>1984</v>
      </c>
      <c r="U255" s="8">
        <f t="shared" si="33"/>
        <v>38</v>
      </c>
      <c r="V255" s="7" t="s">
        <v>4644</v>
      </c>
      <c r="W255" t="s">
        <v>4643</v>
      </c>
      <c r="X255" s="2" t="s">
        <v>45</v>
      </c>
      <c r="Y255" s="6" t="e">
        <f t="shared" si="30"/>
        <v>#VALUE!</v>
      </c>
      <c r="AA255">
        <v>361682</v>
      </c>
      <c r="AB255">
        <v>9500153941</v>
      </c>
      <c r="AD255" t="s">
        <v>4</v>
      </c>
      <c r="AE255">
        <v>93</v>
      </c>
      <c r="AF255">
        <v>11</v>
      </c>
      <c r="AH255" t="s">
        <v>4642</v>
      </c>
      <c r="AI255" t="s">
        <v>4641</v>
      </c>
      <c r="AK255" t="s">
        <v>4640</v>
      </c>
      <c r="AL255">
        <v>6</v>
      </c>
      <c r="AM255" s="5">
        <f t="shared" si="34"/>
        <v>0.15789473684210525</v>
      </c>
      <c r="AN255" s="4">
        <f t="shared" si="31"/>
        <v>2.3914386496343091E-4</v>
      </c>
      <c r="AO255" s="3"/>
      <c r="AP255">
        <v>0</v>
      </c>
      <c r="AR255" t="s">
        <v>0</v>
      </c>
      <c r="AT255" s="2" t="s">
        <v>45</v>
      </c>
      <c r="AU255" s="1" t="e">
        <f t="shared" si="35"/>
        <v>#VALUE!</v>
      </c>
      <c r="AV255" s="1" t="e">
        <f t="shared" si="36"/>
        <v>#VALUE!</v>
      </c>
      <c r="AW255" s="1" t="e">
        <f t="shared" si="37"/>
        <v>#VALUE!</v>
      </c>
    </row>
    <row r="256" spans="1:49" x14ac:dyDescent="0.2">
      <c r="A256">
        <v>254</v>
      </c>
      <c r="B256" t="s">
        <v>4639</v>
      </c>
      <c r="C256" t="s">
        <v>4638</v>
      </c>
      <c r="F256" t="s">
        <v>4637</v>
      </c>
      <c r="G256" t="s">
        <v>13</v>
      </c>
      <c r="H256" t="s">
        <v>12</v>
      </c>
      <c r="I256" t="s">
        <v>4636</v>
      </c>
      <c r="J256" t="s">
        <v>2833</v>
      </c>
      <c r="K256" t="s">
        <v>2832</v>
      </c>
      <c r="L256" t="s">
        <v>2831</v>
      </c>
      <c r="M256" t="s">
        <v>2830</v>
      </c>
      <c r="N256">
        <v>3</v>
      </c>
      <c r="O256" t="s">
        <v>4635</v>
      </c>
      <c r="P256" t="s">
        <v>4634</v>
      </c>
      <c r="Q256" t="s">
        <v>4633</v>
      </c>
      <c r="R256" s="7">
        <v>30682</v>
      </c>
      <c r="S256" s="8">
        <f t="shared" si="32"/>
        <v>1984</v>
      </c>
      <c r="T256" s="8">
        <v>1984</v>
      </c>
      <c r="U256" s="8">
        <f t="shared" si="33"/>
        <v>38</v>
      </c>
      <c r="V256" s="7">
        <v>30987</v>
      </c>
      <c r="W256" t="s">
        <v>380</v>
      </c>
      <c r="X256" s="2">
        <v>1.6519999999999999</v>
      </c>
      <c r="Y256" s="6">
        <f t="shared" si="30"/>
        <v>4.409919649769093E-2</v>
      </c>
      <c r="AA256" t="s">
        <v>379</v>
      </c>
      <c r="AB256">
        <v>17337</v>
      </c>
      <c r="AC256">
        <v>15582221</v>
      </c>
      <c r="AD256" t="s">
        <v>4</v>
      </c>
      <c r="AE256">
        <v>32</v>
      </c>
      <c r="AF256">
        <v>11</v>
      </c>
      <c r="AH256" t="s">
        <v>4632</v>
      </c>
      <c r="AI256" t="s">
        <v>4631</v>
      </c>
      <c r="AK256" t="s">
        <v>4630</v>
      </c>
      <c r="AL256">
        <v>16</v>
      </c>
      <c r="AM256" s="5">
        <f t="shared" si="34"/>
        <v>0.42105263157894735</v>
      </c>
      <c r="AN256" s="4">
        <f t="shared" si="31"/>
        <v>6.377169732358157E-4</v>
      </c>
      <c r="AO256" s="3"/>
      <c r="AP256">
        <v>0</v>
      </c>
      <c r="AR256" t="s">
        <v>0</v>
      </c>
      <c r="AT256" s="2" t="s">
        <v>45</v>
      </c>
      <c r="AU256" s="1">
        <f t="shared" si="35"/>
        <v>3.1060752640354394</v>
      </c>
      <c r="AV256" s="1">
        <f t="shared" si="36"/>
        <v>2.2368456735463371</v>
      </c>
      <c r="AW256" s="1">
        <f t="shared" si="37"/>
        <v>1.3676160830572348</v>
      </c>
    </row>
    <row r="257" spans="1:49" x14ac:dyDescent="0.2">
      <c r="A257">
        <v>255</v>
      </c>
      <c r="B257" t="s">
        <v>4629</v>
      </c>
      <c r="C257" t="s">
        <v>4628</v>
      </c>
      <c r="D257">
        <v>12160684900691</v>
      </c>
      <c r="E257">
        <v>6436085</v>
      </c>
      <c r="F257" t="s">
        <v>4627</v>
      </c>
      <c r="G257" t="s">
        <v>13</v>
      </c>
      <c r="H257" t="s">
        <v>12</v>
      </c>
      <c r="I257" t="s">
        <v>4626</v>
      </c>
      <c r="J257">
        <v>60005248</v>
      </c>
      <c r="K257" t="s">
        <v>4625</v>
      </c>
      <c r="L257" t="s">
        <v>4624</v>
      </c>
      <c r="M257" t="s">
        <v>56</v>
      </c>
      <c r="N257">
        <v>4</v>
      </c>
      <c r="O257" t="s">
        <v>4623</v>
      </c>
      <c r="P257" t="s">
        <v>4622</v>
      </c>
      <c r="Q257" t="s">
        <v>4621</v>
      </c>
      <c r="R257" s="7">
        <v>30682</v>
      </c>
      <c r="S257" s="8">
        <f t="shared" si="32"/>
        <v>1984</v>
      </c>
      <c r="T257" s="8">
        <v>1984</v>
      </c>
      <c r="U257" s="8">
        <f t="shared" si="33"/>
        <v>38</v>
      </c>
      <c r="V257" s="7">
        <v>30987</v>
      </c>
      <c r="W257" t="s">
        <v>4620</v>
      </c>
      <c r="X257" s="2">
        <v>1.77</v>
      </c>
      <c r="Y257" s="6">
        <f t="shared" si="30"/>
        <v>4.7249139104668859E-2</v>
      </c>
      <c r="AA257">
        <v>121606</v>
      </c>
      <c r="AB257">
        <v>14536</v>
      </c>
      <c r="AD257" t="s">
        <v>4</v>
      </c>
      <c r="AE257">
        <v>106</v>
      </c>
      <c r="AF257">
        <v>1</v>
      </c>
      <c r="AH257" t="s">
        <v>4619</v>
      </c>
      <c r="AI257" t="s">
        <v>4618</v>
      </c>
      <c r="AK257" t="s">
        <v>4617</v>
      </c>
      <c r="AL257">
        <v>3</v>
      </c>
      <c r="AM257" s="5">
        <f t="shared" si="34"/>
        <v>7.8947368421052627E-2</v>
      </c>
      <c r="AN257" s="4">
        <f t="shared" si="31"/>
        <v>1.1957193248171546E-4</v>
      </c>
      <c r="AO257" s="3"/>
      <c r="AP257">
        <v>0</v>
      </c>
      <c r="AQ257" t="s">
        <v>48</v>
      </c>
      <c r="AR257" t="s">
        <v>0</v>
      </c>
      <c r="AS257" t="s">
        <v>46</v>
      </c>
      <c r="AT257" s="2">
        <v>3.5819999999999999</v>
      </c>
      <c r="AU257" s="1">
        <f t="shared" si="35"/>
        <v>3.3110268953012714</v>
      </c>
      <c r="AV257" s="1">
        <f t="shared" si="36"/>
        <v>2.3684355518575289</v>
      </c>
      <c r="AW257" s="1">
        <f t="shared" si="37"/>
        <v>1.4258442084137857</v>
      </c>
    </row>
    <row r="258" spans="1:49" x14ac:dyDescent="0.2">
      <c r="A258">
        <v>256</v>
      </c>
      <c r="B258" t="s">
        <v>4616</v>
      </c>
      <c r="C258" t="s">
        <v>4615</v>
      </c>
      <c r="F258" t="s">
        <v>4614</v>
      </c>
      <c r="G258" t="s">
        <v>13</v>
      </c>
      <c r="H258" t="s">
        <v>12</v>
      </c>
      <c r="I258" t="s">
        <v>4613</v>
      </c>
      <c r="N258">
        <v>6</v>
      </c>
      <c r="O258" t="s">
        <v>4612</v>
      </c>
      <c r="P258" t="s">
        <v>4611</v>
      </c>
      <c r="Q258" t="s">
        <v>1402</v>
      </c>
      <c r="R258" s="7">
        <v>30682</v>
      </c>
      <c r="S258" s="8">
        <f t="shared" si="32"/>
        <v>1984</v>
      </c>
      <c r="T258" s="8">
        <v>1984</v>
      </c>
      <c r="U258" s="8">
        <f t="shared" si="33"/>
        <v>38</v>
      </c>
      <c r="V258" s="7" t="s">
        <v>4572</v>
      </c>
      <c r="W258" t="s">
        <v>6</v>
      </c>
      <c r="X258" s="2">
        <v>0.371</v>
      </c>
      <c r="Y258" s="6">
        <f t="shared" ref="Y258:Y321" si="38">(X258-$Z$4)/($Z$3-$Z$4)</f>
        <v>9.9036331117695747E-3</v>
      </c>
      <c r="AA258">
        <v>486604</v>
      </c>
      <c r="AB258">
        <v>28580</v>
      </c>
      <c r="AC258" t="s">
        <v>5</v>
      </c>
      <c r="AD258" t="s">
        <v>4</v>
      </c>
      <c r="AE258">
        <v>19</v>
      </c>
      <c r="AF258">
        <v>6</v>
      </c>
      <c r="AH258" t="s">
        <v>4610</v>
      </c>
      <c r="AI258" t="s">
        <v>4609</v>
      </c>
      <c r="AK258" t="s">
        <v>4608</v>
      </c>
      <c r="AL258">
        <v>54</v>
      </c>
      <c r="AM258" s="5">
        <f t="shared" si="34"/>
        <v>1.4210526315789473</v>
      </c>
      <c r="AN258" s="4">
        <f t="shared" ref="AN258:AN321" si="39">(AM258-$AO$4)/($AO$3-$AO$4)</f>
        <v>2.1522947846708781E-3</v>
      </c>
      <c r="AO258" s="3"/>
      <c r="AP258">
        <v>0</v>
      </c>
      <c r="AR258" t="s">
        <v>0</v>
      </c>
      <c r="AT258" s="2">
        <v>1.431</v>
      </c>
      <c r="AU258" s="1">
        <f t="shared" si="35"/>
        <v>0.75782316136399652</v>
      </c>
      <c r="AV258" s="1">
        <f t="shared" si="36"/>
        <v>0.60279639482202263</v>
      </c>
      <c r="AW258" s="1">
        <f t="shared" si="37"/>
        <v>0.44776962828004868</v>
      </c>
    </row>
    <row r="259" spans="1:49" x14ac:dyDescent="0.2">
      <c r="A259">
        <v>257</v>
      </c>
      <c r="B259" t="s">
        <v>4607</v>
      </c>
      <c r="C259" t="s">
        <v>4606</v>
      </c>
      <c r="F259" t="s">
        <v>4605</v>
      </c>
      <c r="G259" t="s">
        <v>13</v>
      </c>
      <c r="H259" t="s">
        <v>12</v>
      </c>
      <c r="I259" t="s">
        <v>2431</v>
      </c>
      <c r="J259">
        <v>60009386</v>
      </c>
      <c r="K259" t="s">
        <v>2430</v>
      </c>
      <c r="L259" t="s">
        <v>2429</v>
      </c>
      <c r="M259" t="s">
        <v>24</v>
      </c>
      <c r="N259">
        <v>1</v>
      </c>
      <c r="O259" t="s">
        <v>4604</v>
      </c>
      <c r="P259">
        <v>6603458324</v>
      </c>
      <c r="Q259">
        <v>60009386</v>
      </c>
      <c r="R259" s="7">
        <v>30682</v>
      </c>
      <c r="S259" s="8">
        <f t="shared" si="32"/>
        <v>1984</v>
      </c>
      <c r="T259" s="8">
        <v>1984</v>
      </c>
      <c r="U259" s="8">
        <f t="shared" si="33"/>
        <v>38</v>
      </c>
      <c r="V259" s="7">
        <v>30987</v>
      </c>
      <c r="W259" t="s">
        <v>691</v>
      </c>
      <c r="X259" s="2">
        <v>1.774</v>
      </c>
      <c r="Y259" s="6">
        <f t="shared" si="38"/>
        <v>4.7355916820159633E-2</v>
      </c>
      <c r="AA259">
        <v>295515</v>
      </c>
      <c r="AB259">
        <v>29066</v>
      </c>
      <c r="AC259">
        <v>17414326</v>
      </c>
      <c r="AD259" t="s">
        <v>4</v>
      </c>
      <c r="AE259">
        <v>24</v>
      </c>
      <c r="AF259">
        <v>11</v>
      </c>
      <c r="AH259" t="s">
        <v>4603</v>
      </c>
      <c r="AI259" t="s">
        <v>4602</v>
      </c>
      <c r="AK259" t="s">
        <v>4601</v>
      </c>
      <c r="AL259">
        <v>19</v>
      </c>
      <c r="AM259" s="5">
        <f t="shared" si="34"/>
        <v>0.5</v>
      </c>
      <c r="AN259" s="4">
        <f t="shared" si="39"/>
        <v>7.572889057175312E-4</v>
      </c>
      <c r="AO259" s="3"/>
      <c r="AP259">
        <v>0</v>
      </c>
      <c r="AR259" t="s">
        <v>0</v>
      </c>
      <c r="AT259" s="2">
        <v>3.1789999999999998</v>
      </c>
      <c r="AU259" s="1">
        <f t="shared" si="35"/>
        <v>3.3376328445826999</v>
      </c>
      <c r="AV259" s="1">
        <f t="shared" si="36"/>
        <v>2.4056602862938581</v>
      </c>
      <c r="AW259" s="1">
        <f t="shared" si="37"/>
        <v>1.473687728005016</v>
      </c>
    </row>
    <row r="260" spans="1:49" x14ac:dyDescent="0.2">
      <c r="A260">
        <v>258</v>
      </c>
      <c r="B260" t="s">
        <v>4600</v>
      </c>
      <c r="C260" t="s">
        <v>4599</v>
      </c>
      <c r="F260" t="s">
        <v>4598</v>
      </c>
      <c r="G260" t="s">
        <v>13</v>
      </c>
      <c r="H260" t="s">
        <v>12</v>
      </c>
      <c r="I260" t="s">
        <v>4597</v>
      </c>
      <c r="N260">
        <v>2</v>
      </c>
      <c r="O260" t="s">
        <v>4596</v>
      </c>
      <c r="P260" t="s">
        <v>4595</v>
      </c>
      <c r="Q260" t="s">
        <v>266</v>
      </c>
      <c r="R260" s="7">
        <v>30682</v>
      </c>
      <c r="S260" s="8">
        <f t="shared" si="32"/>
        <v>1984</v>
      </c>
      <c r="T260" s="8">
        <v>1984</v>
      </c>
      <c r="U260" s="8">
        <f t="shared" si="33"/>
        <v>38</v>
      </c>
      <c r="V260" s="7" t="s">
        <v>4572</v>
      </c>
      <c r="W260" t="s">
        <v>6</v>
      </c>
      <c r="X260" s="2">
        <v>0.371</v>
      </c>
      <c r="Y260" s="6">
        <f t="shared" si="38"/>
        <v>9.9036331117695747E-3</v>
      </c>
      <c r="AA260">
        <v>486604</v>
      </c>
      <c r="AB260">
        <v>28580</v>
      </c>
      <c r="AC260" t="s">
        <v>5</v>
      </c>
      <c r="AD260" t="s">
        <v>4</v>
      </c>
      <c r="AE260">
        <v>19</v>
      </c>
      <c r="AF260">
        <v>6</v>
      </c>
      <c r="AH260" t="s">
        <v>4594</v>
      </c>
      <c r="AI260" t="s">
        <v>4593</v>
      </c>
      <c r="AK260" t="s">
        <v>4592</v>
      </c>
      <c r="AL260">
        <v>9</v>
      </c>
      <c r="AM260" s="5">
        <f t="shared" si="34"/>
        <v>0.23684210526315788</v>
      </c>
      <c r="AN260" s="4">
        <f t="shared" si="39"/>
        <v>3.5871579744514633E-4</v>
      </c>
      <c r="AO260" s="3"/>
      <c r="AP260">
        <v>0</v>
      </c>
      <c r="AR260" t="s">
        <v>0</v>
      </c>
      <c r="AT260" s="2">
        <v>1.431</v>
      </c>
      <c r="AU260" s="1">
        <f t="shared" si="35"/>
        <v>0.70401579174722462</v>
      </c>
      <c r="AV260" s="1">
        <f t="shared" si="36"/>
        <v>0.51311744546073612</v>
      </c>
      <c r="AW260" s="1">
        <f t="shared" si="37"/>
        <v>0.32221909917424746</v>
      </c>
    </row>
    <row r="261" spans="1:49" x14ac:dyDescent="0.2">
      <c r="A261">
        <v>259</v>
      </c>
      <c r="B261" t="s">
        <v>4591</v>
      </c>
      <c r="C261" t="s">
        <v>4590</v>
      </c>
      <c r="F261" t="s">
        <v>4589</v>
      </c>
      <c r="G261" t="s">
        <v>13</v>
      </c>
      <c r="H261" t="s">
        <v>12</v>
      </c>
      <c r="I261" t="s">
        <v>4588</v>
      </c>
      <c r="J261" t="s">
        <v>4587</v>
      </c>
      <c r="K261" t="s">
        <v>4586</v>
      </c>
      <c r="L261" t="s">
        <v>4585</v>
      </c>
      <c r="M261" t="s">
        <v>3708</v>
      </c>
      <c r="N261">
        <v>3</v>
      </c>
      <c r="O261" t="s">
        <v>4584</v>
      </c>
      <c r="P261" t="s">
        <v>4583</v>
      </c>
      <c r="Q261" t="s">
        <v>4582</v>
      </c>
      <c r="R261" s="7">
        <v>30682</v>
      </c>
      <c r="S261" s="8">
        <f t="shared" si="32"/>
        <v>1984</v>
      </c>
      <c r="T261" s="8">
        <v>1984</v>
      </c>
      <c r="U261" s="8">
        <f t="shared" si="33"/>
        <v>38</v>
      </c>
      <c r="V261" s="7">
        <v>30987</v>
      </c>
      <c r="W261" t="s">
        <v>380</v>
      </c>
      <c r="X261" s="2">
        <v>1.6519999999999999</v>
      </c>
      <c r="Y261" s="6">
        <f t="shared" si="38"/>
        <v>4.409919649769093E-2</v>
      </c>
      <c r="AA261" t="s">
        <v>379</v>
      </c>
      <c r="AB261">
        <v>17337</v>
      </c>
      <c r="AC261">
        <v>15582221</v>
      </c>
      <c r="AD261" t="s">
        <v>4</v>
      </c>
      <c r="AE261">
        <v>32</v>
      </c>
      <c r="AF261">
        <v>11</v>
      </c>
      <c r="AH261" t="s">
        <v>4581</v>
      </c>
      <c r="AI261" t="s">
        <v>4580</v>
      </c>
      <c r="AK261" t="s">
        <v>4579</v>
      </c>
      <c r="AL261">
        <v>15</v>
      </c>
      <c r="AM261" s="5">
        <f t="shared" si="34"/>
        <v>0.39473684210526316</v>
      </c>
      <c r="AN261" s="4">
        <f t="shared" si="39"/>
        <v>5.9785966240857727E-4</v>
      </c>
      <c r="AO261" s="3"/>
      <c r="AP261">
        <v>0</v>
      </c>
      <c r="AR261" t="s">
        <v>0</v>
      </c>
      <c r="AT261" s="2" t="s">
        <v>45</v>
      </c>
      <c r="AU261" s="1">
        <f t="shared" si="35"/>
        <v>3.1048795447106223</v>
      </c>
      <c r="AV261" s="1">
        <f t="shared" si="36"/>
        <v>2.2348528080049754</v>
      </c>
      <c r="AW261" s="1">
        <f t="shared" si="37"/>
        <v>1.3648260712993281</v>
      </c>
    </row>
    <row r="262" spans="1:49" x14ac:dyDescent="0.2">
      <c r="A262">
        <v>260</v>
      </c>
      <c r="B262" t="s">
        <v>4578</v>
      </c>
      <c r="C262" t="s">
        <v>4577</v>
      </c>
      <c r="F262" t="s">
        <v>4576</v>
      </c>
      <c r="G262" t="s">
        <v>13</v>
      </c>
      <c r="H262" t="s">
        <v>12</v>
      </c>
      <c r="I262" t="s">
        <v>4575</v>
      </c>
      <c r="N262">
        <v>4</v>
      </c>
      <c r="O262" t="s">
        <v>4574</v>
      </c>
      <c r="P262" t="s">
        <v>4573</v>
      </c>
      <c r="Q262" t="s">
        <v>525</v>
      </c>
      <c r="R262" s="7">
        <v>30682</v>
      </c>
      <c r="S262" s="8">
        <f t="shared" si="32"/>
        <v>1984</v>
      </c>
      <c r="T262" s="8">
        <v>1984</v>
      </c>
      <c r="U262" s="8">
        <f t="shared" si="33"/>
        <v>38</v>
      </c>
      <c r="V262" s="7" t="s">
        <v>4572</v>
      </c>
      <c r="W262" t="s">
        <v>6</v>
      </c>
      <c r="X262" s="2">
        <v>0.371</v>
      </c>
      <c r="Y262" s="6">
        <f t="shared" si="38"/>
        <v>9.9036331117695747E-3</v>
      </c>
      <c r="AA262">
        <v>486604</v>
      </c>
      <c r="AB262">
        <v>28580</v>
      </c>
      <c r="AC262" t="s">
        <v>5</v>
      </c>
      <c r="AD262" t="s">
        <v>4</v>
      </c>
      <c r="AE262">
        <v>19</v>
      </c>
      <c r="AF262">
        <v>6</v>
      </c>
      <c r="AH262" t="s">
        <v>4571</v>
      </c>
      <c r="AI262" t="s">
        <v>4570</v>
      </c>
      <c r="AK262" t="s">
        <v>4569</v>
      </c>
      <c r="AL262">
        <v>46</v>
      </c>
      <c r="AM262" s="5">
        <f t="shared" si="34"/>
        <v>1.2105263157894737</v>
      </c>
      <c r="AN262" s="4">
        <f t="shared" si="39"/>
        <v>1.8334362980529702E-3</v>
      </c>
      <c r="AO262" s="3"/>
      <c r="AP262">
        <v>0</v>
      </c>
      <c r="AR262" t="s">
        <v>0</v>
      </c>
      <c r="AT262" s="2">
        <v>1.431</v>
      </c>
      <c r="AU262" s="1">
        <f t="shared" si="35"/>
        <v>0.74825740676545927</v>
      </c>
      <c r="AV262" s="1">
        <f t="shared" si="36"/>
        <v>0.58685347049112724</v>
      </c>
      <c r="AW262" s="1">
        <f t="shared" si="37"/>
        <v>0.42544953421679516</v>
      </c>
    </row>
    <row r="263" spans="1:49" x14ac:dyDescent="0.2">
      <c r="A263">
        <v>261</v>
      </c>
      <c r="B263" t="s">
        <v>4568</v>
      </c>
      <c r="C263" t="s">
        <v>4567</v>
      </c>
      <c r="F263" t="s">
        <v>4566</v>
      </c>
      <c r="G263" t="s">
        <v>13</v>
      </c>
      <c r="H263" t="s">
        <v>12</v>
      </c>
      <c r="I263" t="s">
        <v>4565</v>
      </c>
      <c r="J263">
        <v>60003419</v>
      </c>
      <c r="K263" t="s">
        <v>4564</v>
      </c>
      <c r="L263" t="s">
        <v>4563</v>
      </c>
      <c r="M263" t="s">
        <v>2999</v>
      </c>
      <c r="N263">
        <v>2</v>
      </c>
      <c r="O263" t="s">
        <v>4562</v>
      </c>
      <c r="P263" t="s">
        <v>4561</v>
      </c>
      <c r="Q263" t="s">
        <v>4560</v>
      </c>
      <c r="R263" s="7">
        <v>30682</v>
      </c>
      <c r="S263" s="8">
        <f t="shared" si="32"/>
        <v>1984</v>
      </c>
      <c r="T263" s="8">
        <v>1984</v>
      </c>
      <c r="U263" s="8">
        <f t="shared" si="33"/>
        <v>38</v>
      </c>
      <c r="V263" s="7">
        <v>30987</v>
      </c>
      <c r="W263" t="s">
        <v>380</v>
      </c>
      <c r="X263" s="2">
        <v>1.6519999999999999</v>
      </c>
      <c r="Y263" s="6">
        <f t="shared" si="38"/>
        <v>4.409919649769093E-2</v>
      </c>
      <c r="AA263" t="s">
        <v>379</v>
      </c>
      <c r="AB263">
        <v>17337</v>
      </c>
      <c r="AC263">
        <v>15582221</v>
      </c>
      <c r="AD263" t="s">
        <v>4</v>
      </c>
      <c r="AE263">
        <v>32</v>
      </c>
      <c r="AF263">
        <v>11</v>
      </c>
      <c r="AH263" t="s">
        <v>4559</v>
      </c>
      <c r="AI263" t="s">
        <v>4558</v>
      </c>
      <c r="AK263" t="s">
        <v>4557</v>
      </c>
      <c r="AL263">
        <v>11</v>
      </c>
      <c r="AM263" s="5">
        <f t="shared" si="34"/>
        <v>0.28947368421052633</v>
      </c>
      <c r="AN263" s="4">
        <f t="shared" si="39"/>
        <v>4.3843041909962335E-4</v>
      </c>
      <c r="AO263" s="3"/>
      <c r="AP263">
        <v>0</v>
      </c>
      <c r="AR263" t="s">
        <v>0</v>
      </c>
      <c r="AT263" s="2" t="s">
        <v>45</v>
      </c>
      <c r="AU263" s="1">
        <f t="shared" si="35"/>
        <v>3.1000966674113539</v>
      </c>
      <c r="AV263" s="1">
        <f t="shared" si="36"/>
        <v>2.2268813458395278</v>
      </c>
      <c r="AW263" s="1">
        <f t="shared" si="37"/>
        <v>1.3536660242677014</v>
      </c>
    </row>
    <row r="264" spans="1:49" x14ac:dyDescent="0.2">
      <c r="A264">
        <v>262</v>
      </c>
      <c r="B264" t="s">
        <v>4556</v>
      </c>
      <c r="C264" t="s">
        <v>4555</v>
      </c>
      <c r="F264" t="s">
        <v>4554</v>
      </c>
      <c r="G264" t="s">
        <v>13</v>
      </c>
      <c r="H264" t="s">
        <v>12</v>
      </c>
      <c r="I264" t="s">
        <v>444</v>
      </c>
      <c r="J264">
        <v>60029311</v>
      </c>
      <c r="K264" t="s">
        <v>1966</v>
      </c>
      <c r="L264" t="s">
        <v>1965</v>
      </c>
      <c r="M264" t="s">
        <v>56</v>
      </c>
      <c r="N264">
        <v>2</v>
      </c>
      <c r="O264" t="s">
        <v>4553</v>
      </c>
      <c r="P264" t="s">
        <v>4552</v>
      </c>
      <c r="Q264" t="s">
        <v>4551</v>
      </c>
      <c r="R264" s="7">
        <v>30682</v>
      </c>
      <c r="S264" s="8">
        <f t="shared" si="32"/>
        <v>1984</v>
      </c>
      <c r="T264" s="8">
        <v>1984</v>
      </c>
      <c r="U264" s="8">
        <f t="shared" si="33"/>
        <v>38</v>
      </c>
      <c r="V264" s="7">
        <v>30987</v>
      </c>
      <c r="W264" t="s">
        <v>380</v>
      </c>
      <c r="X264" s="2">
        <v>1.6519999999999999</v>
      </c>
      <c r="Y264" s="6">
        <f t="shared" si="38"/>
        <v>4.409919649769093E-2</v>
      </c>
      <c r="AA264" t="s">
        <v>379</v>
      </c>
      <c r="AB264">
        <v>17337</v>
      </c>
      <c r="AC264">
        <v>15582221</v>
      </c>
      <c r="AD264" t="s">
        <v>4</v>
      </c>
      <c r="AE264">
        <v>32</v>
      </c>
      <c r="AF264">
        <v>11</v>
      </c>
      <c r="AH264" t="s">
        <v>4550</v>
      </c>
      <c r="AI264" t="s">
        <v>4549</v>
      </c>
      <c r="AK264" t="s">
        <v>4548</v>
      </c>
      <c r="AL264">
        <v>10</v>
      </c>
      <c r="AM264" s="5">
        <f t="shared" si="34"/>
        <v>0.26315789473684209</v>
      </c>
      <c r="AN264" s="4">
        <f t="shared" si="39"/>
        <v>3.9857310827238487E-4</v>
      </c>
      <c r="AO264" s="3"/>
      <c r="AP264">
        <v>0</v>
      </c>
      <c r="AR264" t="s">
        <v>0</v>
      </c>
      <c r="AT264" s="2" t="s">
        <v>45</v>
      </c>
      <c r="AU264" s="1">
        <f t="shared" si="35"/>
        <v>3.0989009480865368</v>
      </c>
      <c r="AV264" s="1">
        <f t="shared" si="36"/>
        <v>2.2248884802981657</v>
      </c>
      <c r="AW264" s="1">
        <f t="shared" si="37"/>
        <v>1.3508760125097947</v>
      </c>
    </row>
    <row r="265" spans="1:49" x14ac:dyDescent="0.2">
      <c r="A265">
        <v>263</v>
      </c>
      <c r="B265" t="s">
        <v>4547</v>
      </c>
      <c r="C265" t="s">
        <v>4546</v>
      </c>
      <c r="F265" t="s">
        <v>4545</v>
      </c>
      <c r="G265" t="s">
        <v>13</v>
      </c>
      <c r="H265" t="s">
        <v>12</v>
      </c>
      <c r="I265" t="s">
        <v>4544</v>
      </c>
      <c r="J265">
        <v>60019870</v>
      </c>
      <c r="K265" t="s">
        <v>4543</v>
      </c>
      <c r="L265" t="s">
        <v>4542</v>
      </c>
      <c r="M265" t="s">
        <v>85</v>
      </c>
      <c r="N265">
        <v>1</v>
      </c>
      <c r="O265" t="s">
        <v>4541</v>
      </c>
      <c r="P265">
        <v>7202832083</v>
      </c>
      <c r="Q265">
        <v>60019870</v>
      </c>
      <c r="R265" s="7">
        <v>30682</v>
      </c>
      <c r="S265" s="8">
        <f t="shared" si="32"/>
        <v>1984</v>
      </c>
      <c r="T265" s="8">
        <v>1984</v>
      </c>
      <c r="U265" s="8">
        <f t="shared" si="33"/>
        <v>38</v>
      </c>
      <c r="V265" s="7">
        <v>30987</v>
      </c>
      <c r="W265" t="s">
        <v>380</v>
      </c>
      <c r="X265" s="2">
        <v>1.6519999999999999</v>
      </c>
      <c r="Y265" s="6">
        <f t="shared" si="38"/>
        <v>4.409919649769093E-2</v>
      </c>
      <c r="AA265" t="s">
        <v>379</v>
      </c>
      <c r="AB265">
        <v>17337</v>
      </c>
      <c r="AC265">
        <v>15582221</v>
      </c>
      <c r="AD265" t="s">
        <v>4</v>
      </c>
      <c r="AE265">
        <v>32</v>
      </c>
      <c r="AF265">
        <v>11</v>
      </c>
      <c r="AH265" t="s">
        <v>4540</v>
      </c>
      <c r="AI265" t="s">
        <v>4539</v>
      </c>
      <c r="AK265" t="s">
        <v>4538</v>
      </c>
      <c r="AL265">
        <v>21</v>
      </c>
      <c r="AM265" s="5">
        <f t="shared" si="34"/>
        <v>0.55263157894736847</v>
      </c>
      <c r="AN265" s="4">
        <f t="shared" si="39"/>
        <v>8.3700352737200827E-4</v>
      </c>
      <c r="AO265" s="3"/>
      <c r="AP265">
        <v>0</v>
      </c>
      <c r="AR265" t="s">
        <v>0</v>
      </c>
      <c r="AT265" s="2" t="s">
        <v>45</v>
      </c>
      <c r="AU265" s="1">
        <f t="shared" si="35"/>
        <v>3.1120538606595254</v>
      </c>
      <c r="AV265" s="1">
        <f t="shared" si="36"/>
        <v>2.2468100012531469</v>
      </c>
      <c r="AW265" s="1">
        <f t="shared" si="37"/>
        <v>1.3815661418467684</v>
      </c>
    </row>
    <row r="266" spans="1:49" x14ac:dyDescent="0.2">
      <c r="A266">
        <v>264</v>
      </c>
      <c r="B266" t="s">
        <v>4537</v>
      </c>
      <c r="C266" t="s">
        <v>4536</v>
      </c>
      <c r="F266" t="s">
        <v>4535</v>
      </c>
      <c r="G266" t="s">
        <v>13</v>
      </c>
      <c r="H266" t="s">
        <v>12</v>
      </c>
      <c r="I266" t="s">
        <v>4534</v>
      </c>
      <c r="J266">
        <v>60003500</v>
      </c>
      <c r="K266" t="s">
        <v>4019</v>
      </c>
      <c r="L266" t="s">
        <v>4018</v>
      </c>
      <c r="M266" t="s">
        <v>56</v>
      </c>
      <c r="N266">
        <v>2</v>
      </c>
      <c r="O266" t="s">
        <v>4533</v>
      </c>
      <c r="P266" t="s">
        <v>4532</v>
      </c>
      <c r="Q266" t="s">
        <v>4531</v>
      </c>
      <c r="R266" s="7">
        <v>30682</v>
      </c>
      <c r="S266" s="8">
        <f t="shared" si="32"/>
        <v>1984</v>
      </c>
      <c r="T266" s="8">
        <v>1984</v>
      </c>
      <c r="U266" s="8">
        <f t="shared" si="33"/>
        <v>38</v>
      </c>
      <c r="V266" s="7">
        <v>30987</v>
      </c>
      <c r="W266" t="s">
        <v>380</v>
      </c>
      <c r="X266" s="2">
        <v>1.6519999999999999</v>
      </c>
      <c r="Y266" s="6">
        <f t="shared" si="38"/>
        <v>4.409919649769093E-2</v>
      </c>
      <c r="AA266" t="s">
        <v>379</v>
      </c>
      <c r="AB266">
        <v>17337</v>
      </c>
      <c r="AC266">
        <v>15582221</v>
      </c>
      <c r="AD266" t="s">
        <v>4</v>
      </c>
      <c r="AE266">
        <v>32</v>
      </c>
      <c r="AF266">
        <v>11</v>
      </c>
      <c r="AH266" t="s">
        <v>4530</v>
      </c>
      <c r="AI266" t="s">
        <v>4529</v>
      </c>
      <c r="AK266" t="s">
        <v>4528</v>
      </c>
      <c r="AL266">
        <v>55</v>
      </c>
      <c r="AM266" s="5">
        <f t="shared" si="34"/>
        <v>1.4473684210526316</v>
      </c>
      <c r="AN266" s="4">
        <f t="shared" si="39"/>
        <v>2.192152095498117E-3</v>
      </c>
      <c r="AO266" s="3"/>
      <c r="AP266">
        <v>0</v>
      </c>
      <c r="AR266" t="s">
        <v>0</v>
      </c>
      <c r="AT266" s="2" t="s">
        <v>45</v>
      </c>
      <c r="AU266" s="1">
        <f t="shared" si="35"/>
        <v>3.1527083177033086</v>
      </c>
      <c r="AV266" s="1">
        <f t="shared" si="36"/>
        <v>2.3145674296594523</v>
      </c>
      <c r="AW266" s="1">
        <f t="shared" si="37"/>
        <v>1.4764265416155959</v>
      </c>
    </row>
    <row r="267" spans="1:49" x14ac:dyDescent="0.2">
      <c r="A267">
        <v>265</v>
      </c>
      <c r="B267" t="s">
        <v>4527</v>
      </c>
      <c r="C267" t="s">
        <v>4526</v>
      </c>
      <c r="F267" t="s">
        <v>4525</v>
      </c>
      <c r="G267" t="s">
        <v>13</v>
      </c>
      <c r="H267" t="s">
        <v>12</v>
      </c>
      <c r="I267" t="s">
        <v>4524</v>
      </c>
      <c r="J267">
        <v>60006337</v>
      </c>
      <c r="K267" t="s">
        <v>4523</v>
      </c>
      <c r="L267" t="s">
        <v>4522</v>
      </c>
      <c r="M267" t="s">
        <v>56</v>
      </c>
      <c r="N267">
        <v>1</v>
      </c>
      <c r="O267" t="s">
        <v>4521</v>
      </c>
      <c r="P267">
        <v>6602518956</v>
      </c>
      <c r="Q267">
        <v>60006337</v>
      </c>
      <c r="R267" s="7">
        <v>30682</v>
      </c>
      <c r="S267" s="8">
        <f t="shared" si="32"/>
        <v>1984</v>
      </c>
      <c r="T267" s="8">
        <v>1984</v>
      </c>
      <c r="U267" s="8">
        <f t="shared" si="33"/>
        <v>38</v>
      </c>
      <c r="V267" s="7">
        <v>30987</v>
      </c>
      <c r="W267" t="s">
        <v>1446</v>
      </c>
      <c r="X267" s="2">
        <v>1.137</v>
      </c>
      <c r="Y267" s="6">
        <f t="shared" si="38"/>
        <v>3.0351565628253384E-2</v>
      </c>
      <c r="AA267">
        <v>189251</v>
      </c>
      <c r="AB267">
        <v>17336</v>
      </c>
      <c r="AD267" t="s">
        <v>4</v>
      </c>
      <c r="AE267" t="s">
        <v>1445</v>
      </c>
      <c r="AF267">
        <v>6</v>
      </c>
      <c r="AH267" t="s">
        <v>4520</v>
      </c>
      <c r="AI267" t="s">
        <v>4519</v>
      </c>
      <c r="AK267" t="s">
        <v>4518</v>
      </c>
      <c r="AL267">
        <v>0</v>
      </c>
      <c r="AM267" s="5">
        <f t="shared" si="34"/>
        <v>0</v>
      </c>
      <c r="AN267" s="4">
        <f t="shared" si="39"/>
        <v>0</v>
      </c>
      <c r="AO267" s="3"/>
      <c r="AP267">
        <v>0</v>
      </c>
      <c r="AR267" t="s">
        <v>0</v>
      </c>
      <c r="AT267" s="2" t="s">
        <v>45</v>
      </c>
      <c r="AU267" s="1">
        <f t="shared" si="35"/>
        <v>2.1246095939777367</v>
      </c>
      <c r="AV267" s="1">
        <f t="shared" si="36"/>
        <v>1.5175782814126693</v>
      </c>
      <c r="AW267" s="1">
        <f t="shared" si="37"/>
        <v>0.91054696884760156</v>
      </c>
    </row>
    <row r="268" spans="1:49" x14ac:dyDescent="0.2">
      <c r="A268">
        <v>266</v>
      </c>
      <c r="B268" t="s">
        <v>4517</v>
      </c>
      <c r="C268" t="s">
        <v>4516</v>
      </c>
      <c r="F268" t="s">
        <v>4515</v>
      </c>
      <c r="G268" t="s">
        <v>13</v>
      </c>
      <c r="H268" t="s">
        <v>12</v>
      </c>
      <c r="I268" t="s">
        <v>4514</v>
      </c>
      <c r="J268" t="s">
        <v>4509</v>
      </c>
      <c r="K268" t="s">
        <v>4513</v>
      </c>
      <c r="L268" t="s">
        <v>4512</v>
      </c>
      <c r="M268" t="s">
        <v>2076</v>
      </c>
      <c r="N268">
        <v>2</v>
      </c>
      <c r="O268" t="s">
        <v>4511</v>
      </c>
      <c r="P268" t="s">
        <v>4510</v>
      </c>
      <c r="Q268" t="s">
        <v>4509</v>
      </c>
      <c r="R268" s="7">
        <v>30682</v>
      </c>
      <c r="S268" s="8">
        <f t="shared" si="32"/>
        <v>1984</v>
      </c>
      <c r="T268" s="8">
        <v>1984</v>
      </c>
      <c r="U268" s="8">
        <f t="shared" si="33"/>
        <v>38</v>
      </c>
      <c r="V268" s="7">
        <v>30956</v>
      </c>
      <c r="W268" t="s">
        <v>380</v>
      </c>
      <c r="X268" s="2">
        <v>1.6519999999999999</v>
      </c>
      <c r="Y268" s="6">
        <f t="shared" si="38"/>
        <v>4.409919649769093E-2</v>
      </c>
      <c r="AA268" t="s">
        <v>379</v>
      </c>
      <c r="AB268">
        <v>17337</v>
      </c>
      <c r="AC268">
        <v>15582221</v>
      </c>
      <c r="AD268" t="s">
        <v>4</v>
      </c>
      <c r="AE268">
        <v>32</v>
      </c>
      <c r="AF268">
        <v>10</v>
      </c>
      <c r="AH268" t="s">
        <v>4508</v>
      </c>
      <c r="AI268" t="s">
        <v>4507</v>
      </c>
      <c r="AK268" t="s">
        <v>4506</v>
      </c>
      <c r="AL268">
        <v>5</v>
      </c>
      <c r="AM268" s="5">
        <f t="shared" si="34"/>
        <v>0.13157894736842105</v>
      </c>
      <c r="AN268" s="4">
        <f t="shared" si="39"/>
        <v>1.9928655413619243E-4</v>
      </c>
      <c r="AO268" s="3"/>
      <c r="AP268">
        <v>0</v>
      </c>
      <c r="AR268" t="s">
        <v>0</v>
      </c>
      <c r="AT268" s="2" t="s">
        <v>45</v>
      </c>
      <c r="AU268" s="1">
        <f t="shared" si="35"/>
        <v>3.0929223514624509</v>
      </c>
      <c r="AV268" s="1">
        <f t="shared" si="36"/>
        <v>2.2149241525913563</v>
      </c>
      <c r="AW268" s="1">
        <f t="shared" si="37"/>
        <v>1.3369259537202611</v>
      </c>
    </row>
    <row r="269" spans="1:49" x14ac:dyDescent="0.2">
      <c r="A269">
        <v>267</v>
      </c>
      <c r="B269" t="s">
        <v>4505</v>
      </c>
      <c r="C269" t="s">
        <v>4504</v>
      </c>
      <c r="F269" t="s">
        <v>4503</v>
      </c>
      <c r="G269" t="s">
        <v>13</v>
      </c>
      <c r="H269" t="s">
        <v>12</v>
      </c>
      <c r="I269" t="s">
        <v>4502</v>
      </c>
      <c r="J269">
        <v>60029470</v>
      </c>
      <c r="K269" t="s">
        <v>4501</v>
      </c>
      <c r="L269" t="s">
        <v>4500</v>
      </c>
      <c r="M269" t="s">
        <v>85</v>
      </c>
      <c r="N269">
        <v>1</v>
      </c>
      <c r="O269" t="s">
        <v>4499</v>
      </c>
      <c r="P269">
        <v>7201399131</v>
      </c>
      <c r="Q269">
        <v>60029470</v>
      </c>
      <c r="R269" s="7">
        <v>30682</v>
      </c>
      <c r="S269" s="8">
        <f t="shared" si="32"/>
        <v>1984</v>
      </c>
      <c r="T269" s="8">
        <v>1984</v>
      </c>
      <c r="U269" s="8">
        <f t="shared" si="33"/>
        <v>38</v>
      </c>
      <c r="V269" s="7">
        <v>30956</v>
      </c>
      <c r="W269" t="s">
        <v>380</v>
      </c>
      <c r="X269" s="2">
        <v>1.6519999999999999</v>
      </c>
      <c r="Y269" s="6">
        <f t="shared" si="38"/>
        <v>4.409919649769093E-2</v>
      </c>
      <c r="AA269" t="s">
        <v>379</v>
      </c>
      <c r="AB269">
        <v>17337</v>
      </c>
      <c r="AC269">
        <v>15582221</v>
      </c>
      <c r="AD269" t="s">
        <v>4</v>
      </c>
      <c r="AE269">
        <v>32</v>
      </c>
      <c r="AF269">
        <v>10</v>
      </c>
      <c r="AH269" t="s">
        <v>4498</v>
      </c>
      <c r="AI269" t="s">
        <v>4497</v>
      </c>
      <c r="AK269" t="s">
        <v>4496</v>
      </c>
      <c r="AL269">
        <v>50</v>
      </c>
      <c r="AM269" s="5">
        <f t="shared" si="34"/>
        <v>1.3157894736842106</v>
      </c>
      <c r="AN269" s="4">
        <f t="shared" si="39"/>
        <v>1.9928655413619244E-3</v>
      </c>
      <c r="AO269" s="3"/>
      <c r="AP269">
        <v>0</v>
      </c>
      <c r="AR269" t="s">
        <v>0</v>
      </c>
      <c r="AT269" s="2" t="s">
        <v>45</v>
      </c>
      <c r="AU269" s="1">
        <f t="shared" si="35"/>
        <v>3.1467297210792231</v>
      </c>
      <c r="AV269" s="1">
        <f t="shared" si="36"/>
        <v>2.3046031019526425</v>
      </c>
      <c r="AW269" s="1">
        <f t="shared" si="37"/>
        <v>1.4624764828260626</v>
      </c>
    </row>
    <row r="270" spans="1:49" x14ac:dyDescent="0.2">
      <c r="A270">
        <v>268</v>
      </c>
      <c r="B270" t="s">
        <v>4495</v>
      </c>
      <c r="C270" t="s">
        <v>4494</v>
      </c>
      <c r="F270" t="s">
        <v>4493</v>
      </c>
      <c r="G270" t="s">
        <v>13</v>
      </c>
      <c r="H270" t="s">
        <v>12</v>
      </c>
      <c r="I270" t="s">
        <v>4492</v>
      </c>
      <c r="J270">
        <v>60019647</v>
      </c>
      <c r="K270" t="s">
        <v>1736</v>
      </c>
      <c r="L270" t="s">
        <v>1735</v>
      </c>
      <c r="M270" t="s">
        <v>56</v>
      </c>
      <c r="N270">
        <v>2</v>
      </c>
      <c r="O270" t="s">
        <v>4491</v>
      </c>
      <c r="P270" t="s">
        <v>4490</v>
      </c>
      <c r="Q270" t="s">
        <v>4489</v>
      </c>
      <c r="R270" s="7">
        <v>30682</v>
      </c>
      <c r="S270" s="8">
        <f t="shared" si="32"/>
        <v>1984</v>
      </c>
      <c r="T270" s="8">
        <v>1984</v>
      </c>
      <c r="U270" s="8">
        <f t="shared" si="33"/>
        <v>38</v>
      </c>
      <c r="V270" s="7">
        <v>30956</v>
      </c>
      <c r="W270" t="s">
        <v>380</v>
      </c>
      <c r="X270" s="2">
        <v>1.6519999999999999</v>
      </c>
      <c r="Y270" s="6">
        <f t="shared" si="38"/>
        <v>4.409919649769093E-2</v>
      </c>
      <c r="AA270" t="s">
        <v>379</v>
      </c>
      <c r="AB270">
        <v>17337</v>
      </c>
      <c r="AC270">
        <v>15582221</v>
      </c>
      <c r="AD270" t="s">
        <v>4</v>
      </c>
      <c r="AE270">
        <v>32</v>
      </c>
      <c r="AF270">
        <v>10</v>
      </c>
      <c r="AH270" t="s">
        <v>4488</v>
      </c>
      <c r="AI270" t="s">
        <v>4487</v>
      </c>
      <c r="AK270" t="s">
        <v>4486</v>
      </c>
      <c r="AL270">
        <v>11</v>
      </c>
      <c r="AM270" s="5">
        <f t="shared" si="34"/>
        <v>0.28947368421052633</v>
      </c>
      <c r="AN270" s="4">
        <f t="shared" si="39"/>
        <v>4.3843041909962335E-4</v>
      </c>
      <c r="AO270" s="3"/>
      <c r="AP270">
        <v>0</v>
      </c>
      <c r="AR270" t="s">
        <v>0</v>
      </c>
      <c r="AT270" s="2" t="s">
        <v>45</v>
      </c>
      <c r="AU270" s="1">
        <f t="shared" si="35"/>
        <v>3.1000966674113539</v>
      </c>
      <c r="AV270" s="1">
        <f t="shared" si="36"/>
        <v>2.2268813458395278</v>
      </c>
      <c r="AW270" s="1">
        <f t="shared" si="37"/>
        <v>1.3536660242677014</v>
      </c>
    </row>
    <row r="271" spans="1:49" x14ac:dyDescent="0.2">
      <c r="A271">
        <v>269</v>
      </c>
      <c r="B271" t="s">
        <v>4485</v>
      </c>
      <c r="C271" t="s">
        <v>4484</v>
      </c>
      <c r="F271" t="s">
        <v>4483</v>
      </c>
      <c r="G271" t="s">
        <v>13</v>
      </c>
      <c r="H271" t="s">
        <v>12</v>
      </c>
      <c r="I271" t="s">
        <v>4482</v>
      </c>
      <c r="J271">
        <v>60022195</v>
      </c>
      <c r="K271" t="s">
        <v>195</v>
      </c>
      <c r="L271" t="s">
        <v>194</v>
      </c>
      <c r="M271" t="s">
        <v>56</v>
      </c>
      <c r="N271">
        <v>1</v>
      </c>
      <c r="O271" t="s">
        <v>4481</v>
      </c>
      <c r="P271">
        <v>26650758100</v>
      </c>
      <c r="Q271">
        <v>60022195</v>
      </c>
      <c r="R271" s="7">
        <v>30682</v>
      </c>
      <c r="S271" s="8">
        <f t="shared" si="32"/>
        <v>1984</v>
      </c>
      <c r="T271" s="8">
        <v>1984</v>
      </c>
      <c r="U271" s="8">
        <f t="shared" si="33"/>
        <v>38</v>
      </c>
      <c r="V271" s="7">
        <v>30956</v>
      </c>
      <c r="W271" t="s">
        <v>380</v>
      </c>
      <c r="X271" s="2">
        <v>1.6519999999999999</v>
      </c>
      <c r="Y271" s="6">
        <f t="shared" si="38"/>
        <v>4.409919649769093E-2</v>
      </c>
      <c r="AA271" t="s">
        <v>379</v>
      </c>
      <c r="AB271">
        <v>17337</v>
      </c>
      <c r="AC271">
        <v>15582221</v>
      </c>
      <c r="AD271" t="s">
        <v>4</v>
      </c>
      <c r="AE271">
        <v>32</v>
      </c>
      <c r="AF271">
        <v>10</v>
      </c>
      <c r="AH271" t="s">
        <v>4480</v>
      </c>
      <c r="AI271" t="s">
        <v>4479</v>
      </c>
      <c r="AK271" t="s">
        <v>4478</v>
      </c>
      <c r="AL271">
        <v>4</v>
      </c>
      <c r="AM271" s="5">
        <f t="shared" si="34"/>
        <v>0.10526315789473684</v>
      </c>
      <c r="AN271" s="4">
        <f t="shared" si="39"/>
        <v>1.5942924330895392E-4</v>
      </c>
      <c r="AO271" s="3"/>
      <c r="AP271">
        <v>0</v>
      </c>
      <c r="AR271" t="s">
        <v>0</v>
      </c>
      <c r="AT271" s="2" t="s">
        <v>45</v>
      </c>
      <c r="AU271" s="1">
        <f t="shared" si="35"/>
        <v>3.0917266321376338</v>
      </c>
      <c r="AV271" s="1">
        <f t="shared" si="36"/>
        <v>2.2129312870499942</v>
      </c>
      <c r="AW271" s="1">
        <f t="shared" si="37"/>
        <v>1.3341359419623546</v>
      </c>
    </row>
    <row r="272" spans="1:49" x14ac:dyDescent="0.2">
      <c r="A272">
        <v>270</v>
      </c>
      <c r="B272" t="s">
        <v>4477</v>
      </c>
      <c r="C272" t="s">
        <v>4476</v>
      </c>
      <c r="F272" t="s">
        <v>4475</v>
      </c>
      <c r="G272" t="s">
        <v>13</v>
      </c>
      <c r="H272" t="s">
        <v>12</v>
      </c>
      <c r="I272" t="s">
        <v>4474</v>
      </c>
      <c r="J272">
        <v>60005304</v>
      </c>
      <c r="K272" t="s">
        <v>443</v>
      </c>
      <c r="L272" t="s">
        <v>442</v>
      </c>
      <c r="M272" t="s">
        <v>56</v>
      </c>
      <c r="N272">
        <v>1</v>
      </c>
      <c r="O272" t="s">
        <v>4473</v>
      </c>
      <c r="P272">
        <v>7103263198</v>
      </c>
      <c r="Q272">
        <v>60005304</v>
      </c>
      <c r="R272" s="7">
        <v>30682</v>
      </c>
      <c r="S272" s="8">
        <f t="shared" si="32"/>
        <v>1984</v>
      </c>
      <c r="T272" s="8">
        <v>1984</v>
      </c>
      <c r="U272" s="8">
        <f t="shared" si="33"/>
        <v>38</v>
      </c>
      <c r="V272" s="7">
        <v>30956</v>
      </c>
      <c r="W272" t="s">
        <v>380</v>
      </c>
      <c r="X272" s="2">
        <v>1.6519999999999999</v>
      </c>
      <c r="Y272" s="6">
        <f t="shared" si="38"/>
        <v>4.409919649769093E-2</v>
      </c>
      <c r="AA272" t="s">
        <v>379</v>
      </c>
      <c r="AB272">
        <v>17337</v>
      </c>
      <c r="AC272">
        <v>15582221</v>
      </c>
      <c r="AD272" t="s">
        <v>4</v>
      </c>
      <c r="AE272">
        <v>32</v>
      </c>
      <c r="AF272">
        <v>10</v>
      </c>
      <c r="AH272" t="s">
        <v>4472</v>
      </c>
      <c r="AI272" t="s">
        <v>4471</v>
      </c>
      <c r="AK272" t="s">
        <v>4470</v>
      </c>
      <c r="AL272">
        <v>121</v>
      </c>
      <c r="AM272" s="5">
        <f t="shared" si="34"/>
        <v>3.1842105263157894</v>
      </c>
      <c r="AN272" s="4">
        <f t="shared" si="39"/>
        <v>4.822734610095857E-3</v>
      </c>
      <c r="AO272" s="3"/>
      <c r="AP272">
        <v>0</v>
      </c>
      <c r="AR272" t="s">
        <v>0</v>
      </c>
      <c r="AT272" s="2" t="s">
        <v>45</v>
      </c>
      <c r="AU272" s="1">
        <f t="shared" si="35"/>
        <v>3.2316257931412409</v>
      </c>
      <c r="AV272" s="1">
        <f t="shared" si="36"/>
        <v>2.4460965553893392</v>
      </c>
      <c r="AW272" s="1">
        <f t="shared" si="37"/>
        <v>1.6605673176374378</v>
      </c>
    </row>
    <row r="273" spans="1:49" x14ac:dyDescent="0.2">
      <c r="A273">
        <v>271</v>
      </c>
      <c r="B273" t="s">
        <v>4469</v>
      </c>
      <c r="C273" t="s">
        <v>4468</v>
      </c>
      <c r="F273" t="s">
        <v>4467</v>
      </c>
      <c r="G273" t="s">
        <v>13</v>
      </c>
      <c r="H273" t="s">
        <v>12</v>
      </c>
      <c r="I273" t="s">
        <v>1352</v>
      </c>
      <c r="J273">
        <v>60014313</v>
      </c>
      <c r="K273" t="s">
        <v>1351</v>
      </c>
      <c r="L273" t="s">
        <v>1350</v>
      </c>
      <c r="M273" t="s">
        <v>56</v>
      </c>
      <c r="N273">
        <v>2</v>
      </c>
      <c r="O273" t="s">
        <v>2981</v>
      </c>
      <c r="P273" t="s">
        <v>2980</v>
      </c>
      <c r="Q273" t="s">
        <v>2979</v>
      </c>
      <c r="R273" s="7">
        <v>30682</v>
      </c>
      <c r="S273" s="8">
        <f t="shared" si="32"/>
        <v>1984</v>
      </c>
      <c r="T273" s="8">
        <v>1984</v>
      </c>
      <c r="U273" s="8">
        <f t="shared" si="33"/>
        <v>38</v>
      </c>
      <c r="V273" s="7">
        <v>30956</v>
      </c>
      <c r="W273" t="s">
        <v>380</v>
      </c>
      <c r="X273" s="2">
        <v>1.6519999999999999</v>
      </c>
      <c r="Y273" s="6">
        <f t="shared" si="38"/>
        <v>4.409919649769093E-2</v>
      </c>
      <c r="AA273" t="s">
        <v>379</v>
      </c>
      <c r="AB273">
        <v>17337</v>
      </c>
      <c r="AC273">
        <v>15582221</v>
      </c>
      <c r="AD273" t="s">
        <v>4</v>
      </c>
      <c r="AE273">
        <v>32</v>
      </c>
      <c r="AF273">
        <v>10</v>
      </c>
      <c r="AH273" t="s">
        <v>4466</v>
      </c>
      <c r="AI273" t="s">
        <v>4465</v>
      </c>
      <c r="AK273" t="s">
        <v>4464</v>
      </c>
      <c r="AL273">
        <v>188</v>
      </c>
      <c r="AM273" s="5">
        <f t="shared" si="34"/>
        <v>4.9473684210526319</v>
      </c>
      <c r="AN273" s="4">
        <f t="shared" si="39"/>
        <v>7.4931744355208356E-3</v>
      </c>
      <c r="AO273" s="3"/>
      <c r="AP273">
        <v>0</v>
      </c>
      <c r="AR273" t="s">
        <v>0</v>
      </c>
      <c r="AT273" s="2" t="s">
        <v>45</v>
      </c>
      <c r="AU273" s="1">
        <f t="shared" si="35"/>
        <v>3.3117389879039902</v>
      </c>
      <c r="AV273" s="1">
        <f t="shared" si="36"/>
        <v>2.5796185466605883</v>
      </c>
      <c r="AW273" s="1">
        <f t="shared" si="37"/>
        <v>1.8474981054171864</v>
      </c>
    </row>
    <row r="274" spans="1:49" x14ac:dyDescent="0.2">
      <c r="A274">
        <v>272</v>
      </c>
      <c r="B274" t="s">
        <v>4463</v>
      </c>
      <c r="C274" t="s">
        <v>4462</v>
      </c>
      <c r="F274" t="s">
        <v>4461</v>
      </c>
      <c r="G274" t="s">
        <v>13</v>
      </c>
      <c r="H274" t="s">
        <v>12</v>
      </c>
      <c r="I274" t="s">
        <v>4460</v>
      </c>
      <c r="J274">
        <v>100499275</v>
      </c>
      <c r="K274" t="s">
        <v>4459</v>
      </c>
      <c r="L274" t="s">
        <v>4458</v>
      </c>
      <c r="M274" t="s">
        <v>142</v>
      </c>
      <c r="N274">
        <v>1</v>
      </c>
      <c r="O274" t="s">
        <v>4457</v>
      </c>
      <c r="P274">
        <v>7003461640</v>
      </c>
      <c r="Q274">
        <v>100499275</v>
      </c>
      <c r="R274" s="7">
        <v>30682</v>
      </c>
      <c r="S274" s="8">
        <f t="shared" si="32"/>
        <v>1984</v>
      </c>
      <c r="T274" s="8">
        <v>1984</v>
      </c>
      <c r="U274" s="8">
        <f t="shared" si="33"/>
        <v>38</v>
      </c>
      <c r="V274" s="7">
        <v>30956</v>
      </c>
      <c r="W274" t="s">
        <v>380</v>
      </c>
      <c r="X274" s="2">
        <v>1.6519999999999999</v>
      </c>
      <c r="Y274" s="6">
        <f t="shared" si="38"/>
        <v>4.409919649769093E-2</v>
      </c>
      <c r="AA274" t="s">
        <v>379</v>
      </c>
      <c r="AB274">
        <v>17337</v>
      </c>
      <c r="AC274">
        <v>15582221</v>
      </c>
      <c r="AD274" t="s">
        <v>4</v>
      </c>
      <c r="AE274">
        <v>32</v>
      </c>
      <c r="AF274">
        <v>10</v>
      </c>
      <c r="AH274" t="s">
        <v>4456</v>
      </c>
      <c r="AI274" t="s">
        <v>4455</v>
      </c>
      <c r="AK274" t="s">
        <v>4454</v>
      </c>
      <c r="AL274">
        <v>6</v>
      </c>
      <c r="AM274" s="5">
        <f t="shared" si="34"/>
        <v>0.15789473684210525</v>
      </c>
      <c r="AN274" s="4">
        <f t="shared" si="39"/>
        <v>2.3914386496343091E-4</v>
      </c>
      <c r="AO274" s="3"/>
      <c r="AP274">
        <v>0</v>
      </c>
      <c r="AR274" t="s">
        <v>0</v>
      </c>
      <c r="AT274" s="2" t="s">
        <v>45</v>
      </c>
      <c r="AU274" s="1">
        <f t="shared" si="35"/>
        <v>3.094118070787268</v>
      </c>
      <c r="AV274" s="1">
        <f t="shared" si="36"/>
        <v>2.216917018132718</v>
      </c>
      <c r="AW274" s="1">
        <f t="shared" si="37"/>
        <v>1.3397159654781678</v>
      </c>
    </row>
    <row r="275" spans="1:49" x14ac:dyDescent="0.2">
      <c r="A275">
        <v>273</v>
      </c>
      <c r="B275" t="s">
        <v>4453</v>
      </c>
      <c r="C275" t="s">
        <v>4452</v>
      </c>
      <c r="F275" t="s">
        <v>4451</v>
      </c>
      <c r="G275" t="s">
        <v>13</v>
      </c>
      <c r="H275" t="s">
        <v>12</v>
      </c>
      <c r="I275" t="s">
        <v>4450</v>
      </c>
      <c r="J275" t="s">
        <v>4445</v>
      </c>
      <c r="K275" t="s">
        <v>4449</v>
      </c>
      <c r="L275" t="s">
        <v>4448</v>
      </c>
      <c r="M275" t="s">
        <v>206</v>
      </c>
      <c r="N275">
        <v>2</v>
      </c>
      <c r="O275" t="s">
        <v>4447</v>
      </c>
      <c r="P275" t="s">
        <v>4446</v>
      </c>
      <c r="Q275" t="s">
        <v>4445</v>
      </c>
      <c r="R275" s="7">
        <v>30682</v>
      </c>
      <c r="S275" s="8">
        <f t="shared" si="32"/>
        <v>1984</v>
      </c>
      <c r="T275" s="8">
        <v>1984</v>
      </c>
      <c r="U275" s="8">
        <f t="shared" si="33"/>
        <v>38</v>
      </c>
      <c r="V275" s="7">
        <v>30956</v>
      </c>
      <c r="W275" t="s">
        <v>380</v>
      </c>
      <c r="X275" s="2">
        <v>1.6519999999999999</v>
      </c>
      <c r="Y275" s="6">
        <f t="shared" si="38"/>
        <v>4.409919649769093E-2</v>
      </c>
      <c r="AA275" t="s">
        <v>379</v>
      </c>
      <c r="AB275">
        <v>17337</v>
      </c>
      <c r="AC275">
        <v>15582221</v>
      </c>
      <c r="AD275" t="s">
        <v>4</v>
      </c>
      <c r="AE275">
        <v>32</v>
      </c>
      <c r="AF275">
        <v>10</v>
      </c>
      <c r="AH275" t="s">
        <v>4444</v>
      </c>
      <c r="AI275" t="s">
        <v>4443</v>
      </c>
      <c r="AK275" t="s">
        <v>4442</v>
      </c>
      <c r="AL275">
        <v>90</v>
      </c>
      <c r="AM275" s="5">
        <f t="shared" si="34"/>
        <v>2.3684210526315788</v>
      </c>
      <c r="AN275" s="4">
        <f t="shared" si="39"/>
        <v>3.5871579744514636E-3</v>
      </c>
      <c r="AO275" s="3"/>
      <c r="AP275">
        <v>0</v>
      </c>
      <c r="AR275" t="s">
        <v>0</v>
      </c>
      <c r="AT275" s="2" t="s">
        <v>45</v>
      </c>
      <c r="AU275" s="1">
        <f t="shared" si="35"/>
        <v>3.1945584940719094</v>
      </c>
      <c r="AV275" s="1">
        <f t="shared" si="36"/>
        <v>2.3843177236071198</v>
      </c>
      <c r="AW275" s="1">
        <f t="shared" si="37"/>
        <v>1.5740769531423302</v>
      </c>
    </row>
    <row r="276" spans="1:49" x14ac:dyDescent="0.2">
      <c r="A276">
        <v>274</v>
      </c>
      <c r="B276" t="s">
        <v>4441</v>
      </c>
      <c r="C276" t="s">
        <v>4440</v>
      </c>
      <c r="F276" t="s">
        <v>4439</v>
      </c>
      <c r="G276" t="s">
        <v>13</v>
      </c>
      <c r="H276" t="s">
        <v>12</v>
      </c>
      <c r="I276" t="s">
        <v>3568</v>
      </c>
      <c r="J276" t="s">
        <v>4438</v>
      </c>
      <c r="K276" t="s">
        <v>4437</v>
      </c>
      <c r="L276" t="s">
        <v>4436</v>
      </c>
      <c r="M276" t="s">
        <v>2076</v>
      </c>
      <c r="N276">
        <v>5</v>
      </c>
      <c r="O276" t="s">
        <v>4435</v>
      </c>
      <c r="P276" t="s">
        <v>4434</v>
      </c>
      <c r="Q276" t="s">
        <v>4433</v>
      </c>
      <c r="R276" s="7">
        <v>30682</v>
      </c>
      <c r="S276" s="8">
        <f t="shared" si="32"/>
        <v>1984</v>
      </c>
      <c r="T276" s="8">
        <v>1984</v>
      </c>
      <c r="U276" s="8">
        <f t="shared" si="33"/>
        <v>38</v>
      </c>
      <c r="V276" s="7">
        <v>30956</v>
      </c>
      <c r="W276" t="s">
        <v>380</v>
      </c>
      <c r="X276" s="2">
        <v>1.6519999999999999</v>
      </c>
      <c r="Y276" s="6">
        <f t="shared" si="38"/>
        <v>4.409919649769093E-2</v>
      </c>
      <c r="AA276" t="s">
        <v>379</v>
      </c>
      <c r="AB276">
        <v>17337</v>
      </c>
      <c r="AC276">
        <v>15582221</v>
      </c>
      <c r="AD276" t="s">
        <v>4</v>
      </c>
      <c r="AE276">
        <v>32</v>
      </c>
      <c r="AF276">
        <v>10</v>
      </c>
      <c r="AH276" t="s">
        <v>4432</v>
      </c>
      <c r="AI276" t="s">
        <v>4431</v>
      </c>
      <c r="AK276" t="s">
        <v>4430</v>
      </c>
      <c r="AL276">
        <v>3</v>
      </c>
      <c r="AM276" s="5">
        <f t="shared" si="34"/>
        <v>7.8947368421052627E-2</v>
      </c>
      <c r="AN276" s="4">
        <f t="shared" si="39"/>
        <v>1.1957193248171546E-4</v>
      </c>
      <c r="AO276" s="3"/>
      <c r="AP276">
        <v>0</v>
      </c>
      <c r="AR276" t="s">
        <v>0</v>
      </c>
      <c r="AT276" s="2" t="s">
        <v>45</v>
      </c>
      <c r="AU276" s="1">
        <f t="shared" si="35"/>
        <v>3.0905309128128167</v>
      </c>
      <c r="AV276" s="1">
        <f t="shared" si="36"/>
        <v>2.2109384215086325</v>
      </c>
      <c r="AW276" s="1">
        <f t="shared" si="37"/>
        <v>1.3313459302044479</v>
      </c>
    </row>
    <row r="277" spans="1:49" x14ac:dyDescent="0.2">
      <c r="A277">
        <v>275</v>
      </c>
      <c r="B277" t="s">
        <v>4429</v>
      </c>
      <c r="C277" t="s">
        <v>4428</v>
      </c>
      <c r="F277" t="s">
        <v>4427</v>
      </c>
      <c r="G277" t="s">
        <v>13</v>
      </c>
      <c r="H277" t="s">
        <v>12</v>
      </c>
      <c r="I277" t="s">
        <v>4426</v>
      </c>
      <c r="J277" t="s">
        <v>4425</v>
      </c>
      <c r="K277" t="s">
        <v>4424</v>
      </c>
      <c r="L277" t="s">
        <v>4423</v>
      </c>
      <c r="M277" t="s">
        <v>4422</v>
      </c>
      <c r="N277">
        <v>2</v>
      </c>
      <c r="O277" t="s">
        <v>4421</v>
      </c>
      <c r="P277" t="s">
        <v>4420</v>
      </c>
      <c r="Q277" t="s">
        <v>4419</v>
      </c>
      <c r="R277" s="7">
        <v>30682</v>
      </c>
      <c r="S277" s="8">
        <f t="shared" si="32"/>
        <v>1984</v>
      </c>
      <c r="T277" s="8">
        <v>1984</v>
      </c>
      <c r="U277" s="8">
        <f t="shared" si="33"/>
        <v>38</v>
      </c>
      <c r="V277" s="7">
        <v>30956</v>
      </c>
      <c r="W277" t="s">
        <v>380</v>
      </c>
      <c r="X277" s="2">
        <v>1.6519999999999999</v>
      </c>
      <c r="Y277" s="6">
        <f t="shared" si="38"/>
        <v>4.409919649769093E-2</v>
      </c>
      <c r="AA277" t="s">
        <v>379</v>
      </c>
      <c r="AB277">
        <v>17337</v>
      </c>
      <c r="AC277">
        <v>15582221</v>
      </c>
      <c r="AD277" t="s">
        <v>4</v>
      </c>
      <c r="AE277">
        <v>32</v>
      </c>
      <c r="AF277">
        <v>10</v>
      </c>
      <c r="AH277" t="s">
        <v>4418</v>
      </c>
      <c r="AI277" t="s">
        <v>4417</v>
      </c>
      <c r="AK277" t="s">
        <v>4416</v>
      </c>
      <c r="AL277">
        <v>30</v>
      </c>
      <c r="AM277" s="5">
        <f t="shared" si="34"/>
        <v>0.78947368421052633</v>
      </c>
      <c r="AN277" s="4">
        <f t="shared" si="39"/>
        <v>1.1957193248171545E-3</v>
      </c>
      <c r="AO277" s="3"/>
      <c r="AP277">
        <v>0</v>
      </c>
      <c r="AR277" t="s">
        <v>0</v>
      </c>
      <c r="AT277" s="2" t="s">
        <v>45</v>
      </c>
      <c r="AU277" s="1">
        <f t="shared" si="35"/>
        <v>3.1228153345828797</v>
      </c>
      <c r="AV277" s="1">
        <f t="shared" si="36"/>
        <v>2.2647457911254043</v>
      </c>
      <c r="AW277" s="1">
        <f t="shared" si="37"/>
        <v>1.4066762476679286</v>
      </c>
    </row>
    <row r="278" spans="1:49" x14ac:dyDescent="0.2">
      <c r="A278">
        <v>276</v>
      </c>
      <c r="B278" t="s">
        <v>4415</v>
      </c>
      <c r="C278" t="s">
        <v>4414</v>
      </c>
      <c r="F278" t="s">
        <v>4413</v>
      </c>
      <c r="G278" t="s">
        <v>13</v>
      </c>
      <c r="H278" t="s">
        <v>12</v>
      </c>
      <c r="I278" t="s">
        <v>4412</v>
      </c>
      <c r="J278" t="s">
        <v>4411</v>
      </c>
      <c r="K278" t="s">
        <v>4410</v>
      </c>
      <c r="L278" t="s">
        <v>4409</v>
      </c>
      <c r="M278" t="s">
        <v>100</v>
      </c>
      <c r="N278">
        <v>4</v>
      </c>
      <c r="O278" t="s">
        <v>4408</v>
      </c>
      <c r="P278" t="s">
        <v>4407</v>
      </c>
      <c r="Q278" t="s">
        <v>4406</v>
      </c>
      <c r="R278" s="7">
        <v>30682</v>
      </c>
      <c r="S278" s="8">
        <f t="shared" si="32"/>
        <v>1984</v>
      </c>
      <c r="T278" s="8">
        <v>1984</v>
      </c>
      <c r="U278" s="8">
        <f t="shared" si="33"/>
        <v>38</v>
      </c>
      <c r="V278" s="7">
        <v>30956</v>
      </c>
      <c r="W278" s="11" t="s">
        <v>1313</v>
      </c>
      <c r="X278" s="2">
        <v>2.383</v>
      </c>
      <c r="Y278" s="6">
        <f t="shared" si="38"/>
        <v>6.3612824003630442E-2</v>
      </c>
      <c r="AA278">
        <v>1437070</v>
      </c>
      <c r="AB278">
        <v>39742</v>
      </c>
      <c r="AD278" t="s">
        <v>4</v>
      </c>
      <c r="AE278">
        <v>131</v>
      </c>
      <c r="AF278">
        <v>6</v>
      </c>
      <c r="AH278" t="s">
        <v>4405</v>
      </c>
      <c r="AI278" t="s">
        <v>4404</v>
      </c>
      <c r="AJ278" t="s">
        <v>4403</v>
      </c>
      <c r="AK278" t="s">
        <v>4402</v>
      </c>
      <c r="AL278">
        <v>17</v>
      </c>
      <c r="AM278" s="5">
        <f t="shared" si="34"/>
        <v>0.44736842105263158</v>
      </c>
      <c r="AN278" s="4">
        <f t="shared" si="39"/>
        <v>6.7757428406305424E-4</v>
      </c>
      <c r="AO278" s="3"/>
      <c r="AP278">
        <v>0</v>
      </c>
      <c r="AR278" t="s">
        <v>0</v>
      </c>
      <c r="AT278" s="2" t="s">
        <v>45</v>
      </c>
      <c r="AU278" s="1">
        <f t="shared" si="35"/>
        <v>4.4732249087760225</v>
      </c>
      <c r="AV278" s="1">
        <f t="shared" si="36"/>
        <v>3.2145199143846748</v>
      </c>
      <c r="AW278" s="1">
        <f t="shared" si="37"/>
        <v>1.9558149199933272</v>
      </c>
    </row>
    <row r="279" spans="1:49" x14ac:dyDescent="0.2">
      <c r="A279">
        <v>277</v>
      </c>
      <c r="B279" t="s">
        <v>4401</v>
      </c>
      <c r="C279" t="s">
        <v>4400</v>
      </c>
      <c r="F279" t="s">
        <v>4399</v>
      </c>
      <c r="G279" t="s">
        <v>13</v>
      </c>
      <c r="H279" t="s">
        <v>12</v>
      </c>
      <c r="I279" t="s">
        <v>4398</v>
      </c>
      <c r="J279" t="s">
        <v>4076</v>
      </c>
      <c r="K279" t="s">
        <v>4075</v>
      </c>
      <c r="L279" t="s">
        <v>4074</v>
      </c>
      <c r="M279" t="s">
        <v>4073</v>
      </c>
      <c r="N279">
        <v>1</v>
      </c>
      <c r="O279" t="s">
        <v>4072</v>
      </c>
      <c r="P279">
        <v>7005751127</v>
      </c>
      <c r="Q279" t="s">
        <v>4071</v>
      </c>
      <c r="R279" s="7">
        <v>30682</v>
      </c>
      <c r="S279" s="8">
        <f t="shared" si="32"/>
        <v>1984</v>
      </c>
      <c r="T279" s="8">
        <v>1984</v>
      </c>
      <c r="U279" s="8">
        <f t="shared" si="33"/>
        <v>38</v>
      </c>
      <c r="V279" s="7">
        <v>30956</v>
      </c>
      <c r="W279" t="s">
        <v>652</v>
      </c>
      <c r="X279" s="2">
        <v>1.468</v>
      </c>
      <c r="Y279" s="6">
        <f t="shared" si="38"/>
        <v>3.9187421585115186E-2</v>
      </c>
      <c r="AA279">
        <v>906778</v>
      </c>
      <c r="AB279">
        <v>18931</v>
      </c>
      <c r="AD279" t="s">
        <v>4</v>
      </c>
      <c r="AE279">
        <v>32</v>
      </c>
      <c r="AF279">
        <v>10</v>
      </c>
      <c r="AH279" t="s">
        <v>4397</v>
      </c>
      <c r="AI279" t="s">
        <v>4396</v>
      </c>
      <c r="AK279" t="s">
        <v>4395</v>
      </c>
      <c r="AL279">
        <v>0</v>
      </c>
      <c r="AM279" s="5">
        <f t="shared" si="34"/>
        <v>0</v>
      </c>
      <c r="AN279" s="4">
        <f t="shared" si="39"/>
        <v>0</v>
      </c>
      <c r="AO279" s="3"/>
      <c r="AP279">
        <v>0</v>
      </c>
      <c r="AR279" t="s">
        <v>0</v>
      </c>
      <c r="AT279" s="2">
        <v>5.0830000000000002</v>
      </c>
      <c r="AU279" s="1">
        <f t="shared" si="35"/>
        <v>2.7431195109580626</v>
      </c>
      <c r="AV279" s="1">
        <f t="shared" si="36"/>
        <v>1.9593710792557593</v>
      </c>
      <c r="AW279" s="1">
        <f t="shared" si="37"/>
        <v>1.1756226475534557</v>
      </c>
    </row>
    <row r="280" spans="1:49" x14ac:dyDescent="0.2">
      <c r="A280">
        <v>278</v>
      </c>
      <c r="B280" t="s">
        <v>4394</v>
      </c>
      <c r="C280" t="s">
        <v>4393</v>
      </c>
      <c r="F280" t="s">
        <v>4392</v>
      </c>
      <c r="G280" t="s">
        <v>13</v>
      </c>
      <c r="H280" t="s">
        <v>12</v>
      </c>
      <c r="I280" t="s">
        <v>2450</v>
      </c>
      <c r="J280">
        <v>60013141</v>
      </c>
      <c r="K280" t="s">
        <v>2855</v>
      </c>
      <c r="L280" t="s">
        <v>2854</v>
      </c>
      <c r="M280" t="s">
        <v>2853</v>
      </c>
      <c r="N280">
        <v>2</v>
      </c>
      <c r="O280" t="s">
        <v>4391</v>
      </c>
      <c r="P280" t="s">
        <v>4390</v>
      </c>
      <c r="Q280" t="s">
        <v>4389</v>
      </c>
      <c r="R280" s="7">
        <v>30682</v>
      </c>
      <c r="S280" s="8">
        <f t="shared" si="32"/>
        <v>1984</v>
      </c>
      <c r="T280" s="8">
        <v>1984</v>
      </c>
      <c r="U280" s="8">
        <f t="shared" si="33"/>
        <v>38</v>
      </c>
      <c r="V280" s="7">
        <v>30956</v>
      </c>
      <c r="W280" t="s">
        <v>380</v>
      </c>
      <c r="X280" s="2">
        <v>1.6519999999999999</v>
      </c>
      <c r="Y280" s="6">
        <f t="shared" si="38"/>
        <v>4.409919649769093E-2</v>
      </c>
      <c r="AA280" t="s">
        <v>379</v>
      </c>
      <c r="AB280">
        <v>17337</v>
      </c>
      <c r="AC280">
        <v>15582221</v>
      </c>
      <c r="AD280" t="s">
        <v>4</v>
      </c>
      <c r="AE280">
        <v>32</v>
      </c>
      <c r="AF280">
        <v>10</v>
      </c>
      <c r="AH280" t="s">
        <v>4388</v>
      </c>
      <c r="AI280" t="s">
        <v>4387</v>
      </c>
      <c r="AK280" t="s">
        <v>4386</v>
      </c>
      <c r="AL280">
        <v>13</v>
      </c>
      <c r="AM280" s="5">
        <f t="shared" si="34"/>
        <v>0.34210526315789475</v>
      </c>
      <c r="AN280" s="4">
        <f t="shared" si="39"/>
        <v>5.1814504075410031E-4</v>
      </c>
      <c r="AO280" s="3"/>
      <c r="AP280">
        <v>0</v>
      </c>
      <c r="AR280" t="s">
        <v>0</v>
      </c>
      <c r="AT280" s="2" t="s">
        <v>45</v>
      </c>
      <c r="AU280" s="1">
        <f t="shared" si="35"/>
        <v>3.1024881060609881</v>
      </c>
      <c r="AV280" s="1">
        <f t="shared" si="36"/>
        <v>2.2308670769222516</v>
      </c>
      <c r="AW280" s="1">
        <f t="shared" si="37"/>
        <v>1.3592460477835149</v>
      </c>
    </row>
    <row r="281" spans="1:49" x14ac:dyDescent="0.2">
      <c r="A281">
        <v>279</v>
      </c>
      <c r="B281" t="s">
        <v>4385</v>
      </c>
      <c r="C281" t="s">
        <v>4384</v>
      </c>
      <c r="F281" t="s">
        <v>4383</v>
      </c>
      <c r="G281" t="s">
        <v>13</v>
      </c>
      <c r="H281" t="s">
        <v>12</v>
      </c>
      <c r="I281" t="s">
        <v>4382</v>
      </c>
      <c r="J281">
        <v>60009697</v>
      </c>
      <c r="K281" t="s">
        <v>4381</v>
      </c>
      <c r="L281" t="s">
        <v>4380</v>
      </c>
      <c r="M281" t="s">
        <v>38</v>
      </c>
      <c r="N281">
        <v>2</v>
      </c>
      <c r="O281" t="s">
        <v>4379</v>
      </c>
      <c r="P281" t="s">
        <v>4378</v>
      </c>
      <c r="Q281" t="s">
        <v>4377</v>
      </c>
      <c r="R281" s="7">
        <v>30682</v>
      </c>
      <c r="S281" s="8">
        <f t="shared" si="32"/>
        <v>1984</v>
      </c>
      <c r="T281" s="8">
        <v>1984</v>
      </c>
      <c r="U281" s="8">
        <f t="shared" si="33"/>
        <v>38</v>
      </c>
      <c r="V281" s="7">
        <v>30956</v>
      </c>
      <c r="W281" t="s">
        <v>380</v>
      </c>
      <c r="X281" s="2">
        <v>1.6519999999999999</v>
      </c>
      <c r="Y281" s="6">
        <f t="shared" si="38"/>
        <v>4.409919649769093E-2</v>
      </c>
      <c r="AA281" t="s">
        <v>379</v>
      </c>
      <c r="AB281">
        <v>17337</v>
      </c>
      <c r="AC281">
        <v>15582221</v>
      </c>
      <c r="AD281" t="s">
        <v>4</v>
      </c>
      <c r="AE281">
        <v>32</v>
      </c>
      <c r="AF281">
        <v>10</v>
      </c>
      <c r="AH281" t="s">
        <v>4376</v>
      </c>
      <c r="AI281" t="s">
        <v>4375</v>
      </c>
      <c r="AK281" t="s">
        <v>4374</v>
      </c>
      <c r="AL281">
        <v>2</v>
      </c>
      <c r="AM281" s="5">
        <f t="shared" si="34"/>
        <v>5.2631578947368418E-2</v>
      </c>
      <c r="AN281" s="4">
        <f t="shared" si="39"/>
        <v>7.9714621654476962E-5</v>
      </c>
      <c r="AO281" s="3"/>
      <c r="AP281">
        <v>0</v>
      </c>
      <c r="AR281" t="s">
        <v>0</v>
      </c>
      <c r="AT281" s="2" t="s">
        <v>45</v>
      </c>
      <c r="AU281" s="1">
        <f t="shared" si="35"/>
        <v>3.0893351934879991</v>
      </c>
      <c r="AV281" s="1">
        <f t="shared" si="36"/>
        <v>2.2089455559672704</v>
      </c>
      <c r="AW281" s="1">
        <f t="shared" si="37"/>
        <v>1.3285559184465412</v>
      </c>
    </row>
    <row r="282" spans="1:49" x14ac:dyDescent="0.2">
      <c r="A282">
        <v>280</v>
      </c>
      <c r="B282" t="s">
        <v>4373</v>
      </c>
      <c r="C282" t="s">
        <v>4372</v>
      </c>
      <c r="F282" t="s">
        <v>4371</v>
      </c>
      <c r="G282" t="s">
        <v>13</v>
      </c>
      <c r="H282" t="s">
        <v>12</v>
      </c>
      <c r="I282" t="s">
        <v>4370</v>
      </c>
      <c r="J282">
        <v>60026175</v>
      </c>
      <c r="K282" t="s">
        <v>4369</v>
      </c>
      <c r="L282" t="s">
        <v>4368</v>
      </c>
      <c r="M282" t="s">
        <v>56</v>
      </c>
      <c r="N282">
        <v>2</v>
      </c>
      <c r="O282" t="s">
        <v>4367</v>
      </c>
      <c r="P282" t="s">
        <v>4366</v>
      </c>
      <c r="Q282" t="s">
        <v>4365</v>
      </c>
      <c r="R282" s="7">
        <v>30682</v>
      </c>
      <c r="S282" s="8">
        <f t="shared" si="32"/>
        <v>1984</v>
      </c>
      <c r="T282" s="8">
        <v>1984</v>
      </c>
      <c r="U282" s="8">
        <f t="shared" si="33"/>
        <v>38</v>
      </c>
      <c r="V282" s="7">
        <v>30956</v>
      </c>
      <c r="W282" t="s">
        <v>380</v>
      </c>
      <c r="X282" s="2">
        <v>1.6519999999999999</v>
      </c>
      <c r="Y282" s="6">
        <f t="shared" si="38"/>
        <v>4.409919649769093E-2</v>
      </c>
      <c r="AA282" t="s">
        <v>379</v>
      </c>
      <c r="AB282">
        <v>17337</v>
      </c>
      <c r="AC282">
        <v>15582221</v>
      </c>
      <c r="AD282" t="s">
        <v>4</v>
      </c>
      <c r="AE282">
        <v>32</v>
      </c>
      <c r="AF282">
        <v>10</v>
      </c>
      <c r="AH282" t="s">
        <v>4364</v>
      </c>
      <c r="AI282" t="s">
        <v>4363</v>
      </c>
      <c r="AK282" t="s">
        <v>4362</v>
      </c>
      <c r="AL282">
        <v>117</v>
      </c>
      <c r="AM282" s="5">
        <f t="shared" si="34"/>
        <v>3.0789473684210527</v>
      </c>
      <c r="AN282" s="4">
        <f t="shared" si="39"/>
        <v>4.6633053667869033E-3</v>
      </c>
      <c r="AO282" s="3"/>
      <c r="AP282">
        <v>0</v>
      </c>
      <c r="AR282" t="s">
        <v>0</v>
      </c>
      <c r="AT282" s="2" t="s">
        <v>45</v>
      </c>
      <c r="AU282" s="1">
        <f t="shared" si="35"/>
        <v>3.2268429158419725</v>
      </c>
      <c r="AV282" s="1">
        <f t="shared" si="36"/>
        <v>2.438125093223892</v>
      </c>
      <c r="AW282" s="1">
        <f t="shared" si="37"/>
        <v>1.6494072706058109</v>
      </c>
    </row>
    <row r="283" spans="1:49" x14ac:dyDescent="0.2">
      <c r="A283">
        <v>281</v>
      </c>
      <c r="B283" t="s">
        <v>4361</v>
      </c>
      <c r="C283" t="s">
        <v>4360</v>
      </c>
      <c r="F283" t="s">
        <v>4359</v>
      </c>
      <c r="G283" t="s">
        <v>13</v>
      </c>
      <c r="H283" t="s">
        <v>12</v>
      </c>
      <c r="I283" t="s">
        <v>3727</v>
      </c>
      <c r="J283">
        <v>60103653</v>
      </c>
      <c r="K283" t="s">
        <v>1282</v>
      </c>
      <c r="L283" t="s">
        <v>1281</v>
      </c>
      <c r="M283" t="s">
        <v>1280</v>
      </c>
      <c r="N283">
        <v>2</v>
      </c>
      <c r="O283" t="s">
        <v>1279</v>
      </c>
      <c r="P283" t="s">
        <v>1278</v>
      </c>
      <c r="Q283" t="s">
        <v>1277</v>
      </c>
      <c r="R283" s="7">
        <v>30682</v>
      </c>
      <c r="S283" s="8">
        <f t="shared" si="32"/>
        <v>1984</v>
      </c>
      <c r="T283" s="8">
        <v>1984</v>
      </c>
      <c r="U283" s="8">
        <f t="shared" si="33"/>
        <v>38</v>
      </c>
      <c r="V283" s="7">
        <v>30956</v>
      </c>
      <c r="W283" t="s">
        <v>380</v>
      </c>
      <c r="X283" s="2">
        <v>1.6519999999999999</v>
      </c>
      <c r="Y283" s="6">
        <f t="shared" si="38"/>
        <v>4.409919649769093E-2</v>
      </c>
      <c r="AA283" t="s">
        <v>379</v>
      </c>
      <c r="AB283">
        <v>17337</v>
      </c>
      <c r="AC283">
        <v>15582221</v>
      </c>
      <c r="AD283" t="s">
        <v>4</v>
      </c>
      <c r="AE283">
        <v>32</v>
      </c>
      <c r="AF283">
        <v>10</v>
      </c>
      <c r="AH283" t="s">
        <v>4358</v>
      </c>
      <c r="AI283" t="s">
        <v>4357</v>
      </c>
      <c r="AK283" t="s">
        <v>4356</v>
      </c>
      <c r="AL283">
        <v>89</v>
      </c>
      <c r="AM283" s="5">
        <f t="shared" si="34"/>
        <v>2.3421052631578947</v>
      </c>
      <c r="AN283" s="4">
        <f t="shared" si="39"/>
        <v>3.5473006636242252E-3</v>
      </c>
      <c r="AO283" s="3"/>
      <c r="AP283">
        <v>0</v>
      </c>
      <c r="AR283" t="s">
        <v>0</v>
      </c>
      <c r="AT283" s="2" t="s">
        <v>45</v>
      </c>
      <c r="AU283" s="1">
        <f t="shared" si="35"/>
        <v>3.1933627747470918</v>
      </c>
      <c r="AV283" s="1">
        <f t="shared" si="36"/>
        <v>2.3823248580657581</v>
      </c>
      <c r="AW283" s="1">
        <f t="shared" si="37"/>
        <v>1.5712869413844235</v>
      </c>
    </row>
    <row r="284" spans="1:49" x14ac:dyDescent="0.2">
      <c r="A284">
        <v>282</v>
      </c>
      <c r="B284" t="s">
        <v>4355</v>
      </c>
      <c r="C284" t="s">
        <v>4354</v>
      </c>
      <c r="F284" t="s">
        <v>4353</v>
      </c>
      <c r="G284" t="s">
        <v>13</v>
      </c>
      <c r="H284" t="s">
        <v>12</v>
      </c>
      <c r="I284" t="s">
        <v>2450</v>
      </c>
      <c r="J284">
        <v>60013141</v>
      </c>
      <c r="K284" t="s">
        <v>2855</v>
      </c>
      <c r="L284" t="s">
        <v>2854</v>
      </c>
      <c r="M284" t="s">
        <v>2853</v>
      </c>
      <c r="N284">
        <v>1</v>
      </c>
      <c r="O284" t="s">
        <v>2852</v>
      </c>
      <c r="P284">
        <v>7101988263</v>
      </c>
      <c r="Q284">
        <v>60013141</v>
      </c>
      <c r="R284" s="7">
        <v>30682</v>
      </c>
      <c r="S284" s="8">
        <f t="shared" si="32"/>
        <v>1984</v>
      </c>
      <c r="T284" s="8">
        <v>1984</v>
      </c>
      <c r="U284" s="8">
        <f t="shared" si="33"/>
        <v>38</v>
      </c>
      <c r="V284" s="7">
        <v>30956</v>
      </c>
      <c r="W284" t="s">
        <v>380</v>
      </c>
      <c r="X284" s="2">
        <v>1.6519999999999999</v>
      </c>
      <c r="Y284" s="6">
        <f t="shared" si="38"/>
        <v>4.409919649769093E-2</v>
      </c>
      <c r="AA284" t="s">
        <v>379</v>
      </c>
      <c r="AB284">
        <v>17337</v>
      </c>
      <c r="AC284">
        <v>15582221</v>
      </c>
      <c r="AD284" t="s">
        <v>4</v>
      </c>
      <c r="AE284">
        <v>32</v>
      </c>
      <c r="AF284">
        <v>10</v>
      </c>
      <c r="AH284" t="s">
        <v>4352</v>
      </c>
      <c r="AI284" t="s">
        <v>4351</v>
      </c>
      <c r="AK284" t="s">
        <v>4350</v>
      </c>
      <c r="AL284">
        <v>10</v>
      </c>
      <c r="AM284" s="5">
        <f t="shared" si="34"/>
        <v>0.26315789473684209</v>
      </c>
      <c r="AN284" s="4">
        <f t="shared" si="39"/>
        <v>3.9857310827238487E-4</v>
      </c>
      <c r="AO284" s="3"/>
      <c r="AP284">
        <v>0</v>
      </c>
      <c r="AR284" t="s">
        <v>0</v>
      </c>
      <c r="AT284" s="2" t="s">
        <v>45</v>
      </c>
      <c r="AU284" s="1">
        <f t="shared" si="35"/>
        <v>3.0989009480865368</v>
      </c>
      <c r="AV284" s="1">
        <f t="shared" si="36"/>
        <v>2.2248884802981657</v>
      </c>
      <c r="AW284" s="1">
        <f t="shared" si="37"/>
        <v>1.3508760125097947</v>
      </c>
    </row>
    <row r="285" spans="1:49" x14ac:dyDescent="0.2">
      <c r="A285">
        <v>283</v>
      </c>
      <c r="B285" t="s">
        <v>4349</v>
      </c>
      <c r="C285" t="s">
        <v>4348</v>
      </c>
      <c r="D285" t="s">
        <v>4347</v>
      </c>
      <c r="F285" t="s">
        <v>4346</v>
      </c>
      <c r="G285" t="s">
        <v>13</v>
      </c>
      <c r="H285" t="s">
        <v>12</v>
      </c>
      <c r="I285" t="s">
        <v>4345</v>
      </c>
      <c r="J285">
        <v>60024147</v>
      </c>
      <c r="K285" t="s">
        <v>4344</v>
      </c>
      <c r="L285" t="s">
        <v>4343</v>
      </c>
      <c r="M285" t="s">
        <v>4342</v>
      </c>
      <c r="N285">
        <v>1</v>
      </c>
      <c r="O285" t="s">
        <v>4341</v>
      </c>
      <c r="P285">
        <v>24445766700</v>
      </c>
      <c r="Q285">
        <v>60024147</v>
      </c>
      <c r="R285" s="7">
        <v>30682</v>
      </c>
      <c r="S285" s="8">
        <f t="shared" si="32"/>
        <v>1984</v>
      </c>
      <c r="T285" s="8">
        <v>1984</v>
      </c>
      <c r="U285" s="8">
        <f t="shared" si="33"/>
        <v>38</v>
      </c>
      <c r="V285" s="7" t="s">
        <v>4340</v>
      </c>
      <c r="W285" t="s">
        <v>347</v>
      </c>
      <c r="X285" s="2">
        <v>1.1339999999999999</v>
      </c>
      <c r="Y285" s="6">
        <f t="shared" si="38"/>
        <v>3.0271482341635299E-2</v>
      </c>
      <c r="AA285">
        <v>945765</v>
      </c>
      <c r="AB285">
        <v>12372</v>
      </c>
      <c r="AD285" t="s">
        <v>4</v>
      </c>
      <c r="AE285">
        <v>11</v>
      </c>
      <c r="AF285" s="9">
        <v>44510</v>
      </c>
      <c r="AH285" t="s">
        <v>4339</v>
      </c>
      <c r="AI285" t="s">
        <v>4338</v>
      </c>
      <c r="AK285" t="s">
        <v>4337</v>
      </c>
      <c r="AL285">
        <v>0</v>
      </c>
      <c r="AM285" s="5">
        <f t="shared" si="34"/>
        <v>0</v>
      </c>
      <c r="AN285" s="4">
        <f t="shared" si="39"/>
        <v>0</v>
      </c>
      <c r="AO285" s="3"/>
      <c r="AP285">
        <v>0</v>
      </c>
      <c r="AR285" t="s">
        <v>0</v>
      </c>
      <c r="AT285" s="2">
        <v>2.4129999999999998</v>
      </c>
      <c r="AU285" s="1">
        <f t="shared" si="35"/>
        <v>2.119003763914471</v>
      </c>
      <c r="AV285" s="1">
        <f t="shared" si="36"/>
        <v>1.5135741170817649</v>
      </c>
      <c r="AW285" s="1">
        <f t="shared" si="37"/>
        <v>0.90814447024905898</v>
      </c>
    </row>
    <row r="286" spans="1:49" x14ac:dyDescent="0.2">
      <c r="A286">
        <v>284</v>
      </c>
      <c r="B286" t="s">
        <v>4336</v>
      </c>
      <c r="C286" t="s">
        <v>4335</v>
      </c>
      <c r="F286" t="s">
        <v>4334</v>
      </c>
      <c r="G286" t="s">
        <v>13</v>
      </c>
      <c r="H286" t="s">
        <v>12</v>
      </c>
      <c r="I286" t="s">
        <v>4333</v>
      </c>
      <c r="J286" t="s">
        <v>4332</v>
      </c>
      <c r="K286" t="s">
        <v>4331</v>
      </c>
      <c r="L286" t="s">
        <v>4330</v>
      </c>
      <c r="M286" t="s">
        <v>100</v>
      </c>
      <c r="N286">
        <v>3</v>
      </c>
      <c r="O286" t="s">
        <v>4329</v>
      </c>
      <c r="P286" t="s">
        <v>4328</v>
      </c>
      <c r="Q286" t="s">
        <v>4327</v>
      </c>
      <c r="R286" s="7">
        <v>30682</v>
      </c>
      <c r="S286" s="8">
        <f t="shared" si="32"/>
        <v>1984</v>
      </c>
      <c r="T286" s="8">
        <v>1984</v>
      </c>
      <c r="U286" s="8">
        <f t="shared" si="33"/>
        <v>38</v>
      </c>
      <c r="V286" s="7">
        <v>30956</v>
      </c>
      <c r="W286" t="s">
        <v>4326</v>
      </c>
      <c r="X286" s="2">
        <v>0.77200000000000002</v>
      </c>
      <c r="Y286" s="6">
        <f t="shared" si="38"/>
        <v>2.0608099089719976E-2</v>
      </c>
      <c r="AA286">
        <v>223778</v>
      </c>
      <c r="AB286">
        <v>28572</v>
      </c>
      <c r="AC286">
        <v>14697807</v>
      </c>
      <c r="AD286" t="s">
        <v>4</v>
      </c>
      <c r="AE286">
        <v>32</v>
      </c>
      <c r="AF286">
        <v>2</v>
      </c>
      <c r="AH286" t="s">
        <v>4325</v>
      </c>
      <c r="AI286" t="s">
        <v>4324</v>
      </c>
      <c r="AK286" t="s">
        <v>4323</v>
      </c>
      <c r="AL286">
        <v>11</v>
      </c>
      <c r="AM286" s="5">
        <f t="shared" si="34"/>
        <v>0.28947368421052633</v>
      </c>
      <c r="AN286" s="4">
        <f t="shared" si="39"/>
        <v>4.3843041909962335E-4</v>
      </c>
      <c r="AO286" s="3"/>
      <c r="AP286">
        <v>0</v>
      </c>
      <c r="AR286" t="s">
        <v>0</v>
      </c>
      <c r="AT286" s="2">
        <v>2.0139999999999998</v>
      </c>
      <c r="AU286" s="1">
        <f t="shared" si="35"/>
        <v>1.4557198488533869</v>
      </c>
      <c r="AV286" s="1">
        <f t="shared" si="36"/>
        <v>1.05232647544098</v>
      </c>
      <c r="AW286" s="1">
        <f t="shared" si="37"/>
        <v>0.64893310202857291</v>
      </c>
    </row>
    <row r="287" spans="1:49" x14ac:dyDescent="0.2">
      <c r="A287">
        <v>285</v>
      </c>
      <c r="B287" t="s">
        <v>4322</v>
      </c>
      <c r="C287" t="s">
        <v>4321</v>
      </c>
      <c r="F287" t="s">
        <v>4320</v>
      </c>
      <c r="G287" t="s">
        <v>13</v>
      </c>
      <c r="H287" t="s">
        <v>12</v>
      </c>
      <c r="I287" t="s">
        <v>4319</v>
      </c>
      <c r="J287" t="s">
        <v>4318</v>
      </c>
      <c r="K287" t="s">
        <v>4317</v>
      </c>
      <c r="L287" t="s">
        <v>4316</v>
      </c>
      <c r="M287" t="s">
        <v>1700</v>
      </c>
      <c r="N287">
        <v>2</v>
      </c>
      <c r="O287" t="s">
        <v>4315</v>
      </c>
      <c r="P287" t="s">
        <v>4314</v>
      </c>
      <c r="Q287" t="s">
        <v>4313</v>
      </c>
      <c r="R287" s="7">
        <v>30682</v>
      </c>
      <c r="S287" s="8">
        <f t="shared" si="32"/>
        <v>1984</v>
      </c>
      <c r="T287" s="8">
        <v>1984</v>
      </c>
      <c r="U287" s="8">
        <f t="shared" si="33"/>
        <v>38</v>
      </c>
      <c r="V287" s="7">
        <v>30956</v>
      </c>
      <c r="W287" t="s">
        <v>2072</v>
      </c>
      <c r="X287" s="2">
        <v>0.371</v>
      </c>
      <c r="Y287" s="6">
        <f t="shared" si="38"/>
        <v>9.9036331117695747E-3</v>
      </c>
      <c r="AA287">
        <v>214922</v>
      </c>
      <c r="AB287">
        <v>130262</v>
      </c>
      <c r="AC287">
        <v>13474065</v>
      </c>
      <c r="AD287" t="s">
        <v>4</v>
      </c>
      <c r="AE287">
        <v>23</v>
      </c>
      <c r="AF287">
        <v>10</v>
      </c>
      <c r="AH287" t="s">
        <v>4312</v>
      </c>
      <c r="AI287" t="s">
        <v>4311</v>
      </c>
      <c r="AK287" t="s">
        <v>4310</v>
      </c>
      <c r="AL287">
        <v>0</v>
      </c>
      <c r="AM287" s="5">
        <f t="shared" si="34"/>
        <v>0</v>
      </c>
      <c r="AN287" s="4">
        <f t="shared" si="39"/>
        <v>0</v>
      </c>
      <c r="AO287" s="3"/>
      <c r="AP287">
        <v>0</v>
      </c>
      <c r="AR287" t="s">
        <v>0</v>
      </c>
      <c r="AT287" s="2">
        <v>1.48</v>
      </c>
      <c r="AU287" s="1">
        <f t="shared" si="35"/>
        <v>0.69325431782387015</v>
      </c>
      <c r="AV287" s="1">
        <f t="shared" si="36"/>
        <v>0.49518165558847871</v>
      </c>
      <c r="AW287" s="1">
        <f t="shared" si="37"/>
        <v>0.29710899335308727</v>
      </c>
    </row>
    <row r="288" spans="1:49" x14ac:dyDescent="0.2">
      <c r="A288">
        <v>286</v>
      </c>
      <c r="B288" t="s">
        <v>4309</v>
      </c>
      <c r="C288" t="s">
        <v>4308</v>
      </c>
      <c r="F288" t="s">
        <v>4307</v>
      </c>
      <c r="G288" t="s">
        <v>13</v>
      </c>
      <c r="H288" t="s">
        <v>12</v>
      </c>
      <c r="I288" t="s">
        <v>4306</v>
      </c>
      <c r="J288">
        <v>60010365</v>
      </c>
      <c r="K288" t="s">
        <v>1689</v>
      </c>
      <c r="L288" t="s">
        <v>1688</v>
      </c>
      <c r="M288" t="s">
        <v>38</v>
      </c>
      <c r="N288">
        <v>2</v>
      </c>
      <c r="O288" t="s">
        <v>4305</v>
      </c>
      <c r="P288" t="s">
        <v>4304</v>
      </c>
      <c r="Q288" t="s">
        <v>4303</v>
      </c>
      <c r="R288" s="7">
        <v>30682</v>
      </c>
      <c r="S288" s="8">
        <f t="shared" si="32"/>
        <v>1984</v>
      </c>
      <c r="T288" s="8">
        <v>1984</v>
      </c>
      <c r="U288" s="8">
        <f t="shared" si="33"/>
        <v>38</v>
      </c>
      <c r="V288" s="7" t="s">
        <v>287</v>
      </c>
      <c r="W288" t="s">
        <v>587</v>
      </c>
      <c r="X288" s="2">
        <v>1.573</v>
      </c>
      <c r="Y288" s="6">
        <f t="shared" si="38"/>
        <v>4.1990336616748086E-2</v>
      </c>
      <c r="AA288">
        <v>7315090</v>
      </c>
      <c r="AB288">
        <v>29586</v>
      </c>
      <c r="AD288" t="s">
        <v>4</v>
      </c>
      <c r="AE288">
        <v>7</v>
      </c>
      <c r="AF288">
        <v>5</v>
      </c>
      <c r="AH288" t="s">
        <v>4302</v>
      </c>
      <c r="AI288" t="s">
        <v>4301</v>
      </c>
      <c r="AK288" t="s">
        <v>4300</v>
      </c>
      <c r="AL288">
        <v>56</v>
      </c>
      <c r="AM288" s="5">
        <f t="shared" si="34"/>
        <v>1.4736842105263157</v>
      </c>
      <c r="AN288" s="4">
        <f t="shared" si="39"/>
        <v>2.2320094063253549E-3</v>
      </c>
      <c r="AO288" s="3"/>
      <c r="AP288">
        <v>0</v>
      </c>
      <c r="AQ288" t="s">
        <v>4299</v>
      </c>
      <c r="AR288" t="s">
        <v>4298</v>
      </c>
      <c r="AS288" t="s">
        <v>4297</v>
      </c>
      <c r="AT288" s="2" t="s">
        <v>45</v>
      </c>
      <c r="AU288" s="1">
        <f t="shared" si="35"/>
        <v>3.0062838453621268</v>
      </c>
      <c r="AV288" s="1">
        <f t="shared" si="36"/>
        <v>2.211117301153672</v>
      </c>
      <c r="AW288" s="1">
        <f t="shared" si="37"/>
        <v>1.4159507569452172</v>
      </c>
    </row>
    <row r="289" spans="1:49" x14ac:dyDescent="0.2">
      <c r="A289">
        <v>287</v>
      </c>
      <c r="B289" t="s">
        <v>4296</v>
      </c>
      <c r="C289" t="s">
        <v>4295</v>
      </c>
      <c r="F289" t="s">
        <v>4294</v>
      </c>
      <c r="G289" t="s">
        <v>13</v>
      </c>
      <c r="H289" t="s">
        <v>12</v>
      </c>
      <c r="I289" t="s">
        <v>4293</v>
      </c>
      <c r="J289">
        <v>60009037</v>
      </c>
      <c r="K289" t="s">
        <v>592</v>
      </c>
      <c r="L289" t="s">
        <v>591</v>
      </c>
      <c r="M289" t="s">
        <v>56</v>
      </c>
      <c r="N289">
        <v>1</v>
      </c>
      <c r="O289" t="s">
        <v>4292</v>
      </c>
      <c r="P289">
        <v>7501893479</v>
      </c>
      <c r="Q289">
        <v>60009037</v>
      </c>
      <c r="R289" s="7">
        <v>30682</v>
      </c>
      <c r="S289" s="8">
        <f t="shared" si="32"/>
        <v>1984</v>
      </c>
      <c r="T289" s="8">
        <v>1984</v>
      </c>
      <c r="U289" s="8">
        <f t="shared" si="33"/>
        <v>38</v>
      </c>
      <c r="V289" s="7">
        <v>30926</v>
      </c>
      <c r="W289" t="s">
        <v>573</v>
      </c>
      <c r="X289" s="2">
        <v>0.75800000000000001</v>
      </c>
      <c r="Y289" s="6">
        <f t="shared" si="38"/>
        <v>2.0234377085502256E-2</v>
      </c>
      <c r="AA289">
        <v>224650</v>
      </c>
      <c r="AB289">
        <v>29589</v>
      </c>
      <c r="AD289" t="s">
        <v>4</v>
      </c>
      <c r="AE289">
        <v>21</v>
      </c>
      <c r="AF289">
        <v>5</v>
      </c>
      <c r="AH289" t="s">
        <v>4291</v>
      </c>
      <c r="AI289" t="s">
        <v>4290</v>
      </c>
      <c r="AK289" t="s">
        <v>4289</v>
      </c>
      <c r="AL289">
        <v>71</v>
      </c>
      <c r="AM289" s="5">
        <f t="shared" si="34"/>
        <v>1.868421052631579</v>
      </c>
      <c r="AN289" s="4">
        <f t="shared" si="39"/>
        <v>2.8298690687339327E-3</v>
      </c>
      <c r="AO289" s="3"/>
      <c r="AP289">
        <v>0</v>
      </c>
      <c r="AQ289" t="s">
        <v>65</v>
      </c>
      <c r="AR289" t="s">
        <v>0</v>
      </c>
      <c r="AS289" t="s">
        <v>63</v>
      </c>
      <c r="AT289" s="2">
        <v>1.282</v>
      </c>
      <c r="AU289" s="1">
        <f t="shared" si="35"/>
        <v>1.5013024680471756</v>
      </c>
      <c r="AV289" s="1">
        <f t="shared" si="36"/>
        <v>1.1532123077118095</v>
      </c>
      <c r="AW289" s="1">
        <f t="shared" si="37"/>
        <v>0.80512214737644294</v>
      </c>
    </row>
    <row r="290" spans="1:49" x14ac:dyDescent="0.2">
      <c r="A290">
        <v>288</v>
      </c>
      <c r="B290" t="s">
        <v>4288</v>
      </c>
      <c r="F290" t="s">
        <v>4287</v>
      </c>
      <c r="G290" t="s">
        <v>13</v>
      </c>
      <c r="H290" t="s">
        <v>12</v>
      </c>
      <c r="I290" t="s">
        <v>3876</v>
      </c>
      <c r="N290">
        <v>3</v>
      </c>
      <c r="O290" t="s">
        <v>3875</v>
      </c>
      <c r="P290" t="s">
        <v>3874</v>
      </c>
      <c r="Q290" t="s">
        <v>8</v>
      </c>
      <c r="R290" s="7">
        <v>30682</v>
      </c>
      <c r="S290" s="8">
        <f t="shared" si="32"/>
        <v>1984</v>
      </c>
      <c r="T290" s="8">
        <v>1984</v>
      </c>
      <c r="U290" s="8">
        <f t="shared" si="33"/>
        <v>38</v>
      </c>
      <c r="V290" s="7" t="s">
        <v>3882</v>
      </c>
      <c r="W290" t="s">
        <v>1668</v>
      </c>
      <c r="X290" s="2" t="s">
        <v>45</v>
      </c>
      <c r="Y290" s="6" t="e">
        <f t="shared" si="38"/>
        <v>#VALUE!</v>
      </c>
      <c r="AA290" t="s">
        <v>1667</v>
      </c>
      <c r="AB290">
        <v>30906</v>
      </c>
      <c r="AD290" t="s">
        <v>4</v>
      </c>
      <c r="AE290">
        <v>67</v>
      </c>
      <c r="AF290">
        <v>9</v>
      </c>
      <c r="AH290" t="s">
        <v>4286</v>
      </c>
      <c r="AI290" t="s">
        <v>4285</v>
      </c>
      <c r="AK290" t="s">
        <v>4284</v>
      </c>
      <c r="AL290">
        <v>1</v>
      </c>
      <c r="AM290" s="5">
        <f t="shared" si="34"/>
        <v>2.6315789473684209E-2</v>
      </c>
      <c r="AN290" s="4">
        <f t="shared" si="39"/>
        <v>3.9857310827238481E-5</v>
      </c>
      <c r="AO290" s="3"/>
      <c r="AP290">
        <v>0</v>
      </c>
      <c r="AR290" t="s">
        <v>0</v>
      </c>
      <c r="AT290" s="2" t="s">
        <v>45</v>
      </c>
      <c r="AU290" s="1" t="e">
        <f t="shared" si="35"/>
        <v>#VALUE!</v>
      </c>
      <c r="AV290" s="1" t="e">
        <f t="shared" si="36"/>
        <v>#VALUE!</v>
      </c>
      <c r="AW290" s="1" t="e">
        <f t="shared" si="37"/>
        <v>#VALUE!</v>
      </c>
    </row>
    <row r="291" spans="1:49" x14ac:dyDescent="0.2">
      <c r="A291">
        <v>289</v>
      </c>
      <c r="B291" t="s">
        <v>4283</v>
      </c>
      <c r="F291" t="s">
        <v>4282</v>
      </c>
      <c r="G291" t="s">
        <v>13</v>
      </c>
      <c r="H291" t="s">
        <v>12</v>
      </c>
      <c r="I291" t="s">
        <v>4281</v>
      </c>
      <c r="N291">
        <v>5</v>
      </c>
      <c r="O291" t="s">
        <v>4280</v>
      </c>
      <c r="P291" t="s">
        <v>4279</v>
      </c>
      <c r="Q291" t="s">
        <v>498</v>
      </c>
      <c r="R291" s="7">
        <v>30682</v>
      </c>
      <c r="S291" s="8">
        <f t="shared" si="32"/>
        <v>1984</v>
      </c>
      <c r="T291" s="8">
        <v>1984</v>
      </c>
      <c r="U291" s="8">
        <f t="shared" si="33"/>
        <v>38</v>
      </c>
      <c r="V291" s="7" t="s">
        <v>3882</v>
      </c>
      <c r="W291" t="s">
        <v>683</v>
      </c>
      <c r="X291" s="2">
        <v>0.10100000000000001</v>
      </c>
      <c r="Y291" s="6">
        <f t="shared" si="38"/>
        <v>2.6961373161421215E-3</v>
      </c>
      <c r="AA291">
        <v>7452883</v>
      </c>
      <c r="AB291">
        <v>18563</v>
      </c>
      <c r="AD291" t="s">
        <v>4</v>
      </c>
      <c r="AE291">
        <v>23</v>
      </c>
      <c r="AF291">
        <v>9</v>
      </c>
      <c r="AI291" t="s">
        <v>4278</v>
      </c>
      <c r="AK291" t="s">
        <v>4277</v>
      </c>
      <c r="AL291">
        <v>2</v>
      </c>
      <c r="AM291" s="5">
        <f t="shared" si="34"/>
        <v>5.2631578947368418E-2</v>
      </c>
      <c r="AN291" s="4">
        <f t="shared" si="39"/>
        <v>7.9714621654476962E-5</v>
      </c>
      <c r="AO291" s="3"/>
      <c r="AP291">
        <v>0</v>
      </c>
      <c r="AR291" t="s">
        <v>0</v>
      </c>
      <c r="AT291" s="2" t="s">
        <v>45</v>
      </c>
      <c r="AU291" s="1">
        <f t="shared" si="35"/>
        <v>0.1911210507795828</v>
      </c>
      <c r="AV291" s="1">
        <f t="shared" si="36"/>
        <v>0.13879259688982992</v>
      </c>
      <c r="AW291" s="1">
        <f t="shared" si="37"/>
        <v>8.6464143000077029E-2</v>
      </c>
    </row>
    <row r="292" spans="1:49" x14ac:dyDescent="0.2">
      <c r="A292">
        <v>290</v>
      </c>
      <c r="B292" t="s">
        <v>4276</v>
      </c>
      <c r="F292" t="s">
        <v>4275</v>
      </c>
      <c r="G292" t="s">
        <v>13</v>
      </c>
      <c r="H292" t="s">
        <v>12</v>
      </c>
      <c r="I292" t="s">
        <v>4274</v>
      </c>
      <c r="N292">
        <v>1</v>
      </c>
      <c r="O292" t="s">
        <v>4273</v>
      </c>
      <c r="P292">
        <v>6602336771</v>
      </c>
      <c r="R292" s="7">
        <v>30682</v>
      </c>
      <c r="S292" s="8">
        <f t="shared" si="32"/>
        <v>1984</v>
      </c>
      <c r="T292" s="8">
        <v>1984</v>
      </c>
      <c r="U292" s="8">
        <f t="shared" si="33"/>
        <v>38</v>
      </c>
      <c r="V292" s="7" t="s">
        <v>3882</v>
      </c>
      <c r="W292" t="s">
        <v>4272</v>
      </c>
      <c r="X292" s="2" t="s">
        <v>45</v>
      </c>
      <c r="Y292" s="6" t="e">
        <f t="shared" si="38"/>
        <v>#VALUE!</v>
      </c>
      <c r="AA292" t="s">
        <v>4271</v>
      </c>
      <c r="AB292">
        <v>35968</v>
      </c>
      <c r="AD292" t="s">
        <v>4</v>
      </c>
      <c r="AE292">
        <v>51</v>
      </c>
      <c r="AF292">
        <v>8</v>
      </c>
      <c r="AH292" t="s">
        <v>2465</v>
      </c>
      <c r="AI292" t="s">
        <v>4270</v>
      </c>
      <c r="AK292" t="s">
        <v>4269</v>
      </c>
      <c r="AL292">
        <v>0</v>
      </c>
      <c r="AM292" s="5">
        <f t="shared" si="34"/>
        <v>0</v>
      </c>
      <c r="AN292" s="4">
        <f t="shared" si="39"/>
        <v>0</v>
      </c>
      <c r="AO292" s="3"/>
      <c r="AP292">
        <v>0</v>
      </c>
      <c r="AR292" t="s">
        <v>0</v>
      </c>
      <c r="AT292" s="2" t="s">
        <v>45</v>
      </c>
      <c r="AU292" s="1" t="e">
        <f t="shared" si="35"/>
        <v>#VALUE!</v>
      </c>
      <c r="AV292" s="1" t="e">
        <f t="shared" si="36"/>
        <v>#VALUE!</v>
      </c>
      <c r="AW292" s="1" t="e">
        <f t="shared" si="37"/>
        <v>#VALUE!</v>
      </c>
    </row>
    <row r="293" spans="1:49" x14ac:dyDescent="0.2">
      <c r="A293">
        <v>291</v>
      </c>
      <c r="B293" t="s">
        <v>4268</v>
      </c>
      <c r="C293" t="s">
        <v>4267</v>
      </c>
      <c r="F293" t="s">
        <v>4266</v>
      </c>
      <c r="G293" t="s">
        <v>13</v>
      </c>
      <c r="H293" t="s">
        <v>12</v>
      </c>
      <c r="I293" t="s">
        <v>4265</v>
      </c>
      <c r="J293">
        <v>60103907</v>
      </c>
      <c r="K293" t="s">
        <v>4264</v>
      </c>
      <c r="L293" t="s">
        <v>644</v>
      </c>
      <c r="M293" t="s">
        <v>643</v>
      </c>
      <c r="N293">
        <v>1</v>
      </c>
      <c r="O293" t="s">
        <v>4263</v>
      </c>
      <c r="P293">
        <v>7402757711</v>
      </c>
      <c r="Q293">
        <v>60103907</v>
      </c>
      <c r="R293" s="7">
        <v>30682</v>
      </c>
      <c r="S293" s="8">
        <f t="shared" si="32"/>
        <v>1984</v>
      </c>
      <c r="T293" s="8">
        <v>1984</v>
      </c>
      <c r="U293" s="8">
        <f t="shared" si="33"/>
        <v>38</v>
      </c>
      <c r="V293" s="7">
        <v>30926</v>
      </c>
      <c r="W293" t="s">
        <v>1446</v>
      </c>
      <c r="X293" s="2">
        <v>1.137</v>
      </c>
      <c r="Y293" s="6">
        <f t="shared" si="38"/>
        <v>3.0351565628253384E-2</v>
      </c>
      <c r="AA293">
        <v>189251</v>
      </c>
      <c r="AB293">
        <v>17336</v>
      </c>
      <c r="AD293" t="s">
        <v>4</v>
      </c>
      <c r="AE293" t="s">
        <v>1445</v>
      </c>
      <c r="AF293">
        <v>5</v>
      </c>
      <c r="AH293" t="s">
        <v>4262</v>
      </c>
      <c r="AI293" t="s">
        <v>4261</v>
      </c>
      <c r="AK293" t="s">
        <v>4260</v>
      </c>
      <c r="AL293">
        <v>0</v>
      </c>
      <c r="AM293" s="5">
        <f t="shared" si="34"/>
        <v>0</v>
      </c>
      <c r="AN293" s="4">
        <f t="shared" si="39"/>
        <v>0</v>
      </c>
      <c r="AO293" s="3"/>
      <c r="AP293">
        <v>0</v>
      </c>
      <c r="AR293" t="s">
        <v>0</v>
      </c>
      <c r="AT293" s="2" t="s">
        <v>45</v>
      </c>
      <c r="AU293" s="1">
        <f t="shared" si="35"/>
        <v>2.1246095939777367</v>
      </c>
      <c r="AV293" s="1">
        <f t="shared" si="36"/>
        <v>1.5175782814126693</v>
      </c>
      <c r="AW293" s="1">
        <f t="shared" si="37"/>
        <v>0.91054696884760156</v>
      </c>
    </row>
    <row r="294" spans="1:49" x14ac:dyDescent="0.2">
      <c r="A294">
        <v>292</v>
      </c>
      <c r="B294" t="s">
        <v>4259</v>
      </c>
      <c r="C294" t="s">
        <v>4258</v>
      </c>
      <c r="F294" t="s">
        <v>4257</v>
      </c>
      <c r="G294" t="s">
        <v>13</v>
      </c>
      <c r="H294" t="s">
        <v>12</v>
      </c>
      <c r="I294" t="s">
        <v>4020</v>
      </c>
      <c r="J294">
        <v>60003500</v>
      </c>
      <c r="K294" t="s">
        <v>4019</v>
      </c>
      <c r="L294" t="s">
        <v>4018</v>
      </c>
      <c r="M294" t="s">
        <v>56</v>
      </c>
      <c r="N294">
        <v>1</v>
      </c>
      <c r="O294" t="s">
        <v>4017</v>
      </c>
      <c r="P294">
        <v>7102202358</v>
      </c>
      <c r="Q294">
        <v>60003500</v>
      </c>
      <c r="R294" s="7">
        <v>30682</v>
      </c>
      <c r="S294" s="8">
        <f t="shared" si="32"/>
        <v>1984</v>
      </c>
      <c r="T294" s="8">
        <v>1984</v>
      </c>
      <c r="U294" s="8">
        <f t="shared" si="33"/>
        <v>38</v>
      </c>
      <c r="V294" s="7">
        <v>30926</v>
      </c>
      <c r="W294" t="s">
        <v>1446</v>
      </c>
      <c r="X294" s="2">
        <v>1.137</v>
      </c>
      <c r="Y294" s="6">
        <f t="shared" si="38"/>
        <v>3.0351565628253384E-2</v>
      </c>
      <c r="AA294">
        <v>189251</v>
      </c>
      <c r="AB294">
        <v>17336</v>
      </c>
      <c r="AD294" t="s">
        <v>4</v>
      </c>
      <c r="AE294" t="s">
        <v>1445</v>
      </c>
      <c r="AF294">
        <v>5</v>
      </c>
      <c r="AH294" t="s">
        <v>4256</v>
      </c>
      <c r="AI294" t="s">
        <v>4255</v>
      </c>
      <c r="AK294" t="s">
        <v>4254</v>
      </c>
      <c r="AL294">
        <v>5</v>
      </c>
      <c r="AM294" s="5">
        <f t="shared" si="34"/>
        <v>0.13157894736842105</v>
      </c>
      <c r="AN294" s="4">
        <f t="shared" si="39"/>
        <v>1.9928655413619243E-4</v>
      </c>
      <c r="AO294" s="3"/>
      <c r="AP294">
        <v>0</v>
      </c>
      <c r="AR294" t="s">
        <v>0</v>
      </c>
      <c r="AT294" s="2" t="s">
        <v>45</v>
      </c>
      <c r="AU294" s="1">
        <f t="shared" si="35"/>
        <v>2.1305881906018223</v>
      </c>
      <c r="AV294" s="1">
        <f t="shared" si="36"/>
        <v>1.5275426091194788</v>
      </c>
      <c r="AW294" s="1">
        <f t="shared" si="37"/>
        <v>0.92449702763713493</v>
      </c>
    </row>
    <row r="295" spans="1:49" x14ac:dyDescent="0.2">
      <c r="A295">
        <v>293</v>
      </c>
      <c r="B295" t="s">
        <v>4253</v>
      </c>
      <c r="F295" t="s">
        <v>4252</v>
      </c>
      <c r="G295" t="s">
        <v>13</v>
      </c>
      <c r="H295" t="s">
        <v>12</v>
      </c>
      <c r="I295" t="s">
        <v>2080</v>
      </c>
      <c r="N295">
        <v>4</v>
      </c>
      <c r="O295" t="s">
        <v>4251</v>
      </c>
      <c r="P295" t="s">
        <v>2074</v>
      </c>
      <c r="Q295" t="s">
        <v>525</v>
      </c>
      <c r="R295" s="7">
        <v>30682</v>
      </c>
      <c r="S295" s="8">
        <f t="shared" si="32"/>
        <v>1984</v>
      </c>
      <c r="T295" s="8">
        <v>1984</v>
      </c>
      <c r="U295" s="8">
        <f t="shared" si="33"/>
        <v>38</v>
      </c>
      <c r="V295" s="7" t="s">
        <v>3882</v>
      </c>
      <c r="W295" t="s">
        <v>1668</v>
      </c>
      <c r="X295" s="2" t="s">
        <v>45</v>
      </c>
      <c r="Y295" s="6" t="e">
        <f t="shared" si="38"/>
        <v>#VALUE!</v>
      </c>
      <c r="AA295" t="s">
        <v>1667</v>
      </c>
      <c r="AB295">
        <v>30906</v>
      </c>
      <c r="AD295" t="s">
        <v>4</v>
      </c>
      <c r="AE295">
        <v>67</v>
      </c>
      <c r="AF295">
        <v>9</v>
      </c>
      <c r="AH295" t="s">
        <v>4250</v>
      </c>
      <c r="AI295" t="s">
        <v>4249</v>
      </c>
      <c r="AK295" t="s">
        <v>4248</v>
      </c>
      <c r="AL295">
        <v>1</v>
      </c>
      <c r="AM295" s="5">
        <f t="shared" si="34"/>
        <v>2.6315789473684209E-2</v>
      </c>
      <c r="AN295" s="4">
        <f t="shared" si="39"/>
        <v>3.9857310827238481E-5</v>
      </c>
      <c r="AO295" s="3"/>
      <c r="AP295">
        <v>0</v>
      </c>
      <c r="AR295" t="s">
        <v>0</v>
      </c>
      <c r="AT295" s="2" t="s">
        <v>45</v>
      </c>
      <c r="AU295" s="1" t="e">
        <f t="shared" si="35"/>
        <v>#VALUE!</v>
      </c>
      <c r="AV295" s="1" t="e">
        <f t="shared" si="36"/>
        <v>#VALUE!</v>
      </c>
      <c r="AW295" s="1" t="e">
        <f t="shared" si="37"/>
        <v>#VALUE!</v>
      </c>
    </row>
    <row r="296" spans="1:49" x14ac:dyDescent="0.2">
      <c r="A296">
        <v>294</v>
      </c>
      <c r="B296" t="s">
        <v>4247</v>
      </c>
      <c r="C296" t="s">
        <v>4246</v>
      </c>
      <c r="F296" t="s">
        <v>4245</v>
      </c>
      <c r="G296" t="s">
        <v>13</v>
      </c>
      <c r="H296" t="s">
        <v>12</v>
      </c>
      <c r="I296" t="s">
        <v>4244</v>
      </c>
      <c r="N296">
        <v>2</v>
      </c>
      <c r="O296" t="s">
        <v>4243</v>
      </c>
      <c r="P296" t="s">
        <v>4242</v>
      </c>
      <c r="Q296" t="s">
        <v>266</v>
      </c>
      <c r="R296" s="7">
        <v>30682</v>
      </c>
      <c r="S296" s="8">
        <f t="shared" si="32"/>
        <v>1984</v>
      </c>
      <c r="T296" s="8">
        <v>1984</v>
      </c>
      <c r="U296" s="8">
        <f t="shared" si="33"/>
        <v>38</v>
      </c>
      <c r="V296" s="7">
        <v>30926</v>
      </c>
      <c r="W296" t="s">
        <v>380</v>
      </c>
      <c r="X296" s="2">
        <v>1.6519999999999999</v>
      </c>
      <c r="Y296" s="6">
        <f t="shared" si="38"/>
        <v>4.409919649769093E-2</v>
      </c>
      <c r="AA296" t="s">
        <v>379</v>
      </c>
      <c r="AB296">
        <v>17337</v>
      </c>
      <c r="AC296">
        <v>15582221</v>
      </c>
      <c r="AD296" t="s">
        <v>4</v>
      </c>
      <c r="AE296">
        <v>32</v>
      </c>
      <c r="AF296">
        <v>9</v>
      </c>
      <c r="AH296" t="s">
        <v>4241</v>
      </c>
      <c r="AI296" t="s">
        <v>4240</v>
      </c>
      <c r="AK296" t="s">
        <v>4239</v>
      </c>
      <c r="AL296">
        <v>28</v>
      </c>
      <c r="AM296" s="5">
        <f t="shared" si="34"/>
        <v>0.73684210526315785</v>
      </c>
      <c r="AN296" s="4">
        <f t="shared" si="39"/>
        <v>1.1160047031626775E-3</v>
      </c>
      <c r="AO296" s="3"/>
      <c r="AP296">
        <v>0</v>
      </c>
      <c r="AR296" t="s">
        <v>0</v>
      </c>
      <c r="AT296" s="2" t="s">
        <v>45</v>
      </c>
      <c r="AU296" s="1">
        <f t="shared" si="35"/>
        <v>3.1204238959332451</v>
      </c>
      <c r="AV296" s="1">
        <f t="shared" si="36"/>
        <v>2.2607600600426805</v>
      </c>
      <c r="AW296" s="1">
        <f t="shared" si="37"/>
        <v>1.4010962241521152</v>
      </c>
    </row>
    <row r="297" spans="1:49" x14ac:dyDescent="0.2">
      <c r="A297">
        <v>295</v>
      </c>
      <c r="B297" t="s">
        <v>4238</v>
      </c>
      <c r="C297" t="s">
        <v>4237</v>
      </c>
      <c r="F297" t="s">
        <v>4236</v>
      </c>
      <c r="G297" t="s">
        <v>13</v>
      </c>
      <c r="H297" t="s">
        <v>12</v>
      </c>
      <c r="I297" t="s">
        <v>4235</v>
      </c>
      <c r="J297">
        <v>100526281</v>
      </c>
      <c r="K297" t="s">
        <v>4234</v>
      </c>
      <c r="L297" t="s">
        <v>4233</v>
      </c>
      <c r="M297" t="s">
        <v>56</v>
      </c>
      <c r="N297">
        <v>1</v>
      </c>
      <c r="O297" t="s">
        <v>4232</v>
      </c>
      <c r="P297">
        <v>6506230627</v>
      </c>
      <c r="Q297">
        <v>100526281</v>
      </c>
      <c r="R297" s="7">
        <v>30682</v>
      </c>
      <c r="S297" s="8">
        <f t="shared" si="32"/>
        <v>1984</v>
      </c>
      <c r="T297" s="8">
        <v>1984</v>
      </c>
      <c r="U297" s="8">
        <f t="shared" si="33"/>
        <v>38</v>
      </c>
      <c r="V297" s="7">
        <v>30926</v>
      </c>
      <c r="W297" t="s">
        <v>2466</v>
      </c>
      <c r="X297" s="2">
        <v>1.3720000000000001</v>
      </c>
      <c r="Y297" s="6">
        <f t="shared" si="38"/>
        <v>3.662475641333654E-2</v>
      </c>
      <c r="AA297">
        <v>189480</v>
      </c>
      <c r="AB297">
        <v>17366</v>
      </c>
      <c r="AC297">
        <v>15579670</v>
      </c>
      <c r="AD297" t="s">
        <v>4</v>
      </c>
      <c r="AE297">
        <v>32</v>
      </c>
      <c r="AF297">
        <v>9</v>
      </c>
      <c r="AH297" t="s">
        <v>4231</v>
      </c>
      <c r="AL297">
        <v>18</v>
      </c>
      <c r="AM297" s="5">
        <f t="shared" si="34"/>
        <v>0.47368421052631576</v>
      </c>
      <c r="AN297" s="4">
        <f t="shared" si="39"/>
        <v>7.1743159489029266E-4</v>
      </c>
      <c r="AO297" s="3"/>
      <c r="AP297">
        <v>0</v>
      </c>
      <c r="AR297" t="s">
        <v>0</v>
      </c>
      <c r="AT297" s="2" t="s">
        <v>45</v>
      </c>
      <c r="AU297" s="1">
        <f t="shared" si="35"/>
        <v>2.5852558967802661</v>
      </c>
      <c r="AV297" s="1">
        <f t="shared" si="36"/>
        <v>1.8671094004113418</v>
      </c>
      <c r="AW297" s="1">
        <f t="shared" si="37"/>
        <v>1.1489629040424167</v>
      </c>
    </row>
    <row r="298" spans="1:49" x14ac:dyDescent="0.2">
      <c r="A298">
        <v>296</v>
      </c>
      <c r="B298" t="s">
        <v>4230</v>
      </c>
      <c r="C298" t="s">
        <v>4229</v>
      </c>
      <c r="F298" t="s">
        <v>4228</v>
      </c>
      <c r="G298" t="s">
        <v>13</v>
      </c>
      <c r="H298" t="s">
        <v>12</v>
      </c>
      <c r="I298" t="s">
        <v>4227</v>
      </c>
      <c r="J298">
        <v>60004750</v>
      </c>
      <c r="K298" t="s">
        <v>1137</v>
      </c>
      <c r="L298" t="s">
        <v>1136</v>
      </c>
      <c r="M298" t="s">
        <v>125</v>
      </c>
      <c r="N298">
        <v>2</v>
      </c>
      <c r="O298" t="s">
        <v>4226</v>
      </c>
      <c r="P298" t="s">
        <v>4225</v>
      </c>
      <c r="Q298" t="s">
        <v>1133</v>
      </c>
      <c r="R298" s="7">
        <v>30682</v>
      </c>
      <c r="S298" s="8">
        <f t="shared" si="32"/>
        <v>1984</v>
      </c>
      <c r="T298" s="8">
        <v>1984</v>
      </c>
      <c r="U298" s="8">
        <f t="shared" si="33"/>
        <v>38</v>
      </c>
      <c r="V298" s="7" t="s">
        <v>3882</v>
      </c>
      <c r="W298" t="s">
        <v>844</v>
      </c>
      <c r="X298" s="2">
        <v>0.218</v>
      </c>
      <c r="Y298" s="6">
        <f t="shared" si="38"/>
        <v>5.8193854942473512E-3</v>
      </c>
      <c r="AA298">
        <v>3772063</v>
      </c>
      <c r="AB298">
        <v>130012</v>
      </c>
      <c r="AD298" t="s">
        <v>4</v>
      </c>
      <c r="AE298">
        <v>30</v>
      </c>
      <c r="AF298">
        <v>5</v>
      </c>
      <c r="AH298" t="s">
        <v>4224</v>
      </c>
      <c r="AI298" t="s">
        <v>4223</v>
      </c>
      <c r="AK298" t="s">
        <v>4222</v>
      </c>
      <c r="AL298">
        <v>0</v>
      </c>
      <c r="AM298" s="5">
        <f t="shared" si="34"/>
        <v>0</v>
      </c>
      <c r="AN298" s="4">
        <f t="shared" si="39"/>
        <v>0</v>
      </c>
      <c r="AO298" s="3"/>
      <c r="AP298">
        <v>0</v>
      </c>
      <c r="AR298" t="s">
        <v>0</v>
      </c>
      <c r="AT298" s="2">
        <v>2.3330000000000002</v>
      </c>
      <c r="AU298" s="1">
        <f t="shared" si="35"/>
        <v>0.40735698459731456</v>
      </c>
      <c r="AV298" s="1">
        <f t="shared" si="36"/>
        <v>0.29096927471236755</v>
      </c>
      <c r="AW298" s="1">
        <f t="shared" si="37"/>
        <v>0.17458156482742054</v>
      </c>
    </row>
    <row r="299" spans="1:49" x14ac:dyDescent="0.2">
      <c r="A299">
        <v>297</v>
      </c>
      <c r="B299" t="s">
        <v>4221</v>
      </c>
      <c r="F299" t="s">
        <v>4220</v>
      </c>
      <c r="G299" t="s">
        <v>13</v>
      </c>
      <c r="H299" t="s">
        <v>12</v>
      </c>
      <c r="I299" t="s">
        <v>4219</v>
      </c>
      <c r="N299">
        <v>1</v>
      </c>
      <c r="O299" t="s">
        <v>4218</v>
      </c>
      <c r="P299">
        <v>7003603878</v>
      </c>
      <c r="R299" s="7">
        <v>30682</v>
      </c>
      <c r="S299" s="8">
        <f t="shared" si="32"/>
        <v>1984</v>
      </c>
      <c r="T299" s="8">
        <v>1984</v>
      </c>
      <c r="U299" s="8">
        <f t="shared" si="33"/>
        <v>38</v>
      </c>
      <c r="V299" s="7" t="s">
        <v>3882</v>
      </c>
      <c r="W299" t="s">
        <v>748</v>
      </c>
      <c r="X299" s="2" t="s">
        <v>45</v>
      </c>
      <c r="Y299" s="6" t="e">
        <f t="shared" si="38"/>
        <v>#VALUE!</v>
      </c>
      <c r="AA299" t="s">
        <v>747</v>
      </c>
      <c r="AB299">
        <v>33832</v>
      </c>
      <c r="AD299" t="s">
        <v>4</v>
      </c>
      <c r="AE299">
        <v>18</v>
      </c>
      <c r="AF299">
        <v>8</v>
      </c>
      <c r="AH299" t="s">
        <v>4217</v>
      </c>
      <c r="AI299" t="s">
        <v>4216</v>
      </c>
      <c r="AK299" t="s">
        <v>4215</v>
      </c>
      <c r="AL299">
        <v>0</v>
      </c>
      <c r="AM299" s="5">
        <f t="shared" si="34"/>
        <v>0</v>
      </c>
      <c r="AN299" s="4">
        <f t="shared" si="39"/>
        <v>0</v>
      </c>
      <c r="AO299" s="3"/>
      <c r="AP299">
        <v>0</v>
      </c>
      <c r="AR299" t="s">
        <v>0</v>
      </c>
      <c r="AT299" s="2" t="s">
        <v>45</v>
      </c>
      <c r="AU299" s="1" t="e">
        <f t="shared" si="35"/>
        <v>#VALUE!</v>
      </c>
      <c r="AV299" s="1" t="e">
        <f t="shared" si="36"/>
        <v>#VALUE!</v>
      </c>
      <c r="AW299" s="1" t="e">
        <f t="shared" si="37"/>
        <v>#VALUE!</v>
      </c>
    </row>
    <row r="300" spans="1:49" x14ac:dyDescent="0.2">
      <c r="A300">
        <v>298</v>
      </c>
      <c r="B300" t="s">
        <v>4214</v>
      </c>
      <c r="C300" t="s">
        <v>4213</v>
      </c>
      <c r="F300" t="s">
        <v>4212</v>
      </c>
      <c r="G300" t="s">
        <v>13</v>
      </c>
      <c r="H300" t="s">
        <v>12</v>
      </c>
      <c r="I300" t="s">
        <v>4211</v>
      </c>
      <c r="J300" t="s">
        <v>4205</v>
      </c>
      <c r="K300" t="s">
        <v>4210</v>
      </c>
      <c r="L300" t="s">
        <v>4209</v>
      </c>
      <c r="M300" t="s">
        <v>4208</v>
      </c>
      <c r="N300">
        <v>2</v>
      </c>
      <c r="O300" t="s">
        <v>4207</v>
      </c>
      <c r="P300" t="s">
        <v>4206</v>
      </c>
      <c r="Q300" t="s">
        <v>4205</v>
      </c>
      <c r="R300" s="7">
        <v>30682</v>
      </c>
      <c r="S300" s="8">
        <f t="shared" si="32"/>
        <v>1984</v>
      </c>
      <c r="T300" s="8">
        <v>1984</v>
      </c>
      <c r="U300" s="8">
        <f t="shared" si="33"/>
        <v>38</v>
      </c>
      <c r="V300" s="7">
        <v>30926</v>
      </c>
      <c r="W300" t="s">
        <v>380</v>
      </c>
      <c r="X300" s="2">
        <v>1.6519999999999999</v>
      </c>
      <c r="Y300" s="6">
        <f t="shared" si="38"/>
        <v>4.409919649769093E-2</v>
      </c>
      <c r="AA300" t="s">
        <v>379</v>
      </c>
      <c r="AB300">
        <v>17337</v>
      </c>
      <c r="AC300">
        <v>15582221</v>
      </c>
      <c r="AD300" t="s">
        <v>4</v>
      </c>
      <c r="AE300">
        <v>32</v>
      </c>
      <c r="AF300">
        <v>9</v>
      </c>
      <c r="AH300" t="s">
        <v>4204</v>
      </c>
      <c r="AI300" t="s">
        <v>4203</v>
      </c>
      <c r="AK300" t="s">
        <v>4202</v>
      </c>
      <c r="AL300">
        <v>115</v>
      </c>
      <c r="AM300" s="5">
        <f t="shared" si="34"/>
        <v>3.0263157894736841</v>
      </c>
      <c r="AN300" s="4">
        <f t="shared" si="39"/>
        <v>4.5835907451324256E-3</v>
      </c>
      <c r="AO300" s="3"/>
      <c r="AP300">
        <v>0</v>
      </c>
      <c r="AR300" t="s">
        <v>0</v>
      </c>
      <c r="AT300" s="2" t="s">
        <v>45</v>
      </c>
      <c r="AU300" s="1">
        <f t="shared" si="35"/>
        <v>3.2244514771923383</v>
      </c>
      <c r="AV300" s="1">
        <f t="shared" si="36"/>
        <v>2.4341393621411678</v>
      </c>
      <c r="AW300" s="1">
        <f t="shared" si="37"/>
        <v>1.6438272470899975</v>
      </c>
    </row>
    <row r="301" spans="1:49" x14ac:dyDescent="0.2">
      <c r="A301">
        <v>299</v>
      </c>
      <c r="B301" t="s">
        <v>4201</v>
      </c>
      <c r="C301" t="s">
        <v>4200</v>
      </c>
      <c r="F301" t="s">
        <v>4199</v>
      </c>
      <c r="G301" t="s">
        <v>13</v>
      </c>
      <c r="H301" t="s">
        <v>12</v>
      </c>
      <c r="I301" t="s">
        <v>4198</v>
      </c>
      <c r="J301">
        <v>60026097</v>
      </c>
      <c r="K301" t="s">
        <v>4197</v>
      </c>
      <c r="L301" t="s">
        <v>4018</v>
      </c>
      <c r="M301" t="s">
        <v>56</v>
      </c>
      <c r="N301">
        <v>2</v>
      </c>
      <c r="O301" t="s">
        <v>4196</v>
      </c>
      <c r="P301" t="s">
        <v>4195</v>
      </c>
      <c r="Q301" t="s">
        <v>4194</v>
      </c>
      <c r="R301" s="7">
        <v>30682</v>
      </c>
      <c r="S301" s="8">
        <f t="shared" si="32"/>
        <v>1984</v>
      </c>
      <c r="T301" s="8">
        <v>1984</v>
      </c>
      <c r="U301" s="8">
        <f t="shared" si="33"/>
        <v>38</v>
      </c>
      <c r="V301" s="7">
        <v>30926</v>
      </c>
      <c r="W301" t="s">
        <v>380</v>
      </c>
      <c r="X301" s="2">
        <v>1.6519999999999999</v>
      </c>
      <c r="Y301" s="6">
        <f t="shared" si="38"/>
        <v>4.409919649769093E-2</v>
      </c>
      <c r="AA301" t="s">
        <v>379</v>
      </c>
      <c r="AB301">
        <v>17337</v>
      </c>
      <c r="AC301">
        <v>15582221</v>
      </c>
      <c r="AD301" t="s">
        <v>4</v>
      </c>
      <c r="AE301">
        <v>32</v>
      </c>
      <c r="AF301">
        <v>9</v>
      </c>
      <c r="AH301" t="s">
        <v>4193</v>
      </c>
      <c r="AI301" t="s">
        <v>4192</v>
      </c>
      <c r="AK301" t="s">
        <v>4191</v>
      </c>
      <c r="AL301">
        <v>4</v>
      </c>
      <c r="AM301" s="5">
        <f t="shared" si="34"/>
        <v>0.10526315789473684</v>
      </c>
      <c r="AN301" s="4">
        <f t="shared" si="39"/>
        <v>1.5942924330895392E-4</v>
      </c>
      <c r="AO301" s="3"/>
      <c r="AP301">
        <v>0</v>
      </c>
      <c r="AR301" t="s">
        <v>0</v>
      </c>
      <c r="AT301" s="2" t="s">
        <v>45</v>
      </c>
      <c r="AU301" s="1">
        <f t="shared" si="35"/>
        <v>3.0917266321376338</v>
      </c>
      <c r="AV301" s="1">
        <f t="shared" si="36"/>
        <v>2.2129312870499942</v>
      </c>
      <c r="AW301" s="1">
        <f t="shared" si="37"/>
        <v>1.3341359419623546</v>
      </c>
    </row>
    <row r="302" spans="1:49" x14ac:dyDescent="0.2">
      <c r="A302">
        <v>300</v>
      </c>
      <c r="B302" t="s">
        <v>4190</v>
      </c>
      <c r="C302" t="s">
        <v>4189</v>
      </c>
      <c r="F302" t="s">
        <v>4188</v>
      </c>
      <c r="G302" t="s">
        <v>13</v>
      </c>
      <c r="H302" t="s">
        <v>12</v>
      </c>
      <c r="I302" t="s">
        <v>4187</v>
      </c>
      <c r="J302">
        <v>60028654</v>
      </c>
      <c r="K302" t="s">
        <v>4186</v>
      </c>
      <c r="L302" t="s">
        <v>2054</v>
      </c>
      <c r="M302" t="s">
        <v>56</v>
      </c>
      <c r="N302">
        <v>2</v>
      </c>
      <c r="O302" t="s">
        <v>4185</v>
      </c>
      <c r="P302" t="s">
        <v>4184</v>
      </c>
      <c r="Q302" t="s">
        <v>4183</v>
      </c>
      <c r="R302" s="7">
        <v>30682</v>
      </c>
      <c r="S302" s="8">
        <f t="shared" si="32"/>
        <v>1984</v>
      </c>
      <c r="T302" s="8">
        <v>1984</v>
      </c>
      <c r="U302" s="8">
        <f t="shared" si="33"/>
        <v>38</v>
      </c>
      <c r="V302" s="7">
        <v>30926</v>
      </c>
      <c r="W302" t="s">
        <v>1446</v>
      </c>
      <c r="X302" s="2">
        <v>1.137</v>
      </c>
      <c r="Y302" s="6">
        <f t="shared" si="38"/>
        <v>3.0351565628253384E-2</v>
      </c>
      <c r="AA302">
        <v>189251</v>
      </c>
      <c r="AB302">
        <v>17336</v>
      </c>
      <c r="AD302" t="s">
        <v>4</v>
      </c>
      <c r="AE302" t="s">
        <v>1445</v>
      </c>
      <c r="AF302">
        <v>5</v>
      </c>
      <c r="AH302" t="s">
        <v>4182</v>
      </c>
      <c r="AI302" t="s">
        <v>4181</v>
      </c>
      <c r="AK302" t="s">
        <v>4180</v>
      </c>
      <c r="AL302">
        <v>3</v>
      </c>
      <c r="AM302" s="5">
        <f t="shared" si="34"/>
        <v>7.8947368421052627E-2</v>
      </c>
      <c r="AN302" s="4">
        <f t="shared" si="39"/>
        <v>1.1957193248171546E-4</v>
      </c>
      <c r="AO302" s="3"/>
      <c r="AP302">
        <v>0</v>
      </c>
      <c r="AR302" t="s">
        <v>0</v>
      </c>
      <c r="AT302" s="2" t="s">
        <v>45</v>
      </c>
      <c r="AU302" s="1">
        <f t="shared" si="35"/>
        <v>2.1281967519521885</v>
      </c>
      <c r="AV302" s="1">
        <f t="shared" si="36"/>
        <v>1.523556878036755</v>
      </c>
      <c r="AW302" s="1">
        <f t="shared" si="37"/>
        <v>0.91891700412132171</v>
      </c>
    </row>
    <row r="303" spans="1:49" x14ac:dyDescent="0.2">
      <c r="A303">
        <v>301</v>
      </c>
      <c r="B303" t="s">
        <v>4179</v>
      </c>
      <c r="F303" t="s">
        <v>4178</v>
      </c>
      <c r="G303" t="s">
        <v>13</v>
      </c>
      <c r="H303" t="s">
        <v>12</v>
      </c>
      <c r="I303" t="s">
        <v>4177</v>
      </c>
      <c r="N303">
        <v>2</v>
      </c>
      <c r="O303" t="s">
        <v>4176</v>
      </c>
      <c r="P303" t="s">
        <v>4175</v>
      </c>
      <c r="Q303" t="s">
        <v>266</v>
      </c>
      <c r="R303" s="7">
        <v>30682</v>
      </c>
      <c r="S303" s="8">
        <f t="shared" si="32"/>
        <v>1984</v>
      </c>
      <c r="T303" s="8">
        <v>1984</v>
      </c>
      <c r="U303" s="8">
        <f t="shared" si="33"/>
        <v>38</v>
      </c>
      <c r="V303" s="7" t="s">
        <v>3882</v>
      </c>
      <c r="W303" t="s">
        <v>683</v>
      </c>
      <c r="X303" s="2">
        <v>0.10100000000000001</v>
      </c>
      <c r="Y303" s="6">
        <f t="shared" si="38"/>
        <v>2.6961373161421215E-3</v>
      </c>
      <c r="AA303">
        <v>7452883</v>
      </c>
      <c r="AB303">
        <v>18563</v>
      </c>
      <c r="AD303" t="s">
        <v>4</v>
      </c>
      <c r="AE303">
        <v>23</v>
      </c>
      <c r="AF303">
        <v>9</v>
      </c>
      <c r="AI303" t="s">
        <v>4174</v>
      </c>
      <c r="AK303" t="s">
        <v>4173</v>
      </c>
      <c r="AL303">
        <v>0</v>
      </c>
      <c r="AM303" s="5">
        <f t="shared" si="34"/>
        <v>0</v>
      </c>
      <c r="AN303" s="4">
        <f t="shared" si="39"/>
        <v>0</v>
      </c>
      <c r="AO303" s="3"/>
      <c r="AP303">
        <v>0</v>
      </c>
      <c r="AR303" t="s">
        <v>0</v>
      </c>
      <c r="AT303" s="2" t="s">
        <v>45</v>
      </c>
      <c r="AU303" s="1">
        <f t="shared" si="35"/>
        <v>0.18872961212994849</v>
      </c>
      <c r="AV303" s="1">
        <f t="shared" si="36"/>
        <v>0.13480686580710607</v>
      </c>
      <c r="AW303" s="1">
        <f t="shared" si="37"/>
        <v>8.0884119484263647E-2</v>
      </c>
    </row>
    <row r="304" spans="1:49" x14ac:dyDescent="0.2">
      <c r="A304">
        <v>302</v>
      </c>
      <c r="B304" t="s">
        <v>4172</v>
      </c>
      <c r="C304" t="s">
        <v>4171</v>
      </c>
      <c r="F304" t="s">
        <v>4170</v>
      </c>
      <c r="G304" t="s">
        <v>13</v>
      </c>
      <c r="H304" t="s">
        <v>12</v>
      </c>
      <c r="I304" t="s">
        <v>4169</v>
      </c>
      <c r="N304">
        <v>1</v>
      </c>
      <c r="O304" t="s">
        <v>4168</v>
      </c>
      <c r="P304">
        <v>6506741652</v>
      </c>
      <c r="R304" s="7">
        <v>30682</v>
      </c>
      <c r="S304" s="8">
        <f t="shared" ref="S304:S367" si="40">YEAR(R304)</f>
        <v>1984</v>
      </c>
      <c r="T304" s="8">
        <v>1984</v>
      </c>
      <c r="U304" s="8">
        <f t="shared" ref="U304:U367" si="41">2022-T304</f>
        <v>38</v>
      </c>
      <c r="V304" s="7">
        <v>30926</v>
      </c>
      <c r="W304" t="s">
        <v>1446</v>
      </c>
      <c r="X304" s="2">
        <v>1.137</v>
      </c>
      <c r="Y304" s="6">
        <f t="shared" si="38"/>
        <v>3.0351565628253384E-2</v>
      </c>
      <c r="AA304">
        <v>189251</v>
      </c>
      <c r="AB304">
        <v>17336</v>
      </c>
      <c r="AD304" t="s">
        <v>4</v>
      </c>
      <c r="AE304" t="s">
        <v>1445</v>
      </c>
      <c r="AF304">
        <v>5</v>
      </c>
      <c r="AH304" t="s">
        <v>4167</v>
      </c>
      <c r="AI304" t="s">
        <v>4166</v>
      </c>
      <c r="AK304" t="s">
        <v>4165</v>
      </c>
      <c r="AL304">
        <v>0</v>
      </c>
      <c r="AM304" s="5">
        <f t="shared" ref="AM304:AM367" si="42">AL304/U304</f>
        <v>0</v>
      </c>
      <c r="AN304" s="4">
        <f t="shared" si="39"/>
        <v>0</v>
      </c>
      <c r="AO304" s="3"/>
      <c r="AP304">
        <v>0</v>
      </c>
      <c r="AR304" t="s">
        <v>0</v>
      </c>
      <c r="AT304" s="2" t="s">
        <v>45</v>
      </c>
      <c r="AU304" s="1">
        <f t="shared" ref="AU304:AU367" si="43">(Y304*0.7+AN304*0.3)*100</f>
        <v>2.1246095939777367</v>
      </c>
      <c r="AV304" s="1">
        <f t="shared" ref="AV304:AV367" si="44">(Y304*0.5+AN304*0.5)*100</f>
        <v>1.5175782814126693</v>
      </c>
      <c r="AW304" s="1">
        <f t="shared" ref="AW304:AW367" si="45">(Y304*0.3+AN304*0.7)*100</f>
        <v>0.91054696884760156</v>
      </c>
    </row>
    <row r="305" spans="1:49" x14ac:dyDescent="0.2">
      <c r="A305">
        <v>303</v>
      </c>
      <c r="B305" t="s">
        <v>4164</v>
      </c>
      <c r="C305" t="s">
        <v>4163</v>
      </c>
      <c r="F305" t="s">
        <v>4162</v>
      </c>
      <c r="G305" t="s">
        <v>13</v>
      </c>
      <c r="H305" t="s">
        <v>12</v>
      </c>
      <c r="I305" t="s">
        <v>4161</v>
      </c>
      <c r="J305">
        <v>60020484</v>
      </c>
      <c r="K305" t="s">
        <v>4160</v>
      </c>
      <c r="L305" t="s">
        <v>4159</v>
      </c>
      <c r="M305" t="s">
        <v>2549</v>
      </c>
      <c r="N305">
        <v>1</v>
      </c>
      <c r="O305" t="s">
        <v>4158</v>
      </c>
      <c r="P305">
        <v>7003884961</v>
      </c>
      <c r="Q305">
        <v>60020484</v>
      </c>
      <c r="R305" s="7">
        <v>30682</v>
      </c>
      <c r="S305" s="8">
        <f t="shared" si="40"/>
        <v>1984</v>
      </c>
      <c r="T305" s="8">
        <v>1984</v>
      </c>
      <c r="U305" s="8">
        <f t="shared" si="41"/>
        <v>38</v>
      </c>
      <c r="V305" s="7">
        <v>30926</v>
      </c>
      <c r="W305" t="s">
        <v>380</v>
      </c>
      <c r="X305" s="2">
        <v>1.6519999999999999</v>
      </c>
      <c r="Y305" s="6">
        <f t="shared" si="38"/>
        <v>4.409919649769093E-2</v>
      </c>
      <c r="AA305" t="s">
        <v>379</v>
      </c>
      <c r="AB305">
        <v>17337</v>
      </c>
      <c r="AC305">
        <v>15582221</v>
      </c>
      <c r="AD305" t="s">
        <v>4</v>
      </c>
      <c r="AE305">
        <v>32</v>
      </c>
      <c r="AF305">
        <v>9</v>
      </c>
      <c r="AH305" t="s">
        <v>4157</v>
      </c>
      <c r="AI305" t="s">
        <v>4156</v>
      </c>
      <c r="AK305" t="s">
        <v>4155</v>
      </c>
      <c r="AL305">
        <v>5</v>
      </c>
      <c r="AM305" s="5">
        <f t="shared" si="42"/>
        <v>0.13157894736842105</v>
      </c>
      <c r="AN305" s="4">
        <f t="shared" si="39"/>
        <v>1.9928655413619243E-4</v>
      </c>
      <c r="AO305" s="3"/>
      <c r="AP305">
        <v>0</v>
      </c>
      <c r="AR305" t="s">
        <v>0</v>
      </c>
      <c r="AT305" s="2" t="s">
        <v>45</v>
      </c>
      <c r="AU305" s="1">
        <f t="shared" si="43"/>
        <v>3.0929223514624509</v>
      </c>
      <c r="AV305" s="1">
        <f t="shared" si="44"/>
        <v>2.2149241525913563</v>
      </c>
      <c r="AW305" s="1">
        <f t="shared" si="45"/>
        <v>1.3369259537202611</v>
      </c>
    </row>
    <row r="306" spans="1:49" x14ac:dyDescent="0.2">
      <c r="A306">
        <v>304</v>
      </c>
      <c r="B306" t="s">
        <v>4154</v>
      </c>
      <c r="C306" t="s">
        <v>4153</v>
      </c>
      <c r="F306" t="s">
        <v>4152</v>
      </c>
      <c r="G306" t="s">
        <v>13</v>
      </c>
      <c r="H306" t="s">
        <v>12</v>
      </c>
      <c r="I306" t="s">
        <v>4151</v>
      </c>
      <c r="J306">
        <v>60032179</v>
      </c>
      <c r="K306" t="s">
        <v>696</v>
      </c>
      <c r="L306" t="s">
        <v>695</v>
      </c>
      <c r="M306" t="s">
        <v>56</v>
      </c>
      <c r="N306">
        <v>1</v>
      </c>
      <c r="O306" t="s">
        <v>4150</v>
      </c>
      <c r="P306">
        <v>7405460591</v>
      </c>
      <c r="Q306">
        <v>60032179</v>
      </c>
      <c r="R306" s="7">
        <v>30682</v>
      </c>
      <c r="S306" s="8">
        <f t="shared" si="40"/>
        <v>1984</v>
      </c>
      <c r="T306" s="8">
        <v>1984</v>
      </c>
      <c r="U306" s="8">
        <f t="shared" si="41"/>
        <v>38</v>
      </c>
      <c r="V306" s="7">
        <v>30926</v>
      </c>
      <c r="W306" t="s">
        <v>380</v>
      </c>
      <c r="X306" s="2">
        <v>1.6519999999999999</v>
      </c>
      <c r="Y306" s="6">
        <f t="shared" si="38"/>
        <v>4.409919649769093E-2</v>
      </c>
      <c r="AA306" t="s">
        <v>379</v>
      </c>
      <c r="AB306">
        <v>17337</v>
      </c>
      <c r="AC306">
        <v>15582221</v>
      </c>
      <c r="AD306" t="s">
        <v>4</v>
      </c>
      <c r="AE306">
        <v>32</v>
      </c>
      <c r="AF306">
        <v>9</v>
      </c>
      <c r="AH306" t="s">
        <v>4149</v>
      </c>
      <c r="AI306" t="s">
        <v>4148</v>
      </c>
      <c r="AK306" t="s">
        <v>4147</v>
      </c>
      <c r="AL306">
        <v>7</v>
      </c>
      <c r="AM306" s="5">
        <f t="shared" si="42"/>
        <v>0.18421052631578946</v>
      </c>
      <c r="AN306" s="4">
        <f t="shared" si="39"/>
        <v>2.7900117579066937E-4</v>
      </c>
      <c r="AO306" s="3"/>
      <c r="AP306">
        <v>0</v>
      </c>
      <c r="AR306" t="s">
        <v>0</v>
      </c>
      <c r="AT306" s="2" t="s">
        <v>45</v>
      </c>
      <c r="AU306" s="1">
        <f t="shared" si="43"/>
        <v>3.0953137901120851</v>
      </c>
      <c r="AV306" s="1">
        <f t="shared" si="44"/>
        <v>2.2189098836740797</v>
      </c>
      <c r="AW306" s="1">
        <f t="shared" si="45"/>
        <v>1.3425059772360746</v>
      </c>
    </row>
    <row r="307" spans="1:49" x14ac:dyDescent="0.2">
      <c r="A307">
        <v>305</v>
      </c>
      <c r="B307" t="s">
        <v>4146</v>
      </c>
      <c r="C307" t="s">
        <v>4145</v>
      </c>
      <c r="F307" t="s">
        <v>4144</v>
      </c>
      <c r="G307" t="s">
        <v>13</v>
      </c>
      <c r="H307" t="s">
        <v>12</v>
      </c>
      <c r="I307" t="s">
        <v>4143</v>
      </c>
      <c r="N307">
        <v>1</v>
      </c>
      <c r="O307" t="s">
        <v>4142</v>
      </c>
      <c r="P307">
        <v>57203071710</v>
      </c>
      <c r="R307" s="7">
        <v>30682</v>
      </c>
      <c r="S307" s="8">
        <f t="shared" si="40"/>
        <v>1984</v>
      </c>
      <c r="T307" s="8">
        <v>1984</v>
      </c>
      <c r="U307" s="8">
        <f t="shared" si="41"/>
        <v>38</v>
      </c>
      <c r="V307" s="7">
        <v>30926</v>
      </c>
      <c r="W307" t="s">
        <v>2209</v>
      </c>
      <c r="X307" s="2">
        <v>2.0070000000000001</v>
      </c>
      <c r="Y307" s="6">
        <f t="shared" si="38"/>
        <v>5.3575718747497406E-2</v>
      </c>
      <c r="AA307">
        <v>948276</v>
      </c>
      <c r="AB307">
        <v>27962</v>
      </c>
      <c r="AC307">
        <v>19448007</v>
      </c>
      <c r="AD307" t="s">
        <v>4</v>
      </c>
      <c r="AE307">
        <v>11</v>
      </c>
      <c r="AF307">
        <v>9</v>
      </c>
      <c r="AH307" t="s">
        <v>4141</v>
      </c>
      <c r="AI307" t="s">
        <v>4140</v>
      </c>
      <c r="AK307" t="s">
        <v>4139</v>
      </c>
      <c r="AL307">
        <v>5</v>
      </c>
      <c r="AM307" s="5">
        <f t="shared" si="42"/>
        <v>0.13157894736842105</v>
      </c>
      <c r="AN307" s="4">
        <f t="shared" si="39"/>
        <v>1.9928655413619243E-4</v>
      </c>
      <c r="AO307" s="3"/>
      <c r="AP307">
        <v>0</v>
      </c>
      <c r="AR307" t="s">
        <v>0</v>
      </c>
      <c r="AT307" s="2">
        <v>4.72</v>
      </c>
      <c r="AU307" s="1">
        <f t="shared" si="43"/>
        <v>3.7562789089489041</v>
      </c>
      <c r="AV307" s="1">
        <f t="shared" si="44"/>
        <v>2.6887502650816799</v>
      </c>
      <c r="AW307" s="1">
        <f t="shared" si="45"/>
        <v>1.6212216212144552</v>
      </c>
    </row>
    <row r="308" spans="1:49" x14ac:dyDescent="0.2">
      <c r="A308">
        <v>306</v>
      </c>
      <c r="B308" t="s">
        <v>4138</v>
      </c>
      <c r="C308" t="s">
        <v>4137</v>
      </c>
      <c r="F308" t="s">
        <v>4136</v>
      </c>
      <c r="G308" t="s">
        <v>13</v>
      </c>
      <c r="H308" t="s">
        <v>12</v>
      </c>
      <c r="I308" t="s">
        <v>4135</v>
      </c>
      <c r="J308">
        <v>60009982</v>
      </c>
      <c r="K308" t="s">
        <v>2614</v>
      </c>
      <c r="L308" t="s">
        <v>194</v>
      </c>
      <c r="M308" t="s">
        <v>56</v>
      </c>
      <c r="N308">
        <v>1</v>
      </c>
      <c r="O308" t="s">
        <v>4134</v>
      </c>
      <c r="P308">
        <v>54779559900</v>
      </c>
      <c r="Q308">
        <v>60009982</v>
      </c>
      <c r="R308" s="7">
        <v>30682</v>
      </c>
      <c r="S308" s="8">
        <f t="shared" si="40"/>
        <v>1984</v>
      </c>
      <c r="T308" s="8">
        <v>1984</v>
      </c>
      <c r="U308" s="8">
        <f t="shared" si="41"/>
        <v>38</v>
      </c>
      <c r="V308" s="7">
        <v>30926</v>
      </c>
      <c r="W308" t="s">
        <v>111</v>
      </c>
      <c r="X308" s="2">
        <v>2.383</v>
      </c>
      <c r="Y308" s="6">
        <f t="shared" si="38"/>
        <v>6.3612824003630442E-2</v>
      </c>
      <c r="AA308">
        <v>189219</v>
      </c>
      <c r="AB308">
        <v>17915</v>
      </c>
      <c r="AC308">
        <v>15582256</v>
      </c>
      <c r="AD308" t="s">
        <v>4</v>
      </c>
      <c r="AE308">
        <v>72</v>
      </c>
      <c r="AF308">
        <v>9</v>
      </c>
      <c r="AH308" t="s">
        <v>4133</v>
      </c>
      <c r="AI308" t="s">
        <v>4132</v>
      </c>
      <c r="AK308" t="s">
        <v>4131</v>
      </c>
      <c r="AL308">
        <v>1</v>
      </c>
      <c r="AM308" s="5">
        <f t="shared" si="42"/>
        <v>2.6315789473684209E-2</v>
      </c>
      <c r="AN308" s="4">
        <f t="shared" si="39"/>
        <v>3.9857310827238481E-5</v>
      </c>
      <c r="AO308" s="3"/>
      <c r="AP308">
        <v>0</v>
      </c>
      <c r="AR308" t="s">
        <v>0</v>
      </c>
      <c r="AT308" s="2">
        <v>10.961</v>
      </c>
      <c r="AU308" s="1">
        <f t="shared" si="43"/>
        <v>4.454093399578948</v>
      </c>
      <c r="AV308" s="1">
        <f t="shared" si="44"/>
        <v>3.1826340657228842</v>
      </c>
      <c r="AW308" s="1">
        <f t="shared" si="45"/>
        <v>1.9111747318668197</v>
      </c>
    </row>
    <row r="309" spans="1:49" x14ac:dyDescent="0.2">
      <c r="A309">
        <v>307</v>
      </c>
      <c r="B309" t="s">
        <v>4130</v>
      </c>
      <c r="F309" t="s">
        <v>4129</v>
      </c>
      <c r="G309" t="s">
        <v>13</v>
      </c>
      <c r="H309" t="s">
        <v>12</v>
      </c>
      <c r="I309" t="s">
        <v>3095</v>
      </c>
      <c r="N309">
        <v>2</v>
      </c>
      <c r="O309" t="s">
        <v>3093</v>
      </c>
      <c r="P309" t="s">
        <v>3092</v>
      </c>
      <c r="Q309" t="s">
        <v>266</v>
      </c>
      <c r="R309" s="7">
        <v>30682</v>
      </c>
      <c r="S309" s="8">
        <f t="shared" si="40"/>
        <v>1984</v>
      </c>
      <c r="T309" s="8">
        <v>1984</v>
      </c>
      <c r="U309" s="8">
        <f t="shared" si="41"/>
        <v>38</v>
      </c>
      <c r="V309" s="7" t="s">
        <v>3882</v>
      </c>
      <c r="W309" t="s">
        <v>1668</v>
      </c>
      <c r="X309" s="2" t="s">
        <v>45</v>
      </c>
      <c r="Y309" s="6" t="e">
        <f t="shared" si="38"/>
        <v>#VALUE!</v>
      </c>
      <c r="AA309" t="s">
        <v>1667</v>
      </c>
      <c r="AB309">
        <v>30906</v>
      </c>
      <c r="AD309" t="s">
        <v>4</v>
      </c>
      <c r="AE309">
        <v>67</v>
      </c>
      <c r="AF309">
        <v>9</v>
      </c>
      <c r="AH309" t="s">
        <v>4128</v>
      </c>
      <c r="AI309" t="s">
        <v>4127</v>
      </c>
      <c r="AK309" t="s">
        <v>4126</v>
      </c>
      <c r="AL309">
        <v>5</v>
      </c>
      <c r="AM309" s="5">
        <f t="shared" si="42"/>
        <v>0.13157894736842105</v>
      </c>
      <c r="AN309" s="4">
        <f t="shared" si="39"/>
        <v>1.9928655413619243E-4</v>
      </c>
      <c r="AO309" s="3"/>
      <c r="AP309">
        <v>0</v>
      </c>
      <c r="AR309" t="s">
        <v>0</v>
      </c>
      <c r="AT309" s="2" t="s">
        <v>45</v>
      </c>
      <c r="AU309" s="1" t="e">
        <f t="shared" si="43"/>
        <v>#VALUE!</v>
      </c>
      <c r="AV309" s="1" t="e">
        <f t="shared" si="44"/>
        <v>#VALUE!</v>
      </c>
      <c r="AW309" s="1" t="e">
        <f t="shared" si="45"/>
        <v>#VALUE!</v>
      </c>
    </row>
    <row r="310" spans="1:49" x14ac:dyDescent="0.2">
      <c r="A310">
        <v>308</v>
      </c>
      <c r="B310" t="s">
        <v>4125</v>
      </c>
      <c r="C310" t="s">
        <v>4124</v>
      </c>
      <c r="F310" t="s">
        <v>4123</v>
      </c>
      <c r="G310" t="s">
        <v>13</v>
      </c>
      <c r="H310" t="s">
        <v>12</v>
      </c>
      <c r="I310" t="s">
        <v>2373</v>
      </c>
      <c r="J310">
        <v>60018020</v>
      </c>
      <c r="K310" t="s">
        <v>2372</v>
      </c>
      <c r="L310" t="s">
        <v>2371</v>
      </c>
      <c r="M310" t="s">
        <v>56</v>
      </c>
      <c r="N310">
        <v>3</v>
      </c>
      <c r="O310" t="s">
        <v>4122</v>
      </c>
      <c r="P310" t="s">
        <v>4121</v>
      </c>
      <c r="Q310" t="s">
        <v>2368</v>
      </c>
      <c r="R310" s="7">
        <v>30682</v>
      </c>
      <c r="S310" s="8">
        <f t="shared" si="40"/>
        <v>1984</v>
      </c>
      <c r="T310" s="8">
        <v>1984</v>
      </c>
      <c r="U310" s="8">
        <f t="shared" si="41"/>
        <v>38</v>
      </c>
      <c r="V310" s="7">
        <v>1984</v>
      </c>
      <c r="W310" t="s">
        <v>474</v>
      </c>
      <c r="X310" s="2">
        <v>1.1879999999999999</v>
      </c>
      <c r="Y310" s="6">
        <f t="shared" si="38"/>
        <v>3.1712981500760788E-2</v>
      </c>
      <c r="AA310">
        <v>10706631</v>
      </c>
      <c r="AB310">
        <v>29210</v>
      </c>
      <c r="AD310" t="s">
        <v>4</v>
      </c>
      <c r="AE310">
        <v>27</v>
      </c>
      <c r="AF310">
        <v>9</v>
      </c>
      <c r="AH310" t="s">
        <v>4120</v>
      </c>
      <c r="AI310" t="s">
        <v>4119</v>
      </c>
      <c r="AK310" t="s">
        <v>4118</v>
      </c>
      <c r="AL310">
        <v>19</v>
      </c>
      <c r="AM310" s="5">
        <f t="shared" si="42"/>
        <v>0.5</v>
      </c>
      <c r="AN310" s="4">
        <f t="shared" si="39"/>
        <v>7.572889057175312E-4</v>
      </c>
      <c r="AO310" s="3"/>
      <c r="AP310">
        <v>0</v>
      </c>
      <c r="AR310" t="s">
        <v>0</v>
      </c>
      <c r="AT310" s="2">
        <v>3.5209999999999999</v>
      </c>
      <c r="AU310" s="1">
        <f t="shared" si="43"/>
        <v>2.2426273722247809</v>
      </c>
      <c r="AV310" s="1">
        <f t="shared" si="44"/>
        <v>1.6235135203239159</v>
      </c>
      <c r="AW310" s="1">
        <f t="shared" si="45"/>
        <v>1.004399668423051</v>
      </c>
    </row>
    <row r="311" spans="1:49" x14ac:dyDescent="0.2">
      <c r="A311">
        <v>309</v>
      </c>
      <c r="B311" t="s">
        <v>4117</v>
      </c>
      <c r="C311" t="s">
        <v>4116</v>
      </c>
      <c r="F311" t="s">
        <v>4115</v>
      </c>
      <c r="G311" t="s">
        <v>13</v>
      </c>
      <c r="H311" t="s">
        <v>12</v>
      </c>
      <c r="I311" t="s">
        <v>1138</v>
      </c>
      <c r="J311">
        <v>60004750</v>
      </c>
      <c r="K311" t="s">
        <v>1137</v>
      </c>
      <c r="L311" t="s">
        <v>1136</v>
      </c>
      <c r="M311" t="s">
        <v>125</v>
      </c>
      <c r="N311">
        <v>2</v>
      </c>
      <c r="O311" t="s">
        <v>1135</v>
      </c>
      <c r="P311" t="s">
        <v>1134</v>
      </c>
      <c r="Q311" t="s">
        <v>1133</v>
      </c>
      <c r="R311" s="7">
        <v>30682</v>
      </c>
      <c r="S311" s="8">
        <f t="shared" si="40"/>
        <v>1984</v>
      </c>
      <c r="T311" s="8">
        <v>1984</v>
      </c>
      <c r="U311" s="8">
        <f t="shared" si="41"/>
        <v>38</v>
      </c>
      <c r="V311" s="7">
        <v>30926</v>
      </c>
      <c r="W311" t="s">
        <v>380</v>
      </c>
      <c r="X311" s="2">
        <v>1.6519999999999999</v>
      </c>
      <c r="Y311" s="6">
        <f t="shared" si="38"/>
        <v>4.409919649769093E-2</v>
      </c>
      <c r="AA311" t="s">
        <v>379</v>
      </c>
      <c r="AB311">
        <v>17337</v>
      </c>
      <c r="AC311">
        <v>15582221</v>
      </c>
      <c r="AD311" t="s">
        <v>4</v>
      </c>
      <c r="AE311">
        <v>32</v>
      </c>
      <c r="AF311">
        <v>9</v>
      </c>
      <c r="AH311" t="s">
        <v>4114</v>
      </c>
      <c r="AI311" t="s">
        <v>4113</v>
      </c>
      <c r="AK311" t="s">
        <v>4112</v>
      </c>
      <c r="AL311">
        <v>4</v>
      </c>
      <c r="AM311" s="5">
        <f t="shared" si="42"/>
        <v>0.10526315789473684</v>
      </c>
      <c r="AN311" s="4">
        <f t="shared" si="39"/>
        <v>1.5942924330895392E-4</v>
      </c>
      <c r="AO311" s="3"/>
      <c r="AP311">
        <v>0</v>
      </c>
      <c r="AR311" t="s">
        <v>0</v>
      </c>
      <c r="AT311" s="2" t="s">
        <v>45</v>
      </c>
      <c r="AU311" s="1">
        <f t="shared" si="43"/>
        <v>3.0917266321376338</v>
      </c>
      <c r="AV311" s="1">
        <f t="shared" si="44"/>
        <v>2.2129312870499942</v>
      </c>
      <c r="AW311" s="1">
        <f t="shared" si="45"/>
        <v>1.3341359419623546</v>
      </c>
    </row>
    <row r="312" spans="1:49" x14ac:dyDescent="0.2">
      <c r="A312">
        <v>310</v>
      </c>
      <c r="B312" t="s">
        <v>4111</v>
      </c>
      <c r="F312" t="s">
        <v>4110</v>
      </c>
      <c r="G312" t="s">
        <v>13</v>
      </c>
      <c r="H312" t="s">
        <v>12</v>
      </c>
      <c r="I312" t="s">
        <v>646</v>
      </c>
      <c r="N312">
        <v>3</v>
      </c>
      <c r="O312" t="s">
        <v>4109</v>
      </c>
      <c r="P312" t="s">
        <v>4108</v>
      </c>
      <c r="Q312" t="s">
        <v>8</v>
      </c>
      <c r="R312" s="7">
        <v>30682</v>
      </c>
      <c r="S312" s="8">
        <f t="shared" si="40"/>
        <v>1984</v>
      </c>
      <c r="T312" s="8">
        <v>1984</v>
      </c>
      <c r="U312" s="8">
        <f t="shared" si="41"/>
        <v>38</v>
      </c>
      <c r="V312" s="7" t="s">
        <v>3882</v>
      </c>
      <c r="W312" t="s">
        <v>1668</v>
      </c>
      <c r="X312" s="2" t="s">
        <v>45</v>
      </c>
      <c r="Y312" s="6" t="e">
        <f t="shared" si="38"/>
        <v>#VALUE!</v>
      </c>
      <c r="AA312" t="s">
        <v>1667</v>
      </c>
      <c r="AB312">
        <v>30906</v>
      </c>
      <c r="AD312" t="s">
        <v>4</v>
      </c>
      <c r="AE312">
        <v>67</v>
      </c>
      <c r="AF312">
        <v>9</v>
      </c>
      <c r="AH312" t="s">
        <v>4107</v>
      </c>
      <c r="AI312" t="s">
        <v>4106</v>
      </c>
      <c r="AK312" t="s">
        <v>4105</v>
      </c>
      <c r="AL312">
        <v>0</v>
      </c>
      <c r="AM312" s="5">
        <f t="shared" si="42"/>
        <v>0</v>
      </c>
      <c r="AN312" s="4">
        <f t="shared" si="39"/>
        <v>0</v>
      </c>
      <c r="AO312" s="3"/>
      <c r="AP312">
        <v>0</v>
      </c>
      <c r="AR312" t="s">
        <v>0</v>
      </c>
      <c r="AT312" s="2" t="s">
        <v>45</v>
      </c>
      <c r="AU312" s="1" t="e">
        <f t="shared" si="43"/>
        <v>#VALUE!</v>
      </c>
      <c r="AV312" s="1" t="e">
        <f t="shared" si="44"/>
        <v>#VALUE!</v>
      </c>
      <c r="AW312" s="1" t="e">
        <f t="shared" si="45"/>
        <v>#VALUE!</v>
      </c>
    </row>
    <row r="313" spans="1:49" x14ac:dyDescent="0.2">
      <c r="A313">
        <v>311</v>
      </c>
      <c r="B313" t="s">
        <v>4104</v>
      </c>
      <c r="C313" t="s">
        <v>4103</v>
      </c>
      <c r="F313" t="s">
        <v>4102</v>
      </c>
      <c r="G313" t="s">
        <v>13</v>
      </c>
      <c r="H313" t="s">
        <v>12</v>
      </c>
      <c r="I313" t="s">
        <v>4101</v>
      </c>
      <c r="J313">
        <v>60005304</v>
      </c>
      <c r="K313" t="s">
        <v>443</v>
      </c>
      <c r="L313" t="s">
        <v>442</v>
      </c>
      <c r="M313" t="s">
        <v>56</v>
      </c>
      <c r="N313">
        <v>1</v>
      </c>
      <c r="O313" t="s">
        <v>4100</v>
      </c>
      <c r="P313">
        <v>7402680009</v>
      </c>
      <c r="Q313">
        <v>60005304</v>
      </c>
      <c r="R313" s="7">
        <v>30682</v>
      </c>
      <c r="S313" s="8">
        <f t="shared" si="40"/>
        <v>1984</v>
      </c>
      <c r="T313" s="8">
        <v>1984</v>
      </c>
      <c r="U313" s="8">
        <f t="shared" si="41"/>
        <v>38</v>
      </c>
      <c r="V313" s="7">
        <v>30926</v>
      </c>
      <c r="W313" t="s">
        <v>2466</v>
      </c>
      <c r="X313" s="2">
        <v>1.3720000000000001</v>
      </c>
      <c r="Y313" s="6">
        <f t="shared" si="38"/>
        <v>3.662475641333654E-2</v>
      </c>
      <c r="AA313">
        <v>189480</v>
      </c>
      <c r="AB313">
        <v>17366</v>
      </c>
      <c r="AC313">
        <v>15579670</v>
      </c>
      <c r="AD313" t="s">
        <v>4</v>
      </c>
      <c r="AE313">
        <v>32</v>
      </c>
      <c r="AF313">
        <v>9</v>
      </c>
      <c r="AH313" t="s">
        <v>4099</v>
      </c>
      <c r="AL313">
        <v>7</v>
      </c>
      <c r="AM313" s="5">
        <f t="shared" si="42"/>
        <v>0.18421052631578946</v>
      </c>
      <c r="AN313" s="4">
        <f t="shared" si="39"/>
        <v>2.7900117579066937E-4</v>
      </c>
      <c r="AO313" s="3"/>
      <c r="AP313">
        <v>0</v>
      </c>
      <c r="AR313" t="s">
        <v>0</v>
      </c>
      <c r="AT313" s="2" t="s">
        <v>45</v>
      </c>
      <c r="AU313" s="1">
        <f t="shared" si="43"/>
        <v>2.5721029842072776</v>
      </c>
      <c r="AV313" s="1">
        <f t="shared" si="44"/>
        <v>1.8451878794563603</v>
      </c>
      <c r="AW313" s="1">
        <f t="shared" si="45"/>
        <v>1.1182727747054431</v>
      </c>
    </row>
    <row r="314" spans="1:49" x14ac:dyDescent="0.2">
      <c r="A314">
        <v>312</v>
      </c>
      <c r="B314" t="s">
        <v>4098</v>
      </c>
      <c r="C314" t="s">
        <v>4097</v>
      </c>
      <c r="F314" t="s">
        <v>4096</v>
      </c>
      <c r="G314" t="s">
        <v>13</v>
      </c>
      <c r="H314" t="s">
        <v>12</v>
      </c>
      <c r="I314" t="s">
        <v>4095</v>
      </c>
      <c r="J314">
        <v>60021378</v>
      </c>
      <c r="K314" t="s">
        <v>3356</v>
      </c>
      <c r="L314" t="s">
        <v>3355</v>
      </c>
      <c r="M314" t="s">
        <v>56</v>
      </c>
      <c r="N314">
        <v>1</v>
      </c>
      <c r="O314" t="s">
        <v>4094</v>
      </c>
      <c r="P314">
        <v>56796721500</v>
      </c>
      <c r="Q314">
        <v>60021378</v>
      </c>
      <c r="R314" s="7">
        <v>30682</v>
      </c>
      <c r="S314" s="8">
        <f t="shared" si="40"/>
        <v>1984</v>
      </c>
      <c r="T314" s="8">
        <v>1984</v>
      </c>
      <c r="U314" s="8">
        <f t="shared" si="41"/>
        <v>38</v>
      </c>
      <c r="V314" s="7">
        <v>30926</v>
      </c>
      <c r="W314" t="s">
        <v>111</v>
      </c>
      <c r="X314" s="2">
        <v>2.383</v>
      </c>
      <c r="Y314" s="6">
        <f t="shared" si="38"/>
        <v>6.3612824003630442E-2</v>
      </c>
      <c r="AA314">
        <v>189219</v>
      </c>
      <c r="AB314">
        <v>17915</v>
      </c>
      <c r="AC314">
        <v>15582256</v>
      </c>
      <c r="AD314" t="s">
        <v>4</v>
      </c>
      <c r="AE314">
        <v>72</v>
      </c>
      <c r="AF314">
        <v>9</v>
      </c>
      <c r="AH314" t="s">
        <v>4093</v>
      </c>
      <c r="AI314" t="s">
        <v>4092</v>
      </c>
      <c r="AK314" t="s">
        <v>4091</v>
      </c>
      <c r="AL314">
        <v>11</v>
      </c>
      <c r="AM314" s="5">
        <f t="shared" si="42"/>
        <v>0.28947368421052633</v>
      </c>
      <c r="AN314" s="4">
        <f t="shared" si="39"/>
        <v>4.3843041909962335E-4</v>
      </c>
      <c r="AO314" s="3"/>
      <c r="AP314">
        <v>0</v>
      </c>
      <c r="AR314" t="s">
        <v>0</v>
      </c>
      <c r="AT314" s="2">
        <v>10.961</v>
      </c>
      <c r="AU314" s="1">
        <f t="shared" si="43"/>
        <v>4.4660505928271199</v>
      </c>
      <c r="AV314" s="1">
        <f t="shared" si="44"/>
        <v>3.2025627211365029</v>
      </c>
      <c r="AW314" s="1">
        <f t="shared" si="45"/>
        <v>1.9390748494458869</v>
      </c>
    </row>
    <row r="315" spans="1:49" x14ac:dyDescent="0.2">
      <c r="A315">
        <v>313</v>
      </c>
      <c r="B315" t="s">
        <v>4090</v>
      </c>
      <c r="C315" t="s">
        <v>4089</v>
      </c>
      <c r="F315" t="s">
        <v>4088</v>
      </c>
      <c r="G315" t="s">
        <v>13</v>
      </c>
      <c r="H315" t="s">
        <v>12</v>
      </c>
      <c r="I315" t="s">
        <v>4087</v>
      </c>
      <c r="N315">
        <v>4</v>
      </c>
      <c r="O315" t="s">
        <v>4086</v>
      </c>
      <c r="P315" t="s">
        <v>4085</v>
      </c>
      <c r="Q315" t="s">
        <v>525</v>
      </c>
      <c r="R315" s="7">
        <v>30682</v>
      </c>
      <c r="S315" s="8">
        <f t="shared" si="40"/>
        <v>1984</v>
      </c>
      <c r="T315" s="8">
        <v>1984</v>
      </c>
      <c r="U315" s="8">
        <f t="shared" si="41"/>
        <v>38</v>
      </c>
      <c r="V315" s="7" t="s">
        <v>3882</v>
      </c>
      <c r="W315" t="s">
        <v>380</v>
      </c>
      <c r="X315" s="2">
        <v>1.6519999999999999</v>
      </c>
      <c r="Y315" s="6">
        <f t="shared" si="38"/>
        <v>4.409919649769093E-2</v>
      </c>
      <c r="AA315" t="s">
        <v>379</v>
      </c>
      <c r="AB315">
        <v>17337</v>
      </c>
      <c r="AD315" t="s">
        <v>4</v>
      </c>
      <c r="AE315" t="s">
        <v>4084</v>
      </c>
      <c r="AF315">
        <v>9</v>
      </c>
      <c r="AH315" t="s">
        <v>4083</v>
      </c>
      <c r="AI315" t="s">
        <v>4082</v>
      </c>
      <c r="AK315" t="s">
        <v>4081</v>
      </c>
      <c r="AL315">
        <v>10</v>
      </c>
      <c r="AM315" s="5">
        <f t="shared" si="42"/>
        <v>0.26315789473684209</v>
      </c>
      <c r="AN315" s="4">
        <f t="shared" si="39"/>
        <v>3.9857310827238487E-4</v>
      </c>
      <c r="AO315" s="3"/>
      <c r="AP315">
        <v>0</v>
      </c>
      <c r="AR315" t="s">
        <v>0</v>
      </c>
      <c r="AT315" s="2" t="s">
        <v>45</v>
      </c>
      <c r="AU315" s="1">
        <f t="shared" si="43"/>
        <v>3.0989009480865368</v>
      </c>
      <c r="AV315" s="1">
        <f t="shared" si="44"/>
        <v>2.2248884802981657</v>
      </c>
      <c r="AW315" s="1">
        <f t="shared" si="45"/>
        <v>1.3508760125097947</v>
      </c>
    </row>
    <row r="316" spans="1:49" x14ac:dyDescent="0.2">
      <c r="A316">
        <v>314</v>
      </c>
      <c r="B316" t="s">
        <v>4080</v>
      </c>
      <c r="C316" t="s">
        <v>4079</v>
      </c>
      <c r="F316" t="s">
        <v>4078</v>
      </c>
      <c r="G316" t="s">
        <v>13</v>
      </c>
      <c r="H316" t="s">
        <v>12</v>
      </c>
      <c r="I316" t="s">
        <v>4077</v>
      </c>
      <c r="J316" t="s">
        <v>4076</v>
      </c>
      <c r="K316" t="s">
        <v>4075</v>
      </c>
      <c r="L316" t="s">
        <v>4074</v>
      </c>
      <c r="M316" t="s">
        <v>4073</v>
      </c>
      <c r="N316">
        <v>1</v>
      </c>
      <c r="O316" t="s">
        <v>4072</v>
      </c>
      <c r="P316">
        <v>7005751127</v>
      </c>
      <c r="Q316" t="s">
        <v>4071</v>
      </c>
      <c r="R316" s="7">
        <v>30682</v>
      </c>
      <c r="S316" s="8">
        <f t="shared" si="40"/>
        <v>1984</v>
      </c>
      <c r="T316" s="8">
        <v>1984</v>
      </c>
      <c r="U316" s="8">
        <f t="shared" si="41"/>
        <v>38</v>
      </c>
      <c r="V316" s="7">
        <v>30926</v>
      </c>
      <c r="W316" t="s">
        <v>652</v>
      </c>
      <c r="X316" s="2">
        <v>1.468</v>
      </c>
      <c r="Y316" s="6">
        <f t="shared" si="38"/>
        <v>3.9187421585115186E-2</v>
      </c>
      <c r="AA316">
        <v>906778</v>
      </c>
      <c r="AB316">
        <v>18931</v>
      </c>
      <c r="AD316" t="s">
        <v>4</v>
      </c>
      <c r="AE316">
        <v>32</v>
      </c>
      <c r="AF316">
        <v>9</v>
      </c>
      <c r="AH316" t="s">
        <v>4070</v>
      </c>
      <c r="AI316" t="s">
        <v>4069</v>
      </c>
      <c r="AK316" t="s">
        <v>4068</v>
      </c>
      <c r="AL316">
        <v>0</v>
      </c>
      <c r="AM316" s="5">
        <f t="shared" si="42"/>
        <v>0</v>
      </c>
      <c r="AN316" s="4">
        <f t="shared" si="39"/>
        <v>0</v>
      </c>
      <c r="AO316" s="3"/>
      <c r="AP316">
        <v>0</v>
      </c>
      <c r="AR316" t="s">
        <v>0</v>
      </c>
      <c r="AT316" s="2">
        <v>5.0830000000000002</v>
      </c>
      <c r="AU316" s="1">
        <f t="shared" si="43"/>
        <v>2.7431195109580626</v>
      </c>
      <c r="AV316" s="1">
        <f t="shared" si="44"/>
        <v>1.9593710792557593</v>
      </c>
      <c r="AW316" s="1">
        <f t="shared" si="45"/>
        <v>1.1756226475534557</v>
      </c>
    </row>
    <row r="317" spans="1:49" x14ac:dyDescent="0.2">
      <c r="A317">
        <v>315</v>
      </c>
      <c r="B317" t="s">
        <v>4067</v>
      </c>
      <c r="C317" t="s">
        <v>4066</v>
      </c>
      <c r="F317" t="s">
        <v>4065</v>
      </c>
      <c r="G317" t="s">
        <v>13</v>
      </c>
      <c r="H317" t="s">
        <v>12</v>
      </c>
      <c r="I317" t="s">
        <v>4064</v>
      </c>
      <c r="J317">
        <v>60010571</v>
      </c>
      <c r="K317" t="s">
        <v>4063</v>
      </c>
      <c r="L317" t="s">
        <v>4062</v>
      </c>
      <c r="M317" t="s">
        <v>85</v>
      </c>
      <c r="N317">
        <v>2</v>
      </c>
      <c r="O317" t="s">
        <v>4061</v>
      </c>
      <c r="P317" t="s">
        <v>4060</v>
      </c>
      <c r="Q317" t="s">
        <v>4059</v>
      </c>
      <c r="R317" s="7">
        <v>30682</v>
      </c>
      <c r="S317" s="8">
        <f t="shared" si="40"/>
        <v>1984</v>
      </c>
      <c r="T317" s="8">
        <v>1984</v>
      </c>
      <c r="U317" s="8">
        <f t="shared" si="41"/>
        <v>38</v>
      </c>
      <c r="V317" s="7">
        <v>30926</v>
      </c>
      <c r="W317" t="s">
        <v>380</v>
      </c>
      <c r="X317" s="2">
        <v>1.6519999999999999</v>
      </c>
      <c r="Y317" s="6">
        <f t="shared" si="38"/>
        <v>4.409919649769093E-2</v>
      </c>
      <c r="AA317" t="s">
        <v>379</v>
      </c>
      <c r="AB317">
        <v>17337</v>
      </c>
      <c r="AC317">
        <v>15582221</v>
      </c>
      <c r="AD317" t="s">
        <v>4</v>
      </c>
      <c r="AE317">
        <v>32</v>
      </c>
      <c r="AF317">
        <v>9</v>
      </c>
      <c r="AH317" t="s">
        <v>4058</v>
      </c>
      <c r="AI317" t="s">
        <v>4057</v>
      </c>
      <c r="AK317" t="s">
        <v>4056</v>
      </c>
      <c r="AL317">
        <v>48</v>
      </c>
      <c r="AM317" s="5">
        <f t="shared" si="42"/>
        <v>1.263157894736842</v>
      </c>
      <c r="AN317" s="4">
        <f t="shared" si="39"/>
        <v>1.9131509197074473E-3</v>
      </c>
      <c r="AO317" s="3"/>
      <c r="AP317">
        <v>0</v>
      </c>
      <c r="AR317" t="s">
        <v>0</v>
      </c>
      <c r="AT317" s="2" t="s">
        <v>45</v>
      </c>
      <c r="AU317" s="1">
        <f t="shared" si="43"/>
        <v>3.1443382824295889</v>
      </c>
      <c r="AV317" s="1">
        <f t="shared" si="44"/>
        <v>2.3006173708699187</v>
      </c>
      <c r="AW317" s="1">
        <f t="shared" si="45"/>
        <v>1.4568964593102491</v>
      </c>
    </row>
    <row r="318" spans="1:49" x14ac:dyDescent="0.2">
      <c r="A318">
        <v>316</v>
      </c>
      <c r="B318" t="s">
        <v>4055</v>
      </c>
      <c r="C318" t="s">
        <v>4054</v>
      </c>
      <c r="F318" t="s">
        <v>4053</v>
      </c>
      <c r="G318" t="s">
        <v>13</v>
      </c>
      <c r="H318" t="s">
        <v>12</v>
      </c>
      <c r="I318" t="s">
        <v>4052</v>
      </c>
      <c r="J318">
        <v>60009037</v>
      </c>
      <c r="K318" t="s">
        <v>592</v>
      </c>
      <c r="L318" t="s">
        <v>591</v>
      </c>
      <c r="M318" t="s">
        <v>56</v>
      </c>
      <c r="N318">
        <v>1</v>
      </c>
      <c r="O318" t="s">
        <v>4051</v>
      </c>
      <c r="P318">
        <v>7408102852</v>
      </c>
      <c r="Q318">
        <v>60009037</v>
      </c>
      <c r="R318" s="7">
        <v>30682</v>
      </c>
      <c r="S318" s="8">
        <f t="shared" si="40"/>
        <v>1984</v>
      </c>
      <c r="T318" s="8">
        <v>1984</v>
      </c>
      <c r="U318" s="8">
        <f t="shared" si="41"/>
        <v>38</v>
      </c>
      <c r="V318" s="7">
        <v>30926</v>
      </c>
      <c r="W318" t="s">
        <v>380</v>
      </c>
      <c r="X318" s="2">
        <v>1.6519999999999999</v>
      </c>
      <c r="Y318" s="6">
        <f t="shared" si="38"/>
        <v>4.409919649769093E-2</v>
      </c>
      <c r="AA318" t="s">
        <v>379</v>
      </c>
      <c r="AB318">
        <v>17337</v>
      </c>
      <c r="AC318">
        <v>15582221</v>
      </c>
      <c r="AD318" t="s">
        <v>4</v>
      </c>
      <c r="AE318">
        <v>32</v>
      </c>
      <c r="AF318">
        <v>9</v>
      </c>
      <c r="AH318" t="s">
        <v>4050</v>
      </c>
      <c r="AI318" t="s">
        <v>4049</v>
      </c>
      <c r="AK318" t="s">
        <v>4048</v>
      </c>
      <c r="AL318">
        <v>165</v>
      </c>
      <c r="AM318" s="5">
        <f t="shared" si="42"/>
        <v>4.3421052631578947</v>
      </c>
      <c r="AN318" s="4">
        <f t="shared" si="39"/>
        <v>6.5764562864943504E-3</v>
      </c>
      <c r="AO318" s="3"/>
      <c r="AP318">
        <v>0</v>
      </c>
      <c r="AR318" t="s">
        <v>0</v>
      </c>
      <c r="AT318" s="2" t="s">
        <v>45</v>
      </c>
      <c r="AU318" s="1">
        <f t="shared" si="43"/>
        <v>3.2842374434331951</v>
      </c>
      <c r="AV318" s="1">
        <f t="shared" si="44"/>
        <v>2.5337826392092642</v>
      </c>
      <c r="AW318" s="1">
        <f t="shared" si="45"/>
        <v>1.7833278349853321</v>
      </c>
    </row>
    <row r="319" spans="1:49" x14ac:dyDescent="0.2">
      <c r="A319">
        <v>317</v>
      </c>
      <c r="B319" t="s">
        <v>4047</v>
      </c>
      <c r="C319" t="s">
        <v>4046</v>
      </c>
      <c r="F319" t="s">
        <v>4045</v>
      </c>
      <c r="G319" t="s">
        <v>13</v>
      </c>
      <c r="H319" t="s">
        <v>12</v>
      </c>
      <c r="I319" t="s">
        <v>4044</v>
      </c>
      <c r="J319">
        <v>60026438</v>
      </c>
      <c r="K319" t="s">
        <v>4043</v>
      </c>
      <c r="L319" t="s">
        <v>4042</v>
      </c>
      <c r="M319" t="s">
        <v>4041</v>
      </c>
      <c r="N319">
        <v>2</v>
      </c>
      <c r="O319" t="s">
        <v>4040</v>
      </c>
      <c r="P319" t="s">
        <v>4039</v>
      </c>
      <c r="Q319" t="s">
        <v>4038</v>
      </c>
      <c r="R319" s="7">
        <v>30682</v>
      </c>
      <c r="S319" s="8">
        <f t="shared" si="40"/>
        <v>1984</v>
      </c>
      <c r="T319" s="8">
        <v>1984</v>
      </c>
      <c r="U319" s="8">
        <f t="shared" si="41"/>
        <v>38</v>
      </c>
      <c r="V319" s="7">
        <v>30926</v>
      </c>
      <c r="W319" t="s">
        <v>1523</v>
      </c>
      <c r="X319" s="2">
        <v>0.78200000000000003</v>
      </c>
      <c r="Y319" s="6">
        <f t="shared" si="38"/>
        <v>2.0875043378446919E-2</v>
      </c>
      <c r="AA319">
        <v>189316</v>
      </c>
      <c r="AB319">
        <v>19901</v>
      </c>
      <c r="AC319">
        <v>15579611</v>
      </c>
      <c r="AD319" t="s">
        <v>4</v>
      </c>
      <c r="AE319" t="s">
        <v>1522</v>
      </c>
      <c r="AF319">
        <v>3</v>
      </c>
      <c r="AH319" t="s">
        <v>4037</v>
      </c>
      <c r="AI319" t="s">
        <v>4036</v>
      </c>
      <c r="AK319" t="s">
        <v>4035</v>
      </c>
      <c r="AL319">
        <v>2</v>
      </c>
      <c r="AM319" s="5">
        <f t="shared" si="42"/>
        <v>5.2631578947368418E-2</v>
      </c>
      <c r="AN319" s="4">
        <f t="shared" si="39"/>
        <v>7.9714621654476962E-5</v>
      </c>
      <c r="AO319" s="3"/>
      <c r="AP319">
        <v>0</v>
      </c>
      <c r="AR319" t="s">
        <v>0</v>
      </c>
      <c r="AT319" s="2">
        <v>3.863</v>
      </c>
      <c r="AU319" s="1">
        <f t="shared" si="43"/>
        <v>1.4636444751409186</v>
      </c>
      <c r="AV319" s="1">
        <f t="shared" si="44"/>
        <v>1.0477379000050697</v>
      </c>
      <c r="AW319" s="1">
        <f t="shared" si="45"/>
        <v>0.631831324869221</v>
      </c>
    </row>
    <row r="320" spans="1:49" x14ac:dyDescent="0.2">
      <c r="A320">
        <v>318</v>
      </c>
      <c r="B320" t="s">
        <v>4034</v>
      </c>
      <c r="C320" t="s">
        <v>4033</v>
      </c>
      <c r="F320" t="s">
        <v>4032</v>
      </c>
      <c r="G320" t="s">
        <v>13</v>
      </c>
      <c r="H320" t="s">
        <v>12</v>
      </c>
      <c r="I320" t="s">
        <v>4031</v>
      </c>
      <c r="J320">
        <v>60027090</v>
      </c>
      <c r="K320" t="s">
        <v>4030</v>
      </c>
      <c r="L320" t="s">
        <v>4029</v>
      </c>
      <c r="M320" t="s">
        <v>56</v>
      </c>
      <c r="N320">
        <v>1</v>
      </c>
      <c r="O320" t="s">
        <v>4028</v>
      </c>
      <c r="P320">
        <v>7102367440</v>
      </c>
      <c r="Q320">
        <v>60027090</v>
      </c>
      <c r="R320" s="7">
        <v>30682</v>
      </c>
      <c r="S320" s="8">
        <f t="shared" si="40"/>
        <v>1984</v>
      </c>
      <c r="T320" s="8">
        <v>1984</v>
      </c>
      <c r="U320" s="8">
        <f t="shared" si="41"/>
        <v>38</v>
      </c>
      <c r="V320" s="7">
        <v>30834</v>
      </c>
      <c r="W320" t="s">
        <v>4027</v>
      </c>
      <c r="X320" s="2">
        <v>0.82799999999999996</v>
      </c>
      <c r="Y320" s="6">
        <f t="shared" si="38"/>
        <v>2.2102987106590855E-2</v>
      </c>
      <c r="AA320">
        <v>11452</v>
      </c>
      <c r="AB320">
        <v>29964</v>
      </c>
      <c r="AD320" t="s">
        <v>4</v>
      </c>
      <c r="AE320">
        <v>22</v>
      </c>
      <c r="AF320">
        <v>9</v>
      </c>
      <c r="AH320" t="s">
        <v>4026</v>
      </c>
      <c r="AI320" t="s">
        <v>4025</v>
      </c>
      <c r="AK320" t="s">
        <v>4024</v>
      </c>
      <c r="AL320">
        <v>26</v>
      </c>
      <c r="AM320" s="5">
        <f t="shared" si="42"/>
        <v>0.68421052631578949</v>
      </c>
      <c r="AN320" s="4">
        <f t="shared" si="39"/>
        <v>1.0362900815082006E-3</v>
      </c>
      <c r="AO320" s="3"/>
      <c r="AP320">
        <v>0</v>
      </c>
      <c r="AR320" t="s">
        <v>0</v>
      </c>
      <c r="AT320" s="2">
        <v>2.1269999999999998</v>
      </c>
      <c r="AU320" s="1">
        <f t="shared" si="43"/>
        <v>1.5782977999066055</v>
      </c>
      <c r="AV320" s="1">
        <f t="shared" si="44"/>
        <v>1.1569638594049529</v>
      </c>
      <c r="AW320" s="1">
        <f t="shared" si="45"/>
        <v>0.73562991890329965</v>
      </c>
    </row>
    <row r="321" spans="1:49" x14ac:dyDescent="0.2">
      <c r="A321">
        <v>319</v>
      </c>
      <c r="B321" t="s">
        <v>4023</v>
      </c>
      <c r="C321" t="s">
        <v>4022</v>
      </c>
      <c r="F321" t="s">
        <v>4021</v>
      </c>
      <c r="G321" t="s">
        <v>13</v>
      </c>
      <c r="H321" t="s">
        <v>12</v>
      </c>
      <c r="I321" t="s">
        <v>4020</v>
      </c>
      <c r="J321">
        <v>60003500</v>
      </c>
      <c r="K321" t="s">
        <v>4019</v>
      </c>
      <c r="L321" t="s">
        <v>4018</v>
      </c>
      <c r="M321" t="s">
        <v>56</v>
      </c>
      <c r="N321">
        <v>1</v>
      </c>
      <c r="O321" t="s">
        <v>4017</v>
      </c>
      <c r="P321">
        <v>7102202358</v>
      </c>
      <c r="Q321">
        <v>60003500</v>
      </c>
      <c r="R321" s="7">
        <v>30682</v>
      </c>
      <c r="S321" s="8">
        <f t="shared" si="40"/>
        <v>1984</v>
      </c>
      <c r="T321" s="8">
        <v>1984</v>
      </c>
      <c r="U321" s="8">
        <f t="shared" si="41"/>
        <v>38</v>
      </c>
      <c r="V321" s="7">
        <v>30926</v>
      </c>
      <c r="W321" t="s">
        <v>380</v>
      </c>
      <c r="X321" s="2">
        <v>1.6519999999999999</v>
      </c>
      <c r="Y321" s="6">
        <f t="shared" si="38"/>
        <v>4.409919649769093E-2</v>
      </c>
      <c r="AA321" t="s">
        <v>379</v>
      </c>
      <c r="AB321">
        <v>17337</v>
      </c>
      <c r="AC321">
        <v>15582221</v>
      </c>
      <c r="AD321" t="s">
        <v>4</v>
      </c>
      <c r="AE321">
        <v>32</v>
      </c>
      <c r="AF321">
        <v>9</v>
      </c>
      <c r="AH321" t="s">
        <v>4016</v>
      </c>
      <c r="AI321" t="s">
        <v>4015</v>
      </c>
      <c r="AK321" t="s">
        <v>4014</v>
      </c>
      <c r="AL321">
        <v>21</v>
      </c>
      <c r="AM321" s="5">
        <f t="shared" si="42"/>
        <v>0.55263157894736847</v>
      </c>
      <c r="AN321" s="4">
        <f t="shared" si="39"/>
        <v>8.3700352737200827E-4</v>
      </c>
      <c r="AO321" s="3"/>
      <c r="AP321">
        <v>0</v>
      </c>
      <c r="AR321" t="s">
        <v>0</v>
      </c>
      <c r="AT321" s="2" t="s">
        <v>45</v>
      </c>
      <c r="AU321" s="1">
        <f t="shared" si="43"/>
        <v>3.1120538606595254</v>
      </c>
      <c r="AV321" s="1">
        <f t="shared" si="44"/>
        <v>2.2468100012531469</v>
      </c>
      <c r="AW321" s="1">
        <f t="shared" si="45"/>
        <v>1.3815661418467684</v>
      </c>
    </row>
    <row r="322" spans="1:49" x14ac:dyDescent="0.2">
      <c r="A322">
        <v>320</v>
      </c>
      <c r="B322" t="s">
        <v>4013</v>
      </c>
      <c r="F322" t="s">
        <v>4012</v>
      </c>
      <c r="G322" t="s">
        <v>13</v>
      </c>
      <c r="H322" t="s">
        <v>12</v>
      </c>
      <c r="I322" t="s">
        <v>4011</v>
      </c>
      <c r="N322">
        <v>2</v>
      </c>
      <c r="O322" t="s">
        <v>4010</v>
      </c>
      <c r="P322" t="s">
        <v>4009</v>
      </c>
      <c r="Q322" t="s">
        <v>266</v>
      </c>
      <c r="R322" s="7">
        <v>30682</v>
      </c>
      <c r="S322" s="8">
        <f t="shared" si="40"/>
        <v>1984</v>
      </c>
      <c r="T322" s="8">
        <v>1984</v>
      </c>
      <c r="U322" s="8">
        <f t="shared" si="41"/>
        <v>38</v>
      </c>
      <c r="V322" s="7" t="s">
        <v>3882</v>
      </c>
      <c r="W322" t="s">
        <v>1668</v>
      </c>
      <c r="X322" s="2" t="s">
        <v>45</v>
      </c>
      <c r="Y322" s="6" t="e">
        <f t="shared" ref="Y322:Y385" si="46">(X322-$Z$4)/($Z$3-$Z$4)</f>
        <v>#VALUE!</v>
      </c>
      <c r="AA322" t="s">
        <v>1667</v>
      </c>
      <c r="AB322">
        <v>30906</v>
      </c>
      <c r="AD322" t="s">
        <v>4</v>
      </c>
      <c r="AE322">
        <v>67</v>
      </c>
      <c r="AF322">
        <v>9</v>
      </c>
      <c r="AH322" t="s">
        <v>4008</v>
      </c>
      <c r="AI322" t="s">
        <v>4007</v>
      </c>
      <c r="AK322" t="s">
        <v>4006</v>
      </c>
      <c r="AL322">
        <v>1</v>
      </c>
      <c r="AM322" s="5">
        <f t="shared" si="42"/>
        <v>2.6315789473684209E-2</v>
      </c>
      <c r="AN322" s="4">
        <f t="shared" ref="AN322:AN385" si="47">(AM322-$AO$4)/($AO$3-$AO$4)</f>
        <v>3.9857310827238481E-5</v>
      </c>
      <c r="AO322" s="3"/>
      <c r="AP322">
        <v>0</v>
      </c>
      <c r="AR322" t="s">
        <v>0</v>
      </c>
      <c r="AT322" s="2" t="s">
        <v>45</v>
      </c>
      <c r="AU322" s="1" t="e">
        <f t="shared" si="43"/>
        <v>#VALUE!</v>
      </c>
      <c r="AV322" s="1" t="e">
        <f t="shared" si="44"/>
        <v>#VALUE!</v>
      </c>
      <c r="AW322" s="1" t="e">
        <f t="shared" si="45"/>
        <v>#VALUE!</v>
      </c>
    </row>
    <row r="323" spans="1:49" x14ac:dyDescent="0.2">
      <c r="A323">
        <v>321</v>
      </c>
      <c r="B323" t="s">
        <v>4005</v>
      </c>
      <c r="C323" t="s">
        <v>4004</v>
      </c>
      <c r="F323" t="s">
        <v>4003</v>
      </c>
      <c r="G323" t="s">
        <v>13</v>
      </c>
      <c r="H323" t="s">
        <v>12</v>
      </c>
      <c r="I323" t="s">
        <v>4002</v>
      </c>
      <c r="N323">
        <v>1</v>
      </c>
      <c r="O323" t="s">
        <v>4001</v>
      </c>
      <c r="P323">
        <v>7402771241</v>
      </c>
      <c r="R323" s="7">
        <v>30682</v>
      </c>
      <c r="S323" s="8">
        <f t="shared" si="40"/>
        <v>1984</v>
      </c>
      <c r="T323" s="8">
        <v>1984</v>
      </c>
      <c r="U323" s="8">
        <f t="shared" si="41"/>
        <v>38</v>
      </c>
      <c r="V323" s="7">
        <v>30926</v>
      </c>
      <c r="W323" t="s">
        <v>380</v>
      </c>
      <c r="X323" s="2">
        <v>1.6519999999999999</v>
      </c>
      <c r="Y323" s="6">
        <f t="shared" si="46"/>
        <v>4.409919649769093E-2</v>
      </c>
      <c r="AA323" t="s">
        <v>379</v>
      </c>
      <c r="AB323">
        <v>17337</v>
      </c>
      <c r="AC323">
        <v>15582221</v>
      </c>
      <c r="AD323" t="s">
        <v>4</v>
      </c>
      <c r="AE323">
        <v>32</v>
      </c>
      <c r="AF323">
        <v>9</v>
      </c>
      <c r="AH323" t="s">
        <v>4000</v>
      </c>
      <c r="AI323" t="s">
        <v>3999</v>
      </c>
      <c r="AK323" t="s">
        <v>3998</v>
      </c>
      <c r="AL323">
        <v>33</v>
      </c>
      <c r="AM323" s="5">
        <f t="shared" si="42"/>
        <v>0.86842105263157898</v>
      </c>
      <c r="AN323" s="4">
        <f t="shared" si="47"/>
        <v>1.31529125729887E-3</v>
      </c>
      <c r="AO323" s="3"/>
      <c r="AP323">
        <v>0</v>
      </c>
      <c r="AR323" t="s">
        <v>0</v>
      </c>
      <c r="AT323" s="2" t="s">
        <v>45</v>
      </c>
      <c r="AU323" s="1">
        <f t="shared" si="43"/>
        <v>3.1264024925573315</v>
      </c>
      <c r="AV323" s="1">
        <f t="shared" si="44"/>
        <v>2.2707243877494903</v>
      </c>
      <c r="AW323" s="1">
        <f t="shared" si="45"/>
        <v>1.4150462829416488</v>
      </c>
    </row>
    <row r="324" spans="1:49" x14ac:dyDescent="0.2">
      <c r="A324">
        <v>322</v>
      </c>
      <c r="B324" t="s">
        <v>3997</v>
      </c>
      <c r="C324" t="s">
        <v>3996</v>
      </c>
      <c r="F324" t="s">
        <v>3995</v>
      </c>
      <c r="G324" t="s">
        <v>13</v>
      </c>
      <c r="H324" t="s">
        <v>12</v>
      </c>
      <c r="I324" t="s">
        <v>3994</v>
      </c>
      <c r="J324">
        <v>60021902</v>
      </c>
      <c r="K324" t="s">
        <v>3993</v>
      </c>
      <c r="L324" t="s">
        <v>3992</v>
      </c>
      <c r="M324" t="s">
        <v>3991</v>
      </c>
      <c r="N324">
        <v>2</v>
      </c>
      <c r="O324" t="s">
        <v>3990</v>
      </c>
      <c r="P324" t="s">
        <v>3989</v>
      </c>
      <c r="Q324" t="s">
        <v>3988</v>
      </c>
      <c r="R324" s="7">
        <v>30682</v>
      </c>
      <c r="S324" s="8">
        <f t="shared" si="40"/>
        <v>1984</v>
      </c>
      <c r="T324" s="8">
        <v>1984</v>
      </c>
      <c r="U324" s="8">
        <f t="shared" si="41"/>
        <v>38</v>
      </c>
      <c r="V324" s="7">
        <v>30926</v>
      </c>
      <c r="W324" t="s">
        <v>380</v>
      </c>
      <c r="X324" s="2">
        <v>1.6519999999999999</v>
      </c>
      <c r="Y324" s="6">
        <f t="shared" si="46"/>
        <v>4.409919649769093E-2</v>
      </c>
      <c r="AA324" t="s">
        <v>379</v>
      </c>
      <c r="AB324">
        <v>17337</v>
      </c>
      <c r="AC324">
        <v>15582221</v>
      </c>
      <c r="AD324" t="s">
        <v>4</v>
      </c>
      <c r="AE324">
        <v>32</v>
      </c>
      <c r="AF324">
        <v>9</v>
      </c>
      <c r="AH324" t="s">
        <v>3987</v>
      </c>
      <c r="AI324" t="s">
        <v>3986</v>
      </c>
      <c r="AK324" t="s">
        <v>3985</v>
      </c>
      <c r="AL324">
        <v>10</v>
      </c>
      <c r="AM324" s="5">
        <f t="shared" si="42"/>
        <v>0.26315789473684209</v>
      </c>
      <c r="AN324" s="4">
        <f t="shared" si="47"/>
        <v>3.9857310827238487E-4</v>
      </c>
      <c r="AO324" s="3"/>
      <c r="AP324">
        <v>0</v>
      </c>
      <c r="AR324" t="s">
        <v>0</v>
      </c>
      <c r="AT324" s="2" t="s">
        <v>45</v>
      </c>
      <c r="AU324" s="1">
        <f t="shared" si="43"/>
        <v>3.0989009480865368</v>
      </c>
      <c r="AV324" s="1">
        <f t="shared" si="44"/>
        <v>2.2248884802981657</v>
      </c>
      <c r="AW324" s="1">
        <f t="shared" si="45"/>
        <v>1.3508760125097947</v>
      </c>
    </row>
    <row r="325" spans="1:49" x14ac:dyDescent="0.2">
      <c r="A325">
        <v>323</v>
      </c>
      <c r="B325" t="s">
        <v>3984</v>
      </c>
      <c r="C325" t="s">
        <v>3983</v>
      </c>
      <c r="F325" t="s">
        <v>3982</v>
      </c>
      <c r="G325" t="s">
        <v>13</v>
      </c>
      <c r="H325" t="s">
        <v>12</v>
      </c>
      <c r="I325" t="s">
        <v>3981</v>
      </c>
      <c r="J325">
        <v>115882991</v>
      </c>
      <c r="K325" t="s">
        <v>3980</v>
      </c>
      <c r="L325" t="s">
        <v>1920</v>
      </c>
      <c r="M325" t="s">
        <v>56</v>
      </c>
      <c r="N325">
        <v>1</v>
      </c>
      <c r="O325" t="s">
        <v>3979</v>
      </c>
      <c r="P325">
        <v>6508332232</v>
      </c>
      <c r="Q325">
        <v>115882991</v>
      </c>
      <c r="R325" s="7">
        <v>30682</v>
      </c>
      <c r="S325" s="8">
        <f t="shared" si="40"/>
        <v>1984</v>
      </c>
      <c r="T325" s="8">
        <v>1984</v>
      </c>
      <c r="U325" s="8">
        <f t="shared" si="41"/>
        <v>38</v>
      </c>
      <c r="V325" s="7">
        <v>30926</v>
      </c>
      <c r="W325" t="s">
        <v>1523</v>
      </c>
      <c r="X325" s="2">
        <v>0.78200000000000003</v>
      </c>
      <c r="Y325" s="6">
        <f t="shared" si="46"/>
        <v>2.0875043378446919E-2</v>
      </c>
      <c r="AA325">
        <v>189316</v>
      </c>
      <c r="AB325">
        <v>19901</v>
      </c>
      <c r="AC325">
        <v>15579611</v>
      </c>
      <c r="AD325" t="s">
        <v>4</v>
      </c>
      <c r="AE325" t="s">
        <v>1522</v>
      </c>
      <c r="AF325">
        <v>3</v>
      </c>
      <c r="AH325" t="s">
        <v>3978</v>
      </c>
      <c r="AI325" t="s">
        <v>3977</v>
      </c>
      <c r="AK325" t="s">
        <v>3976</v>
      </c>
      <c r="AL325">
        <v>0</v>
      </c>
      <c r="AM325" s="5">
        <f t="shared" si="42"/>
        <v>0</v>
      </c>
      <c r="AN325" s="4">
        <f t="shared" si="47"/>
        <v>0</v>
      </c>
      <c r="AO325" s="3"/>
      <c r="AP325">
        <v>0</v>
      </c>
      <c r="AR325" t="s">
        <v>0</v>
      </c>
      <c r="AT325" s="2">
        <v>3.863</v>
      </c>
      <c r="AU325" s="1">
        <f t="shared" si="43"/>
        <v>1.4612530364912841</v>
      </c>
      <c r="AV325" s="1">
        <f t="shared" si="44"/>
        <v>1.0437521689223459</v>
      </c>
      <c r="AW325" s="1">
        <f t="shared" si="45"/>
        <v>0.62625130135340756</v>
      </c>
    </row>
    <row r="326" spans="1:49" x14ac:dyDescent="0.2">
      <c r="A326">
        <v>324</v>
      </c>
      <c r="B326" t="s">
        <v>3975</v>
      </c>
      <c r="C326" t="s">
        <v>3974</v>
      </c>
      <c r="F326" t="s">
        <v>3973</v>
      </c>
      <c r="G326" t="s">
        <v>13</v>
      </c>
      <c r="H326" t="s">
        <v>12</v>
      </c>
      <c r="I326" t="s">
        <v>1249</v>
      </c>
      <c r="J326">
        <v>60000305</v>
      </c>
      <c r="K326" t="s">
        <v>1248</v>
      </c>
      <c r="L326" t="s">
        <v>1247</v>
      </c>
      <c r="M326" t="s">
        <v>56</v>
      </c>
      <c r="N326">
        <v>1</v>
      </c>
      <c r="O326" t="s">
        <v>1246</v>
      </c>
      <c r="P326">
        <v>7007033594</v>
      </c>
      <c r="Q326">
        <v>60000305</v>
      </c>
      <c r="R326" s="7">
        <v>30682</v>
      </c>
      <c r="S326" s="8">
        <f t="shared" si="40"/>
        <v>1984</v>
      </c>
      <c r="T326" s="8">
        <v>1984</v>
      </c>
      <c r="U326" s="8">
        <f t="shared" si="41"/>
        <v>38</v>
      </c>
      <c r="V326" s="7">
        <v>30926</v>
      </c>
      <c r="W326" t="s">
        <v>380</v>
      </c>
      <c r="X326" s="2">
        <v>1.6519999999999999</v>
      </c>
      <c r="Y326" s="6">
        <f t="shared" si="46"/>
        <v>4.409919649769093E-2</v>
      </c>
      <c r="AA326" t="s">
        <v>379</v>
      </c>
      <c r="AB326">
        <v>17337</v>
      </c>
      <c r="AC326">
        <v>15582221</v>
      </c>
      <c r="AD326" t="s">
        <v>4</v>
      </c>
      <c r="AE326">
        <v>32</v>
      </c>
      <c r="AF326">
        <v>9</v>
      </c>
      <c r="AH326" t="s">
        <v>3972</v>
      </c>
      <c r="AI326" t="s">
        <v>3971</v>
      </c>
      <c r="AK326" t="s">
        <v>3970</v>
      </c>
      <c r="AL326">
        <v>14</v>
      </c>
      <c r="AM326" s="5">
        <f t="shared" si="42"/>
        <v>0.36842105263157893</v>
      </c>
      <c r="AN326" s="4">
        <f t="shared" si="47"/>
        <v>5.5800235158133874E-4</v>
      </c>
      <c r="AO326" s="3"/>
      <c r="AP326">
        <v>0</v>
      </c>
      <c r="AR326" t="s">
        <v>0</v>
      </c>
      <c r="AT326" s="2" t="s">
        <v>45</v>
      </c>
      <c r="AU326" s="1">
        <f t="shared" si="43"/>
        <v>3.1036838253858052</v>
      </c>
      <c r="AV326" s="1">
        <f t="shared" si="44"/>
        <v>2.2328599424636133</v>
      </c>
      <c r="AW326" s="1">
        <f t="shared" si="45"/>
        <v>1.3620360595414216</v>
      </c>
    </row>
    <row r="327" spans="1:49" x14ac:dyDescent="0.2">
      <c r="A327">
        <v>325</v>
      </c>
      <c r="B327" t="s">
        <v>3969</v>
      </c>
      <c r="C327" t="s">
        <v>3968</v>
      </c>
      <c r="F327" t="s">
        <v>3967</v>
      </c>
      <c r="G327" t="s">
        <v>13</v>
      </c>
      <c r="H327" t="s">
        <v>12</v>
      </c>
      <c r="I327" t="s">
        <v>3966</v>
      </c>
      <c r="J327">
        <v>60018829</v>
      </c>
      <c r="K327" t="s">
        <v>2678</v>
      </c>
      <c r="L327" t="s">
        <v>2677</v>
      </c>
      <c r="M327" t="s">
        <v>167</v>
      </c>
      <c r="N327">
        <v>1</v>
      </c>
      <c r="O327" t="s">
        <v>3965</v>
      </c>
      <c r="P327">
        <v>56697421900</v>
      </c>
      <c r="Q327">
        <v>60018829</v>
      </c>
      <c r="R327" s="7">
        <v>30682</v>
      </c>
      <c r="S327" s="8">
        <f t="shared" si="40"/>
        <v>1984</v>
      </c>
      <c r="T327" s="8">
        <v>1984</v>
      </c>
      <c r="U327" s="8">
        <f t="shared" si="41"/>
        <v>38</v>
      </c>
      <c r="V327" s="7">
        <v>30926</v>
      </c>
      <c r="W327" t="s">
        <v>2466</v>
      </c>
      <c r="X327" s="2">
        <v>1.3720000000000001</v>
      </c>
      <c r="Y327" s="6">
        <f t="shared" si="46"/>
        <v>3.662475641333654E-2</v>
      </c>
      <c r="AA327">
        <v>189480</v>
      </c>
      <c r="AB327">
        <v>17366</v>
      </c>
      <c r="AC327">
        <v>15579670</v>
      </c>
      <c r="AD327" t="s">
        <v>4</v>
      </c>
      <c r="AE327">
        <v>32</v>
      </c>
      <c r="AF327">
        <v>9</v>
      </c>
      <c r="AH327" t="s">
        <v>3964</v>
      </c>
      <c r="AI327" t="s">
        <v>3963</v>
      </c>
      <c r="AK327" t="s">
        <v>3962</v>
      </c>
      <c r="AL327">
        <v>11</v>
      </c>
      <c r="AM327" s="5">
        <f t="shared" si="42"/>
        <v>0.28947368421052633</v>
      </c>
      <c r="AN327" s="4">
        <f t="shared" si="47"/>
        <v>4.3843041909962335E-4</v>
      </c>
      <c r="AO327" s="3"/>
      <c r="AP327">
        <v>0</v>
      </c>
      <c r="AR327" t="s">
        <v>0</v>
      </c>
      <c r="AT327" s="2" t="s">
        <v>45</v>
      </c>
      <c r="AU327" s="1">
        <f t="shared" si="43"/>
        <v>2.5768858615065464</v>
      </c>
      <c r="AV327" s="1">
        <f t="shared" si="44"/>
        <v>1.8531593416218084</v>
      </c>
      <c r="AW327" s="1">
        <f t="shared" si="45"/>
        <v>1.1294328217370699</v>
      </c>
    </row>
    <row r="328" spans="1:49" x14ac:dyDescent="0.2">
      <c r="A328">
        <v>326</v>
      </c>
      <c r="B328" t="s">
        <v>3961</v>
      </c>
      <c r="C328" t="s">
        <v>3960</v>
      </c>
      <c r="F328" t="s">
        <v>3959</v>
      </c>
      <c r="G328" t="s">
        <v>13</v>
      </c>
      <c r="H328" t="s">
        <v>12</v>
      </c>
      <c r="I328" t="s">
        <v>3958</v>
      </c>
      <c r="J328">
        <v>60108318</v>
      </c>
      <c r="K328" t="s">
        <v>406</v>
      </c>
      <c r="L328" t="s">
        <v>405</v>
      </c>
      <c r="M328" t="s">
        <v>56</v>
      </c>
      <c r="N328">
        <v>1</v>
      </c>
      <c r="O328" t="s">
        <v>3957</v>
      </c>
      <c r="P328">
        <v>7005564352</v>
      </c>
      <c r="Q328">
        <v>60108318</v>
      </c>
      <c r="R328" s="7">
        <v>30682</v>
      </c>
      <c r="S328" s="8">
        <f t="shared" si="40"/>
        <v>1984</v>
      </c>
      <c r="T328" s="8">
        <v>1984</v>
      </c>
      <c r="U328" s="8">
        <f t="shared" si="41"/>
        <v>38</v>
      </c>
      <c r="V328" s="7">
        <v>30926</v>
      </c>
      <c r="W328" t="s">
        <v>2466</v>
      </c>
      <c r="X328" s="2">
        <v>1.3720000000000001</v>
      </c>
      <c r="Y328" s="6">
        <f t="shared" si="46"/>
        <v>3.662475641333654E-2</v>
      </c>
      <c r="AA328">
        <v>189480</v>
      </c>
      <c r="AB328">
        <v>17366</v>
      </c>
      <c r="AC328">
        <v>15579670</v>
      </c>
      <c r="AD328" t="s">
        <v>4</v>
      </c>
      <c r="AE328">
        <v>32</v>
      </c>
      <c r="AF328">
        <v>9</v>
      </c>
      <c r="AH328" t="s">
        <v>3956</v>
      </c>
      <c r="AL328">
        <v>45</v>
      </c>
      <c r="AM328" s="5">
        <f t="shared" si="42"/>
        <v>1.1842105263157894</v>
      </c>
      <c r="AN328" s="4">
        <f t="shared" si="47"/>
        <v>1.7935789872257318E-3</v>
      </c>
      <c r="AO328" s="3"/>
      <c r="AP328">
        <v>0</v>
      </c>
      <c r="AR328" t="s">
        <v>0</v>
      </c>
      <c r="AT328" s="2" t="s">
        <v>45</v>
      </c>
      <c r="AU328" s="1">
        <f t="shared" si="43"/>
        <v>2.6175403185503296</v>
      </c>
      <c r="AV328" s="1">
        <f t="shared" si="44"/>
        <v>1.9209167700281133</v>
      </c>
      <c r="AW328" s="1">
        <f t="shared" si="45"/>
        <v>1.2242932215058975</v>
      </c>
    </row>
    <row r="329" spans="1:49" x14ac:dyDescent="0.2">
      <c r="A329">
        <v>327</v>
      </c>
      <c r="B329" t="s">
        <v>3955</v>
      </c>
      <c r="C329" t="s">
        <v>3954</v>
      </c>
      <c r="F329" t="s">
        <v>3953</v>
      </c>
      <c r="G329" t="s">
        <v>13</v>
      </c>
      <c r="H329" t="s">
        <v>12</v>
      </c>
      <c r="I329" t="s">
        <v>3952</v>
      </c>
      <c r="J329">
        <v>60019647</v>
      </c>
      <c r="K329" t="s">
        <v>1736</v>
      </c>
      <c r="L329" t="s">
        <v>1735</v>
      </c>
      <c r="M329" t="s">
        <v>56</v>
      </c>
      <c r="N329">
        <v>1</v>
      </c>
      <c r="O329" t="s">
        <v>3951</v>
      </c>
      <c r="P329">
        <v>7003519202</v>
      </c>
      <c r="Q329">
        <v>60019647</v>
      </c>
      <c r="R329" s="7">
        <v>30682</v>
      </c>
      <c r="S329" s="8">
        <f t="shared" si="40"/>
        <v>1984</v>
      </c>
      <c r="T329" s="8">
        <v>1984</v>
      </c>
      <c r="U329" s="8">
        <f t="shared" si="41"/>
        <v>38</v>
      </c>
      <c r="V329" s="7">
        <v>30926</v>
      </c>
      <c r="W329" t="s">
        <v>2466</v>
      </c>
      <c r="X329" s="2">
        <v>1.3720000000000001</v>
      </c>
      <c r="Y329" s="6">
        <f t="shared" si="46"/>
        <v>3.662475641333654E-2</v>
      </c>
      <c r="AA329">
        <v>189480</v>
      </c>
      <c r="AB329">
        <v>17366</v>
      </c>
      <c r="AC329">
        <v>15579670</v>
      </c>
      <c r="AD329" t="s">
        <v>4</v>
      </c>
      <c r="AE329">
        <v>32</v>
      </c>
      <c r="AF329">
        <v>9</v>
      </c>
      <c r="AH329" t="s">
        <v>3950</v>
      </c>
      <c r="AL329">
        <v>76</v>
      </c>
      <c r="AM329" s="5">
        <f t="shared" si="42"/>
        <v>2</v>
      </c>
      <c r="AN329" s="4">
        <f t="shared" si="47"/>
        <v>3.0291556228701248E-3</v>
      </c>
      <c r="AO329" s="3"/>
      <c r="AP329">
        <v>0</v>
      </c>
      <c r="AR329" t="s">
        <v>0</v>
      </c>
      <c r="AT329" s="2" t="s">
        <v>45</v>
      </c>
      <c r="AU329" s="1">
        <f t="shared" si="43"/>
        <v>2.6546076176196616</v>
      </c>
      <c r="AV329" s="1">
        <f t="shared" si="44"/>
        <v>1.9826956018103332</v>
      </c>
      <c r="AW329" s="1">
        <f t="shared" si="45"/>
        <v>1.3107835860010049</v>
      </c>
    </row>
    <row r="330" spans="1:49" x14ac:dyDescent="0.2">
      <c r="A330">
        <v>328</v>
      </c>
      <c r="B330" t="s">
        <v>3949</v>
      </c>
      <c r="C330" t="s">
        <v>3948</v>
      </c>
      <c r="F330" t="s">
        <v>3947</v>
      </c>
      <c r="G330" t="s">
        <v>13</v>
      </c>
      <c r="H330" t="s">
        <v>12</v>
      </c>
      <c r="I330" t="s">
        <v>3946</v>
      </c>
      <c r="J330">
        <v>60031126</v>
      </c>
      <c r="K330" t="s">
        <v>3945</v>
      </c>
      <c r="L330" t="s">
        <v>644</v>
      </c>
      <c r="M330" t="s">
        <v>643</v>
      </c>
      <c r="N330">
        <v>2</v>
      </c>
      <c r="O330" t="s">
        <v>3944</v>
      </c>
      <c r="P330" t="s">
        <v>3943</v>
      </c>
      <c r="Q330" t="s">
        <v>3942</v>
      </c>
      <c r="R330" s="7">
        <v>30682</v>
      </c>
      <c r="S330" s="8">
        <f t="shared" si="40"/>
        <v>1984</v>
      </c>
      <c r="T330" s="8">
        <v>1984</v>
      </c>
      <c r="U330" s="8">
        <f t="shared" si="41"/>
        <v>38</v>
      </c>
      <c r="V330" s="7">
        <v>30682</v>
      </c>
      <c r="W330" t="s">
        <v>3204</v>
      </c>
      <c r="X330" s="2">
        <v>0.439</v>
      </c>
      <c r="Y330" s="6">
        <f t="shared" si="46"/>
        <v>1.1718854275112784E-2</v>
      </c>
      <c r="AA330">
        <v>334545</v>
      </c>
      <c r="AB330">
        <v>21458</v>
      </c>
      <c r="AC330">
        <v>13653075</v>
      </c>
      <c r="AD330" t="s">
        <v>4</v>
      </c>
      <c r="AE330">
        <v>56</v>
      </c>
      <c r="AF330">
        <v>9</v>
      </c>
      <c r="AH330" t="s">
        <v>3941</v>
      </c>
      <c r="AI330" t="s">
        <v>3940</v>
      </c>
      <c r="AK330" t="s">
        <v>3939</v>
      </c>
      <c r="AL330">
        <v>13</v>
      </c>
      <c r="AM330" s="5">
        <f t="shared" si="42"/>
        <v>0.34210526315789475</v>
      </c>
      <c r="AN330" s="4">
        <f t="shared" si="47"/>
        <v>5.1814504075410031E-4</v>
      </c>
      <c r="AO330" s="3"/>
      <c r="AP330">
        <v>0</v>
      </c>
      <c r="AQ330" t="s">
        <v>2404</v>
      </c>
      <c r="AR330" t="s">
        <v>0</v>
      </c>
      <c r="AS330" t="s">
        <v>2403</v>
      </c>
      <c r="AT330" s="2">
        <v>2.4529999999999998</v>
      </c>
      <c r="AU330" s="1">
        <f t="shared" si="43"/>
        <v>0.83586415048051788</v>
      </c>
      <c r="AV330" s="1">
        <f t="shared" si="44"/>
        <v>0.61184996579334427</v>
      </c>
      <c r="AW330" s="1">
        <f t="shared" si="45"/>
        <v>0.38783578110617056</v>
      </c>
    </row>
    <row r="331" spans="1:49" x14ac:dyDescent="0.2">
      <c r="A331">
        <v>329</v>
      </c>
      <c r="B331" t="s">
        <v>3938</v>
      </c>
      <c r="C331" t="s">
        <v>3937</v>
      </c>
      <c r="D331">
        <v>94576584900274</v>
      </c>
      <c r="F331" t="s">
        <v>3936</v>
      </c>
      <c r="G331" t="s">
        <v>13</v>
      </c>
      <c r="H331" t="s">
        <v>12</v>
      </c>
      <c r="I331" t="s">
        <v>3935</v>
      </c>
      <c r="J331">
        <v>106015527</v>
      </c>
      <c r="K331" t="s">
        <v>3934</v>
      </c>
      <c r="M331" t="s">
        <v>24</v>
      </c>
      <c r="N331">
        <v>1</v>
      </c>
      <c r="O331" t="s">
        <v>3933</v>
      </c>
      <c r="P331">
        <v>6507624678</v>
      </c>
      <c r="Q331">
        <v>106015527</v>
      </c>
      <c r="R331" s="7">
        <v>30682</v>
      </c>
      <c r="S331" s="8">
        <f t="shared" si="40"/>
        <v>1984</v>
      </c>
      <c r="T331" s="8">
        <v>1984</v>
      </c>
      <c r="U331" s="8">
        <f t="shared" si="41"/>
        <v>38</v>
      </c>
      <c r="V331" s="7">
        <v>30926</v>
      </c>
      <c r="W331" t="s">
        <v>347</v>
      </c>
      <c r="X331" s="2">
        <v>1.1339999999999999</v>
      </c>
      <c r="Y331" s="6">
        <f t="shared" si="46"/>
        <v>3.0271482341635299E-2</v>
      </c>
      <c r="AA331">
        <v>945765</v>
      </c>
      <c r="AB331">
        <v>12372</v>
      </c>
      <c r="AD331" t="s">
        <v>4</v>
      </c>
      <c r="AE331">
        <v>11</v>
      </c>
      <c r="AF331">
        <v>9</v>
      </c>
      <c r="AH331" t="s">
        <v>3932</v>
      </c>
      <c r="AI331" t="s">
        <v>3931</v>
      </c>
      <c r="AK331" t="s">
        <v>3930</v>
      </c>
      <c r="AL331">
        <v>0</v>
      </c>
      <c r="AM331" s="5">
        <f t="shared" si="42"/>
        <v>0</v>
      </c>
      <c r="AN331" s="4">
        <f t="shared" si="47"/>
        <v>0</v>
      </c>
      <c r="AO331" s="3"/>
      <c r="AP331">
        <v>0</v>
      </c>
      <c r="AR331" t="s">
        <v>0</v>
      </c>
      <c r="AT331" s="2">
        <v>2.4129999999999998</v>
      </c>
      <c r="AU331" s="1">
        <f t="shared" si="43"/>
        <v>2.119003763914471</v>
      </c>
      <c r="AV331" s="1">
        <f t="shared" si="44"/>
        <v>1.5135741170817649</v>
      </c>
      <c r="AW331" s="1">
        <f t="shared" si="45"/>
        <v>0.90814447024905898</v>
      </c>
    </row>
    <row r="332" spans="1:49" x14ac:dyDescent="0.2">
      <c r="A332">
        <v>330</v>
      </c>
      <c r="B332" t="s">
        <v>3929</v>
      </c>
      <c r="C332" t="s">
        <v>3928</v>
      </c>
      <c r="F332" t="s">
        <v>3927</v>
      </c>
      <c r="G332" t="s">
        <v>13</v>
      </c>
      <c r="H332" t="s">
        <v>12</v>
      </c>
      <c r="I332" t="s">
        <v>3926</v>
      </c>
      <c r="J332">
        <v>60006288</v>
      </c>
      <c r="K332" t="s">
        <v>3925</v>
      </c>
      <c r="L332" t="s">
        <v>3924</v>
      </c>
      <c r="M332" t="s">
        <v>605</v>
      </c>
      <c r="N332">
        <v>2</v>
      </c>
      <c r="O332" t="s">
        <v>3923</v>
      </c>
      <c r="P332" t="s">
        <v>3922</v>
      </c>
      <c r="Q332" t="s">
        <v>3921</v>
      </c>
      <c r="R332" s="7">
        <v>30682</v>
      </c>
      <c r="S332" s="8">
        <f t="shared" si="40"/>
        <v>1984</v>
      </c>
      <c r="T332" s="8">
        <v>1984</v>
      </c>
      <c r="U332" s="8">
        <f t="shared" si="41"/>
        <v>38</v>
      </c>
      <c r="V332" s="7" t="s">
        <v>3902</v>
      </c>
      <c r="W332" t="s">
        <v>3920</v>
      </c>
      <c r="X332" s="2">
        <v>0.20100000000000001</v>
      </c>
      <c r="Y332" s="6">
        <f t="shared" si="46"/>
        <v>5.3655802034115489E-3</v>
      </c>
      <c r="AA332">
        <v>7362501</v>
      </c>
      <c r="AB332">
        <v>21565</v>
      </c>
      <c r="AD332" t="s">
        <v>4</v>
      </c>
      <c r="AE332">
        <v>23</v>
      </c>
      <c r="AF332">
        <v>2</v>
      </c>
      <c r="AH332" t="s">
        <v>3919</v>
      </c>
      <c r="AI332" t="s">
        <v>3918</v>
      </c>
      <c r="AK332" t="s">
        <v>3917</v>
      </c>
      <c r="AL332">
        <v>3</v>
      </c>
      <c r="AM332" s="5">
        <f t="shared" si="42"/>
        <v>7.8947368421052627E-2</v>
      </c>
      <c r="AN332" s="4">
        <f t="shared" si="47"/>
        <v>1.1957193248171546E-4</v>
      </c>
      <c r="AO332" s="3"/>
      <c r="AP332">
        <v>0</v>
      </c>
      <c r="AR332" t="s">
        <v>0</v>
      </c>
      <c r="AT332" s="2">
        <v>0.46600000000000003</v>
      </c>
      <c r="AU332" s="1">
        <f t="shared" si="43"/>
        <v>0.37917777221325988</v>
      </c>
      <c r="AV332" s="1">
        <f t="shared" si="44"/>
        <v>0.27425760679466321</v>
      </c>
      <c r="AW332" s="1">
        <f t="shared" si="45"/>
        <v>0.16933744137606654</v>
      </c>
    </row>
    <row r="333" spans="1:49" x14ac:dyDescent="0.2">
      <c r="A333">
        <v>331</v>
      </c>
      <c r="B333" t="s">
        <v>3916</v>
      </c>
      <c r="C333" t="s">
        <v>3915</v>
      </c>
      <c r="F333" t="s">
        <v>3914</v>
      </c>
      <c r="G333" t="s">
        <v>13</v>
      </c>
      <c r="H333" t="s">
        <v>12</v>
      </c>
      <c r="I333" t="s">
        <v>3913</v>
      </c>
      <c r="J333">
        <v>60005322</v>
      </c>
      <c r="K333" t="s">
        <v>479</v>
      </c>
      <c r="L333" t="s">
        <v>478</v>
      </c>
      <c r="M333" t="s">
        <v>142</v>
      </c>
      <c r="N333">
        <v>1</v>
      </c>
      <c r="O333" t="s">
        <v>3912</v>
      </c>
      <c r="P333">
        <v>57196628184</v>
      </c>
      <c r="Q333">
        <v>60005322</v>
      </c>
      <c r="R333" s="7">
        <v>30682</v>
      </c>
      <c r="S333" s="8">
        <f t="shared" si="40"/>
        <v>1984</v>
      </c>
      <c r="T333" s="8">
        <v>1984</v>
      </c>
      <c r="U333" s="8">
        <f t="shared" si="41"/>
        <v>38</v>
      </c>
      <c r="V333" s="7">
        <v>30926</v>
      </c>
      <c r="W333" t="s">
        <v>3911</v>
      </c>
      <c r="X333" s="2">
        <v>0.62</v>
      </c>
      <c r="Y333" s="6">
        <f t="shared" si="46"/>
        <v>1.6550545901070447E-2</v>
      </c>
      <c r="AA333">
        <v>189464</v>
      </c>
      <c r="AB333">
        <v>17364</v>
      </c>
      <c r="AC333">
        <v>19410069</v>
      </c>
      <c r="AD333" t="s">
        <v>4</v>
      </c>
      <c r="AE333">
        <v>20</v>
      </c>
      <c r="AF333">
        <v>5</v>
      </c>
      <c r="AH333" t="s">
        <v>3910</v>
      </c>
      <c r="AI333" t="s">
        <v>3909</v>
      </c>
      <c r="AK333" t="s">
        <v>3908</v>
      </c>
      <c r="AL333">
        <v>1</v>
      </c>
      <c r="AM333" s="5">
        <f t="shared" si="42"/>
        <v>2.6315789473684209E-2</v>
      </c>
      <c r="AN333" s="4">
        <f t="shared" si="47"/>
        <v>3.9857310827238481E-5</v>
      </c>
      <c r="AO333" s="3"/>
      <c r="AP333">
        <v>0</v>
      </c>
      <c r="AR333" t="s">
        <v>0</v>
      </c>
      <c r="AT333" s="2">
        <v>1.7</v>
      </c>
      <c r="AU333" s="1">
        <f t="shared" si="43"/>
        <v>1.1597339323997484</v>
      </c>
      <c r="AV333" s="1">
        <f t="shared" si="44"/>
        <v>0.82952016059488431</v>
      </c>
      <c r="AW333" s="1">
        <f t="shared" si="45"/>
        <v>0.49930638879002009</v>
      </c>
    </row>
    <row r="334" spans="1:49" x14ac:dyDescent="0.2">
      <c r="A334">
        <v>332</v>
      </c>
      <c r="B334" t="s">
        <v>3907</v>
      </c>
      <c r="C334" t="s">
        <v>3906</v>
      </c>
      <c r="F334" t="s">
        <v>3905</v>
      </c>
      <c r="G334" t="s">
        <v>13</v>
      </c>
      <c r="H334" t="s">
        <v>12</v>
      </c>
      <c r="I334" t="s">
        <v>3904</v>
      </c>
      <c r="J334">
        <v>60023053</v>
      </c>
      <c r="K334" t="s">
        <v>2441</v>
      </c>
      <c r="L334" t="s">
        <v>2440</v>
      </c>
      <c r="M334" t="s">
        <v>56</v>
      </c>
      <c r="N334">
        <v>1</v>
      </c>
      <c r="O334" t="s">
        <v>3903</v>
      </c>
      <c r="P334">
        <v>56050028200</v>
      </c>
      <c r="Q334">
        <v>60023053</v>
      </c>
      <c r="R334" s="7">
        <v>30682</v>
      </c>
      <c r="S334" s="8">
        <f t="shared" si="40"/>
        <v>1984</v>
      </c>
      <c r="T334" s="8">
        <v>1984</v>
      </c>
      <c r="U334" s="8">
        <f t="shared" si="41"/>
        <v>38</v>
      </c>
      <c r="V334" s="7" t="s">
        <v>3902</v>
      </c>
      <c r="W334" t="s">
        <v>3901</v>
      </c>
      <c r="X334" s="2" t="s">
        <v>45</v>
      </c>
      <c r="Y334" s="6" t="e">
        <f t="shared" si="46"/>
        <v>#VALUE!</v>
      </c>
      <c r="AB334">
        <v>67769</v>
      </c>
      <c r="AD334" t="s">
        <v>4</v>
      </c>
      <c r="AE334">
        <v>89</v>
      </c>
      <c r="AF334">
        <v>5</v>
      </c>
      <c r="AH334" t="s">
        <v>3900</v>
      </c>
      <c r="AI334" t="s">
        <v>3899</v>
      </c>
      <c r="AK334" t="s">
        <v>3898</v>
      </c>
      <c r="AL334">
        <v>19</v>
      </c>
      <c r="AM334" s="5">
        <f t="shared" si="42"/>
        <v>0.5</v>
      </c>
      <c r="AN334" s="4">
        <f t="shared" si="47"/>
        <v>7.572889057175312E-4</v>
      </c>
      <c r="AO334" s="3"/>
      <c r="AP334">
        <v>1</v>
      </c>
      <c r="AR334" t="s">
        <v>0</v>
      </c>
      <c r="AT334" s="2" t="s">
        <v>45</v>
      </c>
      <c r="AU334" s="1" t="e">
        <f t="shared" si="43"/>
        <v>#VALUE!</v>
      </c>
      <c r="AV334" s="1" t="e">
        <f t="shared" si="44"/>
        <v>#VALUE!</v>
      </c>
      <c r="AW334" s="1" t="e">
        <f t="shared" si="45"/>
        <v>#VALUE!</v>
      </c>
    </row>
    <row r="335" spans="1:49" x14ac:dyDescent="0.2">
      <c r="A335">
        <v>333</v>
      </c>
      <c r="B335" t="s">
        <v>3897</v>
      </c>
      <c r="C335" t="s">
        <v>3896</v>
      </c>
      <c r="F335" t="s">
        <v>3895</v>
      </c>
      <c r="G335" t="s">
        <v>13</v>
      </c>
      <c r="H335" t="s">
        <v>12</v>
      </c>
      <c r="I335" t="s">
        <v>3038</v>
      </c>
      <c r="J335">
        <v>60025997</v>
      </c>
      <c r="K335" t="s">
        <v>3037</v>
      </c>
      <c r="L335" t="s">
        <v>644</v>
      </c>
      <c r="M335" t="s">
        <v>643</v>
      </c>
      <c r="N335">
        <v>2</v>
      </c>
      <c r="O335" t="s">
        <v>3894</v>
      </c>
      <c r="P335" t="s">
        <v>3893</v>
      </c>
      <c r="Q335" t="s">
        <v>3343</v>
      </c>
      <c r="R335" s="7">
        <v>30682</v>
      </c>
      <c r="S335" s="8">
        <f t="shared" si="40"/>
        <v>1984</v>
      </c>
      <c r="T335" s="8">
        <v>1984</v>
      </c>
      <c r="U335" s="8">
        <f t="shared" si="41"/>
        <v>38</v>
      </c>
      <c r="V335" s="7">
        <v>1984</v>
      </c>
      <c r="W335" t="s">
        <v>756</v>
      </c>
      <c r="X335" s="2">
        <v>0.111</v>
      </c>
      <c r="Y335" s="6">
        <f t="shared" si="46"/>
        <v>2.9630816048690639E-3</v>
      </c>
      <c r="AA335">
        <v>87566621</v>
      </c>
      <c r="AB335">
        <v>24890</v>
      </c>
      <c r="AC335">
        <v>15206424</v>
      </c>
      <c r="AD335" t="s">
        <v>4</v>
      </c>
      <c r="AE335">
        <v>67</v>
      </c>
      <c r="AF335">
        <v>9</v>
      </c>
      <c r="AH335" t="s">
        <v>3892</v>
      </c>
      <c r="AI335" t="s">
        <v>3891</v>
      </c>
      <c r="AK335" t="s">
        <v>3890</v>
      </c>
      <c r="AL335">
        <v>0</v>
      </c>
      <c r="AM335" s="5">
        <f t="shared" si="42"/>
        <v>0</v>
      </c>
      <c r="AN335" s="4">
        <f t="shared" si="47"/>
        <v>0</v>
      </c>
      <c r="AO335" s="3"/>
      <c r="AP335">
        <v>0</v>
      </c>
      <c r="AR335" t="s">
        <v>0</v>
      </c>
      <c r="AT335" s="2" t="s">
        <v>45</v>
      </c>
      <c r="AU335" s="1">
        <f t="shared" si="43"/>
        <v>0.20741571234083445</v>
      </c>
      <c r="AV335" s="1">
        <f t="shared" si="44"/>
        <v>0.1481540802434532</v>
      </c>
      <c r="AW335" s="1">
        <f t="shared" si="45"/>
        <v>8.8892448146071903E-2</v>
      </c>
    </row>
    <row r="336" spans="1:49" x14ac:dyDescent="0.2">
      <c r="A336">
        <v>334</v>
      </c>
      <c r="B336" t="s">
        <v>3889</v>
      </c>
      <c r="C336" t="s">
        <v>3888</v>
      </c>
      <c r="F336" t="s">
        <v>3887</v>
      </c>
      <c r="G336" t="s">
        <v>13</v>
      </c>
      <c r="H336" t="s">
        <v>12</v>
      </c>
      <c r="I336" t="s">
        <v>3886</v>
      </c>
      <c r="J336">
        <v>100391860</v>
      </c>
      <c r="K336" t="s">
        <v>3885</v>
      </c>
      <c r="L336" t="s">
        <v>3884</v>
      </c>
      <c r="M336" t="s">
        <v>167</v>
      </c>
      <c r="N336">
        <v>1</v>
      </c>
      <c r="O336" t="s">
        <v>3883</v>
      </c>
      <c r="P336">
        <v>7201573786</v>
      </c>
      <c r="Q336">
        <v>100391860</v>
      </c>
      <c r="R336" s="7">
        <v>30682</v>
      </c>
      <c r="S336" s="8">
        <f t="shared" si="40"/>
        <v>1984</v>
      </c>
      <c r="T336" s="8">
        <v>1984</v>
      </c>
      <c r="U336" s="8">
        <f t="shared" si="41"/>
        <v>38</v>
      </c>
      <c r="V336" s="7" t="s">
        <v>3882</v>
      </c>
      <c r="W336" t="s">
        <v>717</v>
      </c>
      <c r="X336" s="2" t="s">
        <v>45</v>
      </c>
      <c r="Y336" s="6" t="e">
        <f t="shared" si="46"/>
        <v>#VALUE!</v>
      </c>
      <c r="AA336">
        <v>135127</v>
      </c>
      <c r="AB336">
        <v>17422</v>
      </c>
      <c r="AD336" t="s">
        <v>4</v>
      </c>
      <c r="AE336">
        <v>30</v>
      </c>
      <c r="AF336">
        <v>9</v>
      </c>
      <c r="AH336" t="s">
        <v>3881</v>
      </c>
      <c r="AI336" t="s">
        <v>3880</v>
      </c>
      <c r="AK336" t="s">
        <v>3879</v>
      </c>
      <c r="AL336">
        <v>0</v>
      </c>
      <c r="AM336" s="5">
        <f t="shared" si="42"/>
        <v>0</v>
      </c>
      <c r="AN336" s="4">
        <f t="shared" si="47"/>
        <v>0</v>
      </c>
      <c r="AO336" s="3"/>
      <c r="AP336">
        <v>0</v>
      </c>
      <c r="AR336" t="s">
        <v>0</v>
      </c>
      <c r="AT336" s="2" t="s">
        <v>45</v>
      </c>
      <c r="AU336" s="1" t="e">
        <f t="shared" si="43"/>
        <v>#VALUE!</v>
      </c>
      <c r="AV336" s="1" t="e">
        <f t="shared" si="44"/>
        <v>#VALUE!</v>
      </c>
      <c r="AW336" s="1" t="e">
        <f t="shared" si="45"/>
        <v>#VALUE!</v>
      </c>
    </row>
    <row r="337" spans="1:49" x14ac:dyDescent="0.2">
      <c r="A337">
        <v>335</v>
      </c>
      <c r="B337" t="s">
        <v>3878</v>
      </c>
      <c r="F337" t="s">
        <v>3877</v>
      </c>
      <c r="G337" t="s">
        <v>13</v>
      </c>
      <c r="H337" t="s">
        <v>12</v>
      </c>
      <c r="I337" t="s">
        <v>3876</v>
      </c>
      <c r="N337">
        <v>3</v>
      </c>
      <c r="O337" t="s">
        <v>3875</v>
      </c>
      <c r="P337" t="s">
        <v>3874</v>
      </c>
      <c r="Q337" t="s">
        <v>8</v>
      </c>
      <c r="R337" s="7">
        <v>30682</v>
      </c>
      <c r="S337" s="8">
        <f t="shared" si="40"/>
        <v>1984</v>
      </c>
      <c r="T337" s="8">
        <v>1984</v>
      </c>
      <c r="U337" s="8">
        <f t="shared" si="41"/>
        <v>38</v>
      </c>
      <c r="V337" s="7" t="s">
        <v>3576</v>
      </c>
      <c r="W337" t="s">
        <v>1668</v>
      </c>
      <c r="X337" s="2" t="s">
        <v>45</v>
      </c>
      <c r="Y337" s="6" t="e">
        <f t="shared" si="46"/>
        <v>#VALUE!</v>
      </c>
      <c r="AA337" t="s">
        <v>1667</v>
      </c>
      <c r="AB337">
        <v>30906</v>
      </c>
      <c r="AD337" t="s">
        <v>4</v>
      </c>
      <c r="AE337" t="s">
        <v>2144</v>
      </c>
      <c r="AF337">
        <v>8</v>
      </c>
      <c r="AH337" t="s">
        <v>3873</v>
      </c>
      <c r="AI337" t="s">
        <v>3872</v>
      </c>
      <c r="AK337" t="s">
        <v>3871</v>
      </c>
      <c r="AL337">
        <v>2</v>
      </c>
      <c r="AM337" s="5">
        <f t="shared" si="42"/>
        <v>5.2631578947368418E-2</v>
      </c>
      <c r="AN337" s="4">
        <f t="shared" si="47"/>
        <v>7.9714621654476962E-5</v>
      </c>
      <c r="AO337" s="3"/>
      <c r="AP337">
        <v>0</v>
      </c>
      <c r="AR337" t="s">
        <v>0</v>
      </c>
      <c r="AT337" s="2" t="s">
        <v>45</v>
      </c>
      <c r="AU337" s="1" t="e">
        <f t="shared" si="43"/>
        <v>#VALUE!</v>
      </c>
      <c r="AV337" s="1" t="e">
        <f t="shared" si="44"/>
        <v>#VALUE!</v>
      </c>
      <c r="AW337" s="1" t="e">
        <f t="shared" si="45"/>
        <v>#VALUE!</v>
      </c>
    </row>
    <row r="338" spans="1:49" x14ac:dyDescent="0.2">
      <c r="A338">
        <v>336</v>
      </c>
      <c r="B338" t="s">
        <v>3870</v>
      </c>
      <c r="C338" t="s">
        <v>3869</v>
      </c>
      <c r="F338" t="s">
        <v>3868</v>
      </c>
      <c r="G338" t="s">
        <v>13</v>
      </c>
      <c r="H338" t="s">
        <v>12</v>
      </c>
      <c r="I338" t="s">
        <v>3867</v>
      </c>
      <c r="J338">
        <v>60021080</v>
      </c>
      <c r="K338" t="s">
        <v>3866</v>
      </c>
      <c r="L338" t="s">
        <v>3865</v>
      </c>
      <c r="M338" t="s">
        <v>56</v>
      </c>
      <c r="N338">
        <v>1</v>
      </c>
      <c r="O338" t="s">
        <v>3864</v>
      </c>
      <c r="P338">
        <v>7004504343</v>
      </c>
      <c r="Q338">
        <v>60021080</v>
      </c>
      <c r="R338" s="7">
        <v>30682</v>
      </c>
      <c r="S338" s="8">
        <f t="shared" si="40"/>
        <v>1984</v>
      </c>
      <c r="T338" s="8">
        <v>1984</v>
      </c>
      <c r="U338" s="8">
        <f t="shared" si="41"/>
        <v>38</v>
      </c>
      <c r="V338" s="7">
        <v>30895</v>
      </c>
      <c r="W338" t="s">
        <v>380</v>
      </c>
      <c r="X338" s="2">
        <v>1.6519999999999999</v>
      </c>
      <c r="Y338" s="6">
        <f t="shared" si="46"/>
        <v>4.409919649769093E-2</v>
      </c>
      <c r="AA338" t="s">
        <v>379</v>
      </c>
      <c r="AB338">
        <v>17337</v>
      </c>
      <c r="AC338">
        <v>15582221</v>
      </c>
      <c r="AD338" t="s">
        <v>4</v>
      </c>
      <c r="AE338">
        <v>32</v>
      </c>
      <c r="AF338">
        <v>8</v>
      </c>
      <c r="AH338" t="s">
        <v>3863</v>
      </c>
      <c r="AI338" t="s">
        <v>3862</v>
      </c>
      <c r="AK338" t="s">
        <v>3861</v>
      </c>
      <c r="AL338">
        <v>65</v>
      </c>
      <c r="AM338" s="5">
        <f t="shared" si="42"/>
        <v>1.7105263157894737</v>
      </c>
      <c r="AN338" s="4">
        <f t="shared" si="47"/>
        <v>2.5907252037705017E-3</v>
      </c>
      <c r="AO338" s="3"/>
      <c r="AP338">
        <v>0</v>
      </c>
      <c r="AR338" t="s">
        <v>0</v>
      </c>
      <c r="AT338" s="2" t="s">
        <v>45</v>
      </c>
      <c r="AU338" s="1">
        <f t="shared" si="43"/>
        <v>3.1646655109514801</v>
      </c>
      <c r="AV338" s="1">
        <f t="shared" si="44"/>
        <v>2.3344960850730718</v>
      </c>
      <c r="AW338" s="1">
        <f t="shared" si="45"/>
        <v>1.5043266591946629</v>
      </c>
    </row>
    <row r="339" spans="1:49" x14ac:dyDescent="0.2">
      <c r="A339">
        <v>337</v>
      </c>
      <c r="B339" t="s">
        <v>3860</v>
      </c>
      <c r="C339" t="s">
        <v>3859</v>
      </c>
      <c r="F339" t="s">
        <v>3858</v>
      </c>
      <c r="G339" t="s">
        <v>13</v>
      </c>
      <c r="H339" t="s">
        <v>12</v>
      </c>
      <c r="I339" t="s">
        <v>1882</v>
      </c>
      <c r="J339" t="s">
        <v>3857</v>
      </c>
      <c r="K339" t="s">
        <v>3856</v>
      </c>
      <c r="L339" t="s">
        <v>3855</v>
      </c>
      <c r="M339" t="s">
        <v>3854</v>
      </c>
      <c r="N339">
        <v>3</v>
      </c>
      <c r="O339" t="s">
        <v>3853</v>
      </c>
      <c r="P339" t="s">
        <v>3852</v>
      </c>
      <c r="Q339" t="s">
        <v>3851</v>
      </c>
      <c r="R339" s="7">
        <v>30682</v>
      </c>
      <c r="S339" s="8">
        <f t="shared" si="40"/>
        <v>1984</v>
      </c>
      <c r="T339" s="8">
        <v>1984</v>
      </c>
      <c r="U339" s="8">
        <f t="shared" si="41"/>
        <v>38</v>
      </c>
      <c r="V339" s="7">
        <v>30895</v>
      </c>
      <c r="W339" t="s">
        <v>380</v>
      </c>
      <c r="X339" s="2">
        <v>1.6519999999999999</v>
      </c>
      <c r="Y339" s="6">
        <f t="shared" si="46"/>
        <v>4.409919649769093E-2</v>
      </c>
      <c r="AA339" t="s">
        <v>379</v>
      </c>
      <c r="AB339">
        <v>17337</v>
      </c>
      <c r="AC339">
        <v>15582221</v>
      </c>
      <c r="AD339" t="s">
        <v>4</v>
      </c>
      <c r="AE339">
        <v>32</v>
      </c>
      <c r="AF339">
        <v>8</v>
      </c>
      <c r="AH339" t="s">
        <v>3850</v>
      </c>
      <c r="AI339" t="s">
        <v>3849</v>
      </c>
      <c r="AK339" t="s">
        <v>3848</v>
      </c>
      <c r="AL339">
        <v>124</v>
      </c>
      <c r="AM339" s="5">
        <f t="shared" si="42"/>
        <v>3.263157894736842</v>
      </c>
      <c r="AN339" s="4">
        <f t="shared" si="47"/>
        <v>4.9423065425775719E-3</v>
      </c>
      <c r="AO339" s="3"/>
      <c r="AP339">
        <v>0</v>
      </c>
      <c r="AR339" t="s">
        <v>0</v>
      </c>
      <c r="AT339" s="2" t="s">
        <v>45</v>
      </c>
      <c r="AU339" s="1">
        <f t="shared" si="43"/>
        <v>3.2352129511156922</v>
      </c>
      <c r="AV339" s="1">
        <f t="shared" si="44"/>
        <v>2.4520751520134252</v>
      </c>
      <c r="AW339" s="1">
        <f t="shared" si="45"/>
        <v>1.6689373529111577</v>
      </c>
    </row>
    <row r="340" spans="1:49" x14ac:dyDescent="0.2">
      <c r="A340">
        <v>338</v>
      </c>
      <c r="B340" t="s">
        <v>3847</v>
      </c>
      <c r="C340" t="s">
        <v>3846</v>
      </c>
      <c r="F340" t="s">
        <v>3845</v>
      </c>
      <c r="G340" t="s">
        <v>13</v>
      </c>
      <c r="H340" t="s">
        <v>12</v>
      </c>
      <c r="I340" t="s">
        <v>3844</v>
      </c>
      <c r="J340" t="s">
        <v>3843</v>
      </c>
      <c r="K340" t="s">
        <v>3842</v>
      </c>
      <c r="L340" t="s">
        <v>3841</v>
      </c>
      <c r="M340" t="s">
        <v>206</v>
      </c>
      <c r="N340">
        <v>2</v>
      </c>
      <c r="O340" t="s">
        <v>3840</v>
      </c>
      <c r="P340" t="s">
        <v>3839</v>
      </c>
      <c r="Q340" t="s">
        <v>3838</v>
      </c>
      <c r="R340" s="7">
        <v>30682</v>
      </c>
      <c r="S340" s="8">
        <f t="shared" si="40"/>
        <v>1984</v>
      </c>
      <c r="T340" s="8">
        <v>1984</v>
      </c>
      <c r="U340" s="8">
        <f t="shared" si="41"/>
        <v>38</v>
      </c>
      <c r="V340" s="7">
        <v>30895</v>
      </c>
      <c r="W340" t="s">
        <v>380</v>
      </c>
      <c r="X340" s="2">
        <v>1.6519999999999999</v>
      </c>
      <c r="Y340" s="6">
        <f t="shared" si="46"/>
        <v>4.409919649769093E-2</v>
      </c>
      <c r="AA340" t="s">
        <v>379</v>
      </c>
      <c r="AB340">
        <v>17337</v>
      </c>
      <c r="AC340">
        <v>15582221</v>
      </c>
      <c r="AD340" t="s">
        <v>4</v>
      </c>
      <c r="AE340">
        <v>32</v>
      </c>
      <c r="AF340">
        <v>8</v>
      </c>
      <c r="AH340" t="s">
        <v>3837</v>
      </c>
      <c r="AI340" t="s">
        <v>3836</v>
      </c>
      <c r="AK340" t="s">
        <v>3835</v>
      </c>
      <c r="AL340">
        <v>2</v>
      </c>
      <c r="AM340" s="5">
        <f t="shared" si="42"/>
        <v>5.2631578947368418E-2</v>
      </c>
      <c r="AN340" s="4">
        <f t="shared" si="47"/>
        <v>7.9714621654476962E-5</v>
      </c>
      <c r="AO340" s="3"/>
      <c r="AP340">
        <v>0</v>
      </c>
      <c r="AR340" t="s">
        <v>0</v>
      </c>
      <c r="AT340" s="2" t="s">
        <v>45</v>
      </c>
      <c r="AU340" s="1">
        <f t="shared" si="43"/>
        <v>3.0893351934879991</v>
      </c>
      <c r="AV340" s="1">
        <f t="shared" si="44"/>
        <v>2.2089455559672704</v>
      </c>
      <c r="AW340" s="1">
        <f t="shared" si="45"/>
        <v>1.3285559184465412</v>
      </c>
    </row>
    <row r="341" spans="1:49" x14ac:dyDescent="0.2">
      <c r="A341">
        <v>339</v>
      </c>
      <c r="B341" t="s">
        <v>3834</v>
      </c>
      <c r="F341" t="s">
        <v>3833</v>
      </c>
      <c r="G341" t="s">
        <v>13</v>
      </c>
      <c r="H341" t="s">
        <v>12</v>
      </c>
      <c r="I341" t="s">
        <v>3832</v>
      </c>
      <c r="N341">
        <v>1</v>
      </c>
      <c r="O341" t="s">
        <v>3831</v>
      </c>
      <c r="P341">
        <v>6701394438</v>
      </c>
      <c r="R341" s="7">
        <v>30682</v>
      </c>
      <c r="S341" s="8">
        <f t="shared" si="40"/>
        <v>1984</v>
      </c>
      <c r="T341" s="8">
        <v>1984</v>
      </c>
      <c r="U341" s="8">
        <f t="shared" si="41"/>
        <v>38</v>
      </c>
      <c r="V341" s="7" t="s">
        <v>3576</v>
      </c>
      <c r="W341" t="s">
        <v>683</v>
      </c>
      <c r="X341" s="2">
        <v>0.10100000000000001</v>
      </c>
      <c r="Y341" s="6">
        <f t="shared" si="46"/>
        <v>2.6961373161421215E-3</v>
      </c>
      <c r="AA341">
        <v>7452883</v>
      </c>
      <c r="AB341">
        <v>18563</v>
      </c>
      <c r="AD341" t="s">
        <v>4</v>
      </c>
      <c r="AE341">
        <v>23</v>
      </c>
      <c r="AF341">
        <v>8</v>
      </c>
      <c r="AI341" t="s">
        <v>3830</v>
      </c>
      <c r="AK341" t="s">
        <v>3829</v>
      </c>
      <c r="AL341">
        <v>0</v>
      </c>
      <c r="AM341" s="5">
        <f t="shared" si="42"/>
        <v>0</v>
      </c>
      <c r="AN341" s="4">
        <f t="shared" si="47"/>
        <v>0</v>
      </c>
      <c r="AO341" s="3"/>
      <c r="AP341">
        <v>0</v>
      </c>
      <c r="AR341" t="s">
        <v>0</v>
      </c>
      <c r="AT341" s="2" t="s">
        <v>45</v>
      </c>
      <c r="AU341" s="1">
        <f t="shared" si="43"/>
        <v>0.18872961212994849</v>
      </c>
      <c r="AV341" s="1">
        <f t="shared" si="44"/>
        <v>0.13480686580710607</v>
      </c>
      <c r="AW341" s="1">
        <f t="shared" si="45"/>
        <v>8.0884119484263647E-2</v>
      </c>
    </row>
    <row r="342" spans="1:49" x14ac:dyDescent="0.2">
      <c r="A342">
        <v>340</v>
      </c>
      <c r="B342" t="s">
        <v>3828</v>
      </c>
      <c r="C342" t="s">
        <v>3827</v>
      </c>
      <c r="F342" t="s">
        <v>3826</v>
      </c>
      <c r="G342" t="s">
        <v>13</v>
      </c>
      <c r="H342" t="s">
        <v>12</v>
      </c>
      <c r="I342" t="s">
        <v>3825</v>
      </c>
      <c r="J342">
        <v>60005837</v>
      </c>
      <c r="K342" t="s">
        <v>3824</v>
      </c>
      <c r="L342" t="s">
        <v>113</v>
      </c>
      <c r="M342" t="s">
        <v>56</v>
      </c>
      <c r="N342">
        <v>3</v>
      </c>
      <c r="O342" t="s">
        <v>3823</v>
      </c>
      <c r="P342" t="s">
        <v>3822</v>
      </c>
      <c r="Q342" t="s">
        <v>3821</v>
      </c>
      <c r="R342" s="7">
        <v>30682</v>
      </c>
      <c r="S342" s="8">
        <f t="shared" si="40"/>
        <v>1984</v>
      </c>
      <c r="T342" s="8">
        <v>1984</v>
      </c>
      <c r="U342" s="8">
        <f t="shared" si="41"/>
        <v>38</v>
      </c>
      <c r="V342" s="7">
        <v>30895</v>
      </c>
      <c r="W342" t="s">
        <v>380</v>
      </c>
      <c r="X342" s="2">
        <v>1.6519999999999999</v>
      </c>
      <c r="Y342" s="6">
        <f t="shared" si="46"/>
        <v>4.409919649769093E-2</v>
      </c>
      <c r="AA342" t="s">
        <v>379</v>
      </c>
      <c r="AB342">
        <v>17337</v>
      </c>
      <c r="AC342">
        <v>15582221</v>
      </c>
      <c r="AD342" t="s">
        <v>4</v>
      </c>
      <c r="AE342">
        <v>32</v>
      </c>
      <c r="AF342">
        <v>8</v>
      </c>
      <c r="AH342" t="s">
        <v>3820</v>
      </c>
      <c r="AI342" t="s">
        <v>3819</v>
      </c>
      <c r="AK342" t="s">
        <v>3818</v>
      </c>
      <c r="AL342">
        <v>54</v>
      </c>
      <c r="AM342" s="5">
        <f t="shared" si="42"/>
        <v>1.4210526315789473</v>
      </c>
      <c r="AN342" s="4">
        <f t="shared" si="47"/>
        <v>2.1522947846708781E-3</v>
      </c>
      <c r="AO342" s="3"/>
      <c r="AP342">
        <v>0</v>
      </c>
      <c r="AR342" t="s">
        <v>0</v>
      </c>
      <c r="AT342" s="2" t="s">
        <v>45</v>
      </c>
      <c r="AU342" s="1">
        <f t="shared" si="43"/>
        <v>3.1515125983784911</v>
      </c>
      <c r="AV342" s="1">
        <f t="shared" si="44"/>
        <v>2.3125745641180901</v>
      </c>
      <c r="AW342" s="1">
        <f t="shared" si="45"/>
        <v>1.4736365298576892</v>
      </c>
    </row>
    <row r="343" spans="1:49" x14ac:dyDescent="0.2">
      <c r="A343">
        <v>341</v>
      </c>
      <c r="B343" t="s">
        <v>3817</v>
      </c>
      <c r="C343" t="s">
        <v>3816</v>
      </c>
      <c r="F343" t="s">
        <v>3815</v>
      </c>
      <c r="G343" t="s">
        <v>13</v>
      </c>
      <c r="H343" t="s">
        <v>12</v>
      </c>
      <c r="I343" t="s">
        <v>3814</v>
      </c>
      <c r="N343">
        <v>1</v>
      </c>
      <c r="O343" t="s">
        <v>3813</v>
      </c>
      <c r="P343">
        <v>7102344747</v>
      </c>
      <c r="R343" s="7">
        <v>30682</v>
      </c>
      <c r="S343" s="8">
        <f t="shared" si="40"/>
        <v>1984</v>
      </c>
      <c r="T343" s="8">
        <v>1984</v>
      </c>
      <c r="U343" s="8">
        <f t="shared" si="41"/>
        <v>38</v>
      </c>
      <c r="V343" s="7" t="s">
        <v>3576</v>
      </c>
      <c r="W343" s="11" t="s">
        <v>1146</v>
      </c>
      <c r="X343" s="2">
        <v>2.383</v>
      </c>
      <c r="Y343" s="6">
        <f t="shared" si="46"/>
        <v>6.3612824003630442E-2</v>
      </c>
      <c r="AA343">
        <v>1437097</v>
      </c>
      <c r="AB343">
        <v>101236</v>
      </c>
      <c r="AD343" t="s">
        <v>4</v>
      </c>
      <c r="AE343">
        <v>131</v>
      </c>
      <c r="AF343">
        <v>4</v>
      </c>
      <c r="AH343" t="s">
        <v>3812</v>
      </c>
      <c r="AI343" t="s">
        <v>3811</v>
      </c>
      <c r="AK343" t="s">
        <v>3810</v>
      </c>
      <c r="AL343">
        <v>42</v>
      </c>
      <c r="AM343" s="5">
        <f t="shared" si="42"/>
        <v>1.1052631578947369</v>
      </c>
      <c r="AN343" s="4">
        <f t="shared" si="47"/>
        <v>1.6740070547440165E-3</v>
      </c>
      <c r="AO343" s="3"/>
      <c r="AP343">
        <v>0</v>
      </c>
      <c r="AR343" t="s">
        <v>0</v>
      </c>
      <c r="AT343" s="2" t="s">
        <v>45</v>
      </c>
      <c r="AU343" s="1">
        <f t="shared" si="43"/>
        <v>4.5031178918964514</v>
      </c>
      <c r="AV343" s="1">
        <f t="shared" si="44"/>
        <v>3.2643415529187232</v>
      </c>
      <c r="AW343" s="1">
        <f t="shared" si="45"/>
        <v>2.0255652139409945</v>
      </c>
    </row>
    <row r="344" spans="1:49" x14ac:dyDescent="0.2">
      <c r="A344">
        <v>342</v>
      </c>
      <c r="B344" t="s">
        <v>3809</v>
      </c>
      <c r="C344" t="s">
        <v>3808</v>
      </c>
      <c r="F344" t="s">
        <v>3807</v>
      </c>
      <c r="G344" t="s">
        <v>13</v>
      </c>
      <c r="H344" t="s">
        <v>12</v>
      </c>
      <c r="I344" t="s">
        <v>3806</v>
      </c>
      <c r="J344" t="s">
        <v>3805</v>
      </c>
      <c r="K344" t="s">
        <v>3804</v>
      </c>
      <c r="L344" t="s">
        <v>3803</v>
      </c>
      <c r="M344" t="s">
        <v>3802</v>
      </c>
      <c r="N344">
        <v>6</v>
      </c>
      <c r="O344" t="s">
        <v>3801</v>
      </c>
      <c r="P344" t="s">
        <v>3800</v>
      </c>
      <c r="Q344" t="s">
        <v>3799</v>
      </c>
      <c r="R344" s="7">
        <v>30682</v>
      </c>
      <c r="S344" s="8">
        <f t="shared" si="40"/>
        <v>1984</v>
      </c>
      <c r="T344" s="8">
        <v>1984</v>
      </c>
      <c r="U344" s="8">
        <f t="shared" si="41"/>
        <v>38</v>
      </c>
      <c r="V344" s="7">
        <v>30895</v>
      </c>
      <c r="W344" t="s">
        <v>380</v>
      </c>
      <c r="X344" s="2">
        <v>1.6519999999999999</v>
      </c>
      <c r="Y344" s="6">
        <f t="shared" si="46"/>
        <v>4.409919649769093E-2</v>
      </c>
      <c r="AA344" t="s">
        <v>379</v>
      </c>
      <c r="AB344">
        <v>17337</v>
      </c>
      <c r="AC344">
        <v>15582221</v>
      </c>
      <c r="AD344" t="s">
        <v>4</v>
      </c>
      <c r="AE344">
        <v>32</v>
      </c>
      <c r="AF344">
        <v>8</v>
      </c>
      <c r="AH344" t="s">
        <v>3798</v>
      </c>
      <c r="AI344" t="s">
        <v>3797</v>
      </c>
      <c r="AK344" t="s">
        <v>3796</v>
      </c>
      <c r="AL344">
        <v>3</v>
      </c>
      <c r="AM344" s="5">
        <f t="shared" si="42"/>
        <v>7.8947368421052627E-2</v>
      </c>
      <c r="AN344" s="4">
        <f t="shared" si="47"/>
        <v>1.1957193248171546E-4</v>
      </c>
      <c r="AO344" s="3"/>
      <c r="AP344">
        <v>0</v>
      </c>
      <c r="AR344" t="s">
        <v>0</v>
      </c>
      <c r="AT344" s="2" t="s">
        <v>45</v>
      </c>
      <c r="AU344" s="1">
        <f t="shared" si="43"/>
        <v>3.0905309128128167</v>
      </c>
      <c r="AV344" s="1">
        <f t="shared" si="44"/>
        <v>2.2109384215086325</v>
      </c>
      <c r="AW344" s="1">
        <f t="shared" si="45"/>
        <v>1.3313459302044479</v>
      </c>
    </row>
    <row r="345" spans="1:49" x14ac:dyDescent="0.2">
      <c r="A345">
        <v>343</v>
      </c>
      <c r="B345" t="s">
        <v>3795</v>
      </c>
      <c r="C345" t="s">
        <v>3794</v>
      </c>
      <c r="F345" t="s">
        <v>3793</v>
      </c>
      <c r="G345" t="s">
        <v>13</v>
      </c>
      <c r="H345" t="s">
        <v>12</v>
      </c>
      <c r="I345" t="s">
        <v>3792</v>
      </c>
      <c r="J345">
        <v>60019647</v>
      </c>
      <c r="K345" t="s">
        <v>1736</v>
      </c>
      <c r="L345" t="s">
        <v>1735</v>
      </c>
      <c r="M345" t="s">
        <v>56</v>
      </c>
      <c r="N345">
        <v>1</v>
      </c>
      <c r="O345" t="s">
        <v>3791</v>
      </c>
      <c r="P345">
        <v>7003971864</v>
      </c>
      <c r="Q345">
        <v>60019647</v>
      </c>
      <c r="R345" s="7">
        <v>30682</v>
      </c>
      <c r="S345" s="8">
        <f t="shared" si="40"/>
        <v>1984</v>
      </c>
      <c r="T345" s="8">
        <v>1984</v>
      </c>
      <c r="U345" s="8">
        <f t="shared" si="41"/>
        <v>38</v>
      </c>
      <c r="V345" s="7">
        <v>30895</v>
      </c>
      <c r="W345" t="s">
        <v>380</v>
      </c>
      <c r="X345" s="2">
        <v>1.6519999999999999</v>
      </c>
      <c r="Y345" s="6">
        <f t="shared" si="46"/>
        <v>4.409919649769093E-2</v>
      </c>
      <c r="AA345" t="s">
        <v>379</v>
      </c>
      <c r="AB345">
        <v>17337</v>
      </c>
      <c r="AC345">
        <v>15582221</v>
      </c>
      <c r="AD345" t="s">
        <v>4</v>
      </c>
      <c r="AE345">
        <v>32</v>
      </c>
      <c r="AF345">
        <v>8</v>
      </c>
      <c r="AH345" t="s">
        <v>3790</v>
      </c>
      <c r="AI345" t="s">
        <v>3789</v>
      </c>
      <c r="AK345" t="s">
        <v>3788</v>
      </c>
      <c r="AL345">
        <v>7</v>
      </c>
      <c r="AM345" s="5">
        <f t="shared" si="42"/>
        <v>0.18421052631578946</v>
      </c>
      <c r="AN345" s="4">
        <f t="shared" si="47"/>
        <v>2.7900117579066937E-4</v>
      </c>
      <c r="AO345" s="3"/>
      <c r="AP345">
        <v>0</v>
      </c>
      <c r="AR345" t="s">
        <v>0</v>
      </c>
      <c r="AT345" s="2" t="s">
        <v>45</v>
      </c>
      <c r="AU345" s="1">
        <f t="shared" si="43"/>
        <v>3.0953137901120851</v>
      </c>
      <c r="AV345" s="1">
        <f t="shared" si="44"/>
        <v>2.2189098836740797</v>
      </c>
      <c r="AW345" s="1">
        <f t="shared" si="45"/>
        <v>1.3425059772360746</v>
      </c>
    </row>
    <row r="346" spans="1:49" x14ac:dyDescent="0.2">
      <c r="A346">
        <v>344</v>
      </c>
      <c r="B346" t="s">
        <v>3787</v>
      </c>
      <c r="F346" t="s">
        <v>3786</v>
      </c>
      <c r="G346" t="s">
        <v>13</v>
      </c>
      <c r="H346" t="s">
        <v>12</v>
      </c>
      <c r="I346" t="s">
        <v>3785</v>
      </c>
      <c r="N346">
        <v>3</v>
      </c>
      <c r="O346" t="s">
        <v>3784</v>
      </c>
      <c r="P346" t="s">
        <v>3783</v>
      </c>
      <c r="Q346" t="s">
        <v>8</v>
      </c>
      <c r="R346" s="7">
        <v>30682</v>
      </c>
      <c r="S346" s="8">
        <f t="shared" si="40"/>
        <v>1984</v>
      </c>
      <c r="T346" s="8">
        <v>1984</v>
      </c>
      <c r="U346" s="8">
        <f t="shared" si="41"/>
        <v>38</v>
      </c>
      <c r="V346" s="7" t="s">
        <v>3576</v>
      </c>
      <c r="W346" t="s">
        <v>3782</v>
      </c>
      <c r="X346" s="2" t="s">
        <v>45</v>
      </c>
      <c r="Y346" s="6" t="e">
        <f t="shared" si="46"/>
        <v>#VALUE!</v>
      </c>
      <c r="AB346">
        <v>101546</v>
      </c>
      <c r="AD346" t="s">
        <v>4</v>
      </c>
      <c r="AF346">
        <v>8</v>
      </c>
      <c r="AH346" t="s">
        <v>3781</v>
      </c>
      <c r="AI346" t="s">
        <v>3780</v>
      </c>
      <c r="AK346" t="s">
        <v>3779</v>
      </c>
      <c r="AL346">
        <v>13</v>
      </c>
      <c r="AM346" s="5">
        <f t="shared" si="42"/>
        <v>0.34210526315789475</v>
      </c>
      <c r="AN346" s="4">
        <f t="shared" si="47"/>
        <v>5.1814504075410031E-4</v>
      </c>
      <c r="AO346" s="3"/>
      <c r="AP346">
        <v>0</v>
      </c>
      <c r="AR346" t="s">
        <v>0</v>
      </c>
      <c r="AT346" s="2" t="s">
        <v>45</v>
      </c>
      <c r="AU346" s="1" t="e">
        <f t="shared" si="43"/>
        <v>#VALUE!</v>
      </c>
      <c r="AV346" s="1" t="e">
        <f t="shared" si="44"/>
        <v>#VALUE!</v>
      </c>
      <c r="AW346" s="1" t="e">
        <f t="shared" si="45"/>
        <v>#VALUE!</v>
      </c>
    </row>
    <row r="347" spans="1:49" x14ac:dyDescent="0.2">
      <c r="A347">
        <v>345</v>
      </c>
      <c r="B347" t="s">
        <v>3778</v>
      </c>
      <c r="C347" t="s">
        <v>3777</v>
      </c>
      <c r="F347" t="s">
        <v>3776</v>
      </c>
      <c r="G347" t="s">
        <v>13</v>
      </c>
      <c r="H347" t="s">
        <v>12</v>
      </c>
      <c r="I347" t="s">
        <v>3775</v>
      </c>
      <c r="J347">
        <v>60009037</v>
      </c>
      <c r="K347" t="s">
        <v>592</v>
      </c>
      <c r="L347" t="s">
        <v>591</v>
      </c>
      <c r="M347" t="s">
        <v>56</v>
      </c>
      <c r="N347">
        <v>4</v>
      </c>
      <c r="O347" t="s">
        <v>3774</v>
      </c>
      <c r="P347" t="s">
        <v>3773</v>
      </c>
      <c r="Q347" t="s">
        <v>3772</v>
      </c>
      <c r="R347" s="7">
        <v>30682</v>
      </c>
      <c r="S347" s="8">
        <f t="shared" si="40"/>
        <v>1984</v>
      </c>
      <c r="T347" s="8">
        <v>1984</v>
      </c>
      <c r="U347" s="8">
        <f t="shared" si="41"/>
        <v>38</v>
      </c>
      <c r="V347" s="7">
        <v>30895</v>
      </c>
      <c r="W347" t="s">
        <v>2466</v>
      </c>
      <c r="X347" s="2">
        <v>1.3720000000000001</v>
      </c>
      <c r="Y347" s="6">
        <f t="shared" si="46"/>
        <v>3.662475641333654E-2</v>
      </c>
      <c r="AA347">
        <v>189480</v>
      </c>
      <c r="AB347">
        <v>17366</v>
      </c>
      <c r="AC347">
        <v>15579670</v>
      </c>
      <c r="AD347" t="s">
        <v>4</v>
      </c>
      <c r="AE347">
        <v>32</v>
      </c>
      <c r="AF347">
        <v>8</v>
      </c>
      <c r="AH347" t="s">
        <v>3771</v>
      </c>
      <c r="AI347" t="s">
        <v>3770</v>
      </c>
      <c r="AK347" t="s">
        <v>3769</v>
      </c>
      <c r="AL347">
        <v>77</v>
      </c>
      <c r="AM347" s="5">
        <f t="shared" si="42"/>
        <v>2.0263157894736841</v>
      </c>
      <c r="AN347" s="4">
        <f t="shared" si="47"/>
        <v>3.0690129336973632E-3</v>
      </c>
      <c r="AO347" s="3"/>
      <c r="AP347">
        <v>0</v>
      </c>
      <c r="AR347" t="s">
        <v>0</v>
      </c>
      <c r="AT347" s="2" t="s">
        <v>45</v>
      </c>
      <c r="AU347" s="1">
        <f t="shared" si="43"/>
        <v>2.6558033369444787</v>
      </c>
      <c r="AV347" s="1">
        <f t="shared" si="44"/>
        <v>1.9846884673516954</v>
      </c>
      <c r="AW347" s="1">
        <f t="shared" si="45"/>
        <v>1.3135735977589116</v>
      </c>
    </row>
    <row r="348" spans="1:49" x14ac:dyDescent="0.2">
      <c r="A348">
        <v>346</v>
      </c>
      <c r="B348" t="s">
        <v>3768</v>
      </c>
      <c r="C348" t="s">
        <v>3767</v>
      </c>
      <c r="F348" t="s">
        <v>3358</v>
      </c>
      <c r="G348" t="s">
        <v>13</v>
      </c>
      <c r="H348" t="s">
        <v>12</v>
      </c>
      <c r="I348" t="s">
        <v>3357</v>
      </c>
      <c r="J348">
        <v>60021378</v>
      </c>
      <c r="K348" t="s">
        <v>3356</v>
      </c>
      <c r="L348" t="s">
        <v>3355</v>
      </c>
      <c r="M348" t="s">
        <v>56</v>
      </c>
      <c r="N348">
        <v>1</v>
      </c>
      <c r="O348" t="s">
        <v>3354</v>
      </c>
      <c r="P348">
        <v>7102662778</v>
      </c>
      <c r="Q348">
        <v>60021378</v>
      </c>
      <c r="R348" s="7">
        <v>30682</v>
      </c>
      <c r="S348" s="8">
        <f t="shared" si="40"/>
        <v>1984</v>
      </c>
      <c r="T348" s="8">
        <v>1984</v>
      </c>
      <c r="U348" s="8">
        <f t="shared" si="41"/>
        <v>38</v>
      </c>
      <c r="V348" s="7">
        <v>30895</v>
      </c>
      <c r="W348" t="s">
        <v>2380</v>
      </c>
      <c r="X348" s="2">
        <v>1.365</v>
      </c>
      <c r="Y348" s="6">
        <f t="shared" si="46"/>
        <v>3.6437895411227675E-2</v>
      </c>
      <c r="AA348">
        <v>189545</v>
      </c>
      <c r="AB348">
        <v>17393</v>
      </c>
      <c r="AC348">
        <v>19399359</v>
      </c>
      <c r="AD348" t="s">
        <v>4</v>
      </c>
      <c r="AE348">
        <v>33</v>
      </c>
      <c r="AF348">
        <v>3</v>
      </c>
      <c r="AH348" t="s">
        <v>3766</v>
      </c>
      <c r="AI348" t="s">
        <v>3765</v>
      </c>
      <c r="AK348" t="s">
        <v>3764</v>
      </c>
      <c r="AL348">
        <v>193</v>
      </c>
      <c r="AM348" s="5">
        <f t="shared" si="42"/>
        <v>5.0789473684210522</v>
      </c>
      <c r="AN348" s="4">
        <f t="shared" si="47"/>
        <v>7.6924609896570273E-3</v>
      </c>
      <c r="AO348" s="3"/>
      <c r="AP348">
        <v>0</v>
      </c>
      <c r="AR348" t="s">
        <v>0</v>
      </c>
      <c r="AT348" s="2" t="s">
        <v>45</v>
      </c>
      <c r="AU348" s="1">
        <f t="shared" si="43"/>
        <v>2.7814265084756475</v>
      </c>
      <c r="AV348" s="1">
        <f t="shared" si="44"/>
        <v>2.206517820044235</v>
      </c>
      <c r="AW348" s="1">
        <f t="shared" si="45"/>
        <v>1.6316091316128218</v>
      </c>
    </row>
    <row r="349" spans="1:49" x14ac:dyDescent="0.2">
      <c r="A349">
        <v>347</v>
      </c>
      <c r="B349" t="s">
        <v>3763</v>
      </c>
      <c r="C349" t="s">
        <v>3762</v>
      </c>
      <c r="F349" t="s">
        <v>3761</v>
      </c>
      <c r="G349" t="s">
        <v>13</v>
      </c>
      <c r="H349" t="s">
        <v>12</v>
      </c>
      <c r="I349" t="s">
        <v>3760</v>
      </c>
      <c r="N349">
        <v>1</v>
      </c>
      <c r="O349" t="s">
        <v>3759</v>
      </c>
      <c r="P349">
        <v>6701623000</v>
      </c>
      <c r="R349" s="7">
        <v>30682</v>
      </c>
      <c r="S349" s="8">
        <f t="shared" si="40"/>
        <v>1984</v>
      </c>
      <c r="T349" s="8">
        <v>1984</v>
      </c>
      <c r="U349" s="8">
        <f t="shared" si="41"/>
        <v>38</v>
      </c>
      <c r="V349" s="7" t="s">
        <v>3576</v>
      </c>
      <c r="W349" s="11" t="s">
        <v>1146</v>
      </c>
      <c r="X349" s="2">
        <v>2.383</v>
      </c>
      <c r="Y349" s="6">
        <f t="shared" si="46"/>
        <v>6.3612824003630442E-2</v>
      </c>
      <c r="AA349">
        <v>1437097</v>
      </c>
      <c r="AB349">
        <v>101236</v>
      </c>
      <c r="AD349" t="s">
        <v>4</v>
      </c>
      <c r="AE349">
        <v>131</v>
      </c>
      <c r="AF349">
        <v>4</v>
      </c>
      <c r="AH349" t="s">
        <v>3758</v>
      </c>
      <c r="AI349" t="s">
        <v>3757</v>
      </c>
      <c r="AK349" t="s">
        <v>3756</v>
      </c>
      <c r="AL349">
        <v>133</v>
      </c>
      <c r="AM349" s="5">
        <f t="shared" si="42"/>
        <v>3.5</v>
      </c>
      <c r="AN349" s="4">
        <f t="shared" si="47"/>
        <v>5.301022340022719E-3</v>
      </c>
      <c r="AO349" s="3"/>
      <c r="AP349">
        <v>0</v>
      </c>
      <c r="AR349" t="s">
        <v>0</v>
      </c>
      <c r="AT349" s="2" t="s">
        <v>45</v>
      </c>
      <c r="AU349" s="1">
        <f t="shared" si="43"/>
        <v>4.6119283504548125</v>
      </c>
      <c r="AV349" s="1">
        <f t="shared" si="44"/>
        <v>3.4456923171826581</v>
      </c>
      <c r="AW349" s="1">
        <f t="shared" si="45"/>
        <v>2.2794562839105037</v>
      </c>
    </row>
    <row r="350" spans="1:49" x14ac:dyDescent="0.2">
      <c r="A350">
        <v>348</v>
      </c>
      <c r="B350" t="s">
        <v>3755</v>
      </c>
      <c r="C350" t="s">
        <v>3754</v>
      </c>
      <c r="F350" t="s">
        <v>3753</v>
      </c>
      <c r="G350" t="s">
        <v>13</v>
      </c>
      <c r="H350" t="s">
        <v>12</v>
      </c>
      <c r="I350" t="s">
        <v>3752</v>
      </c>
      <c r="J350">
        <v>60027550</v>
      </c>
      <c r="K350" t="s">
        <v>3751</v>
      </c>
      <c r="L350" t="s">
        <v>1965</v>
      </c>
      <c r="M350" t="s">
        <v>56</v>
      </c>
      <c r="N350">
        <v>2</v>
      </c>
      <c r="O350" t="s">
        <v>3750</v>
      </c>
      <c r="P350" t="s">
        <v>3749</v>
      </c>
      <c r="Q350" t="s">
        <v>3748</v>
      </c>
      <c r="R350" s="7">
        <v>30682</v>
      </c>
      <c r="S350" s="8">
        <f t="shared" si="40"/>
        <v>1984</v>
      </c>
      <c r="T350" s="8">
        <v>1984</v>
      </c>
      <c r="U350" s="8">
        <f t="shared" si="41"/>
        <v>38</v>
      </c>
      <c r="V350" s="7">
        <v>30895</v>
      </c>
      <c r="W350" t="s">
        <v>380</v>
      </c>
      <c r="X350" s="2">
        <v>1.6519999999999999</v>
      </c>
      <c r="Y350" s="6">
        <f t="shared" si="46"/>
        <v>4.409919649769093E-2</v>
      </c>
      <c r="AA350" t="s">
        <v>379</v>
      </c>
      <c r="AB350">
        <v>17337</v>
      </c>
      <c r="AC350">
        <v>15582221</v>
      </c>
      <c r="AD350" t="s">
        <v>4</v>
      </c>
      <c r="AE350">
        <v>32</v>
      </c>
      <c r="AF350">
        <v>8</v>
      </c>
      <c r="AH350" t="s">
        <v>3747</v>
      </c>
      <c r="AI350" t="s">
        <v>3746</v>
      </c>
      <c r="AK350" t="s">
        <v>3745</v>
      </c>
      <c r="AL350">
        <v>337</v>
      </c>
      <c r="AM350" s="5">
        <f t="shared" si="42"/>
        <v>8.8684210526315788</v>
      </c>
      <c r="AN350" s="4">
        <f t="shared" si="47"/>
        <v>1.343191374877937E-2</v>
      </c>
      <c r="AO350" s="3"/>
      <c r="AP350">
        <v>0</v>
      </c>
      <c r="AR350" t="s">
        <v>0</v>
      </c>
      <c r="AT350" s="2" t="s">
        <v>45</v>
      </c>
      <c r="AU350" s="1">
        <f t="shared" si="43"/>
        <v>3.4899011673017464</v>
      </c>
      <c r="AV350" s="1">
        <f t="shared" si="44"/>
        <v>2.8765555123235149</v>
      </c>
      <c r="AW350" s="1">
        <f t="shared" si="45"/>
        <v>2.2632098573452839</v>
      </c>
    </row>
    <row r="351" spans="1:49" x14ac:dyDescent="0.2">
      <c r="A351">
        <v>349</v>
      </c>
      <c r="B351" t="s">
        <v>3744</v>
      </c>
      <c r="C351" t="s">
        <v>3743</v>
      </c>
      <c r="F351" t="s">
        <v>3742</v>
      </c>
      <c r="G351" t="s">
        <v>13</v>
      </c>
      <c r="H351" t="s">
        <v>12</v>
      </c>
      <c r="I351" t="s">
        <v>3741</v>
      </c>
      <c r="J351" t="s">
        <v>3740</v>
      </c>
      <c r="K351" t="s">
        <v>3739</v>
      </c>
      <c r="L351" t="s">
        <v>3738</v>
      </c>
      <c r="M351" t="s">
        <v>3737</v>
      </c>
      <c r="N351">
        <v>5</v>
      </c>
      <c r="O351" t="s">
        <v>3736</v>
      </c>
      <c r="P351" t="s">
        <v>3735</v>
      </c>
      <c r="Q351" t="s">
        <v>3734</v>
      </c>
      <c r="R351" s="7">
        <v>30682</v>
      </c>
      <c r="S351" s="8">
        <f t="shared" si="40"/>
        <v>1984</v>
      </c>
      <c r="T351" s="8">
        <v>1984</v>
      </c>
      <c r="U351" s="8">
        <f t="shared" si="41"/>
        <v>38</v>
      </c>
      <c r="V351" s="7">
        <v>30895</v>
      </c>
      <c r="W351" t="s">
        <v>380</v>
      </c>
      <c r="X351" s="2">
        <v>1.6519999999999999</v>
      </c>
      <c r="Y351" s="6">
        <f t="shared" si="46"/>
        <v>4.409919649769093E-2</v>
      </c>
      <c r="AA351" t="s">
        <v>379</v>
      </c>
      <c r="AB351">
        <v>17337</v>
      </c>
      <c r="AC351">
        <v>15582221</v>
      </c>
      <c r="AD351" t="s">
        <v>4</v>
      </c>
      <c r="AE351">
        <v>32</v>
      </c>
      <c r="AF351">
        <v>8</v>
      </c>
      <c r="AH351" t="s">
        <v>3733</v>
      </c>
      <c r="AI351" t="s">
        <v>3732</v>
      </c>
      <c r="AK351" t="s">
        <v>3731</v>
      </c>
      <c r="AL351">
        <v>39</v>
      </c>
      <c r="AM351" s="5">
        <f t="shared" si="42"/>
        <v>1.0263157894736843</v>
      </c>
      <c r="AN351" s="4">
        <f t="shared" si="47"/>
        <v>1.554435122262301E-3</v>
      </c>
      <c r="AO351" s="3"/>
      <c r="AP351">
        <v>0</v>
      </c>
      <c r="AR351" t="s">
        <v>0</v>
      </c>
      <c r="AT351" s="2" t="s">
        <v>45</v>
      </c>
      <c r="AU351" s="1">
        <f t="shared" si="43"/>
        <v>3.1335768085062341</v>
      </c>
      <c r="AV351" s="1">
        <f t="shared" si="44"/>
        <v>2.2826815809976617</v>
      </c>
      <c r="AW351" s="1">
        <f t="shared" si="45"/>
        <v>1.4317863534890889</v>
      </c>
    </row>
    <row r="352" spans="1:49" x14ac:dyDescent="0.2">
      <c r="A352">
        <v>350</v>
      </c>
      <c r="B352" t="s">
        <v>3730</v>
      </c>
      <c r="C352" t="s">
        <v>3729</v>
      </c>
      <c r="F352" t="s">
        <v>3728</v>
      </c>
      <c r="G352" t="s">
        <v>13</v>
      </c>
      <c r="H352" t="s">
        <v>12</v>
      </c>
      <c r="I352" t="s">
        <v>3727</v>
      </c>
      <c r="J352">
        <v>60103653</v>
      </c>
      <c r="K352" t="s">
        <v>1282</v>
      </c>
      <c r="L352" t="s">
        <v>1281</v>
      </c>
      <c r="M352" t="s">
        <v>1280</v>
      </c>
      <c r="N352">
        <v>2</v>
      </c>
      <c r="O352" t="s">
        <v>1279</v>
      </c>
      <c r="P352" t="s">
        <v>1278</v>
      </c>
      <c r="Q352" t="s">
        <v>1277</v>
      </c>
      <c r="R352" s="7">
        <v>30682</v>
      </c>
      <c r="S352" s="8">
        <f t="shared" si="40"/>
        <v>1984</v>
      </c>
      <c r="T352" s="8">
        <v>1984</v>
      </c>
      <c r="U352" s="8">
        <f t="shared" si="41"/>
        <v>38</v>
      </c>
      <c r="V352" s="7">
        <v>30895</v>
      </c>
      <c r="W352" t="s">
        <v>380</v>
      </c>
      <c r="X352" s="2">
        <v>1.6519999999999999</v>
      </c>
      <c r="Y352" s="6">
        <f t="shared" si="46"/>
        <v>4.409919649769093E-2</v>
      </c>
      <c r="AA352" t="s">
        <v>379</v>
      </c>
      <c r="AB352">
        <v>17337</v>
      </c>
      <c r="AC352">
        <v>15582221</v>
      </c>
      <c r="AD352" t="s">
        <v>4</v>
      </c>
      <c r="AE352">
        <v>32</v>
      </c>
      <c r="AF352">
        <v>8</v>
      </c>
      <c r="AH352" t="s">
        <v>3726</v>
      </c>
      <c r="AI352" t="s">
        <v>3725</v>
      </c>
      <c r="AK352" t="s">
        <v>3724</v>
      </c>
      <c r="AL352">
        <v>73</v>
      </c>
      <c r="AM352" s="5">
        <f t="shared" si="42"/>
        <v>1.9210526315789473</v>
      </c>
      <c r="AN352" s="4">
        <f t="shared" si="47"/>
        <v>2.9095836903884095E-3</v>
      </c>
      <c r="AO352" s="3"/>
      <c r="AP352">
        <v>0</v>
      </c>
      <c r="AR352" t="s">
        <v>0</v>
      </c>
      <c r="AT352" s="2" t="s">
        <v>45</v>
      </c>
      <c r="AU352" s="1">
        <f t="shared" si="43"/>
        <v>3.1742312655500178</v>
      </c>
      <c r="AV352" s="1">
        <f t="shared" si="44"/>
        <v>2.3504390094039667</v>
      </c>
      <c r="AW352" s="1">
        <f t="shared" si="45"/>
        <v>1.5266467532579164</v>
      </c>
    </row>
    <row r="353" spans="1:49" x14ac:dyDescent="0.2">
      <c r="A353">
        <v>351</v>
      </c>
      <c r="B353" t="s">
        <v>3723</v>
      </c>
      <c r="C353" t="s">
        <v>3722</v>
      </c>
      <c r="F353" t="s">
        <v>3721</v>
      </c>
      <c r="G353" t="s">
        <v>13</v>
      </c>
      <c r="H353" t="s">
        <v>12</v>
      </c>
      <c r="I353" t="s">
        <v>646</v>
      </c>
      <c r="J353">
        <v>60030526</v>
      </c>
      <c r="K353" t="s">
        <v>645</v>
      </c>
      <c r="L353" t="s">
        <v>644</v>
      </c>
      <c r="M353" t="s">
        <v>643</v>
      </c>
      <c r="N353">
        <v>3</v>
      </c>
      <c r="O353" t="s">
        <v>3720</v>
      </c>
      <c r="P353" t="s">
        <v>3719</v>
      </c>
      <c r="Q353" t="s">
        <v>640</v>
      </c>
      <c r="R353" s="7">
        <v>30682</v>
      </c>
      <c r="S353" s="8">
        <f t="shared" si="40"/>
        <v>1984</v>
      </c>
      <c r="T353" s="8">
        <v>1984</v>
      </c>
      <c r="U353" s="8">
        <f t="shared" si="41"/>
        <v>38</v>
      </c>
      <c r="V353" s="7">
        <v>30895</v>
      </c>
      <c r="W353" t="s">
        <v>380</v>
      </c>
      <c r="X353" s="2">
        <v>1.6519999999999999</v>
      </c>
      <c r="Y353" s="6">
        <f t="shared" si="46"/>
        <v>4.409919649769093E-2</v>
      </c>
      <c r="AA353" t="s">
        <v>379</v>
      </c>
      <c r="AB353">
        <v>17337</v>
      </c>
      <c r="AC353">
        <v>15582221</v>
      </c>
      <c r="AD353" t="s">
        <v>4</v>
      </c>
      <c r="AE353">
        <v>32</v>
      </c>
      <c r="AF353">
        <v>8</v>
      </c>
      <c r="AH353" t="s">
        <v>3718</v>
      </c>
      <c r="AI353" t="s">
        <v>3717</v>
      </c>
      <c r="AK353" t="s">
        <v>3716</v>
      </c>
      <c r="AL353">
        <v>10</v>
      </c>
      <c r="AM353" s="5">
        <f t="shared" si="42"/>
        <v>0.26315789473684209</v>
      </c>
      <c r="AN353" s="4">
        <f t="shared" si="47"/>
        <v>3.9857310827238487E-4</v>
      </c>
      <c r="AO353" s="3"/>
      <c r="AP353">
        <v>0</v>
      </c>
      <c r="AR353" t="s">
        <v>0</v>
      </c>
      <c r="AT353" s="2" t="s">
        <v>45</v>
      </c>
      <c r="AU353" s="1">
        <f t="shared" si="43"/>
        <v>3.0989009480865368</v>
      </c>
      <c r="AV353" s="1">
        <f t="shared" si="44"/>
        <v>2.2248884802981657</v>
      </c>
      <c r="AW353" s="1">
        <f t="shared" si="45"/>
        <v>1.3508760125097947</v>
      </c>
    </row>
    <row r="354" spans="1:49" x14ac:dyDescent="0.2">
      <c r="A354">
        <v>352</v>
      </c>
      <c r="B354" t="s">
        <v>3715</v>
      </c>
      <c r="C354" t="s">
        <v>3714</v>
      </c>
      <c r="F354" t="s">
        <v>3713</v>
      </c>
      <c r="G354" t="s">
        <v>13</v>
      </c>
      <c r="H354" t="s">
        <v>12</v>
      </c>
      <c r="I354" t="s">
        <v>3712</v>
      </c>
      <c r="J354" t="s">
        <v>3711</v>
      </c>
      <c r="K354" t="s">
        <v>3710</v>
      </c>
      <c r="L354" t="s">
        <v>3709</v>
      </c>
      <c r="M354" t="s">
        <v>3708</v>
      </c>
      <c r="N354">
        <v>3</v>
      </c>
      <c r="O354" t="s">
        <v>3707</v>
      </c>
      <c r="P354" t="s">
        <v>3706</v>
      </c>
      <c r="Q354" t="s">
        <v>3705</v>
      </c>
      <c r="R354" s="7">
        <v>30682</v>
      </c>
      <c r="S354" s="8">
        <f t="shared" si="40"/>
        <v>1984</v>
      </c>
      <c r="T354" s="8">
        <v>1984</v>
      </c>
      <c r="U354" s="8">
        <f t="shared" si="41"/>
        <v>38</v>
      </c>
      <c r="V354" s="7">
        <v>30895</v>
      </c>
      <c r="W354" t="s">
        <v>380</v>
      </c>
      <c r="X354" s="2">
        <v>1.6519999999999999</v>
      </c>
      <c r="Y354" s="6">
        <f t="shared" si="46"/>
        <v>4.409919649769093E-2</v>
      </c>
      <c r="AA354" t="s">
        <v>379</v>
      </c>
      <c r="AB354">
        <v>17337</v>
      </c>
      <c r="AC354">
        <v>15582221</v>
      </c>
      <c r="AD354" t="s">
        <v>4</v>
      </c>
      <c r="AE354">
        <v>32</v>
      </c>
      <c r="AF354">
        <v>8</v>
      </c>
      <c r="AH354" t="s">
        <v>3704</v>
      </c>
      <c r="AI354" t="s">
        <v>3703</v>
      </c>
      <c r="AK354" t="s">
        <v>3702</v>
      </c>
      <c r="AL354">
        <v>3</v>
      </c>
      <c r="AM354" s="5">
        <f t="shared" si="42"/>
        <v>7.8947368421052627E-2</v>
      </c>
      <c r="AN354" s="4">
        <f t="shared" si="47"/>
        <v>1.1957193248171546E-4</v>
      </c>
      <c r="AO354" s="3"/>
      <c r="AP354">
        <v>0</v>
      </c>
      <c r="AR354" t="s">
        <v>0</v>
      </c>
      <c r="AT354" s="2" t="s">
        <v>45</v>
      </c>
      <c r="AU354" s="1">
        <f t="shared" si="43"/>
        <v>3.0905309128128167</v>
      </c>
      <c r="AV354" s="1">
        <f t="shared" si="44"/>
        <v>2.2109384215086325</v>
      </c>
      <c r="AW354" s="1">
        <f t="shared" si="45"/>
        <v>1.3313459302044479</v>
      </c>
    </row>
    <row r="355" spans="1:49" x14ac:dyDescent="0.2">
      <c r="A355">
        <v>353</v>
      </c>
      <c r="B355" t="s">
        <v>3701</v>
      </c>
      <c r="C355" t="s">
        <v>3700</v>
      </c>
      <c r="F355" t="s">
        <v>3535</v>
      </c>
      <c r="G355" t="s">
        <v>13</v>
      </c>
      <c r="H355" t="s">
        <v>12</v>
      </c>
      <c r="I355" t="s">
        <v>3534</v>
      </c>
      <c r="J355" t="s">
        <v>3529</v>
      </c>
      <c r="K355" t="s">
        <v>3533</v>
      </c>
      <c r="L355" t="s">
        <v>3532</v>
      </c>
      <c r="M355" t="s">
        <v>206</v>
      </c>
      <c r="N355">
        <v>2</v>
      </c>
      <c r="O355" t="s">
        <v>3531</v>
      </c>
      <c r="P355" t="s">
        <v>3530</v>
      </c>
      <c r="Q355" t="s">
        <v>3529</v>
      </c>
      <c r="R355" s="7">
        <v>30682</v>
      </c>
      <c r="S355" s="8">
        <f t="shared" si="40"/>
        <v>1984</v>
      </c>
      <c r="T355" s="8">
        <v>1984</v>
      </c>
      <c r="U355" s="8">
        <f t="shared" si="41"/>
        <v>38</v>
      </c>
      <c r="V355" s="7">
        <v>30895</v>
      </c>
      <c r="W355" t="s">
        <v>2380</v>
      </c>
      <c r="X355" s="2">
        <v>1.365</v>
      </c>
      <c r="Y355" s="6">
        <f t="shared" si="46"/>
        <v>3.6437895411227675E-2</v>
      </c>
      <c r="AA355">
        <v>189545</v>
      </c>
      <c r="AB355">
        <v>17393</v>
      </c>
      <c r="AC355">
        <v>19399359</v>
      </c>
      <c r="AD355" t="s">
        <v>4</v>
      </c>
      <c r="AE355">
        <v>33</v>
      </c>
      <c r="AF355">
        <v>3</v>
      </c>
      <c r="AH355" t="s">
        <v>3699</v>
      </c>
      <c r="AI355" t="s">
        <v>3698</v>
      </c>
      <c r="AK355" t="s">
        <v>3697</v>
      </c>
      <c r="AL355">
        <v>1</v>
      </c>
      <c r="AM355" s="5">
        <f t="shared" si="42"/>
        <v>2.6315789473684209E-2</v>
      </c>
      <c r="AN355" s="4">
        <f t="shared" si="47"/>
        <v>3.9857310827238481E-5</v>
      </c>
      <c r="AO355" s="3"/>
      <c r="AP355">
        <v>0</v>
      </c>
      <c r="AR355" t="s">
        <v>0</v>
      </c>
      <c r="AT355" s="2" t="s">
        <v>45</v>
      </c>
      <c r="AU355" s="1">
        <f t="shared" si="43"/>
        <v>2.5518483981107543</v>
      </c>
      <c r="AV355" s="1">
        <f t="shared" si="44"/>
        <v>1.8238876361027456</v>
      </c>
      <c r="AW355" s="1">
        <f t="shared" si="45"/>
        <v>1.095926874094737</v>
      </c>
    </row>
    <row r="356" spans="1:49" x14ac:dyDescent="0.2">
      <c r="A356">
        <v>354</v>
      </c>
      <c r="B356" t="s">
        <v>3696</v>
      </c>
      <c r="C356" t="s">
        <v>3695</v>
      </c>
      <c r="F356" t="s">
        <v>3694</v>
      </c>
      <c r="G356" t="s">
        <v>13</v>
      </c>
      <c r="H356" t="s">
        <v>12</v>
      </c>
      <c r="I356" t="s">
        <v>3693</v>
      </c>
      <c r="J356" t="s">
        <v>3692</v>
      </c>
      <c r="K356" t="s">
        <v>3691</v>
      </c>
      <c r="L356" t="s">
        <v>3690</v>
      </c>
      <c r="M356" t="s">
        <v>2076</v>
      </c>
      <c r="N356">
        <v>4</v>
      </c>
      <c r="O356" t="s">
        <v>3689</v>
      </c>
      <c r="P356" t="s">
        <v>3688</v>
      </c>
      <c r="Q356" t="s">
        <v>3687</v>
      </c>
      <c r="R356" s="7">
        <v>30682</v>
      </c>
      <c r="S356" s="8">
        <f t="shared" si="40"/>
        <v>1984</v>
      </c>
      <c r="T356" s="8">
        <v>1984</v>
      </c>
      <c r="U356" s="8">
        <f t="shared" si="41"/>
        <v>38</v>
      </c>
      <c r="V356" s="7">
        <v>30895</v>
      </c>
      <c r="W356" t="s">
        <v>380</v>
      </c>
      <c r="X356" s="2">
        <v>1.6519999999999999</v>
      </c>
      <c r="Y356" s="6">
        <f t="shared" si="46"/>
        <v>4.409919649769093E-2</v>
      </c>
      <c r="AA356" t="s">
        <v>379</v>
      </c>
      <c r="AB356">
        <v>17337</v>
      </c>
      <c r="AC356">
        <v>15582221</v>
      </c>
      <c r="AD356" t="s">
        <v>4</v>
      </c>
      <c r="AE356">
        <v>32</v>
      </c>
      <c r="AF356">
        <v>8</v>
      </c>
      <c r="AH356" t="s">
        <v>3686</v>
      </c>
      <c r="AI356" t="s">
        <v>3685</v>
      </c>
      <c r="AK356" t="s">
        <v>3684</v>
      </c>
      <c r="AL356">
        <v>211</v>
      </c>
      <c r="AM356" s="5">
        <f t="shared" si="42"/>
        <v>5.5526315789473681</v>
      </c>
      <c r="AN356" s="4">
        <f t="shared" si="47"/>
        <v>8.4098925845473207E-3</v>
      </c>
      <c r="AO356" s="3"/>
      <c r="AP356">
        <v>0</v>
      </c>
      <c r="AR356" t="s">
        <v>0</v>
      </c>
      <c r="AT356" s="2" t="s">
        <v>45</v>
      </c>
      <c r="AU356" s="1">
        <f t="shared" si="43"/>
        <v>3.3392405323747849</v>
      </c>
      <c r="AV356" s="1">
        <f t="shared" si="44"/>
        <v>2.6254544541119125</v>
      </c>
      <c r="AW356" s="1">
        <f t="shared" si="45"/>
        <v>1.91166837584904</v>
      </c>
    </row>
    <row r="357" spans="1:49" x14ac:dyDescent="0.2">
      <c r="A357">
        <v>355</v>
      </c>
      <c r="B357" t="s">
        <v>3683</v>
      </c>
      <c r="C357" t="s">
        <v>3682</v>
      </c>
      <c r="F357" t="s">
        <v>3681</v>
      </c>
      <c r="G357" t="s">
        <v>13</v>
      </c>
      <c r="H357" t="s">
        <v>12</v>
      </c>
      <c r="I357" t="s">
        <v>3680</v>
      </c>
      <c r="J357">
        <v>60109706</v>
      </c>
      <c r="K357" t="s">
        <v>3679</v>
      </c>
      <c r="L357" t="s">
        <v>3678</v>
      </c>
      <c r="M357" t="s">
        <v>643</v>
      </c>
      <c r="N357">
        <v>2</v>
      </c>
      <c r="O357" t="s">
        <v>3677</v>
      </c>
      <c r="P357" t="s">
        <v>3676</v>
      </c>
      <c r="Q357" t="s">
        <v>3675</v>
      </c>
      <c r="R357" s="7">
        <v>30682</v>
      </c>
      <c r="S357" s="8">
        <f t="shared" si="40"/>
        <v>1984</v>
      </c>
      <c r="T357" s="8">
        <v>1984</v>
      </c>
      <c r="U357" s="8">
        <f t="shared" si="41"/>
        <v>38</v>
      </c>
      <c r="V357" s="7">
        <v>30895</v>
      </c>
      <c r="W357" t="s">
        <v>2072</v>
      </c>
      <c r="X357" s="2">
        <v>0.371</v>
      </c>
      <c r="Y357" s="6">
        <f t="shared" si="46"/>
        <v>9.9036331117695747E-3</v>
      </c>
      <c r="AA357">
        <v>214922</v>
      </c>
      <c r="AB357">
        <v>130262</v>
      </c>
      <c r="AC357">
        <v>13474065</v>
      </c>
      <c r="AD357" t="s">
        <v>4</v>
      </c>
      <c r="AE357">
        <v>23</v>
      </c>
      <c r="AF357" t="s">
        <v>3674</v>
      </c>
      <c r="AH357" t="s">
        <v>3673</v>
      </c>
      <c r="AI357" t="s">
        <v>3672</v>
      </c>
      <c r="AK357" t="s">
        <v>3671</v>
      </c>
      <c r="AL357">
        <v>15</v>
      </c>
      <c r="AM357" s="5">
        <f t="shared" si="42"/>
        <v>0.39473684210526316</v>
      </c>
      <c r="AN357" s="4">
        <f t="shared" si="47"/>
        <v>5.9785966240857727E-4</v>
      </c>
      <c r="AO357" s="3"/>
      <c r="AP357">
        <v>0</v>
      </c>
      <c r="AR357" t="s">
        <v>0</v>
      </c>
      <c r="AT357" s="2">
        <v>1.48</v>
      </c>
      <c r="AU357" s="1">
        <f t="shared" si="43"/>
        <v>0.71119010769612756</v>
      </c>
      <c r="AV357" s="1">
        <f t="shared" si="44"/>
        <v>0.52507463870890758</v>
      </c>
      <c r="AW357" s="1">
        <f t="shared" si="45"/>
        <v>0.33895916972168766</v>
      </c>
    </row>
    <row r="358" spans="1:49" x14ac:dyDescent="0.2">
      <c r="A358">
        <v>356</v>
      </c>
      <c r="B358" t="s">
        <v>3670</v>
      </c>
      <c r="C358" t="s">
        <v>3669</v>
      </c>
      <c r="F358" t="s">
        <v>3668</v>
      </c>
      <c r="G358" t="s">
        <v>13</v>
      </c>
      <c r="H358" t="s">
        <v>12</v>
      </c>
      <c r="I358" t="s">
        <v>3667</v>
      </c>
      <c r="J358">
        <v>60026838</v>
      </c>
      <c r="K358" t="s">
        <v>3666</v>
      </c>
      <c r="L358" t="s">
        <v>3665</v>
      </c>
      <c r="M358" t="s">
        <v>142</v>
      </c>
      <c r="N358">
        <v>1</v>
      </c>
      <c r="O358" t="s">
        <v>3664</v>
      </c>
      <c r="P358">
        <v>55106411800</v>
      </c>
      <c r="Q358">
        <v>60026838</v>
      </c>
      <c r="R358" s="7">
        <v>30682</v>
      </c>
      <c r="S358" s="8">
        <f t="shared" si="40"/>
        <v>1984</v>
      </c>
      <c r="T358" s="8">
        <v>1984</v>
      </c>
      <c r="U358" s="8">
        <f t="shared" si="41"/>
        <v>38</v>
      </c>
      <c r="V358" s="7">
        <v>1984</v>
      </c>
      <c r="W358" t="s">
        <v>474</v>
      </c>
      <c r="X358" s="2">
        <v>1.1879999999999999</v>
      </c>
      <c r="Y358" s="6">
        <f t="shared" si="46"/>
        <v>3.1712981500760788E-2</v>
      </c>
      <c r="AA358">
        <v>10706631</v>
      </c>
      <c r="AB358">
        <v>29210</v>
      </c>
      <c r="AD358" t="s">
        <v>4</v>
      </c>
      <c r="AE358">
        <v>27</v>
      </c>
      <c r="AF358">
        <v>8</v>
      </c>
      <c r="AH358" t="s">
        <v>3663</v>
      </c>
      <c r="AI358" t="s">
        <v>3662</v>
      </c>
      <c r="AK358" t="s">
        <v>3661</v>
      </c>
      <c r="AL358">
        <v>6</v>
      </c>
      <c r="AM358" s="5">
        <f t="shared" si="42"/>
        <v>0.15789473684210525</v>
      </c>
      <c r="AN358" s="4">
        <f t="shared" si="47"/>
        <v>2.3914386496343091E-4</v>
      </c>
      <c r="AO358" s="3"/>
      <c r="AP358">
        <v>0</v>
      </c>
      <c r="AR358" t="s">
        <v>0</v>
      </c>
      <c r="AT358" s="2">
        <v>3.5209999999999999</v>
      </c>
      <c r="AU358" s="1">
        <f t="shared" si="43"/>
        <v>2.2270830210021577</v>
      </c>
      <c r="AV358" s="1">
        <f t="shared" si="44"/>
        <v>1.5976062682862109</v>
      </c>
      <c r="AW358" s="1">
        <f t="shared" si="45"/>
        <v>0.96812951557026383</v>
      </c>
    </row>
    <row r="359" spans="1:49" x14ac:dyDescent="0.2">
      <c r="A359">
        <v>357</v>
      </c>
      <c r="B359" t="s">
        <v>3660</v>
      </c>
      <c r="C359" t="s">
        <v>3659</v>
      </c>
      <c r="F359" t="s">
        <v>3658</v>
      </c>
      <c r="G359" t="s">
        <v>13</v>
      </c>
      <c r="H359" t="s">
        <v>12</v>
      </c>
      <c r="I359" t="s">
        <v>3657</v>
      </c>
      <c r="J359" t="s">
        <v>901</v>
      </c>
      <c r="K359" t="s">
        <v>900</v>
      </c>
      <c r="L359" t="s">
        <v>899</v>
      </c>
      <c r="M359" t="s">
        <v>898</v>
      </c>
      <c r="N359">
        <v>4</v>
      </c>
      <c r="O359" t="s">
        <v>3656</v>
      </c>
      <c r="P359" t="s">
        <v>3655</v>
      </c>
      <c r="Q359" t="s">
        <v>3654</v>
      </c>
      <c r="R359" s="7">
        <v>30682</v>
      </c>
      <c r="S359" s="8">
        <f t="shared" si="40"/>
        <v>1984</v>
      </c>
      <c r="T359" s="8">
        <v>1984</v>
      </c>
      <c r="U359" s="8">
        <f t="shared" si="41"/>
        <v>38</v>
      </c>
      <c r="V359" s="7">
        <v>30895</v>
      </c>
      <c r="W359" t="s">
        <v>2072</v>
      </c>
      <c r="X359" s="2">
        <v>0.371</v>
      </c>
      <c r="Y359" s="6">
        <f t="shared" si="46"/>
        <v>9.9036331117695747E-3</v>
      </c>
      <c r="AA359">
        <v>214922</v>
      </c>
      <c r="AB359">
        <v>130262</v>
      </c>
      <c r="AC359">
        <v>13474065</v>
      </c>
      <c r="AD359" t="s">
        <v>4</v>
      </c>
      <c r="AE359">
        <v>23</v>
      </c>
      <c r="AF359">
        <v>8</v>
      </c>
      <c r="AH359" t="s">
        <v>3653</v>
      </c>
      <c r="AI359" t="s">
        <v>3652</v>
      </c>
      <c r="AK359" t="s">
        <v>3651</v>
      </c>
      <c r="AL359">
        <v>7</v>
      </c>
      <c r="AM359" s="5">
        <f t="shared" si="42"/>
        <v>0.18421052631578946</v>
      </c>
      <c r="AN359" s="4">
        <f t="shared" si="47"/>
        <v>2.7900117579066937E-4</v>
      </c>
      <c r="AO359" s="3"/>
      <c r="AP359">
        <v>0</v>
      </c>
      <c r="AR359" t="s">
        <v>0</v>
      </c>
      <c r="AT359" s="2">
        <v>1.48</v>
      </c>
      <c r="AU359" s="1">
        <f t="shared" si="43"/>
        <v>0.70162435309759019</v>
      </c>
      <c r="AV359" s="1">
        <f t="shared" si="44"/>
        <v>0.50913171437801219</v>
      </c>
      <c r="AW359" s="1">
        <f t="shared" si="45"/>
        <v>0.31663907565843408</v>
      </c>
    </row>
    <row r="360" spans="1:49" x14ac:dyDescent="0.2">
      <c r="A360">
        <v>358</v>
      </c>
      <c r="B360" t="s">
        <v>3650</v>
      </c>
      <c r="C360" t="s">
        <v>3649</v>
      </c>
      <c r="F360" t="s">
        <v>3648</v>
      </c>
      <c r="G360" t="s">
        <v>13</v>
      </c>
      <c r="H360" t="s">
        <v>12</v>
      </c>
      <c r="I360" t="s">
        <v>3647</v>
      </c>
      <c r="J360">
        <v>60020547</v>
      </c>
      <c r="K360" t="s">
        <v>3646</v>
      </c>
      <c r="L360" t="s">
        <v>3645</v>
      </c>
      <c r="M360" t="s">
        <v>56</v>
      </c>
      <c r="N360">
        <v>1</v>
      </c>
      <c r="O360" t="s">
        <v>3644</v>
      </c>
      <c r="P360">
        <v>7003263401</v>
      </c>
      <c r="Q360">
        <v>60020547</v>
      </c>
      <c r="R360" s="7">
        <v>30682</v>
      </c>
      <c r="S360" s="8">
        <f t="shared" si="40"/>
        <v>1984</v>
      </c>
      <c r="T360" s="8">
        <v>1984</v>
      </c>
      <c r="U360" s="8">
        <f t="shared" si="41"/>
        <v>38</v>
      </c>
      <c r="V360" s="7">
        <v>30895</v>
      </c>
      <c r="W360" t="s">
        <v>380</v>
      </c>
      <c r="X360" s="2">
        <v>1.6519999999999999</v>
      </c>
      <c r="Y360" s="6">
        <f t="shared" si="46"/>
        <v>4.409919649769093E-2</v>
      </c>
      <c r="AA360" t="s">
        <v>379</v>
      </c>
      <c r="AB360">
        <v>17337</v>
      </c>
      <c r="AC360">
        <v>15582221</v>
      </c>
      <c r="AD360" t="s">
        <v>4</v>
      </c>
      <c r="AE360">
        <v>32</v>
      </c>
      <c r="AF360">
        <v>8</v>
      </c>
      <c r="AH360" t="s">
        <v>3643</v>
      </c>
      <c r="AI360" t="s">
        <v>3642</v>
      </c>
      <c r="AK360" t="s">
        <v>3641</v>
      </c>
      <c r="AL360">
        <v>2</v>
      </c>
      <c r="AM360" s="5">
        <f t="shared" si="42"/>
        <v>5.2631578947368418E-2</v>
      </c>
      <c r="AN360" s="4">
        <f t="shared" si="47"/>
        <v>7.9714621654476962E-5</v>
      </c>
      <c r="AO360" s="3"/>
      <c r="AP360">
        <v>0</v>
      </c>
      <c r="AR360" t="s">
        <v>0</v>
      </c>
      <c r="AT360" s="2" t="s">
        <v>45</v>
      </c>
      <c r="AU360" s="1">
        <f t="shared" si="43"/>
        <v>3.0893351934879991</v>
      </c>
      <c r="AV360" s="1">
        <f t="shared" si="44"/>
        <v>2.2089455559672704</v>
      </c>
      <c r="AW360" s="1">
        <f t="shared" si="45"/>
        <v>1.3285559184465412</v>
      </c>
    </row>
    <row r="361" spans="1:49" x14ac:dyDescent="0.2">
      <c r="A361">
        <v>359</v>
      </c>
      <c r="B361" t="s">
        <v>3640</v>
      </c>
      <c r="C361" t="s">
        <v>3639</v>
      </c>
      <c r="F361" t="s">
        <v>3638</v>
      </c>
      <c r="G361" t="s">
        <v>13</v>
      </c>
      <c r="H361" t="s">
        <v>12</v>
      </c>
      <c r="I361" t="s">
        <v>677</v>
      </c>
      <c r="J361">
        <v>60025757</v>
      </c>
      <c r="K361" t="s">
        <v>676</v>
      </c>
      <c r="L361" t="s">
        <v>675</v>
      </c>
      <c r="M361" t="s">
        <v>125</v>
      </c>
      <c r="N361">
        <v>2</v>
      </c>
      <c r="O361" t="s">
        <v>3637</v>
      </c>
      <c r="P361" t="s">
        <v>3636</v>
      </c>
      <c r="Q361" t="s">
        <v>672</v>
      </c>
      <c r="R361" s="7">
        <v>30682</v>
      </c>
      <c r="S361" s="8">
        <f t="shared" si="40"/>
        <v>1984</v>
      </c>
      <c r="T361" s="8">
        <v>1984</v>
      </c>
      <c r="U361" s="8">
        <f t="shared" si="41"/>
        <v>38</v>
      </c>
      <c r="V361" s="7">
        <v>30895</v>
      </c>
      <c r="W361" t="s">
        <v>380</v>
      </c>
      <c r="X361" s="2">
        <v>1.6519999999999999</v>
      </c>
      <c r="Y361" s="6">
        <f t="shared" si="46"/>
        <v>4.409919649769093E-2</v>
      </c>
      <c r="AA361" t="s">
        <v>379</v>
      </c>
      <c r="AB361">
        <v>17337</v>
      </c>
      <c r="AC361">
        <v>15582221</v>
      </c>
      <c r="AD361" t="s">
        <v>4</v>
      </c>
      <c r="AE361">
        <v>32</v>
      </c>
      <c r="AF361">
        <v>8</v>
      </c>
      <c r="AH361" t="s">
        <v>3635</v>
      </c>
      <c r="AI361" t="s">
        <v>3634</v>
      </c>
      <c r="AK361" t="s">
        <v>3633</v>
      </c>
      <c r="AL361">
        <v>1</v>
      </c>
      <c r="AM361" s="5">
        <f t="shared" si="42"/>
        <v>2.6315789473684209E-2</v>
      </c>
      <c r="AN361" s="4">
        <f t="shared" si="47"/>
        <v>3.9857310827238481E-5</v>
      </c>
      <c r="AO361" s="3"/>
      <c r="AP361">
        <v>0</v>
      </c>
      <c r="AR361" t="s">
        <v>0</v>
      </c>
      <c r="AT361" s="2" t="s">
        <v>45</v>
      </c>
      <c r="AU361" s="1">
        <f t="shared" si="43"/>
        <v>3.088139474163182</v>
      </c>
      <c r="AV361" s="1">
        <f t="shared" si="44"/>
        <v>2.2069526904259082</v>
      </c>
      <c r="AW361" s="1">
        <f t="shared" si="45"/>
        <v>1.3257659066886345</v>
      </c>
    </row>
    <row r="362" spans="1:49" x14ac:dyDescent="0.2">
      <c r="A362">
        <v>360</v>
      </c>
      <c r="B362" t="s">
        <v>3632</v>
      </c>
      <c r="F362" t="s">
        <v>3631</v>
      </c>
      <c r="G362" t="s">
        <v>13</v>
      </c>
      <c r="H362" t="s">
        <v>12</v>
      </c>
      <c r="I362" t="s">
        <v>2516</v>
      </c>
      <c r="N362">
        <v>1</v>
      </c>
      <c r="O362" t="s">
        <v>2515</v>
      </c>
      <c r="P362">
        <v>1</v>
      </c>
      <c r="R362" s="7">
        <v>30682</v>
      </c>
      <c r="S362" s="8">
        <f t="shared" si="40"/>
        <v>1984</v>
      </c>
      <c r="T362" s="8">
        <v>1984</v>
      </c>
      <c r="U362" s="8">
        <f t="shared" si="41"/>
        <v>38</v>
      </c>
      <c r="V362" s="7" t="s">
        <v>3576</v>
      </c>
      <c r="W362" t="s">
        <v>3630</v>
      </c>
      <c r="X362" s="2" t="s">
        <v>45</v>
      </c>
      <c r="Y362" s="6" t="e">
        <f t="shared" si="46"/>
        <v>#VALUE!</v>
      </c>
      <c r="AA362">
        <v>105333</v>
      </c>
      <c r="AB362">
        <v>23931</v>
      </c>
      <c r="AD362" t="s">
        <v>4</v>
      </c>
      <c r="AE362">
        <v>29</v>
      </c>
      <c r="AF362">
        <v>8</v>
      </c>
      <c r="AH362" t="s">
        <v>3629</v>
      </c>
      <c r="AI362" t="s">
        <v>3628</v>
      </c>
      <c r="AK362" t="s">
        <v>3627</v>
      </c>
      <c r="AL362">
        <v>0</v>
      </c>
      <c r="AM362" s="5">
        <f t="shared" si="42"/>
        <v>0</v>
      </c>
      <c r="AN362" s="4">
        <f t="shared" si="47"/>
        <v>0</v>
      </c>
      <c r="AO362" s="3"/>
      <c r="AP362">
        <v>0</v>
      </c>
      <c r="AR362" t="s">
        <v>0</v>
      </c>
      <c r="AT362" s="2" t="s">
        <v>45</v>
      </c>
      <c r="AU362" s="1" t="e">
        <f t="shared" si="43"/>
        <v>#VALUE!</v>
      </c>
      <c r="AV362" s="1" t="e">
        <f t="shared" si="44"/>
        <v>#VALUE!</v>
      </c>
      <c r="AW362" s="1" t="e">
        <f t="shared" si="45"/>
        <v>#VALUE!</v>
      </c>
    </row>
    <row r="363" spans="1:49" x14ac:dyDescent="0.2">
      <c r="A363">
        <v>361</v>
      </c>
      <c r="B363" t="s">
        <v>3626</v>
      </c>
      <c r="C363" t="s">
        <v>3625</v>
      </c>
      <c r="F363" t="s">
        <v>3624</v>
      </c>
      <c r="G363" t="s">
        <v>13</v>
      </c>
      <c r="H363" t="s">
        <v>12</v>
      </c>
      <c r="I363" t="s">
        <v>3623</v>
      </c>
      <c r="J363">
        <v>60006448</v>
      </c>
      <c r="K363" t="s">
        <v>3622</v>
      </c>
      <c r="L363" t="s">
        <v>3621</v>
      </c>
      <c r="M363" t="s">
        <v>3620</v>
      </c>
      <c r="N363">
        <v>1</v>
      </c>
      <c r="O363" t="s">
        <v>3619</v>
      </c>
      <c r="P363">
        <v>6603932305</v>
      </c>
      <c r="Q363">
        <v>60006448</v>
      </c>
      <c r="R363" s="7">
        <v>30682</v>
      </c>
      <c r="S363" s="8">
        <f t="shared" si="40"/>
        <v>1984</v>
      </c>
      <c r="T363" s="8">
        <v>1984</v>
      </c>
      <c r="U363" s="8">
        <f t="shared" si="41"/>
        <v>38</v>
      </c>
      <c r="V363" s="7">
        <v>30895</v>
      </c>
      <c r="W363" t="s">
        <v>3618</v>
      </c>
      <c r="X363" s="2">
        <v>0.61899999999999999</v>
      </c>
      <c r="Y363" s="6">
        <f t="shared" si="46"/>
        <v>1.6523851472197752E-2</v>
      </c>
      <c r="AA363">
        <v>14966</v>
      </c>
      <c r="AB363">
        <v>12936</v>
      </c>
      <c r="AC363" t="s">
        <v>3617</v>
      </c>
      <c r="AD363" t="s">
        <v>4</v>
      </c>
      <c r="AE363">
        <v>76</v>
      </c>
      <c r="AF363">
        <v>2</v>
      </c>
      <c r="AH363" t="s">
        <v>3616</v>
      </c>
      <c r="AI363" t="s">
        <v>3615</v>
      </c>
      <c r="AK363" t="s">
        <v>3614</v>
      </c>
      <c r="AL363">
        <v>0</v>
      </c>
      <c r="AM363" s="5">
        <f t="shared" si="42"/>
        <v>0</v>
      </c>
      <c r="AN363" s="4">
        <f t="shared" si="47"/>
        <v>0</v>
      </c>
      <c r="AO363" s="3"/>
      <c r="AP363">
        <v>0</v>
      </c>
      <c r="AR363" t="s">
        <v>0</v>
      </c>
      <c r="AT363" s="2" t="s">
        <v>45</v>
      </c>
      <c r="AU363" s="1">
        <f t="shared" si="43"/>
        <v>1.1566696030538426</v>
      </c>
      <c r="AV363" s="1">
        <f t="shared" si="44"/>
        <v>0.82619257360988763</v>
      </c>
      <c r="AW363" s="1">
        <f t="shared" si="45"/>
        <v>0.49571554416593261</v>
      </c>
    </row>
    <row r="364" spans="1:49" x14ac:dyDescent="0.2">
      <c r="A364">
        <v>362</v>
      </c>
      <c r="B364" t="s">
        <v>3613</v>
      </c>
      <c r="C364" t="s">
        <v>3612</v>
      </c>
      <c r="F364" t="s">
        <v>3464</v>
      </c>
      <c r="G364" t="s">
        <v>13</v>
      </c>
      <c r="H364" t="s">
        <v>12</v>
      </c>
      <c r="I364" t="s">
        <v>3463</v>
      </c>
      <c r="J364" t="s">
        <v>3458</v>
      </c>
      <c r="K364" t="s">
        <v>3462</v>
      </c>
      <c r="L364" t="s">
        <v>3461</v>
      </c>
      <c r="M364" t="s">
        <v>72</v>
      </c>
      <c r="N364">
        <v>3</v>
      </c>
      <c r="O364" t="s">
        <v>3460</v>
      </c>
      <c r="P364" t="s">
        <v>3459</v>
      </c>
      <c r="Q364" t="s">
        <v>3458</v>
      </c>
      <c r="R364" s="7">
        <v>30682</v>
      </c>
      <c r="S364" s="8">
        <f t="shared" si="40"/>
        <v>1984</v>
      </c>
      <c r="T364" s="8">
        <v>1984</v>
      </c>
      <c r="U364" s="8">
        <f t="shared" si="41"/>
        <v>38</v>
      </c>
      <c r="V364" s="7">
        <v>30895</v>
      </c>
      <c r="W364" t="s">
        <v>2380</v>
      </c>
      <c r="X364" s="2">
        <v>1.365</v>
      </c>
      <c r="Y364" s="6">
        <f t="shared" si="46"/>
        <v>3.6437895411227675E-2</v>
      </c>
      <c r="AA364">
        <v>189545</v>
      </c>
      <c r="AB364">
        <v>17393</v>
      </c>
      <c r="AC364">
        <v>19399359</v>
      </c>
      <c r="AD364" t="s">
        <v>4</v>
      </c>
      <c r="AE364">
        <v>33</v>
      </c>
      <c r="AF364">
        <v>3</v>
      </c>
      <c r="AH364" t="s">
        <v>3611</v>
      </c>
      <c r="AI364" t="s">
        <v>3610</v>
      </c>
      <c r="AK364" t="s">
        <v>3609</v>
      </c>
      <c r="AL364">
        <v>8</v>
      </c>
      <c r="AM364" s="5">
        <f t="shared" si="42"/>
        <v>0.21052631578947367</v>
      </c>
      <c r="AN364" s="4">
        <f t="shared" si="47"/>
        <v>3.1885848661790785E-4</v>
      </c>
      <c r="AO364" s="3"/>
      <c r="AP364">
        <v>0</v>
      </c>
      <c r="AR364" t="s">
        <v>0</v>
      </c>
      <c r="AT364" s="2" t="s">
        <v>45</v>
      </c>
      <c r="AU364" s="1">
        <f t="shared" si="43"/>
        <v>2.5602184333844744</v>
      </c>
      <c r="AV364" s="1">
        <f t="shared" si="44"/>
        <v>1.8378376948922792</v>
      </c>
      <c r="AW364" s="1">
        <f t="shared" si="45"/>
        <v>1.1154569564000838</v>
      </c>
    </row>
    <row r="365" spans="1:49" x14ac:dyDescent="0.2">
      <c r="A365">
        <v>363</v>
      </c>
      <c r="B365" t="s">
        <v>3608</v>
      </c>
      <c r="C365" t="s">
        <v>3607</v>
      </c>
      <c r="F365" t="s">
        <v>3606</v>
      </c>
      <c r="G365" t="s">
        <v>13</v>
      </c>
      <c r="H365" t="s">
        <v>12</v>
      </c>
      <c r="I365" t="s">
        <v>3605</v>
      </c>
      <c r="N365">
        <v>2</v>
      </c>
      <c r="O365" t="s">
        <v>3604</v>
      </c>
      <c r="P365" t="s">
        <v>3603</v>
      </c>
      <c r="Q365" t="s">
        <v>266</v>
      </c>
      <c r="R365" s="7">
        <v>30682</v>
      </c>
      <c r="S365" s="8">
        <f t="shared" si="40"/>
        <v>1984</v>
      </c>
      <c r="T365" s="8">
        <v>1984</v>
      </c>
      <c r="U365" s="8">
        <f t="shared" si="41"/>
        <v>38</v>
      </c>
      <c r="V365" s="7" t="s">
        <v>3576</v>
      </c>
      <c r="W365" s="11" t="s">
        <v>1146</v>
      </c>
      <c r="X365" s="2">
        <v>2.383</v>
      </c>
      <c r="Y365" s="6">
        <f t="shared" si="46"/>
        <v>6.3612824003630442E-2</v>
      </c>
      <c r="AA365">
        <v>1437097</v>
      </c>
      <c r="AB365">
        <v>101236</v>
      </c>
      <c r="AD365" t="s">
        <v>4</v>
      </c>
      <c r="AE365">
        <v>131</v>
      </c>
      <c r="AF365">
        <v>4</v>
      </c>
      <c r="AH365" t="s">
        <v>874</v>
      </c>
      <c r="AI365" t="s">
        <v>3602</v>
      </c>
      <c r="AK365" t="s">
        <v>3601</v>
      </c>
      <c r="AL365">
        <v>4</v>
      </c>
      <c r="AM365" s="5">
        <f t="shared" si="42"/>
        <v>0.10526315789473684</v>
      </c>
      <c r="AN365" s="4">
        <f t="shared" si="47"/>
        <v>1.5942924330895392E-4</v>
      </c>
      <c r="AO365" s="3"/>
      <c r="AP365">
        <v>0</v>
      </c>
      <c r="AR365" t="s">
        <v>0</v>
      </c>
      <c r="AT365" s="2" t="s">
        <v>45</v>
      </c>
      <c r="AU365" s="1">
        <f t="shared" si="43"/>
        <v>4.4576805575533989</v>
      </c>
      <c r="AV365" s="1">
        <f t="shared" si="44"/>
        <v>3.1886126623469702</v>
      </c>
      <c r="AW365" s="1">
        <f t="shared" si="45"/>
        <v>1.9195447671405401</v>
      </c>
    </row>
    <row r="366" spans="1:49" x14ac:dyDescent="0.2">
      <c r="A366">
        <v>364</v>
      </c>
      <c r="B366" t="s">
        <v>3600</v>
      </c>
      <c r="C366" t="s">
        <v>3599</v>
      </c>
      <c r="F366" t="s">
        <v>3598</v>
      </c>
      <c r="G366" t="s">
        <v>13</v>
      </c>
      <c r="H366" t="s">
        <v>12</v>
      </c>
      <c r="I366" t="s">
        <v>3597</v>
      </c>
      <c r="N366">
        <v>2</v>
      </c>
      <c r="O366" t="s">
        <v>3596</v>
      </c>
      <c r="P366" t="s">
        <v>3595</v>
      </c>
      <c r="Q366" t="s">
        <v>266</v>
      </c>
      <c r="R366" s="7">
        <v>30682</v>
      </c>
      <c r="S366" s="8">
        <f t="shared" si="40"/>
        <v>1984</v>
      </c>
      <c r="T366" s="8">
        <v>1984</v>
      </c>
      <c r="U366" s="8">
        <f t="shared" si="41"/>
        <v>38</v>
      </c>
      <c r="V366" s="7" t="s">
        <v>3576</v>
      </c>
      <c r="W366" s="11" t="s">
        <v>1146</v>
      </c>
      <c r="X366" s="2">
        <v>2.383</v>
      </c>
      <c r="Y366" s="6">
        <f t="shared" si="46"/>
        <v>6.3612824003630442E-2</v>
      </c>
      <c r="AA366">
        <v>1437097</v>
      </c>
      <c r="AB366">
        <v>101236</v>
      </c>
      <c r="AD366" t="s">
        <v>4</v>
      </c>
      <c r="AE366">
        <v>131</v>
      </c>
      <c r="AF366">
        <v>4</v>
      </c>
      <c r="AH366" t="s">
        <v>3594</v>
      </c>
      <c r="AI366" t="s">
        <v>3593</v>
      </c>
      <c r="AK366" t="s">
        <v>3592</v>
      </c>
      <c r="AL366">
        <v>10</v>
      </c>
      <c r="AM366" s="5">
        <f t="shared" si="42"/>
        <v>0.26315789473684209</v>
      </c>
      <c r="AN366" s="4">
        <f t="shared" si="47"/>
        <v>3.9857310827238487E-4</v>
      </c>
      <c r="AO366" s="3"/>
      <c r="AP366">
        <v>0</v>
      </c>
      <c r="AR366" t="s">
        <v>0</v>
      </c>
      <c r="AT366" s="2" t="s">
        <v>45</v>
      </c>
      <c r="AU366" s="1">
        <f t="shared" si="43"/>
        <v>4.4648548735023024</v>
      </c>
      <c r="AV366" s="1">
        <f t="shared" si="44"/>
        <v>3.2005698555951416</v>
      </c>
      <c r="AW366" s="1">
        <f t="shared" si="45"/>
        <v>1.93628483768798</v>
      </c>
    </row>
    <row r="367" spans="1:49" x14ac:dyDescent="0.2">
      <c r="A367">
        <v>365</v>
      </c>
      <c r="B367" t="s">
        <v>3591</v>
      </c>
      <c r="C367" t="s">
        <v>3590</v>
      </c>
      <c r="F367" t="s">
        <v>3589</v>
      </c>
      <c r="G367" t="s">
        <v>13</v>
      </c>
      <c r="H367" t="s">
        <v>12</v>
      </c>
      <c r="I367" t="s">
        <v>3588</v>
      </c>
      <c r="J367">
        <v>60023053</v>
      </c>
      <c r="K367" t="s">
        <v>2441</v>
      </c>
      <c r="L367" t="s">
        <v>2440</v>
      </c>
      <c r="M367" t="s">
        <v>56</v>
      </c>
      <c r="N367">
        <v>1</v>
      </c>
      <c r="O367" t="s">
        <v>3587</v>
      </c>
      <c r="P367">
        <v>35578175900</v>
      </c>
      <c r="Q367">
        <v>60023053</v>
      </c>
      <c r="R367" s="7">
        <v>30682</v>
      </c>
      <c r="S367" s="8">
        <f t="shared" si="40"/>
        <v>1984</v>
      </c>
      <c r="T367" s="8">
        <v>1984</v>
      </c>
      <c r="U367" s="8">
        <f t="shared" si="41"/>
        <v>38</v>
      </c>
      <c r="V367" s="7">
        <v>30895</v>
      </c>
      <c r="W367" t="s">
        <v>2312</v>
      </c>
      <c r="X367" s="2">
        <v>0.65500000000000003</v>
      </c>
      <c r="Y367" s="6">
        <f t="shared" si="46"/>
        <v>1.7484850911614749E-2</v>
      </c>
      <c r="AA367">
        <v>189375</v>
      </c>
      <c r="AB367">
        <v>26051</v>
      </c>
      <c r="AC367" t="s">
        <v>2311</v>
      </c>
      <c r="AD367" t="s">
        <v>4</v>
      </c>
      <c r="AE367" t="s">
        <v>2310</v>
      </c>
      <c r="AF367">
        <v>3</v>
      </c>
      <c r="AH367" t="s">
        <v>3586</v>
      </c>
      <c r="AI367" t="s">
        <v>3585</v>
      </c>
      <c r="AJ367" t="s">
        <v>3584</v>
      </c>
      <c r="AK367" t="s">
        <v>3583</v>
      </c>
      <c r="AL367">
        <v>96</v>
      </c>
      <c r="AM367" s="5">
        <f t="shared" si="42"/>
        <v>2.5263157894736841</v>
      </c>
      <c r="AN367" s="4">
        <f t="shared" si="47"/>
        <v>3.8263018394148946E-3</v>
      </c>
      <c r="AO367" s="3"/>
      <c r="AP367">
        <v>0</v>
      </c>
      <c r="AR367" t="s">
        <v>0</v>
      </c>
      <c r="AT367" s="2" t="s">
        <v>45</v>
      </c>
      <c r="AU367" s="1">
        <f t="shared" si="43"/>
        <v>1.3387286189954792</v>
      </c>
      <c r="AV367" s="1">
        <f t="shared" si="44"/>
        <v>1.0655576375514821</v>
      </c>
      <c r="AW367" s="1">
        <f t="shared" si="45"/>
        <v>0.79238665610748515</v>
      </c>
    </row>
    <row r="368" spans="1:49" x14ac:dyDescent="0.2">
      <c r="A368">
        <v>366</v>
      </c>
      <c r="B368" t="s">
        <v>3582</v>
      </c>
      <c r="C368" t="s">
        <v>3581</v>
      </c>
      <c r="F368" t="s">
        <v>3580</v>
      </c>
      <c r="G368" t="s">
        <v>13</v>
      </c>
      <c r="H368" t="s">
        <v>12</v>
      </c>
      <c r="I368" t="s">
        <v>3579</v>
      </c>
      <c r="J368">
        <v>60028556</v>
      </c>
      <c r="K368" t="s">
        <v>3578</v>
      </c>
      <c r="L368" t="s">
        <v>245</v>
      </c>
      <c r="M368" t="s">
        <v>167</v>
      </c>
      <c r="N368">
        <v>1</v>
      </c>
      <c r="O368" t="s">
        <v>3577</v>
      </c>
      <c r="P368">
        <v>7103123725</v>
      </c>
      <c r="Q368">
        <v>60028556</v>
      </c>
      <c r="R368" s="7">
        <v>30682</v>
      </c>
      <c r="S368" s="8">
        <f t="shared" ref="S368:S431" si="48">YEAR(R368)</f>
        <v>1984</v>
      </c>
      <c r="T368" s="8">
        <v>1984</v>
      </c>
      <c r="U368" s="8">
        <f t="shared" ref="U368:U431" si="49">2022-T368</f>
        <v>38</v>
      </c>
      <c r="V368" s="7" t="s">
        <v>3576</v>
      </c>
      <c r="W368" t="s">
        <v>3575</v>
      </c>
      <c r="X368" s="2">
        <v>1.1779999999999999</v>
      </c>
      <c r="Y368" s="6">
        <f t="shared" si="46"/>
        <v>3.1446037212033845E-2</v>
      </c>
      <c r="AA368">
        <v>168033</v>
      </c>
      <c r="AB368">
        <v>27965</v>
      </c>
      <c r="AD368" t="s">
        <v>4</v>
      </c>
      <c r="AE368">
        <v>49</v>
      </c>
      <c r="AF368">
        <v>8</v>
      </c>
      <c r="AH368" t="s">
        <v>3574</v>
      </c>
      <c r="AI368" t="s">
        <v>3573</v>
      </c>
      <c r="AK368" t="s">
        <v>3572</v>
      </c>
      <c r="AL368">
        <v>3</v>
      </c>
      <c r="AM368" s="5">
        <f t="shared" ref="AM368:AM431" si="50">AL368/U368</f>
        <v>7.8947368421052627E-2</v>
      </c>
      <c r="AN368" s="4">
        <f t="shared" si="47"/>
        <v>1.1957193248171546E-4</v>
      </c>
      <c r="AO368" s="3"/>
      <c r="AP368">
        <v>0</v>
      </c>
      <c r="AR368" t="s">
        <v>0</v>
      </c>
      <c r="AT368" s="2">
        <v>2.9279999999999999</v>
      </c>
      <c r="AU368" s="1">
        <f t="shared" ref="AU368:AU431" si="51">(Y368*0.7+AN368*0.3)*100</f>
        <v>2.2048097628168208</v>
      </c>
      <c r="AV368" s="1">
        <f t="shared" ref="AV368:AV431" si="52">(Y368*0.5+AN368*0.5)*100</f>
        <v>1.578280457225778</v>
      </c>
      <c r="AW368" s="1">
        <f t="shared" ref="AW368:AW431" si="53">(Y368*0.3+AN368*0.7)*100</f>
        <v>0.95175115163473545</v>
      </c>
    </row>
    <row r="369" spans="1:49" x14ac:dyDescent="0.2">
      <c r="A369">
        <v>367</v>
      </c>
      <c r="B369" t="s">
        <v>3571</v>
      </c>
      <c r="C369" t="s">
        <v>3570</v>
      </c>
      <c r="F369" t="s">
        <v>3569</v>
      </c>
      <c r="G369" t="s">
        <v>13</v>
      </c>
      <c r="H369" t="s">
        <v>12</v>
      </c>
      <c r="I369" t="s">
        <v>3568</v>
      </c>
      <c r="J369">
        <v>60014256</v>
      </c>
      <c r="K369" t="s">
        <v>3567</v>
      </c>
      <c r="L369" t="s">
        <v>3566</v>
      </c>
      <c r="M369" t="s">
        <v>643</v>
      </c>
      <c r="N369">
        <v>1</v>
      </c>
      <c r="O369" t="s">
        <v>3565</v>
      </c>
      <c r="P369">
        <v>7102376306</v>
      </c>
      <c r="Q369">
        <v>60014256</v>
      </c>
      <c r="R369" s="7">
        <v>30682</v>
      </c>
      <c r="S369" s="8">
        <f t="shared" si="48"/>
        <v>1984</v>
      </c>
      <c r="T369" s="8">
        <v>1984</v>
      </c>
      <c r="U369" s="8">
        <f t="shared" si="49"/>
        <v>38</v>
      </c>
      <c r="V369" s="7">
        <v>30895</v>
      </c>
      <c r="W369" t="s">
        <v>2312</v>
      </c>
      <c r="X369" s="2">
        <v>0.65500000000000003</v>
      </c>
      <c r="Y369" s="6">
        <f t="shared" si="46"/>
        <v>1.7484850911614749E-2</v>
      </c>
      <c r="AA369">
        <v>189375</v>
      </c>
      <c r="AB369">
        <v>26051</v>
      </c>
      <c r="AC369" t="s">
        <v>2311</v>
      </c>
      <c r="AD369" t="s">
        <v>4</v>
      </c>
      <c r="AE369" t="s">
        <v>2310</v>
      </c>
      <c r="AF369">
        <v>3</v>
      </c>
      <c r="AH369" t="s">
        <v>3564</v>
      </c>
      <c r="AI369" t="s">
        <v>3563</v>
      </c>
      <c r="AJ369" t="s">
        <v>3562</v>
      </c>
      <c r="AK369" t="s">
        <v>3561</v>
      </c>
      <c r="AL369">
        <v>7</v>
      </c>
      <c r="AM369" s="5">
        <f t="shared" si="50"/>
        <v>0.18421052631578946</v>
      </c>
      <c r="AN369" s="4">
        <f t="shared" si="47"/>
        <v>2.7900117579066937E-4</v>
      </c>
      <c r="AO369" s="3"/>
      <c r="AP369">
        <v>0</v>
      </c>
      <c r="AR369" t="s">
        <v>0</v>
      </c>
      <c r="AT369" s="2" t="s">
        <v>45</v>
      </c>
      <c r="AU369" s="1">
        <f t="shared" si="51"/>
        <v>1.2323095990867525</v>
      </c>
      <c r="AV369" s="1">
        <f t="shared" si="52"/>
        <v>0.88819260437027081</v>
      </c>
      <c r="AW369" s="1">
        <f t="shared" si="53"/>
        <v>0.54407560965378932</v>
      </c>
    </row>
    <row r="370" spans="1:49" x14ac:dyDescent="0.2">
      <c r="A370">
        <v>368</v>
      </c>
      <c r="B370" t="s">
        <v>3560</v>
      </c>
      <c r="C370" t="s">
        <v>3559</v>
      </c>
      <c r="F370" t="s">
        <v>3558</v>
      </c>
      <c r="G370" t="s">
        <v>13</v>
      </c>
      <c r="H370" t="s">
        <v>12</v>
      </c>
      <c r="I370" t="s">
        <v>3557</v>
      </c>
      <c r="J370" t="s">
        <v>3556</v>
      </c>
      <c r="K370" t="s">
        <v>3555</v>
      </c>
      <c r="L370" t="s">
        <v>3554</v>
      </c>
      <c r="M370" t="s">
        <v>898</v>
      </c>
      <c r="N370">
        <v>4</v>
      </c>
      <c r="O370" t="s">
        <v>3553</v>
      </c>
      <c r="P370" t="s">
        <v>3552</v>
      </c>
      <c r="Q370" t="s">
        <v>3551</v>
      </c>
      <c r="R370" s="7">
        <v>30682</v>
      </c>
      <c r="S370" s="8">
        <f t="shared" si="48"/>
        <v>1984</v>
      </c>
      <c r="T370" s="8">
        <v>1984</v>
      </c>
      <c r="U370" s="8">
        <f t="shared" si="49"/>
        <v>38</v>
      </c>
      <c r="V370" s="7">
        <v>1984</v>
      </c>
      <c r="W370" t="s">
        <v>756</v>
      </c>
      <c r="X370" s="2">
        <v>0.111</v>
      </c>
      <c r="Y370" s="6">
        <f t="shared" si="46"/>
        <v>2.9630816048690639E-3</v>
      </c>
      <c r="AA370">
        <v>87566621</v>
      </c>
      <c r="AB370">
        <v>24890</v>
      </c>
      <c r="AC370">
        <v>15206424</v>
      </c>
      <c r="AD370" t="s">
        <v>4</v>
      </c>
      <c r="AE370">
        <v>67</v>
      </c>
      <c r="AF370">
        <v>8</v>
      </c>
      <c r="AH370" t="s">
        <v>3550</v>
      </c>
      <c r="AI370" t="s">
        <v>3549</v>
      </c>
      <c r="AK370" t="s">
        <v>3548</v>
      </c>
      <c r="AL370">
        <v>0</v>
      </c>
      <c r="AM370" s="5">
        <f t="shared" si="50"/>
        <v>0</v>
      </c>
      <c r="AN370" s="4">
        <f t="shared" si="47"/>
        <v>0</v>
      </c>
      <c r="AO370" s="3"/>
      <c r="AP370">
        <v>0</v>
      </c>
      <c r="AR370" t="s">
        <v>0</v>
      </c>
      <c r="AT370" s="2" t="s">
        <v>45</v>
      </c>
      <c r="AU370" s="1">
        <f t="shared" si="51"/>
        <v>0.20741571234083445</v>
      </c>
      <c r="AV370" s="1">
        <f t="shared" si="52"/>
        <v>0.1481540802434532</v>
      </c>
      <c r="AW370" s="1">
        <f t="shared" si="53"/>
        <v>8.8892448146071903E-2</v>
      </c>
    </row>
    <row r="371" spans="1:49" x14ac:dyDescent="0.2">
      <c r="A371">
        <v>369</v>
      </c>
      <c r="B371" t="s">
        <v>3547</v>
      </c>
      <c r="C371" t="s">
        <v>3546</v>
      </c>
      <c r="F371" t="s">
        <v>3545</v>
      </c>
      <c r="G371" t="s">
        <v>13</v>
      </c>
      <c r="H371" t="s">
        <v>12</v>
      </c>
      <c r="I371" t="s">
        <v>3544</v>
      </c>
      <c r="J371">
        <v>60002575</v>
      </c>
      <c r="K371" t="s">
        <v>3543</v>
      </c>
      <c r="L371" t="s">
        <v>3542</v>
      </c>
      <c r="M371" t="s">
        <v>2999</v>
      </c>
      <c r="N371">
        <v>1</v>
      </c>
      <c r="O371" t="s">
        <v>3541</v>
      </c>
      <c r="P371">
        <v>35581830600</v>
      </c>
      <c r="Q371">
        <v>60002575</v>
      </c>
      <c r="R371" s="7">
        <v>30682</v>
      </c>
      <c r="S371" s="8">
        <f t="shared" si="48"/>
        <v>1984</v>
      </c>
      <c r="T371" s="8">
        <v>1984</v>
      </c>
      <c r="U371" s="8">
        <f t="shared" si="49"/>
        <v>38</v>
      </c>
      <c r="V371" s="7">
        <v>30864</v>
      </c>
      <c r="W371" t="s">
        <v>380</v>
      </c>
      <c r="X371" s="2">
        <v>1.6519999999999999</v>
      </c>
      <c r="Y371" s="6">
        <f t="shared" si="46"/>
        <v>4.409919649769093E-2</v>
      </c>
      <c r="AA371" t="s">
        <v>379</v>
      </c>
      <c r="AB371">
        <v>17337</v>
      </c>
      <c r="AC371">
        <v>15582221</v>
      </c>
      <c r="AD371" t="s">
        <v>4</v>
      </c>
      <c r="AE371">
        <v>32</v>
      </c>
      <c r="AF371">
        <v>7</v>
      </c>
      <c r="AH371" t="s">
        <v>3540</v>
      </c>
      <c r="AI371" t="s">
        <v>3539</v>
      </c>
      <c r="AK371" t="s">
        <v>3538</v>
      </c>
      <c r="AL371">
        <v>10</v>
      </c>
      <c r="AM371" s="5">
        <f t="shared" si="50"/>
        <v>0.26315789473684209</v>
      </c>
      <c r="AN371" s="4">
        <f t="shared" si="47"/>
        <v>3.9857310827238487E-4</v>
      </c>
      <c r="AO371" s="3"/>
      <c r="AP371">
        <v>0</v>
      </c>
      <c r="AR371" t="s">
        <v>0</v>
      </c>
      <c r="AT371" s="2" t="s">
        <v>45</v>
      </c>
      <c r="AU371" s="1">
        <f t="shared" si="51"/>
        <v>3.0989009480865368</v>
      </c>
      <c r="AV371" s="1">
        <f t="shared" si="52"/>
        <v>2.2248884802981657</v>
      </c>
      <c r="AW371" s="1">
        <f t="shared" si="53"/>
        <v>1.3508760125097947</v>
      </c>
    </row>
    <row r="372" spans="1:49" x14ac:dyDescent="0.2">
      <c r="A372">
        <v>370</v>
      </c>
      <c r="B372" t="s">
        <v>3537</v>
      </c>
      <c r="C372" t="s">
        <v>3536</v>
      </c>
      <c r="F372" t="s">
        <v>3535</v>
      </c>
      <c r="G372" t="s">
        <v>13</v>
      </c>
      <c r="H372" t="s">
        <v>12</v>
      </c>
      <c r="I372" t="s">
        <v>3534</v>
      </c>
      <c r="J372" t="s">
        <v>3529</v>
      </c>
      <c r="K372" t="s">
        <v>3533</v>
      </c>
      <c r="L372" t="s">
        <v>3532</v>
      </c>
      <c r="M372" t="s">
        <v>206</v>
      </c>
      <c r="N372">
        <v>2</v>
      </c>
      <c r="O372" t="s">
        <v>3531</v>
      </c>
      <c r="P372" t="s">
        <v>3530</v>
      </c>
      <c r="Q372" t="s">
        <v>3529</v>
      </c>
      <c r="R372" s="7">
        <v>30682</v>
      </c>
      <c r="S372" s="8">
        <f t="shared" si="48"/>
        <v>1984</v>
      </c>
      <c r="T372" s="8">
        <v>1984</v>
      </c>
      <c r="U372" s="8">
        <f t="shared" si="49"/>
        <v>38</v>
      </c>
      <c r="V372" s="7">
        <v>30864</v>
      </c>
      <c r="W372" t="s">
        <v>3353</v>
      </c>
      <c r="X372" s="2">
        <v>2.9860000000000002</v>
      </c>
      <c r="Y372" s="6">
        <f t="shared" si="46"/>
        <v>7.9709564613865094E-2</v>
      </c>
      <c r="AA372">
        <v>7338716</v>
      </c>
      <c r="AB372">
        <v>18902</v>
      </c>
      <c r="AD372" t="s">
        <v>4</v>
      </c>
      <c r="AE372">
        <v>2</v>
      </c>
      <c r="AF372">
        <v>4</v>
      </c>
      <c r="AH372" t="s">
        <v>3528</v>
      </c>
      <c r="AI372" t="s">
        <v>3527</v>
      </c>
      <c r="AK372" t="s">
        <v>3526</v>
      </c>
      <c r="AL372">
        <v>4</v>
      </c>
      <c r="AM372" s="5">
        <f t="shared" si="50"/>
        <v>0.10526315789473684</v>
      </c>
      <c r="AN372" s="4">
        <f t="shared" si="47"/>
        <v>1.5942924330895392E-4</v>
      </c>
      <c r="AO372" s="3"/>
      <c r="AP372">
        <v>0</v>
      </c>
      <c r="AR372" t="s">
        <v>0</v>
      </c>
      <c r="AT372" s="2" t="s">
        <v>45</v>
      </c>
      <c r="AU372" s="1">
        <f t="shared" si="51"/>
        <v>5.5844524002698241</v>
      </c>
      <c r="AV372" s="1">
        <f t="shared" si="52"/>
        <v>3.9934496928587029</v>
      </c>
      <c r="AW372" s="1">
        <f t="shared" si="53"/>
        <v>2.4024469854475794</v>
      </c>
    </row>
    <row r="373" spans="1:49" x14ac:dyDescent="0.2">
      <c r="A373">
        <v>371</v>
      </c>
      <c r="B373" t="s">
        <v>3525</v>
      </c>
      <c r="C373" t="s">
        <v>3524</v>
      </c>
      <c r="F373" t="s">
        <v>3523</v>
      </c>
      <c r="G373" t="s">
        <v>13</v>
      </c>
      <c r="H373" t="s">
        <v>12</v>
      </c>
      <c r="I373" t="s">
        <v>3522</v>
      </c>
      <c r="J373" t="s">
        <v>3521</v>
      </c>
      <c r="K373" t="s">
        <v>3520</v>
      </c>
      <c r="L373" t="s">
        <v>3519</v>
      </c>
      <c r="M373" t="s">
        <v>206</v>
      </c>
      <c r="N373">
        <v>2</v>
      </c>
      <c r="O373" t="s">
        <v>3518</v>
      </c>
      <c r="P373" t="s">
        <v>3517</v>
      </c>
      <c r="Q373" t="s">
        <v>3516</v>
      </c>
      <c r="R373" s="7">
        <v>30682</v>
      </c>
      <c r="S373" s="8">
        <f t="shared" si="48"/>
        <v>1984</v>
      </c>
      <c r="T373" s="8">
        <v>1984</v>
      </c>
      <c r="U373" s="8">
        <f t="shared" si="49"/>
        <v>38</v>
      </c>
      <c r="V373" s="7">
        <v>30864</v>
      </c>
      <c r="W373" t="s">
        <v>573</v>
      </c>
      <c r="X373" s="2">
        <v>0.75800000000000001</v>
      </c>
      <c r="Y373" s="6">
        <f t="shared" si="46"/>
        <v>2.0234377085502256E-2</v>
      </c>
      <c r="AA373">
        <v>224650</v>
      </c>
      <c r="AB373">
        <v>29589</v>
      </c>
      <c r="AD373" t="s">
        <v>4</v>
      </c>
      <c r="AE373">
        <v>21</v>
      </c>
      <c r="AF373">
        <v>4</v>
      </c>
      <c r="AH373" t="s">
        <v>3515</v>
      </c>
      <c r="AI373" t="s">
        <v>3514</v>
      </c>
      <c r="AK373" t="s">
        <v>3513</v>
      </c>
      <c r="AL373">
        <v>5</v>
      </c>
      <c r="AM373" s="5">
        <f t="shared" si="50"/>
        <v>0.13157894736842105</v>
      </c>
      <c r="AN373" s="4">
        <f t="shared" si="47"/>
        <v>1.9928655413619243E-4</v>
      </c>
      <c r="AO373" s="3"/>
      <c r="AP373">
        <v>0</v>
      </c>
      <c r="AR373" t="s">
        <v>0</v>
      </c>
      <c r="AT373" s="2">
        <v>1.282</v>
      </c>
      <c r="AU373" s="1">
        <f t="shared" si="51"/>
        <v>1.4223849926092436</v>
      </c>
      <c r="AV373" s="1">
        <f t="shared" si="52"/>
        <v>1.0216831819819223</v>
      </c>
      <c r="AW373" s="1">
        <f t="shared" si="53"/>
        <v>0.62098137135460107</v>
      </c>
    </row>
    <row r="374" spans="1:49" x14ac:dyDescent="0.2">
      <c r="A374">
        <v>372</v>
      </c>
      <c r="B374" t="s">
        <v>3512</v>
      </c>
      <c r="F374" t="s">
        <v>3511</v>
      </c>
      <c r="G374" t="s">
        <v>13</v>
      </c>
      <c r="H374" t="s">
        <v>12</v>
      </c>
      <c r="I374" t="s">
        <v>3510</v>
      </c>
      <c r="N374">
        <v>1</v>
      </c>
      <c r="O374" t="s">
        <v>3509</v>
      </c>
      <c r="P374">
        <v>6701411893</v>
      </c>
      <c r="R374" s="7">
        <v>30682</v>
      </c>
      <c r="S374" s="8">
        <f t="shared" si="48"/>
        <v>1984</v>
      </c>
      <c r="T374" s="8">
        <v>1984</v>
      </c>
      <c r="U374" s="8">
        <f t="shared" si="49"/>
        <v>38</v>
      </c>
      <c r="V374" s="7" t="s">
        <v>3508</v>
      </c>
      <c r="W374" t="s">
        <v>3507</v>
      </c>
      <c r="X374" s="2" t="s">
        <v>45</v>
      </c>
      <c r="Y374" s="6" t="e">
        <f t="shared" si="46"/>
        <v>#VALUE!</v>
      </c>
      <c r="AA374">
        <v>3444880</v>
      </c>
      <c r="AB374">
        <v>38773</v>
      </c>
      <c r="AD374" t="s">
        <v>4</v>
      </c>
      <c r="AE374">
        <v>7</v>
      </c>
      <c r="AF374">
        <v>4</v>
      </c>
      <c r="AH374" t="s">
        <v>3506</v>
      </c>
      <c r="AI374" t="s">
        <v>3505</v>
      </c>
      <c r="AK374" t="s">
        <v>3504</v>
      </c>
      <c r="AL374">
        <v>0</v>
      </c>
      <c r="AM374" s="5">
        <f t="shared" si="50"/>
        <v>0</v>
      </c>
      <c r="AN374" s="4">
        <f t="shared" si="47"/>
        <v>0</v>
      </c>
      <c r="AO374" s="3"/>
      <c r="AP374">
        <v>0</v>
      </c>
      <c r="AR374" t="s">
        <v>0</v>
      </c>
      <c r="AT374" s="2" t="s">
        <v>45</v>
      </c>
      <c r="AU374" s="1" t="e">
        <f t="shared" si="51"/>
        <v>#VALUE!</v>
      </c>
      <c r="AV374" s="1" t="e">
        <f t="shared" si="52"/>
        <v>#VALUE!</v>
      </c>
      <c r="AW374" s="1" t="e">
        <f t="shared" si="53"/>
        <v>#VALUE!</v>
      </c>
    </row>
    <row r="375" spans="1:49" x14ac:dyDescent="0.2">
      <c r="A375">
        <v>373</v>
      </c>
      <c r="B375" t="s">
        <v>3503</v>
      </c>
      <c r="C375" t="s">
        <v>3502</v>
      </c>
      <c r="F375" t="s">
        <v>3501</v>
      </c>
      <c r="G375" t="s">
        <v>13</v>
      </c>
      <c r="H375" t="s">
        <v>12</v>
      </c>
      <c r="I375" t="s">
        <v>3500</v>
      </c>
      <c r="N375">
        <v>2</v>
      </c>
      <c r="O375" t="s">
        <v>3499</v>
      </c>
      <c r="P375" t="s">
        <v>3498</v>
      </c>
      <c r="Q375" t="s">
        <v>266</v>
      </c>
      <c r="R375" s="7">
        <v>30682</v>
      </c>
      <c r="S375" s="8">
        <f t="shared" si="48"/>
        <v>1984</v>
      </c>
      <c r="T375" s="8">
        <v>1984</v>
      </c>
      <c r="U375" s="8">
        <f t="shared" si="49"/>
        <v>38</v>
      </c>
      <c r="V375" s="7" t="s">
        <v>243</v>
      </c>
      <c r="W375" t="s">
        <v>6</v>
      </c>
      <c r="X375" s="2">
        <v>0.371</v>
      </c>
      <c r="Y375" s="6">
        <f t="shared" si="46"/>
        <v>9.9036331117695747E-3</v>
      </c>
      <c r="AA375">
        <v>486604</v>
      </c>
      <c r="AB375">
        <v>28580</v>
      </c>
      <c r="AC375" t="s">
        <v>5</v>
      </c>
      <c r="AD375" t="s">
        <v>4</v>
      </c>
      <c r="AE375">
        <v>19</v>
      </c>
      <c r="AF375">
        <v>4</v>
      </c>
      <c r="AH375" t="s">
        <v>3497</v>
      </c>
      <c r="AI375" t="s">
        <v>3496</v>
      </c>
      <c r="AK375" t="s">
        <v>3495</v>
      </c>
      <c r="AL375">
        <v>70</v>
      </c>
      <c r="AM375" s="5">
        <f t="shared" si="50"/>
        <v>1.8421052631578947</v>
      </c>
      <c r="AN375" s="4">
        <f t="shared" si="47"/>
        <v>2.7900117579066938E-3</v>
      </c>
      <c r="AO375" s="3"/>
      <c r="AP375">
        <v>0</v>
      </c>
      <c r="AR375" t="s">
        <v>0</v>
      </c>
      <c r="AT375" s="2">
        <v>1.431</v>
      </c>
      <c r="AU375" s="1">
        <f t="shared" si="51"/>
        <v>0.77695467056107104</v>
      </c>
      <c r="AV375" s="1">
        <f t="shared" si="52"/>
        <v>0.63468224348381341</v>
      </c>
      <c r="AW375" s="1">
        <f t="shared" si="53"/>
        <v>0.49240981640655579</v>
      </c>
    </row>
    <row r="376" spans="1:49" x14ac:dyDescent="0.2">
      <c r="A376">
        <v>374</v>
      </c>
      <c r="B376" t="s">
        <v>3494</v>
      </c>
      <c r="C376" t="s">
        <v>3493</v>
      </c>
      <c r="F376" t="s">
        <v>3492</v>
      </c>
      <c r="G376" t="s">
        <v>13</v>
      </c>
      <c r="H376" t="s">
        <v>12</v>
      </c>
      <c r="I376" t="s">
        <v>3491</v>
      </c>
      <c r="J376" t="s">
        <v>3490</v>
      </c>
      <c r="K376" t="s">
        <v>3489</v>
      </c>
      <c r="L376" t="s">
        <v>3488</v>
      </c>
      <c r="M376" t="s">
        <v>3487</v>
      </c>
      <c r="N376">
        <v>2</v>
      </c>
      <c r="O376" t="s">
        <v>3486</v>
      </c>
      <c r="P376" t="s">
        <v>3485</v>
      </c>
      <c r="Q376" t="s">
        <v>3484</v>
      </c>
      <c r="R376" s="7">
        <v>30682</v>
      </c>
      <c r="S376" s="8">
        <f t="shared" si="48"/>
        <v>1984</v>
      </c>
      <c r="T376" s="8">
        <v>1984</v>
      </c>
      <c r="U376" s="8">
        <f t="shared" si="49"/>
        <v>38</v>
      </c>
      <c r="V376" s="7">
        <v>30864</v>
      </c>
      <c r="W376" t="s">
        <v>380</v>
      </c>
      <c r="X376" s="2">
        <v>1.6519999999999999</v>
      </c>
      <c r="Y376" s="6">
        <f t="shared" si="46"/>
        <v>4.409919649769093E-2</v>
      </c>
      <c r="AA376" t="s">
        <v>379</v>
      </c>
      <c r="AB376">
        <v>17337</v>
      </c>
      <c r="AC376">
        <v>15582221</v>
      </c>
      <c r="AD376" t="s">
        <v>4</v>
      </c>
      <c r="AE376">
        <v>32</v>
      </c>
      <c r="AF376">
        <v>7</v>
      </c>
      <c r="AH376" t="s">
        <v>3483</v>
      </c>
      <c r="AI376" t="s">
        <v>3482</v>
      </c>
      <c r="AK376" t="s">
        <v>3481</v>
      </c>
      <c r="AL376">
        <v>24</v>
      </c>
      <c r="AM376" s="5">
        <f t="shared" si="50"/>
        <v>0.63157894736842102</v>
      </c>
      <c r="AN376" s="4">
        <f t="shared" si="47"/>
        <v>9.5657545985372366E-4</v>
      </c>
      <c r="AO376" s="3"/>
      <c r="AP376">
        <v>0</v>
      </c>
      <c r="AR376" t="s">
        <v>0</v>
      </c>
      <c r="AT376" s="2" t="s">
        <v>45</v>
      </c>
      <c r="AU376" s="1">
        <f t="shared" si="51"/>
        <v>3.1156410186339767</v>
      </c>
      <c r="AV376" s="1">
        <f t="shared" si="52"/>
        <v>2.2527885978772328</v>
      </c>
      <c r="AW376" s="1">
        <f t="shared" si="53"/>
        <v>1.3899361771204886</v>
      </c>
    </row>
    <row r="377" spans="1:49" x14ac:dyDescent="0.2">
      <c r="A377">
        <v>375</v>
      </c>
      <c r="B377" t="s">
        <v>3480</v>
      </c>
      <c r="C377" t="s">
        <v>3479</v>
      </c>
      <c r="F377" t="s">
        <v>3478</v>
      </c>
      <c r="G377" t="s">
        <v>13</v>
      </c>
      <c r="H377" t="s">
        <v>12</v>
      </c>
      <c r="I377" t="s">
        <v>3477</v>
      </c>
      <c r="J377" t="s">
        <v>3476</v>
      </c>
      <c r="K377" t="s">
        <v>3475</v>
      </c>
      <c r="L377" t="s">
        <v>3474</v>
      </c>
      <c r="M377" t="s">
        <v>3473</v>
      </c>
      <c r="N377">
        <v>3</v>
      </c>
      <c r="O377" t="s">
        <v>3472</v>
      </c>
      <c r="P377" t="s">
        <v>3471</v>
      </c>
      <c r="Q377" t="s">
        <v>3470</v>
      </c>
      <c r="R377" s="7">
        <v>30682</v>
      </c>
      <c r="S377" s="8">
        <f t="shared" si="48"/>
        <v>1984</v>
      </c>
      <c r="T377" s="8">
        <v>1984</v>
      </c>
      <c r="U377" s="8">
        <f t="shared" si="49"/>
        <v>38</v>
      </c>
      <c r="V377" s="7">
        <v>30864</v>
      </c>
      <c r="W377" t="s">
        <v>380</v>
      </c>
      <c r="X377" s="2">
        <v>1.6519999999999999</v>
      </c>
      <c r="Y377" s="6">
        <f t="shared" si="46"/>
        <v>4.409919649769093E-2</v>
      </c>
      <c r="AA377" t="s">
        <v>379</v>
      </c>
      <c r="AB377">
        <v>17337</v>
      </c>
      <c r="AC377">
        <v>15582221</v>
      </c>
      <c r="AD377" t="s">
        <v>4</v>
      </c>
      <c r="AE377">
        <v>32</v>
      </c>
      <c r="AF377">
        <v>7</v>
      </c>
      <c r="AH377" t="s">
        <v>3469</v>
      </c>
      <c r="AI377" t="s">
        <v>3468</v>
      </c>
      <c r="AK377" t="s">
        <v>3467</v>
      </c>
      <c r="AL377">
        <v>16</v>
      </c>
      <c r="AM377" s="5">
        <f t="shared" si="50"/>
        <v>0.42105263157894735</v>
      </c>
      <c r="AN377" s="4">
        <f t="shared" si="47"/>
        <v>6.377169732358157E-4</v>
      </c>
      <c r="AO377" s="3"/>
      <c r="AP377">
        <v>0</v>
      </c>
      <c r="AR377" t="s">
        <v>0</v>
      </c>
      <c r="AT377" s="2" t="s">
        <v>45</v>
      </c>
      <c r="AU377" s="1">
        <f t="shared" si="51"/>
        <v>3.1060752640354394</v>
      </c>
      <c r="AV377" s="1">
        <f t="shared" si="52"/>
        <v>2.2368456735463371</v>
      </c>
      <c r="AW377" s="1">
        <f t="shared" si="53"/>
        <v>1.3676160830572348</v>
      </c>
    </row>
    <row r="378" spans="1:49" x14ac:dyDescent="0.2">
      <c r="A378">
        <v>376</v>
      </c>
      <c r="B378" t="s">
        <v>3466</v>
      </c>
      <c r="C378" t="s">
        <v>3465</v>
      </c>
      <c r="F378" t="s">
        <v>3464</v>
      </c>
      <c r="G378" t="s">
        <v>13</v>
      </c>
      <c r="H378" t="s">
        <v>12</v>
      </c>
      <c r="I378" t="s">
        <v>3463</v>
      </c>
      <c r="J378" t="s">
        <v>3458</v>
      </c>
      <c r="K378" t="s">
        <v>3462</v>
      </c>
      <c r="L378" t="s">
        <v>3461</v>
      </c>
      <c r="M378" t="s">
        <v>72</v>
      </c>
      <c r="N378">
        <v>3</v>
      </c>
      <c r="O378" t="s">
        <v>3460</v>
      </c>
      <c r="P378" t="s">
        <v>3459</v>
      </c>
      <c r="Q378" t="s">
        <v>3458</v>
      </c>
      <c r="R378" s="7">
        <v>30682</v>
      </c>
      <c r="S378" s="8">
        <f t="shared" si="48"/>
        <v>1984</v>
      </c>
      <c r="T378" s="8">
        <v>1984</v>
      </c>
      <c r="U378" s="8">
        <f t="shared" si="49"/>
        <v>38</v>
      </c>
      <c r="V378" s="7">
        <v>30864</v>
      </c>
      <c r="W378" t="s">
        <v>3353</v>
      </c>
      <c r="X378" s="2">
        <v>2.9860000000000002</v>
      </c>
      <c r="Y378" s="6">
        <f t="shared" si="46"/>
        <v>7.9709564613865094E-2</v>
      </c>
      <c r="AA378">
        <v>7338716</v>
      </c>
      <c r="AB378">
        <v>18902</v>
      </c>
      <c r="AD378" t="s">
        <v>4</v>
      </c>
      <c r="AE378">
        <v>2</v>
      </c>
      <c r="AF378">
        <v>4</v>
      </c>
      <c r="AH378" t="s">
        <v>3457</v>
      </c>
      <c r="AI378" t="s">
        <v>3456</v>
      </c>
      <c r="AK378" t="s">
        <v>3455</v>
      </c>
      <c r="AL378">
        <v>24</v>
      </c>
      <c r="AM378" s="5">
        <f t="shared" si="50"/>
        <v>0.63157894736842102</v>
      </c>
      <c r="AN378" s="4">
        <f t="shared" si="47"/>
        <v>9.5657545985372366E-4</v>
      </c>
      <c r="AO378" s="3"/>
      <c r="AP378">
        <v>0</v>
      </c>
      <c r="AR378" t="s">
        <v>0</v>
      </c>
      <c r="AT378" s="2" t="s">
        <v>45</v>
      </c>
      <c r="AU378" s="1">
        <f t="shared" si="51"/>
        <v>5.608366786766168</v>
      </c>
      <c r="AV378" s="1">
        <f t="shared" si="52"/>
        <v>4.0333070036859411</v>
      </c>
      <c r="AW378" s="1">
        <f t="shared" si="53"/>
        <v>2.4582472206057133</v>
      </c>
    </row>
    <row r="379" spans="1:49" x14ac:dyDescent="0.2">
      <c r="A379">
        <v>377</v>
      </c>
      <c r="B379" t="s">
        <v>3454</v>
      </c>
      <c r="C379" t="s">
        <v>3453</v>
      </c>
      <c r="F379" t="s">
        <v>3452</v>
      </c>
      <c r="G379" t="s">
        <v>13</v>
      </c>
      <c r="H379" t="s">
        <v>12</v>
      </c>
      <c r="I379" t="s">
        <v>3433</v>
      </c>
      <c r="J379">
        <v>60014652</v>
      </c>
      <c r="K379" t="s">
        <v>3451</v>
      </c>
      <c r="L379" t="s">
        <v>3450</v>
      </c>
      <c r="M379" t="s">
        <v>643</v>
      </c>
      <c r="N379">
        <v>3</v>
      </c>
      <c r="O379" t="s">
        <v>3432</v>
      </c>
      <c r="P379" t="s">
        <v>3431</v>
      </c>
      <c r="Q379" t="s">
        <v>3449</v>
      </c>
      <c r="R379" s="7">
        <v>30682</v>
      </c>
      <c r="S379" s="8">
        <f t="shared" si="48"/>
        <v>1984</v>
      </c>
      <c r="T379" s="8">
        <v>1984</v>
      </c>
      <c r="U379" s="8">
        <f t="shared" si="49"/>
        <v>38</v>
      </c>
      <c r="V379" s="7">
        <v>30864</v>
      </c>
      <c r="W379" t="s">
        <v>380</v>
      </c>
      <c r="X379" s="2">
        <v>1.6519999999999999</v>
      </c>
      <c r="Y379" s="6">
        <f t="shared" si="46"/>
        <v>4.409919649769093E-2</v>
      </c>
      <c r="AA379" t="s">
        <v>379</v>
      </c>
      <c r="AB379">
        <v>17337</v>
      </c>
      <c r="AC379">
        <v>15582221</v>
      </c>
      <c r="AD379" t="s">
        <v>4</v>
      </c>
      <c r="AE379">
        <v>32</v>
      </c>
      <c r="AF379">
        <v>7</v>
      </c>
      <c r="AH379" t="s">
        <v>3448</v>
      </c>
      <c r="AI379" t="s">
        <v>3447</v>
      </c>
      <c r="AK379" t="s">
        <v>3446</v>
      </c>
      <c r="AL379">
        <v>1</v>
      </c>
      <c r="AM379" s="5">
        <f t="shared" si="50"/>
        <v>2.6315789473684209E-2</v>
      </c>
      <c r="AN379" s="4">
        <f t="shared" si="47"/>
        <v>3.9857310827238481E-5</v>
      </c>
      <c r="AO379" s="3"/>
      <c r="AP379">
        <v>0</v>
      </c>
      <c r="AR379" t="s">
        <v>0</v>
      </c>
      <c r="AT379" s="2" t="s">
        <v>45</v>
      </c>
      <c r="AU379" s="1">
        <f t="shared" si="51"/>
        <v>3.088139474163182</v>
      </c>
      <c r="AV379" s="1">
        <f t="shared" si="52"/>
        <v>2.2069526904259082</v>
      </c>
      <c r="AW379" s="1">
        <f t="shared" si="53"/>
        <v>1.3257659066886345</v>
      </c>
    </row>
    <row r="380" spans="1:49" x14ac:dyDescent="0.2">
      <c r="A380">
        <v>378</v>
      </c>
      <c r="B380" t="s">
        <v>3445</v>
      </c>
      <c r="C380" t="s">
        <v>3444</v>
      </c>
      <c r="F380" t="s">
        <v>3443</v>
      </c>
      <c r="G380" t="s">
        <v>13</v>
      </c>
      <c r="H380" t="s">
        <v>12</v>
      </c>
      <c r="I380" t="s">
        <v>3442</v>
      </c>
      <c r="J380">
        <v>60002787</v>
      </c>
      <c r="K380" t="s">
        <v>3441</v>
      </c>
      <c r="L380" t="s">
        <v>3440</v>
      </c>
      <c r="M380" t="s">
        <v>643</v>
      </c>
      <c r="N380">
        <v>1</v>
      </c>
      <c r="O380" t="s">
        <v>3439</v>
      </c>
      <c r="P380">
        <v>57223664212</v>
      </c>
      <c r="Q380">
        <v>60002787</v>
      </c>
      <c r="R380" s="7">
        <v>30682</v>
      </c>
      <c r="S380" s="8">
        <f t="shared" si="48"/>
        <v>1984</v>
      </c>
      <c r="T380" s="8">
        <v>1984</v>
      </c>
      <c r="U380" s="8">
        <f t="shared" si="49"/>
        <v>38</v>
      </c>
      <c r="V380" s="7">
        <v>1984</v>
      </c>
      <c r="W380" t="s">
        <v>756</v>
      </c>
      <c r="X380" s="2">
        <v>0.111</v>
      </c>
      <c r="Y380" s="6">
        <f t="shared" si="46"/>
        <v>2.9630816048690639E-3</v>
      </c>
      <c r="AA380">
        <v>87566621</v>
      </c>
      <c r="AB380">
        <v>24890</v>
      </c>
      <c r="AC380">
        <v>15206424</v>
      </c>
      <c r="AD380" t="s">
        <v>4</v>
      </c>
      <c r="AE380">
        <v>67</v>
      </c>
      <c r="AF380">
        <v>7</v>
      </c>
      <c r="AH380" t="s">
        <v>3438</v>
      </c>
      <c r="AI380" t="s">
        <v>3437</v>
      </c>
      <c r="AK380" t="s">
        <v>3436</v>
      </c>
      <c r="AL380">
        <v>1</v>
      </c>
      <c r="AM380" s="5">
        <f t="shared" si="50"/>
        <v>2.6315789473684209E-2</v>
      </c>
      <c r="AN380" s="4">
        <f t="shared" si="47"/>
        <v>3.9857310827238481E-5</v>
      </c>
      <c r="AO380" s="3"/>
      <c r="AP380">
        <v>0</v>
      </c>
      <c r="AR380" t="s">
        <v>0</v>
      </c>
      <c r="AT380" s="2" t="s">
        <v>45</v>
      </c>
      <c r="AU380" s="1">
        <f t="shared" si="51"/>
        <v>0.2086114316656516</v>
      </c>
      <c r="AV380" s="1">
        <f t="shared" si="52"/>
        <v>0.15014694578481511</v>
      </c>
      <c r="AW380" s="1">
        <f t="shared" si="53"/>
        <v>9.1682459903978594E-2</v>
      </c>
    </row>
    <row r="381" spans="1:49" x14ac:dyDescent="0.2">
      <c r="A381">
        <v>379</v>
      </c>
      <c r="B381" t="s">
        <v>3435</v>
      </c>
      <c r="F381" t="s">
        <v>3434</v>
      </c>
      <c r="G381" t="s">
        <v>13</v>
      </c>
      <c r="H381" t="s">
        <v>12</v>
      </c>
      <c r="I381" t="s">
        <v>3433</v>
      </c>
      <c r="N381">
        <v>3</v>
      </c>
      <c r="O381" t="s">
        <v>3432</v>
      </c>
      <c r="P381" t="s">
        <v>3431</v>
      </c>
      <c r="Q381" t="s">
        <v>8</v>
      </c>
      <c r="R381" s="7">
        <v>30682</v>
      </c>
      <c r="S381" s="8">
        <f t="shared" si="48"/>
        <v>1984</v>
      </c>
      <c r="T381" s="8">
        <v>1984</v>
      </c>
      <c r="U381" s="8">
        <f t="shared" si="49"/>
        <v>38</v>
      </c>
      <c r="V381" s="7" t="s">
        <v>3241</v>
      </c>
      <c r="W381" t="s">
        <v>1668</v>
      </c>
      <c r="X381" s="2" t="s">
        <v>45</v>
      </c>
      <c r="Y381" s="6" t="e">
        <f t="shared" si="46"/>
        <v>#VALUE!</v>
      </c>
      <c r="AA381" t="s">
        <v>1667</v>
      </c>
      <c r="AB381">
        <v>30906</v>
      </c>
      <c r="AD381" t="s">
        <v>4</v>
      </c>
      <c r="AE381" t="s">
        <v>2144</v>
      </c>
      <c r="AF381">
        <v>7</v>
      </c>
      <c r="AH381" t="s">
        <v>3430</v>
      </c>
      <c r="AI381" t="s">
        <v>3429</v>
      </c>
      <c r="AK381" t="s">
        <v>3428</v>
      </c>
      <c r="AL381">
        <v>0</v>
      </c>
      <c r="AM381" s="5">
        <f t="shared" si="50"/>
        <v>0</v>
      </c>
      <c r="AN381" s="4">
        <f t="shared" si="47"/>
        <v>0</v>
      </c>
      <c r="AO381" s="3"/>
      <c r="AP381">
        <v>0</v>
      </c>
      <c r="AR381" t="s">
        <v>0</v>
      </c>
      <c r="AT381" s="2" t="s">
        <v>45</v>
      </c>
      <c r="AU381" s="1" t="e">
        <f t="shared" si="51"/>
        <v>#VALUE!</v>
      </c>
      <c r="AV381" s="1" t="e">
        <f t="shared" si="52"/>
        <v>#VALUE!</v>
      </c>
      <c r="AW381" s="1" t="e">
        <f t="shared" si="53"/>
        <v>#VALUE!</v>
      </c>
    </row>
    <row r="382" spans="1:49" x14ac:dyDescent="0.2">
      <c r="A382">
        <v>380</v>
      </c>
      <c r="B382" t="s">
        <v>3427</v>
      </c>
      <c r="F382" t="s">
        <v>3426</v>
      </c>
      <c r="G382" t="s">
        <v>13</v>
      </c>
      <c r="H382" t="s">
        <v>12</v>
      </c>
      <c r="I382" t="s">
        <v>3425</v>
      </c>
      <c r="N382">
        <v>1</v>
      </c>
      <c r="O382" t="s">
        <v>3424</v>
      </c>
      <c r="P382">
        <v>55466060900</v>
      </c>
      <c r="R382" s="7">
        <v>30682</v>
      </c>
      <c r="S382" s="8">
        <f t="shared" si="48"/>
        <v>1984</v>
      </c>
      <c r="T382" s="8">
        <v>1984</v>
      </c>
      <c r="U382" s="8">
        <f t="shared" si="49"/>
        <v>38</v>
      </c>
      <c r="V382" s="7" t="s">
        <v>3241</v>
      </c>
      <c r="W382" t="s">
        <v>2168</v>
      </c>
      <c r="X382" s="2" t="s">
        <v>45</v>
      </c>
      <c r="Y382" s="6" t="e">
        <f t="shared" si="46"/>
        <v>#VALUE!</v>
      </c>
      <c r="AA382">
        <v>13583948</v>
      </c>
      <c r="AB382">
        <v>17747</v>
      </c>
      <c r="AD382" t="s">
        <v>4</v>
      </c>
      <c r="AE382">
        <v>2</v>
      </c>
      <c r="AF382">
        <v>3</v>
      </c>
      <c r="AH382" t="s">
        <v>3423</v>
      </c>
      <c r="AI382" t="s">
        <v>3422</v>
      </c>
      <c r="AK382" t="s">
        <v>3421</v>
      </c>
      <c r="AL382">
        <v>2</v>
      </c>
      <c r="AM382" s="5">
        <f t="shared" si="50"/>
        <v>5.2631578947368418E-2</v>
      </c>
      <c r="AN382" s="4">
        <f t="shared" si="47"/>
        <v>7.9714621654476962E-5</v>
      </c>
      <c r="AO382" s="3"/>
      <c r="AP382">
        <v>0</v>
      </c>
      <c r="AR382" t="s">
        <v>0</v>
      </c>
      <c r="AT382" s="2" t="s">
        <v>45</v>
      </c>
      <c r="AU382" s="1" t="e">
        <f t="shared" si="51"/>
        <v>#VALUE!</v>
      </c>
      <c r="AV382" s="1" t="e">
        <f t="shared" si="52"/>
        <v>#VALUE!</v>
      </c>
      <c r="AW382" s="1" t="e">
        <f t="shared" si="53"/>
        <v>#VALUE!</v>
      </c>
    </row>
    <row r="383" spans="1:49" x14ac:dyDescent="0.2">
      <c r="A383">
        <v>381</v>
      </c>
      <c r="B383" t="s">
        <v>3420</v>
      </c>
      <c r="C383" t="s">
        <v>3419</v>
      </c>
      <c r="F383" t="s">
        <v>3418</v>
      </c>
      <c r="G383" t="s">
        <v>13</v>
      </c>
      <c r="H383" t="s">
        <v>12</v>
      </c>
      <c r="I383" t="s">
        <v>3417</v>
      </c>
      <c r="N383">
        <v>3</v>
      </c>
      <c r="O383" t="s">
        <v>3416</v>
      </c>
      <c r="P383" t="s">
        <v>3415</v>
      </c>
      <c r="Q383" t="s">
        <v>8</v>
      </c>
      <c r="R383" s="7">
        <v>30682</v>
      </c>
      <c r="S383" s="8">
        <f t="shared" si="48"/>
        <v>1984</v>
      </c>
      <c r="T383" s="8">
        <v>1984</v>
      </c>
      <c r="U383" s="8">
        <f t="shared" si="49"/>
        <v>38</v>
      </c>
      <c r="V383" s="7" t="s">
        <v>3414</v>
      </c>
      <c r="W383" t="s">
        <v>1171</v>
      </c>
      <c r="X383" s="2" t="s">
        <v>45</v>
      </c>
      <c r="Y383" s="6" t="e">
        <f t="shared" si="46"/>
        <v>#VALUE!</v>
      </c>
      <c r="AA383" t="s">
        <v>1170</v>
      </c>
      <c r="AB383">
        <v>58005</v>
      </c>
      <c r="AC383">
        <v>15387305</v>
      </c>
      <c r="AD383" t="s">
        <v>4</v>
      </c>
      <c r="AE383">
        <v>63</v>
      </c>
      <c r="AF383">
        <v>6</v>
      </c>
      <c r="AH383" t="s">
        <v>3413</v>
      </c>
      <c r="AI383" t="s">
        <v>3412</v>
      </c>
      <c r="AK383" t="s">
        <v>3411</v>
      </c>
      <c r="AL383">
        <v>130</v>
      </c>
      <c r="AM383" s="5">
        <f t="shared" si="50"/>
        <v>3.4210526315789473</v>
      </c>
      <c r="AN383" s="4">
        <f t="shared" si="47"/>
        <v>5.1814504075410033E-3</v>
      </c>
      <c r="AO383" s="3"/>
      <c r="AP383">
        <v>0</v>
      </c>
      <c r="AR383" t="s">
        <v>0</v>
      </c>
      <c r="AT383" s="2" t="s">
        <v>45</v>
      </c>
      <c r="AU383" s="1" t="e">
        <f t="shared" si="51"/>
        <v>#VALUE!</v>
      </c>
      <c r="AV383" s="1" t="e">
        <f t="shared" si="52"/>
        <v>#VALUE!</v>
      </c>
      <c r="AW383" s="1" t="e">
        <f t="shared" si="53"/>
        <v>#VALUE!</v>
      </c>
    </row>
    <row r="384" spans="1:49" x14ac:dyDescent="0.2">
      <c r="A384">
        <v>382</v>
      </c>
      <c r="B384" t="s">
        <v>3410</v>
      </c>
      <c r="C384" t="s">
        <v>3409</v>
      </c>
      <c r="F384" t="s">
        <v>3408</v>
      </c>
      <c r="G384" t="s">
        <v>13</v>
      </c>
      <c r="H384" t="s">
        <v>12</v>
      </c>
      <c r="I384" t="s">
        <v>3407</v>
      </c>
      <c r="J384" t="s">
        <v>3406</v>
      </c>
      <c r="K384" t="s">
        <v>3405</v>
      </c>
      <c r="L384" t="s">
        <v>3404</v>
      </c>
      <c r="M384" t="s">
        <v>206</v>
      </c>
      <c r="N384">
        <v>2</v>
      </c>
      <c r="O384" t="s">
        <v>3403</v>
      </c>
      <c r="P384" t="s">
        <v>3402</v>
      </c>
      <c r="Q384" t="s">
        <v>3401</v>
      </c>
      <c r="R384" s="7">
        <v>30682</v>
      </c>
      <c r="S384" s="8">
        <f t="shared" si="48"/>
        <v>1984</v>
      </c>
      <c r="T384" s="8">
        <v>1984</v>
      </c>
      <c r="U384" s="8">
        <f t="shared" si="49"/>
        <v>38</v>
      </c>
      <c r="V384" s="7">
        <v>30864</v>
      </c>
      <c r="W384" t="s">
        <v>380</v>
      </c>
      <c r="X384" s="2">
        <v>1.6519999999999999</v>
      </c>
      <c r="Y384" s="6">
        <f t="shared" si="46"/>
        <v>4.409919649769093E-2</v>
      </c>
      <c r="AA384" t="s">
        <v>379</v>
      </c>
      <c r="AB384">
        <v>17337</v>
      </c>
      <c r="AC384">
        <v>15582221</v>
      </c>
      <c r="AD384" t="s">
        <v>4</v>
      </c>
      <c r="AE384">
        <v>32</v>
      </c>
      <c r="AF384">
        <v>7</v>
      </c>
      <c r="AH384" t="s">
        <v>3400</v>
      </c>
      <c r="AI384" t="s">
        <v>3399</v>
      </c>
      <c r="AK384" t="s">
        <v>3398</v>
      </c>
      <c r="AL384">
        <v>6</v>
      </c>
      <c r="AM384" s="5">
        <f t="shared" si="50"/>
        <v>0.15789473684210525</v>
      </c>
      <c r="AN384" s="4">
        <f t="shared" si="47"/>
        <v>2.3914386496343091E-4</v>
      </c>
      <c r="AO384" s="3"/>
      <c r="AP384">
        <v>0</v>
      </c>
      <c r="AR384" t="s">
        <v>0</v>
      </c>
      <c r="AT384" s="2" t="s">
        <v>45</v>
      </c>
      <c r="AU384" s="1">
        <f t="shared" si="51"/>
        <v>3.094118070787268</v>
      </c>
      <c r="AV384" s="1">
        <f t="shared" si="52"/>
        <v>2.216917018132718</v>
      </c>
      <c r="AW384" s="1">
        <f t="shared" si="53"/>
        <v>1.3397159654781678</v>
      </c>
    </row>
    <row r="385" spans="1:49" x14ac:dyDescent="0.2">
      <c r="A385">
        <v>383</v>
      </c>
      <c r="B385" t="s">
        <v>3397</v>
      </c>
      <c r="C385" t="s">
        <v>3396</v>
      </c>
      <c r="F385" t="s">
        <v>3395</v>
      </c>
      <c r="G385" t="s">
        <v>13</v>
      </c>
      <c r="H385" t="s">
        <v>12</v>
      </c>
      <c r="I385" t="s">
        <v>3394</v>
      </c>
      <c r="J385">
        <v>100380314</v>
      </c>
      <c r="K385" t="s">
        <v>3393</v>
      </c>
      <c r="L385" t="s">
        <v>3392</v>
      </c>
      <c r="M385" t="s">
        <v>3391</v>
      </c>
      <c r="N385">
        <v>2</v>
      </c>
      <c r="O385" t="s">
        <v>3390</v>
      </c>
      <c r="P385" t="s">
        <v>3389</v>
      </c>
      <c r="Q385" t="s">
        <v>3388</v>
      </c>
      <c r="R385" s="7">
        <v>30682</v>
      </c>
      <c r="S385" s="8">
        <f t="shared" si="48"/>
        <v>1984</v>
      </c>
      <c r="T385" s="8">
        <v>1984</v>
      </c>
      <c r="U385" s="8">
        <f t="shared" si="49"/>
        <v>38</v>
      </c>
      <c r="V385" s="7">
        <v>30864</v>
      </c>
      <c r="W385" t="s">
        <v>380</v>
      </c>
      <c r="X385" s="2">
        <v>1.6519999999999999</v>
      </c>
      <c r="Y385" s="6">
        <f t="shared" si="46"/>
        <v>4.409919649769093E-2</v>
      </c>
      <c r="AA385" t="s">
        <v>379</v>
      </c>
      <c r="AB385">
        <v>17337</v>
      </c>
      <c r="AC385">
        <v>15582221</v>
      </c>
      <c r="AD385" t="s">
        <v>4</v>
      </c>
      <c r="AE385">
        <v>32</v>
      </c>
      <c r="AF385">
        <v>7</v>
      </c>
      <c r="AH385" t="s">
        <v>3387</v>
      </c>
      <c r="AI385" t="s">
        <v>3386</v>
      </c>
      <c r="AK385" t="s">
        <v>3385</v>
      </c>
      <c r="AL385">
        <v>0</v>
      </c>
      <c r="AM385" s="5">
        <f t="shared" si="50"/>
        <v>0</v>
      </c>
      <c r="AN385" s="4">
        <f t="shared" si="47"/>
        <v>0</v>
      </c>
      <c r="AO385" s="3"/>
      <c r="AP385">
        <v>0</v>
      </c>
      <c r="AR385" t="s">
        <v>0</v>
      </c>
      <c r="AT385" s="2" t="s">
        <v>45</v>
      </c>
      <c r="AU385" s="1">
        <f t="shared" si="51"/>
        <v>3.0869437548383649</v>
      </c>
      <c r="AV385" s="1">
        <f t="shared" si="52"/>
        <v>2.2049598248845466</v>
      </c>
      <c r="AW385" s="1">
        <f t="shared" si="53"/>
        <v>1.3229758949307278</v>
      </c>
    </row>
    <row r="386" spans="1:49" x14ac:dyDescent="0.2">
      <c r="A386">
        <v>384</v>
      </c>
      <c r="B386" t="s">
        <v>3384</v>
      </c>
      <c r="C386" t="s">
        <v>3383</v>
      </c>
      <c r="F386" t="s">
        <v>3382</v>
      </c>
      <c r="G386" t="s">
        <v>13</v>
      </c>
      <c r="H386" t="s">
        <v>12</v>
      </c>
      <c r="I386" t="s">
        <v>3381</v>
      </c>
      <c r="J386">
        <v>60007716</v>
      </c>
      <c r="K386" t="s">
        <v>3380</v>
      </c>
      <c r="L386" t="s">
        <v>3379</v>
      </c>
      <c r="M386" t="s">
        <v>24</v>
      </c>
      <c r="N386">
        <v>2</v>
      </c>
      <c r="O386" t="s">
        <v>3378</v>
      </c>
      <c r="P386" t="s">
        <v>3377</v>
      </c>
      <c r="Q386" t="s">
        <v>3376</v>
      </c>
      <c r="R386" s="7">
        <v>30682</v>
      </c>
      <c r="S386" s="8">
        <f t="shared" si="48"/>
        <v>1984</v>
      </c>
      <c r="T386" s="8">
        <v>1984</v>
      </c>
      <c r="U386" s="8">
        <f t="shared" si="49"/>
        <v>38</v>
      </c>
      <c r="V386" s="7">
        <v>30864</v>
      </c>
      <c r="W386" t="s">
        <v>380</v>
      </c>
      <c r="X386" s="2">
        <v>1.6519999999999999</v>
      </c>
      <c r="Y386" s="6">
        <f t="shared" ref="Y386:Y449" si="54">(X386-$Z$4)/($Z$3-$Z$4)</f>
        <v>4.409919649769093E-2</v>
      </c>
      <c r="AA386" t="s">
        <v>379</v>
      </c>
      <c r="AB386">
        <v>17337</v>
      </c>
      <c r="AC386">
        <v>15582221</v>
      </c>
      <c r="AD386" t="s">
        <v>4</v>
      </c>
      <c r="AE386">
        <v>32</v>
      </c>
      <c r="AF386">
        <v>7</v>
      </c>
      <c r="AH386" t="s">
        <v>3375</v>
      </c>
      <c r="AI386" t="s">
        <v>3374</v>
      </c>
      <c r="AK386" t="s">
        <v>3373</v>
      </c>
      <c r="AL386">
        <v>2</v>
      </c>
      <c r="AM386" s="5">
        <f t="shared" si="50"/>
        <v>5.2631578947368418E-2</v>
      </c>
      <c r="AN386" s="4">
        <f t="shared" ref="AN386:AN449" si="55">(AM386-$AO$4)/($AO$3-$AO$4)</f>
        <v>7.9714621654476962E-5</v>
      </c>
      <c r="AO386" s="3"/>
      <c r="AP386">
        <v>0</v>
      </c>
      <c r="AR386" t="s">
        <v>0</v>
      </c>
      <c r="AT386" s="2" t="s">
        <v>45</v>
      </c>
      <c r="AU386" s="1">
        <f t="shared" si="51"/>
        <v>3.0893351934879991</v>
      </c>
      <c r="AV386" s="1">
        <f t="shared" si="52"/>
        <v>2.2089455559672704</v>
      </c>
      <c r="AW386" s="1">
        <f t="shared" si="53"/>
        <v>1.3285559184465412</v>
      </c>
    </row>
    <row r="387" spans="1:49" x14ac:dyDescent="0.2">
      <c r="A387">
        <v>385</v>
      </c>
      <c r="B387" t="s">
        <v>3372</v>
      </c>
      <c r="C387" t="s">
        <v>3371</v>
      </c>
      <c r="F387" t="s">
        <v>3370</v>
      </c>
      <c r="G387" t="s">
        <v>13</v>
      </c>
      <c r="H387" t="s">
        <v>12</v>
      </c>
      <c r="I387" t="s">
        <v>3369</v>
      </c>
      <c r="J387" t="s">
        <v>3364</v>
      </c>
      <c r="K387" t="s">
        <v>3368</v>
      </c>
      <c r="L387" t="s">
        <v>3367</v>
      </c>
      <c r="M387" t="s">
        <v>864</v>
      </c>
      <c r="N387">
        <v>2</v>
      </c>
      <c r="O387" t="s">
        <v>3366</v>
      </c>
      <c r="P387" t="s">
        <v>3365</v>
      </c>
      <c r="Q387" t="s">
        <v>3364</v>
      </c>
      <c r="R387" s="7">
        <v>30682</v>
      </c>
      <c r="S387" s="8">
        <f t="shared" si="48"/>
        <v>1984</v>
      </c>
      <c r="T387" s="8">
        <v>1984</v>
      </c>
      <c r="U387" s="8">
        <f t="shared" si="49"/>
        <v>38</v>
      </c>
      <c r="V387" s="7">
        <v>30864</v>
      </c>
      <c r="W387" t="s">
        <v>380</v>
      </c>
      <c r="X387" s="2">
        <v>1.6519999999999999</v>
      </c>
      <c r="Y387" s="6">
        <f t="shared" si="54"/>
        <v>4.409919649769093E-2</v>
      </c>
      <c r="AA387" t="s">
        <v>379</v>
      </c>
      <c r="AB387">
        <v>17337</v>
      </c>
      <c r="AC387">
        <v>15582221</v>
      </c>
      <c r="AD387" t="s">
        <v>4</v>
      </c>
      <c r="AE387">
        <v>32</v>
      </c>
      <c r="AF387">
        <v>7</v>
      </c>
      <c r="AH387" t="s">
        <v>3363</v>
      </c>
      <c r="AI387" t="s">
        <v>3362</v>
      </c>
      <c r="AK387" t="s">
        <v>3361</v>
      </c>
      <c r="AL387">
        <v>21</v>
      </c>
      <c r="AM387" s="5">
        <f t="shared" si="50"/>
        <v>0.55263157894736847</v>
      </c>
      <c r="AN387" s="4">
        <f t="shared" si="55"/>
        <v>8.3700352737200827E-4</v>
      </c>
      <c r="AO387" s="3"/>
      <c r="AP387">
        <v>0</v>
      </c>
      <c r="AR387" t="s">
        <v>0</v>
      </c>
      <c r="AT387" s="2" t="s">
        <v>45</v>
      </c>
      <c r="AU387" s="1">
        <f t="shared" si="51"/>
        <v>3.1120538606595254</v>
      </c>
      <c r="AV387" s="1">
        <f t="shared" si="52"/>
        <v>2.2468100012531469</v>
      </c>
      <c r="AW387" s="1">
        <f t="shared" si="53"/>
        <v>1.3815661418467684</v>
      </c>
    </row>
    <row r="388" spans="1:49" x14ac:dyDescent="0.2">
      <c r="A388">
        <v>386</v>
      </c>
      <c r="B388" t="s">
        <v>3360</v>
      </c>
      <c r="C388" t="s">
        <v>3359</v>
      </c>
      <c r="F388" t="s">
        <v>3358</v>
      </c>
      <c r="G388" t="s">
        <v>13</v>
      </c>
      <c r="H388" t="s">
        <v>12</v>
      </c>
      <c r="I388" t="s">
        <v>3357</v>
      </c>
      <c r="J388">
        <v>60021378</v>
      </c>
      <c r="K388" t="s">
        <v>3356</v>
      </c>
      <c r="L388" t="s">
        <v>3355</v>
      </c>
      <c r="M388" t="s">
        <v>56</v>
      </c>
      <c r="N388">
        <v>1</v>
      </c>
      <c r="O388" t="s">
        <v>3354</v>
      </c>
      <c r="P388">
        <v>7102662778</v>
      </c>
      <c r="Q388">
        <v>60021378</v>
      </c>
      <c r="R388" s="7">
        <v>30682</v>
      </c>
      <c r="S388" s="8">
        <f t="shared" si="48"/>
        <v>1984</v>
      </c>
      <c r="T388" s="8">
        <v>1984</v>
      </c>
      <c r="U388" s="8">
        <f t="shared" si="49"/>
        <v>38</v>
      </c>
      <c r="V388" s="7">
        <v>30864</v>
      </c>
      <c r="W388" t="s">
        <v>3353</v>
      </c>
      <c r="X388" s="2">
        <v>2.9860000000000002</v>
      </c>
      <c r="Y388" s="6">
        <f t="shared" si="54"/>
        <v>7.9709564613865094E-2</v>
      </c>
      <c r="AA388">
        <v>7338716</v>
      </c>
      <c r="AB388">
        <v>18902</v>
      </c>
      <c r="AD388" t="s">
        <v>4</v>
      </c>
      <c r="AE388">
        <v>2</v>
      </c>
      <c r="AF388">
        <v>4</v>
      </c>
      <c r="AH388" t="s">
        <v>3352</v>
      </c>
      <c r="AI388" t="s">
        <v>3351</v>
      </c>
      <c r="AK388" t="s">
        <v>3350</v>
      </c>
      <c r="AL388">
        <v>621</v>
      </c>
      <c r="AM388" s="5">
        <f t="shared" si="50"/>
        <v>16.342105263157894</v>
      </c>
      <c r="AN388" s="4">
        <f t="shared" si="55"/>
        <v>2.4751390023715097E-2</v>
      </c>
      <c r="AO388" s="3"/>
      <c r="AP388">
        <v>0</v>
      </c>
      <c r="AR388" t="s">
        <v>0</v>
      </c>
      <c r="AT388" s="2" t="s">
        <v>45</v>
      </c>
      <c r="AU388" s="1">
        <f t="shared" si="51"/>
        <v>6.3222112236820092</v>
      </c>
      <c r="AV388" s="1">
        <f t="shared" si="52"/>
        <v>5.2230477318790092</v>
      </c>
      <c r="AW388" s="1">
        <f t="shared" si="53"/>
        <v>4.1238842400760092</v>
      </c>
    </row>
    <row r="389" spans="1:49" x14ac:dyDescent="0.2">
      <c r="A389">
        <v>387</v>
      </c>
      <c r="B389" t="s">
        <v>3349</v>
      </c>
      <c r="C389" t="s">
        <v>3348</v>
      </c>
      <c r="F389" t="s">
        <v>3347</v>
      </c>
      <c r="G389" t="s">
        <v>13</v>
      </c>
      <c r="H389" t="s">
        <v>12</v>
      </c>
      <c r="I389" t="s">
        <v>3346</v>
      </c>
      <c r="J389">
        <v>60025997</v>
      </c>
      <c r="K389" t="s">
        <v>3037</v>
      </c>
      <c r="L389" t="s">
        <v>644</v>
      </c>
      <c r="M389" t="s">
        <v>643</v>
      </c>
      <c r="N389">
        <v>2</v>
      </c>
      <c r="O389" t="s">
        <v>3345</v>
      </c>
      <c r="P389" t="s">
        <v>3344</v>
      </c>
      <c r="Q389" t="s">
        <v>3343</v>
      </c>
      <c r="R389" s="7">
        <v>30682</v>
      </c>
      <c r="S389" s="8">
        <f t="shared" si="48"/>
        <v>1984</v>
      </c>
      <c r="T389" s="8">
        <v>1984</v>
      </c>
      <c r="U389" s="8">
        <f t="shared" si="49"/>
        <v>38</v>
      </c>
      <c r="V389" s="7">
        <v>1984</v>
      </c>
      <c r="W389" t="s">
        <v>756</v>
      </c>
      <c r="X389" s="2">
        <v>0.111</v>
      </c>
      <c r="Y389" s="6">
        <f t="shared" si="54"/>
        <v>2.9630816048690639E-3</v>
      </c>
      <c r="AA389">
        <v>87566621</v>
      </c>
      <c r="AB389">
        <v>24890</v>
      </c>
      <c r="AC389">
        <v>15206424</v>
      </c>
      <c r="AD389" t="s">
        <v>4</v>
      </c>
      <c r="AE389">
        <v>67</v>
      </c>
      <c r="AF389">
        <v>7</v>
      </c>
      <c r="AH389" t="s">
        <v>3342</v>
      </c>
      <c r="AI389" t="s">
        <v>3341</v>
      </c>
      <c r="AK389" t="s">
        <v>3340</v>
      </c>
      <c r="AL389">
        <v>0</v>
      </c>
      <c r="AM389" s="5">
        <f t="shared" si="50"/>
        <v>0</v>
      </c>
      <c r="AN389" s="4">
        <f t="shared" si="55"/>
        <v>0</v>
      </c>
      <c r="AO389" s="3"/>
      <c r="AP389">
        <v>0</v>
      </c>
      <c r="AR389" t="s">
        <v>0</v>
      </c>
      <c r="AT389" s="2" t="s">
        <v>45</v>
      </c>
      <c r="AU389" s="1">
        <f t="shared" si="51"/>
        <v>0.20741571234083445</v>
      </c>
      <c r="AV389" s="1">
        <f t="shared" si="52"/>
        <v>0.1481540802434532</v>
      </c>
      <c r="AW389" s="1">
        <f t="shared" si="53"/>
        <v>8.8892448146071903E-2</v>
      </c>
    </row>
    <row r="390" spans="1:49" x14ac:dyDescent="0.2">
      <c r="A390">
        <v>388</v>
      </c>
      <c r="B390" t="s">
        <v>3339</v>
      </c>
      <c r="C390" t="s">
        <v>3338</v>
      </c>
      <c r="D390" t="s">
        <v>3337</v>
      </c>
      <c r="F390" t="s">
        <v>3336</v>
      </c>
      <c r="G390" t="s">
        <v>13</v>
      </c>
      <c r="H390" t="s">
        <v>12</v>
      </c>
      <c r="I390" t="s">
        <v>3335</v>
      </c>
      <c r="J390" t="s">
        <v>3334</v>
      </c>
      <c r="K390" t="s">
        <v>3333</v>
      </c>
      <c r="L390" t="s">
        <v>3332</v>
      </c>
      <c r="M390" t="s">
        <v>3331</v>
      </c>
      <c r="N390">
        <v>5</v>
      </c>
      <c r="O390" t="s">
        <v>3330</v>
      </c>
      <c r="P390" t="s">
        <v>3329</v>
      </c>
      <c r="Q390" t="s">
        <v>3328</v>
      </c>
      <c r="R390" s="7">
        <v>30682</v>
      </c>
      <c r="S390" s="8">
        <f t="shared" si="48"/>
        <v>1984</v>
      </c>
      <c r="T390" s="8">
        <v>1984</v>
      </c>
      <c r="U390" s="8">
        <f t="shared" si="49"/>
        <v>38</v>
      </c>
      <c r="V390" s="7" t="s">
        <v>348</v>
      </c>
      <c r="W390" t="s">
        <v>3327</v>
      </c>
      <c r="X390" s="2">
        <v>0.65200000000000002</v>
      </c>
      <c r="Y390" s="6">
        <f t="shared" si="54"/>
        <v>1.7404767624996664E-2</v>
      </c>
      <c r="AA390">
        <v>222313</v>
      </c>
      <c r="AB390">
        <v>12179</v>
      </c>
      <c r="AD390" t="s">
        <v>4</v>
      </c>
      <c r="AE390">
        <v>29</v>
      </c>
      <c r="AF390">
        <v>4</v>
      </c>
      <c r="AH390" t="s">
        <v>3326</v>
      </c>
      <c r="AI390" t="s">
        <v>3325</v>
      </c>
      <c r="AK390" t="s">
        <v>3324</v>
      </c>
      <c r="AL390">
        <v>11</v>
      </c>
      <c r="AM390" s="5">
        <f t="shared" si="50"/>
        <v>0.28947368421052633</v>
      </c>
      <c r="AN390" s="4">
        <f t="shared" si="55"/>
        <v>4.3843041909962335E-4</v>
      </c>
      <c r="AO390" s="3"/>
      <c r="AP390">
        <v>0</v>
      </c>
      <c r="AR390" t="s">
        <v>0</v>
      </c>
      <c r="AT390" s="2">
        <v>3.5990000000000002</v>
      </c>
      <c r="AU390" s="1">
        <f t="shared" si="51"/>
        <v>1.2314866463227552</v>
      </c>
      <c r="AV390" s="1">
        <f t="shared" si="52"/>
        <v>0.89215990220481434</v>
      </c>
      <c r="AW390" s="1">
        <f t="shared" si="53"/>
        <v>0.5528331580868735</v>
      </c>
    </row>
    <row r="391" spans="1:49" x14ac:dyDescent="0.2">
      <c r="A391">
        <v>389</v>
      </c>
      <c r="B391" t="s">
        <v>3323</v>
      </c>
      <c r="C391" t="s">
        <v>3322</v>
      </c>
      <c r="F391" t="s">
        <v>3321</v>
      </c>
      <c r="G391" t="s">
        <v>13</v>
      </c>
      <c r="H391" t="s">
        <v>12</v>
      </c>
      <c r="I391" t="s">
        <v>3320</v>
      </c>
      <c r="J391">
        <v>60012564</v>
      </c>
      <c r="K391" t="s">
        <v>3319</v>
      </c>
      <c r="L391" t="s">
        <v>3318</v>
      </c>
      <c r="M391" t="s">
        <v>56</v>
      </c>
      <c r="N391">
        <v>1</v>
      </c>
      <c r="O391" t="s">
        <v>3317</v>
      </c>
      <c r="P391">
        <v>7006235046</v>
      </c>
      <c r="Q391">
        <v>60012564</v>
      </c>
      <c r="R391" s="7">
        <v>30682</v>
      </c>
      <c r="S391" s="8">
        <f t="shared" si="48"/>
        <v>1984</v>
      </c>
      <c r="T391" s="8">
        <v>1984</v>
      </c>
      <c r="U391" s="8">
        <f t="shared" si="49"/>
        <v>38</v>
      </c>
      <c r="V391" s="7">
        <v>30864</v>
      </c>
      <c r="W391" t="s">
        <v>380</v>
      </c>
      <c r="X391" s="2">
        <v>1.6519999999999999</v>
      </c>
      <c r="Y391" s="6">
        <f t="shared" si="54"/>
        <v>4.409919649769093E-2</v>
      </c>
      <c r="AA391" t="s">
        <v>379</v>
      </c>
      <c r="AB391">
        <v>17337</v>
      </c>
      <c r="AC391">
        <v>15582221</v>
      </c>
      <c r="AD391" t="s">
        <v>4</v>
      </c>
      <c r="AE391">
        <v>32</v>
      </c>
      <c r="AF391">
        <v>7</v>
      </c>
      <c r="AH391" t="s">
        <v>3316</v>
      </c>
      <c r="AI391" t="s">
        <v>3315</v>
      </c>
      <c r="AK391" t="s">
        <v>3314</v>
      </c>
      <c r="AL391">
        <v>7</v>
      </c>
      <c r="AM391" s="5">
        <f t="shared" si="50"/>
        <v>0.18421052631578946</v>
      </c>
      <c r="AN391" s="4">
        <f t="shared" si="55"/>
        <v>2.7900117579066937E-4</v>
      </c>
      <c r="AO391" s="3"/>
      <c r="AP391">
        <v>0</v>
      </c>
      <c r="AR391" t="s">
        <v>0</v>
      </c>
      <c r="AT391" s="2" t="s">
        <v>45</v>
      </c>
      <c r="AU391" s="1">
        <f t="shared" si="51"/>
        <v>3.0953137901120851</v>
      </c>
      <c r="AV391" s="1">
        <f t="shared" si="52"/>
        <v>2.2189098836740797</v>
      </c>
      <c r="AW391" s="1">
        <f t="shared" si="53"/>
        <v>1.3425059772360746</v>
      </c>
    </row>
    <row r="392" spans="1:49" x14ac:dyDescent="0.2">
      <c r="A392">
        <v>390</v>
      </c>
      <c r="B392" t="s">
        <v>3313</v>
      </c>
      <c r="C392" t="s">
        <v>3312</v>
      </c>
      <c r="F392" t="s">
        <v>3311</v>
      </c>
      <c r="G392" t="s">
        <v>13</v>
      </c>
      <c r="H392" t="s">
        <v>12</v>
      </c>
      <c r="I392" t="s">
        <v>3310</v>
      </c>
      <c r="N392">
        <v>6</v>
      </c>
      <c r="O392" t="s">
        <v>3309</v>
      </c>
      <c r="P392" t="s">
        <v>3308</v>
      </c>
      <c r="Q392" t="s">
        <v>1402</v>
      </c>
      <c r="R392" s="7">
        <v>30682</v>
      </c>
      <c r="S392" s="8">
        <f t="shared" si="48"/>
        <v>1984</v>
      </c>
      <c r="T392" s="8">
        <v>1984</v>
      </c>
      <c r="U392" s="8">
        <f t="shared" si="49"/>
        <v>38</v>
      </c>
      <c r="V392" s="7" t="s">
        <v>243</v>
      </c>
      <c r="W392" t="s">
        <v>6</v>
      </c>
      <c r="X392" s="2">
        <v>0.371</v>
      </c>
      <c r="Y392" s="6">
        <f t="shared" si="54"/>
        <v>9.9036331117695747E-3</v>
      </c>
      <c r="AA392">
        <v>486604</v>
      </c>
      <c r="AB392">
        <v>28580</v>
      </c>
      <c r="AC392" t="s">
        <v>5</v>
      </c>
      <c r="AD392" t="s">
        <v>4</v>
      </c>
      <c r="AE392">
        <v>19</v>
      </c>
      <c r="AF392">
        <v>4</v>
      </c>
      <c r="AH392" t="s">
        <v>3307</v>
      </c>
      <c r="AI392" t="s">
        <v>3306</v>
      </c>
      <c r="AK392" t="s">
        <v>3305</v>
      </c>
      <c r="AL392">
        <v>24</v>
      </c>
      <c r="AM392" s="5">
        <f t="shared" si="50"/>
        <v>0.63157894736842102</v>
      </c>
      <c r="AN392" s="4">
        <f t="shared" si="55"/>
        <v>9.5657545985372366E-4</v>
      </c>
      <c r="AO392" s="3"/>
      <c r="AP392">
        <v>0</v>
      </c>
      <c r="AR392" t="s">
        <v>0</v>
      </c>
      <c r="AT392" s="2">
        <v>1.431</v>
      </c>
      <c r="AU392" s="1">
        <f t="shared" si="51"/>
        <v>0.72195158161948192</v>
      </c>
      <c r="AV392" s="1">
        <f t="shared" si="52"/>
        <v>0.54301042858116488</v>
      </c>
      <c r="AW392" s="1">
        <f t="shared" si="53"/>
        <v>0.3640692755428479</v>
      </c>
    </row>
    <row r="393" spans="1:49" x14ac:dyDescent="0.2">
      <c r="A393">
        <v>391</v>
      </c>
      <c r="B393" t="s">
        <v>3304</v>
      </c>
      <c r="C393" t="s">
        <v>3303</v>
      </c>
      <c r="F393" t="s">
        <v>3302</v>
      </c>
      <c r="G393" t="s">
        <v>13</v>
      </c>
      <c r="H393" t="s">
        <v>12</v>
      </c>
      <c r="I393" t="s">
        <v>3301</v>
      </c>
      <c r="J393">
        <v>60101699</v>
      </c>
      <c r="K393" t="s">
        <v>2579</v>
      </c>
      <c r="L393" t="s">
        <v>644</v>
      </c>
      <c r="M393" t="s">
        <v>643</v>
      </c>
      <c r="N393">
        <v>3</v>
      </c>
      <c r="O393" t="s">
        <v>3300</v>
      </c>
      <c r="P393" t="s">
        <v>3299</v>
      </c>
      <c r="Q393" t="s">
        <v>2576</v>
      </c>
      <c r="R393" s="7">
        <v>30682</v>
      </c>
      <c r="S393" s="8">
        <f t="shared" si="48"/>
        <v>1984</v>
      </c>
      <c r="T393" s="8">
        <v>1984</v>
      </c>
      <c r="U393" s="8">
        <f t="shared" si="49"/>
        <v>38</v>
      </c>
      <c r="V393" s="7">
        <v>1984</v>
      </c>
      <c r="W393" t="s">
        <v>756</v>
      </c>
      <c r="X393" s="2">
        <v>0.111</v>
      </c>
      <c r="Y393" s="6">
        <f t="shared" si="54"/>
        <v>2.9630816048690639E-3</v>
      </c>
      <c r="AA393">
        <v>87566621</v>
      </c>
      <c r="AB393">
        <v>24890</v>
      </c>
      <c r="AC393">
        <v>15206424</v>
      </c>
      <c r="AD393" t="s">
        <v>4</v>
      </c>
      <c r="AE393">
        <v>67</v>
      </c>
      <c r="AF393">
        <v>7</v>
      </c>
      <c r="AH393" t="s">
        <v>1425</v>
      </c>
      <c r="AI393" t="s">
        <v>3298</v>
      </c>
      <c r="AK393" t="s">
        <v>3297</v>
      </c>
      <c r="AL393">
        <v>0</v>
      </c>
      <c r="AM393" s="5">
        <f t="shared" si="50"/>
        <v>0</v>
      </c>
      <c r="AN393" s="4">
        <f t="shared" si="55"/>
        <v>0</v>
      </c>
      <c r="AO393" s="3"/>
      <c r="AP393">
        <v>0</v>
      </c>
      <c r="AR393" t="s">
        <v>0</v>
      </c>
      <c r="AT393" s="2" t="s">
        <v>45</v>
      </c>
      <c r="AU393" s="1">
        <f t="shared" si="51"/>
        <v>0.20741571234083445</v>
      </c>
      <c r="AV393" s="1">
        <f t="shared" si="52"/>
        <v>0.1481540802434532</v>
      </c>
      <c r="AW393" s="1">
        <f t="shared" si="53"/>
        <v>8.8892448146071903E-2</v>
      </c>
    </row>
    <row r="394" spans="1:49" x14ac:dyDescent="0.2">
      <c r="A394">
        <v>392</v>
      </c>
      <c r="B394" t="s">
        <v>3296</v>
      </c>
      <c r="C394" t="s">
        <v>3295</v>
      </c>
      <c r="F394" t="s">
        <v>3294</v>
      </c>
      <c r="G394" t="s">
        <v>13</v>
      </c>
      <c r="H394" t="s">
        <v>12</v>
      </c>
      <c r="I394" t="s">
        <v>3293</v>
      </c>
      <c r="J394" t="s">
        <v>3292</v>
      </c>
      <c r="K394" t="s">
        <v>3291</v>
      </c>
      <c r="L394" t="s">
        <v>3290</v>
      </c>
      <c r="M394" t="s">
        <v>2076</v>
      </c>
      <c r="N394">
        <v>6</v>
      </c>
      <c r="O394" t="s">
        <v>3289</v>
      </c>
      <c r="P394" t="s">
        <v>3288</v>
      </c>
      <c r="Q394" t="s">
        <v>3287</v>
      </c>
      <c r="R394" s="7">
        <v>30682</v>
      </c>
      <c r="S394" s="8">
        <f t="shared" si="48"/>
        <v>1984</v>
      </c>
      <c r="T394" s="8">
        <v>1984</v>
      </c>
      <c r="U394" s="8">
        <f t="shared" si="49"/>
        <v>38</v>
      </c>
      <c r="V394" s="7">
        <v>30864</v>
      </c>
      <c r="W394" t="s">
        <v>380</v>
      </c>
      <c r="X394" s="2">
        <v>1.6519999999999999</v>
      </c>
      <c r="Y394" s="6">
        <f t="shared" si="54"/>
        <v>4.409919649769093E-2</v>
      </c>
      <c r="AA394" t="s">
        <v>379</v>
      </c>
      <c r="AB394">
        <v>17337</v>
      </c>
      <c r="AC394">
        <v>15582221</v>
      </c>
      <c r="AD394" t="s">
        <v>4</v>
      </c>
      <c r="AE394">
        <v>32</v>
      </c>
      <c r="AF394">
        <v>7</v>
      </c>
      <c r="AH394" t="s">
        <v>3286</v>
      </c>
      <c r="AI394" t="s">
        <v>3285</v>
      </c>
      <c r="AK394" t="s">
        <v>3284</v>
      </c>
      <c r="AL394">
        <v>18</v>
      </c>
      <c r="AM394" s="5">
        <f t="shared" si="50"/>
        <v>0.47368421052631576</v>
      </c>
      <c r="AN394" s="4">
        <f t="shared" si="55"/>
        <v>7.1743159489029266E-4</v>
      </c>
      <c r="AO394" s="3"/>
      <c r="AP394">
        <v>0</v>
      </c>
      <c r="AR394" t="s">
        <v>0</v>
      </c>
      <c r="AT394" s="2" t="s">
        <v>45</v>
      </c>
      <c r="AU394" s="1">
        <f t="shared" si="51"/>
        <v>3.1084667026850736</v>
      </c>
      <c r="AV394" s="1">
        <f t="shared" si="52"/>
        <v>2.2408314046290614</v>
      </c>
      <c r="AW394" s="1">
        <f t="shared" si="53"/>
        <v>1.3731961065730482</v>
      </c>
    </row>
    <row r="395" spans="1:49" x14ac:dyDescent="0.2">
      <c r="A395">
        <v>393</v>
      </c>
      <c r="B395" t="s">
        <v>3283</v>
      </c>
      <c r="C395" t="s">
        <v>3282</v>
      </c>
      <c r="F395" t="s">
        <v>3281</v>
      </c>
      <c r="G395" t="s">
        <v>13</v>
      </c>
      <c r="H395" t="s">
        <v>12</v>
      </c>
      <c r="I395" t="s">
        <v>902</v>
      </c>
      <c r="J395" t="s">
        <v>901</v>
      </c>
      <c r="K395" t="s">
        <v>900</v>
      </c>
      <c r="L395" t="s">
        <v>899</v>
      </c>
      <c r="M395" t="s">
        <v>898</v>
      </c>
      <c r="N395">
        <v>3</v>
      </c>
      <c r="O395" t="s">
        <v>3280</v>
      </c>
      <c r="P395" t="s">
        <v>896</v>
      </c>
      <c r="Q395" t="s">
        <v>3279</v>
      </c>
      <c r="R395" s="7">
        <v>30682</v>
      </c>
      <c r="S395" s="8">
        <f t="shared" si="48"/>
        <v>1984</v>
      </c>
      <c r="T395" s="8">
        <v>1984</v>
      </c>
      <c r="U395" s="8">
        <f t="shared" si="49"/>
        <v>38</v>
      </c>
      <c r="V395" s="7">
        <v>30864</v>
      </c>
      <c r="W395" t="s">
        <v>2072</v>
      </c>
      <c r="X395" s="2">
        <v>0.371</v>
      </c>
      <c r="Y395" s="6">
        <f t="shared" si="54"/>
        <v>9.9036331117695747E-3</v>
      </c>
      <c r="AA395">
        <v>214922</v>
      </c>
      <c r="AB395">
        <v>130262</v>
      </c>
      <c r="AC395">
        <v>13474065</v>
      </c>
      <c r="AD395" t="s">
        <v>4</v>
      </c>
      <c r="AE395">
        <v>23</v>
      </c>
      <c r="AF395" t="s">
        <v>3278</v>
      </c>
      <c r="AH395" t="s">
        <v>3277</v>
      </c>
      <c r="AI395" t="s">
        <v>3276</v>
      </c>
      <c r="AK395" t="s">
        <v>3275</v>
      </c>
      <c r="AL395">
        <v>4</v>
      </c>
      <c r="AM395" s="5">
        <f t="shared" si="50"/>
        <v>0.10526315789473684</v>
      </c>
      <c r="AN395" s="4">
        <f t="shared" si="55"/>
        <v>1.5942924330895392E-4</v>
      </c>
      <c r="AO395" s="3"/>
      <c r="AP395">
        <v>0</v>
      </c>
      <c r="AR395" t="s">
        <v>0</v>
      </c>
      <c r="AT395" s="2">
        <v>1.48</v>
      </c>
      <c r="AU395" s="1">
        <f t="shared" si="51"/>
        <v>0.69803719512313878</v>
      </c>
      <c r="AV395" s="1">
        <f t="shared" si="52"/>
        <v>0.50315311775392646</v>
      </c>
      <c r="AW395" s="1">
        <f t="shared" si="53"/>
        <v>0.30826904038471403</v>
      </c>
    </row>
    <row r="396" spans="1:49" x14ac:dyDescent="0.2">
      <c r="A396">
        <v>394</v>
      </c>
      <c r="B396" t="s">
        <v>3274</v>
      </c>
      <c r="C396" t="s">
        <v>3273</v>
      </c>
      <c r="F396" t="s">
        <v>3272</v>
      </c>
      <c r="G396" t="s">
        <v>13</v>
      </c>
      <c r="H396" t="s">
        <v>12</v>
      </c>
      <c r="I396" t="s">
        <v>2450</v>
      </c>
      <c r="J396">
        <v>60013141</v>
      </c>
      <c r="K396" t="s">
        <v>2855</v>
      </c>
      <c r="L396" t="s">
        <v>2854</v>
      </c>
      <c r="M396" t="s">
        <v>2853</v>
      </c>
      <c r="N396">
        <v>1</v>
      </c>
      <c r="O396" t="s">
        <v>2852</v>
      </c>
      <c r="P396">
        <v>7101988263</v>
      </c>
      <c r="Q396">
        <v>60013141</v>
      </c>
      <c r="R396" s="7">
        <v>30682</v>
      </c>
      <c r="S396" s="8">
        <f t="shared" si="48"/>
        <v>1984</v>
      </c>
      <c r="T396" s="8">
        <v>1984</v>
      </c>
      <c r="U396" s="8">
        <f t="shared" si="49"/>
        <v>38</v>
      </c>
      <c r="V396" s="7">
        <v>30864</v>
      </c>
      <c r="W396" t="s">
        <v>380</v>
      </c>
      <c r="X396" s="2">
        <v>1.6519999999999999</v>
      </c>
      <c r="Y396" s="6">
        <f t="shared" si="54"/>
        <v>4.409919649769093E-2</v>
      </c>
      <c r="AA396" t="s">
        <v>379</v>
      </c>
      <c r="AB396">
        <v>17337</v>
      </c>
      <c r="AC396">
        <v>15582221</v>
      </c>
      <c r="AD396" t="s">
        <v>4</v>
      </c>
      <c r="AE396">
        <v>32</v>
      </c>
      <c r="AF396">
        <v>7</v>
      </c>
      <c r="AH396" t="s">
        <v>3271</v>
      </c>
      <c r="AI396" t="s">
        <v>3270</v>
      </c>
      <c r="AK396" t="s">
        <v>3269</v>
      </c>
      <c r="AL396">
        <v>8</v>
      </c>
      <c r="AM396" s="5">
        <f t="shared" si="50"/>
        <v>0.21052631578947367</v>
      </c>
      <c r="AN396" s="4">
        <f t="shared" si="55"/>
        <v>3.1885848661790785E-4</v>
      </c>
      <c r="AO396" s="3"/>
      <c r="AP396">
        <v>0</v>
      </c>
      <c r="AR396" t="s">
        <v>0</v>
      </c>
      <c r="AT396" s="2" t="s">
        <v>45</v>
      </c>
      <c r="AU396" s="1">
        <f t="shared" si="51"/>
        <v>3.0965095094369026</v>
      </c>
      <c r="AV396" s="1">
        <f t="shared" si="52"/>
        <v>2.2209027492154423</v>
      </c>
      <c r="AW396" s="1">
        <f t="shared" si="53"/>
        <v>1.3452959889939813</v>
      </c>
    </row>
    <row r="397" spans="1:49" x14ac:dyDescent="0.2">
      <c r="A397">
        <v>395</v>
      </c>
      <c r="B397" t="s">
        <v>3268</v>
      </c>
      <c r="C397" t="s">
        <v>3267</v>
      </c>
      <c r="F397" t="s">
        <v>3266</v>
      </c>
      <c r="G397" t="s">
        <v>13</v>
      </c>
      <c r="H397" t="s">
        <v>12</v>
      </c>
      <c r="I397" t="s">
        <v>799</v>
      </c>
      <c r="N397">
        <v>1</v>
      </c>
      <c r="O397" t="s">
        <v>3265</v>
      </c>
      <c r="P397">
        <v>6602458086</v>
      </c>
      <c r="R397" s="7">
        <v>30682</v>
      </c>
      <c r="S397" s="8">
        <f t="shared" si="48"/>
        <v>1984</v>
      </c>
      <c r="T397" s="8">
        <v>1984</v>
      </c>
      <c r="U397" s="8">
        <f t="shared" si="49"/>
        <v>38</v>
      </c>
      <c r="V397" s="7" t="s">
        <v>3241</v>
      </c>
      <c r="W397" t="s">
        <v>796</v>
      </c>
      <c r="X397" s="2" t="s">
        <v>45</v>
      </c>
      <c r="Y397" s="6" t="e">
        <f t="shared" si="54"/>
        <v>#VALUE!</v>
      </c>
      <c r="AA397">
        <v>7009216</v>
      </c>
      <c r="AB397">
        <v>39801</v>
      </c>
      <c r="AD397" t="s">
        <v>4</v>
      </c>
      <c r="AE397">
        <v>9</v>
      </c>
      <c r="AF397">
        <v>3</v>
      </c>
      <c r="AH397" t="s">
        <v>3264</v>
      </c>
      <c r="AI397" t="s">
        <v>3263</v>
      </c>
      <c r="AK397" t="s">
        <v>3262</v>
      </c>
      <c r="AL397">
        <v>0</v>
      </c>
      <c r="AM397" s="5">
        <f t="shared" si="50"/>
        <v>0</v>
      </c>
      <c r="AN397" s="4">
        <f t="shared" si="55"/>
        <v>0</v>
      </c>
      <c r="AO397" s="3"/>
      <c r="AP397">
        <v>0</v>
      </c>
      <c r="AR397" t="s">
        <v>0</v>
      </c>
      <c r="AT397" s="2" t="s">
        <v>45</v>
      </c>
      <c r="AU397" s="1" t="e">
        <f t="shared" si="51"/>
        <v>#VALUE!</v>
      </c>
      <c r="AV397" s="1" t="e">
        <f t="shared" si="52"/>
        <v>#VALUE!</v>
      </c>
      <c r="AW397" s="1" t="e">
        <f t="shared" si="53"/>
        <v>#VALUE!</v>
      </c>
    </row>
    <row r="398" spans="1:49" x14ac:dyDescent="0.2">
      <c r="A398">
        <v>396</v>
      </c>
      <c r="B398" t="s">
        <v>3261</v>
      </c>
      <c r="C398" t="s">
        <v>3260</v>
      </c>
      <c r="E398">
        <v>6384009</v>
      </c>
      <c r="F398" t="s">
        <v>3259</v>
      </c>
      <c r="G398" t="s">
        <v>13</v>
      </c>
      <c r="H398" t="s">
        <v>12</v>
      </c>
      <c r="I398" t="s">
        <v>3258</v>
      </c>
      <c r="J398">
        <v>60012614</v>
      </c>
      <c r="K398" t="s">
        <v>3257</v>
      </c>
      <c r="L398" t="s">
        <v>3256</v>
      </c>
      <c r="M398" t="s">
        <v>1259</v>
      </c>
      <c r="N398">
        <v>4</v>
      </c>
      <c r="O398" t="s">
        <v>3255</v>
      </c>
      <c r="P398" t="s">
        <v>3254</v>
      </c>
      <c r="Q398" t="s">
        <v>3253</v>
      </c>
      <c r="R398" s="7">
        <v>30682</v>
      </c>
      <c r="S398" s="8">
        <f t="shared" si="48"/>
        <v>1984</v>
      </c>
      <c r="T398" s="8">
        <v>1984</v>
      </c>
      <c r="U398" s="8">
        <f t="shared" si="49"/>
        <v>38</v>
      </c>
      <c r="V398" s="7">
        <v>1984</v>
      </c>
      <c r="W398" t="s">
        <v>3147</v>
      </c>
      <c r="X398" s="2" t="s">
        <v>45</v>
      </c>
      <c r="Y398" s="6" t="e">
        <f t="shared" si="54"/>
        <v>#VALUE!</v>
      </c>
      <c r="AA398">
        <v>184888</v>
      </c>
      <c r="AB398">
        <v>95851</v>
      </c>
      <c r="AC398">
        <v>14374315</v>
      </c>
      <c r="AD398" t="s">
        <v>4</v>
      </c>
      <c r="AE398">
        <v>365</v>
      </c>
      <c r="AF398">
        <v>2</v>
      </c>
      <c r="AH398" t="s">
        <v>3252</v>
      </c>
      <c r="AI398" t="s">
        <v>3251</v>
      </c>
      <c r="AJ398" t="s">
        <v>3250</v>
      </c>
      <c r="AK398" t="s">
        <v>3249</v>
      </c>
      <c r="AL398">
        <v>53</v>
      </c>
      <c r="AM398" s="5">
        <f t="shared" si="50"/>
        <v>1.3947368421052631</v>
      </c>
      <c r="AN398" s="4">
        <f t="shared" si="55"/>
        <v>2.1124374738436397E-3</v>
      </c>
      <c r="AO398" s="3"/>
      <c r="AP398">
        <v>0</v>
      </c>
      <c r="AQ398" t="s">
        <v>2781</v>
      </c>
      <c r="AR398" t="s">
        <v>3248</v>
      </c>
      <c r="AS398" t="s">
        <v>2780</v>
      </c>
      <c r="AT398" s="2" t="s">
        <v>45</v>
      </c>
      <c r="AU398" s="1" t="e">
        <f t="shared" si="51"/>
        <v>#VALUE!</v>
      </c>
      <c r="AV398" s="1" t="e">
        <f t="shared" si="52"/>
        <v>#VALUE!</v>
      </c>
      <c r="AW398" s="1" t="e">
        <f t="shared" si="53"/>
        <v>#VALUE!</v>
      </c>
    </row>
    <row r="399" spans="1:49" x14ac:dyDescent="0.2">
      <c r="A399">
        <v>397</v>
      </c>
      <c r="B399" t="s">
        <v>3247</v>
      </c>
      <c r="C399" t="s">
        <v>3246</v>
      </c>
      <c r="F399" t="s">
        <v>3245</v>
      </c>
      <c r="G399" t="s">
        <v>13</v>
      </c>
      <c r="H399" t="s">
        <v>12</v>
      </c>
      <c r="I399" t="s">
        <v>3244</v>
      </c>
      <c r="N399">
        <v>2</v>
      </c>
      <c r="O399" t="s">
        <v>3243</v>
      </c>
      <c r="P399" t="s">
        <v>3242</v>
      </c>
      <c r="Q399" t="s">
        <v>266</v>
      </c>
      <c r="R399" s="7">
        <v>30682</v>
      </c>
      <c r="S399" s="8">
        <f t="shared" si="48"/>
        <v>1984</v>
      </c>
      <c r="T399" s="8">
        <v>1984</v>
      </c>
      <c r="U399" s="8">
        <f t="shared" si="49"/>
        <v>38</v>
      </c>
      <c r="V399" s="7" t="s">
        <v>3241</v>
      </c>
      <c r="W399" t="s">
        <v>796</v>
      </c>
      <c r="X399" s="2" t="s">
        <v>45</v>
      </c>
      <c r="Y399" s="6" t="e">
        <f t="shared" si="54"/>
        <v>#VALUE!</v>
      </c>
      <c r="AA399">
        <v>7009216</v>
      </c>
      <c r="AB399">
        <v>39801</v>
      </c>
      <c r="AD399" t="s">
        <v>4</v>
      </c>
      <c r="AE399">
        <v>9</v>
      </c>
      <c r="AF399">
        <v>3</v>
      </c>
      <c r="AH399" t="s">
        <v>3240</v>
      </c>
      <c r="AI399" t="s">
        <v>3239</v>
      </c>
      <c r="AK399" t="s">
        <v>3238</v>
      </c>
      <c r="AL399">
        <v>0</v>
      </c>
      <c r="AM399" s="5">
        <f t="shared" si="50"/>
        <v>0</v>
      </c>
      <c r="AN399" s="4">
        <f t="shared" si="55"/>
        <v>0</v>
      </c>
      <c r="AO399" s="3"/>
      <c r="AP399">
        <v>0</v>
      </c>
      <c r="AR399" t="s">
        <v>0</v>
      </c>
      <c r="AT399" s="2" t="s">
        <v>45</v>
      </c>
      <c r="AU399" s="1" t="e">
        <f t="shared" si="51"/>
        <v>#VALUE!</v>
      </c>
      <c r="AV399" s="1" t="e">
        <f t="shared" si="52"/>
        <v>#VALUE!</v>
      </c>
      <c r="AW399" s="1" t="e">
        <f t="shared" si="53"/>
        <v>#VALUE!</v>
      </c>
    </row>
    <row r="400" spans="1:49" x14ac:dyDescent="0.2">
      <c r="A400">
        <v>398</v>
      </c>
      <c r="B400" t="s">
        <v>3237</v>
      </c>
      <c r="C400" t="s">
        <v>3236</v>
      </c>
      <c r="F400" t="s">
        <v>3235</v>
      </c>
      <c r="G400" t="s">
        <v>13</v>
      </c>
      <c r="H400" t="s">
        <v>12</v>
      </c>
      <c r="I400" t="s">
        <v>3189</v>
      </c>
      <c r="J400">
        <v>60019947</v>
      </c>
      <c r="K400" t="s">
        <v>3188</v>
      </c>
      <c r="L400" t="s">
        <v>3187</v>
      </c>
      <c r="M400" t="s">
        <v>56</v>
      </c>
      <c r="N400">
        <v>1</v>
      </c>
      <c r="O400" t="s">
        <v>3186</v>
      </c>
      <c r="P400">
        <v>7006842497</v>
      </c>
      <c r="Q400">
        <v>60019947</v>
      </c>
      <c r="R400" s="7">
        <v>30682</v>
      </c>
      <c r="S400" s="8">
        <f t="shared" si="48"/>
        <v>1984</v>
      </c>
      <c r="T400" s="8">
        <v>1984</v>
      </c>
      <c r="U400" s="8">
        <f t="shared" si="49"/>
        <v>38</v>
      </c>
      <c r="V400" s="7">
        <v>30864</v>
      </c>
      <c r="W400" t="s">
        <v>3162</v>
      </c>
      <c r="X400" s="2">
        <v>0.752</v>
      </c>
      <c r="Y400" s="6">
        <f t="shared" si="54"/>
        <v>2.0074210512266089E-2</v>
      </c>
      <c r="AA400">
        <v>3649059</v>
      </c>
      <c r="AB400">
        <v>17277</v>
      </c>
      <c r="AC400">
        <v>15581691</v>
      </c>
      <c r="AD400" t="s">
        <v>4</v>
      </c>
      <c r="AE400">
        <v>9</v>
      </c>
      <c r="AF400">
        <v>3</v>
      </c>
      <c r="AH400" t="s">
        <v>3234</v>
      </c>
      <c r="AI400" t="s">
        <v>3233</v>
      </c>
      <c r="AK400" t="s">
        <v>3232</v>
      </c>
      <c r="AL400">
        <v>42</v>
      </c>
      <c r="AM400" s="5">
        <f t="shared" si="50"/>
        <v>1.1052631578947369</v>
      </c>
      <c r="AN400" s="4">
        <f t="shared" si="55"/>
        <v>1.6740070547440165E-3</v>
      </c>
      <c r="AO400" s="3"/>
      <c r="AP400">
        <v>0</v>
      </c>
      <c r="AR400" t="s">
        <v>0</v>
      </c>
      <c r="AT400" s="2">
        <v>3.5539999999999998</v>
      </c>
      <c r="AU400" s="1">
        <f t="shared" si="51"/>
        <v>1.4554149475009466</v>
      </c>
      <c r="AV400" s="1">
        <f t="shared" si="52"/>
        <v>1.0874108783505052</v>
      </c>
      <c r="AW400" s="1">
        <f t="shared" si="53"/>
        <v>0.71940680920006372</v>
      </c>
    </row>
    <row r="401" spans="1:49" x14ac:dyDescent="0.2">
      <c r="A401">
        <v>399</v>
      </c>
      <c r="B401" t="s">
        <v>3231</v>
      </c>
      <c r="C401" t="s">
        <v>3230</v>
      </c>
      <c r="F401" t="s">
        <v>3229</v>
      </c>
      <c r="G401" t="s">
        <v>13</v>
      </c>
      <c r="H401" t="s">
        <v>12</v>
      </c>
      <c r="I401" t="s">
        <v>3228</v>
      </c>
      <c r="J401">
        <v>60025555</v>
      </c>
      <c r="K401" t="s">
        <v>1317</v>
      </c>
      <c r="L401" t="s">
        <v>644</v>
      </c>
      <c r="M401" t="s">
        <v>643</v>
      </c>
      <c r="N401">
        <v>2</v>
      </c>
      <c r="O401" t="s">
        <v>3227</v>
      </c>
      <c r="P401" t="s">
        <v>3226</v>
      </c>
      <c r="Q401" t="s">
        <v>3225</v>
      </c>
      <c r="R401" s="7">
        <v>30682</v>
      </c>
      <c r="S401" s="8">
        <f t="shared" si="48"/>
        <v>1984</v>
      </c>
      <c r="T401" s="8">
        <v>1984</v>
      </c>
      <c r="U401" s="8">
        <f t="shared" si="49"/>
        <v>38</v>
      </c>
      <c r="V401" s="7">
        <v>30864</v>
      </c>
      <c r="W401" t="s">
        <v>652</v>
      </c>
      <c r="X401" s="2">
        <v>1.468</v>
      </c>
      <c r="Y401" s="6">
        <f t="shared" si="54"/>
        <v>3.9187421585115186E-2</v>
      </c>
      <c r="AA401">
        <v>906778</v>
      </c>
      <c r="AB401">
        <v>18931</v>
      </c>
      <c r="AD401" t="s">
        <v>4</v>
      </c>
      <c r="AE401">
        <v>32</v>
      </c>
      <c r="AF401">
        <v>7</v>
      </c>
      <c r="AH401" t="s">
        <v>3224</v>
      </c>
      <c r="AI401" t="s">
        <v>3223</v>
      </c>
      <c r="AK401" t="s">
        <v>3222</v>
      </c>
      <c r="AL401">
        <v>11</v>
      </c>
      <c r="AM401" s="5">
        <f t="shared" si="50"/>
        <v>0.28947368421052633</v>
      </c>
      <c r="AN401" s="4">
        <f t="shared" si="55"/>
        <v>4.3843041909962335E-4</v>
      </c>
      <c r="AO401" s="3"/>
      <c r="AP401">
        <v>0</v>
      </c>
      <c r="AR401" t="s">
        <v>0</v>
      </c>
      <c r="AT401" s="2">
        <v>5.0830000000000002</v>
      </c>
      <c r="AU401" s="1">
        <f t="shared" si="51"/>
        <v>2.7562724235310516</v>
      </c>
      <c r="AV401" s="1">
        <f t="shared" si="52"/>
        <v>1.9812926002107405</v>
      </c>
      <c r="AW401" s="1">
        <f t="shared" si="53"/>
        <v>1.2063127768904292</v>
      </c>
    </row>
    <row r="402" spans="1:49" x14ac:dyDescent="0.2">
      <c r="A402">
        <v>400</v>
      </c>
      <c r="B402" t="s">
        <v>3221</v>
      </c>
      <c r="C402" t="s">
        <v>3220</v>
      </c>
      <c r="F402" t="s">
        <v>3219</v>
      </c>
      <c r="G402" t="s">
        <v>13</v>
      </c>
      <c r="H402" t="s">
        <v>12</v>
      </c>
      <c r="I402" t="s">
        <v>3218</v>
      </c>
      <c r="J402">
        <v>60014169</v>
      </c>
      <c r="K402" t="s">
        <v>3165</v>
      </c>
      <c r="L402" t="s">
        <v>3164</v>
      </c>
      <c r="M402" t="s">
        <v>56</v>
      </c>
      <c r="N402">
        <v>3</v>
      </c>
      <c r="O402" t="s">
        <v>3217</v>
      </c>
      <c r="P402" t="s">
        <v>3216</v>
      </c>
      <c r="Q402" t="s">
        <v>3215</v>
      </c>
      <c r="R402" s="7">
        <v>30682</v>
      </c>
      <c r="S402" s="8">
        <f t="shared" si="48"/>
        <v>1984</v>
      </c>
      <c r="T402" s="8">
        <v>1984</v>
      </c>
      <c r="U402" s="8">
        <f t="shared" si="49"/>
        <v>38</v>
      </c>
      <c r="V402" s="7">
        <v>30864</v>
      </c>
      <c r="W402" t="s">
        <v>111</v>
      </c>
      <c r="X402" s="2">
        <v>2.383</v>
      </c>
      <c r="Y402" s="6">
        <f t="shared" si="54"/>
        <v>6.3612824003630442E-2</v>
      </c>
      <c r="AA402">
        <v>189219</v>
      </c>
      <c r="AB402">
        <v>17915</v>
      </c>
      <c r="AC402">
        <v>15582256</v>
      </c>
      <c r="AD402" t="s">
        <v>4</v>
      </c>
      <c r="AE402">
        <v>72</v>
      </c>
      <c r="AF402">
        <v>7</v>
      </c>
      <c r="AH402" t="s">
        <v>3214</v>
      </c>
      <c r="AI402" t="s">
        <v>3213</v>
      </c>
      <c r="AK402" t="s">
        <v>3212</v>
      </c>
      <c r="AL402">
        <v>0</v>
      </c>
      <c r="AM402" s="5">
        <f t="shared" si="50"/>
        <v>0</v>
      </c>
      <c r="AN402" s="4">
        <f t="shared" si="55"/>
        <v>0</v>
      </c>
      <c r="AO402" s="3"/>
      <c r="AP402">
        <v>0</v>
      </c>
      <c r="AR402" t="s">
        <v>0</v>
      </c>
      <c r="AT402" s="2">
        <v>10.961</v>
      </c>
      <c r="AU402" s="1">
        <f t="shared" si="51"/>
        <v>4.4528976802541305</v>
      </c>
      <c r="AV402" s="1">
        <f t="shared" si="52"/>
        <v>3.1806412001815221</v>
      </c>
      <c r="AW402" s="1">
        <f t="shared" si="53"/>
        <v>1.9083847201089132</v>
      </c>
    </row>
    <row r="403" spans="1:49" x14ac:dyDescent="0.2">
      <c r="A403">
        <v>401</v>
      </c>
      <c r="B403" t="s">
        <v>3211</v>
      </c>
      <c r="C403" t="s">
        <v>3210</v>
      </c>
      <c r="F403" t="s">
        <v>3209</v>
      </c>
      <c r="G403" t="s">
        <v>13</v>
      </c>
      <c r="H403" t="s">
        <v>12</v>
      </c>
      <c r="I403" t="s">
        <v>3208</v>
      </c>
      <c r="J403">
        <v>60104665</v>
      </c>
      <c r="K403" t="s">
        <v>3207</v>
      </c>
      <c r="L403" t="s">
        <v>3206</v>
      </c>
      <c r="M403" t="s">
        <v>24</v>
      </c>
      <c r="N403">
        <v>1</v>
      </c>
      <c r="O403" t="s">
        <v>3205</v>
      </c>
      <c r="P403">
        <v>56377616100</v>
      </c>
      <c r="Q403">
        <v>60104665</v>
      </c>
      <c r="R403" s="7">
        <v>30682</v>
      </c>
      <c r="S403" s="8">
        <f t="shared" si="48"/>
        <v>1984</v>
      </c>
      <c r="T403" s="8">
        <v>1984</v>
      </c>
      <c r="U403" s="8">
        <f t="shared" si="49"/>
        <v>38</v>
      </c>
      <c r="V403" s="7">
        <v>30682</v>
      </c>
      <c r="W403" t="s">
        <v>3204</v>
      </c>
      <c r="X403" s="2">
        <v>0.439</v>
      </c>
      <c r="Y403" s="6">
        <f t="shared" si="54"/>
        <v>1.1718854275112784E-2</v>
      </c>
      <c r="AA403">
        <v>334545</v>
      </c>
      <c r="AB403">
        <v>21458</v>
      </c>
      <c r="AC403">
        <v>13653075</v>
      </c>
      <c r="AD403" t="s">
        <v>4</v>
      </c>
      <c r="AE403">
        <v>56</v>
      </c>
      <c r="AF403">
        <v>7</v>
      </c>
      <c r="AH403" t="s">
        <v>3203</v>
      </c>
      <c r="AI403" t="s">
        <v>3202</v>
      </c>
      <c r="AK403" t="s">
        <v>3201</v>
      </c>
      <c r="AL403">
        <v>49</v>
      </c>
      <c r="AM403" s="5">
        <f t="shared" si="50"/>
        <v>1.2894736842105263</v>
      </c>
      <c r="AN403" s="4">
        <f t="shared" si="55"/>
        <v>1.9530082305346857E-3</v>
      </c>
      <c r="AO403" s="3"/>
      <c r="AP403">
        <v>0</v>
      </c>
      <c r="AR403" t="s">
        <v>0</v>
      </c>
      <c r="AT403" s="2">
        <v>2.4529999999999998</v>
      </c>
      <c r="AU403" s="1">
        <f t="shared" si="51"/>
        <v>0.87891004617393542</v>
      </c>
      <c r="AV403" s="1">
        <f t="shared" si="52"/>
        <v>0.68359312528237348</v>
      </c>
      <c r="AW403" s="1">
        <f t="shared" si="53"/>
        <v>0.48827620439081154</v>
      </c>
    </row>
    <row r="404" spans="1:49" x14ac:dyDescent="0.2">
      <c r="A404">
        <v>402</v>
      </c>
      <c r="B404" t="s">
        <v>3200</v>
      </c>
      <c r="C404" t="s">
        <v>3199</v>
      </c>
      <c r="F404" t="s">
        <v>3198</v>
      </c>
      <c r="G404" t="s">
        <v>13</v>
      </c>
      <c r="H404" t="s">
        <v>12</v>
      </c>
      <c r="I404" t="s">
        <v>3197</v>
      </c>
      <c r="J404">
        <v>60019947</v>
      </c>
      <c r="K404" t="s">
        <v>3188</v>
      </c>
      <c r="L404" t="s">
        <v>3187</v>
      </c>
      <c r="M404" t="s">
        <v>56</v>
      </c>
      <c r="N404">
        <v>1</v>
      </c>
      <c r="O404" t="s">
        <v>3196</v>
      </c>
      <c r="P404">
        <v>57197619289</v>
      </c>
      <c r="Q404">
        <v>60019947</v>
      </c>
      <c r="R404" s="7">
        <v>30682</v>
      </c>
      <c r="S404" s="8">
        <f t="shared" si="48"/>
        <v>1984</v>
      </c>
      <c r="T404" s="8">
        <v>1984</v>
      </c>
      <c r="U404" s="8">
        <f t="shared" si="49"/>
        <v>38</v>
      </c>
      <c r="V404" s="7">
        <v>30864</v>
      </c>
      <c r="W404" t="s">
        <v>3162</v>
      </c>
      <c r="X404" s="2">
        <v>0.752</v>
      </c>
      <c r="Y404" s="6">
        <f t="shared" si="54"/>
        <v>2.0074210512266089E-2</v>
      </c>
      <c r="AA404">
        <v>3649059</v>
      </c>
      <c r="AB404">
        <v>17277</v>
      </c>
      <c r="AC404">
        <v>15581691</v>
      </c>
      <c r="AD404" t="s">
        <v>4</v>
      </c>
      <c r="AE404">
        <v>9</v>
      </c>
      <c r="AF404">
        <v>3</v>
      </c>
      <c r="AH404" t="s">
        <v>3195</v>
      </c>
      <c r="AI404" t="s">
        <v>3194</v>
      </c>
      <c r="AK404" t="s">
        <v>3193</v>
      </c>
      <c r="AL404">
        <v>4</v>
      </c>
      <c r="AM404" s="5">
        <f t="shared" si="50"/>
        <v>0.10526315789473684</v>
      </c>
      <c r="AN404" s="4">
        <f t="shared" si="55"/>
        <v>1.5942924330895392E-4</v>
      </c>
      <c r="AO404" s="3"/>
      <c r="AP404">
        <v>0</v>
      </c>
      <c r="AR404" t="s">
        <v>0</v>
      </c>
      <c r="AT404" s="2">
        <v>3.5539999999999998</v>
      </c>
      <c r="AU404" s="1">
        <f t="shared" si="51"/>
        <v>1.4099776131578949</v>
      </c>
      <c r="AV404" s="1">
        <f t="shared" si="52"/>
        <v>1.0116819877787522</v>
      </c>
      <c r="AW404" s="1">
        <f t="shared" si="53"/>
        <v>0.61338636239960942</v>
      </c>
    </row>
    <row r="405" spans="1:49" x14ac:dyDescent="0.2">
      <c r="A405">
        <v>403</v>
      </c>
      <c r="B405" t="s">
        <v>3192</v>
      </c>
      <c r="C405" t="s">
        <v>3191</v>
      </c>
      <c r="F405" t="s">
        <v>3190</v>
      </c>
      <c r="G405" t="s">
        <v>13</v>
      </c>
      <c r="H405" t="s">
        <v>12</v>
      </c>
      <c r="I405" t="s">
        <v>3189</v>
      </c>
      <c r="J405">
        <v>60019947</v>
      </c>
      <c r="K405" t="s">
        <v>3188</v>
      </c>
      <c r="L405" t="s">
        <v>3187</v>
      </c>
      <c r="M405" t="s">
        <v>56</v>
      </c>
      <c r="N405">
        <v>1</v>
      </c>
      <c r="O405" t="s">
        <v>3186</v>
      </c>
      <c r="P405">
        <v>7006842497</v>
      </c>
      <c r="Q405">
        <v>60019947</v>
      </c>
      <c r="R405" s="7">
        <v>30682</v>
      </c>
      <c r="S405" s="8">
        <f t="shared" si="48"/>
        <v>1984</v>
      </c>
      <c r="T405" s="8">
        <v>1984</v>
      </c>
      <c r="U405" s="8">
        <f t="shared" si="49"/>
        <v>38</v>
      </c>
      <c r="V405" s="7">
        <v>30864</v>
      </c>
      <c r="W405" t="s">
        <v>3162</v>
      </c>
      <c r="X405" s="2">
        <v>0.752</v>
      </c>
      <c r="Y405" s="6">
        <f t="shared" si="54"/>
        <v>2.0074210512266089E-2</v>
      </c>
      <c r="AA405">
        <v>3649059</v>
      </c>
      <c r="AB405">
        <v>17277</v>
      </c>
      <c r="AC405">
        <v>15581691</v>
      </c>
      <c r="AD405" t="s">
        <v>4</v>
      </c>
      <c r="AE405">
        <v>9</v>
      </c>
      <c r="AF405">
        <v>3</v>
      </c>
      <c r="AH405" t="s">
        <v>3185</v>
      </c>
      <c r="AI405" t="s">
        <v>3184</v>
      </c>
      <c r="AK405" t="s">
        <v>3183</v>
      </c>
      <c r="AL405">
        <v>46</v>
      </c>
      <c r="AM405" s="5">
        <f t="shared" si="50"/>
        <v>1.2105263157894737</v>
      </c>
      <c r="AN405" s="4">
        <f t="shared" si="55"/>
        <v>1.8334362980529702E-3</v>
      </c>
      <c r="AO405" s="3"/>
      <c r="AP405">
        <v>0</v>
      </c>
      <c r="AR405" t="s">
        <v>0</v>
      </c>
      <c r="AT405" s="2">
        <v>3.5539999999999998</v>
      </c>
      <c r="AU405" s="1">
        <f t="shared" si="51"/>
        <v>1.4601978248002154</v>
      </c>
      <c r="AV405" s="1">
        <f t="shared" si="52"/>
        <v>1.0953823405159528</v>
      </c>
      <c r="AW405" s="1">
        <f t="shared" si="53"/>
        <v>0.7305668562316906</v>
      </c>
    </row>
    <row r="406" spans="1:49" x14ac:dyDescent="0.2">
      <c r="A406">
        <v>404</v>
      </c>
      <c r="B406" t="s">
        <v>3182</v>
      </c>
      <c r="C406" t="s">
        <v>3181</v>
      </c>
      <c r="F406" t="s">
        <v>3180</v>
      </c>
      <c r="G406" t="s">
        <v>13</v>
      </c>
      <c r="H406" t="s">
        <v>12</v>
      </c>
      <c r="I406" t="s">
        <v>3179</v>
      </c>
      <c r="J406">
        <v>118838723</v>
      </c>
      <c r="K406" t="s">
        <v>3178</v>
      </c>
      <c r="L406" t="s">
        <v>3177</v>
      </c>
      <c r="M406" t="s">
        <v>605</v>
      </c>
      <c r="N406">
        <v>2</v>
      </c>
      <c r="O406" t="s">
        <v>3176</v>
      </c>
      <c r="P406" t="s">
        <v>3175</v>
      </c>
      <c r="Q406" t="s">
        <v>3174</v>
      </c>
      <c r="R406" s="7">
        <v>30682</v>
      </c>
      <c r="S406" s="8">
        <f t="shared" si="48"/>
        <v>1984</v>
      </c>
      <c r="T406" s="8">
        <v>1984</v>
      </c>
      <c r="U406" s="8">
        <f t="shared" si="49"/>
        <v>38</v>
      </c>
      <c r="V406" s="7">
        <v>30864</v>
      </c>
      <c r="W406" s="11" t="s">
        <v>1313</v>
      </c>
      <c r="X406" s="2">
        <v>2.383</v>
      </c>
      <c r="Y406" s="6">
        <f t="shared" si="54"/>
        <v>6.3612824003630442E-2</v>
      </c>
      <c r="AA406">
        <v>1437070</v>
      </c>
      <c r="AB406">
        <v>39742</v>
      </c>
      <c r="AD406" t="s">
        <v>4</v>
      </c>
      <c r="AE406">
        <v>131</v>
      </c>
      <c r="AF406">
        <v>4</v>
      </c>
      <c r="AH406" t="s">
        <v>3173</v>
      </c>
      <c r="AI406" t="s">
        <v>3172</v>
      </c>
      <c r="AJ406" t="s">
        <v>3171</v>
      </c>
      <c r="AK406" t="s">
        <v>3170</v>
      </c>
      <c r="AL406">
        <v>44</v>
      </c>
      <c r="AM406" s="5">
        <f t="shared" si="50"/>
        <v>1.1578947368421053</v>
      </c>
      <c r="AN406" s="4">
        <f t="shared" si="55"/>
        <v>1.7537216763984934E-3</v>
      </c>
      <c r="AO406" s="3"/>
      <c r="AP406">
        <v>0</v>
      </c>
      <c r="AR406" t="s">
        <v>0</v>
      </c>
      <c r="AT406" s="2" t="s">
        <v>45</v>
      </c>
      <c r="AU406" s="1">
        <f t="shared" si="51"/>
        <v>4.5055093305460856</v>
      </c>
      <c r="AV406" s="1">
        <f t="shared" si="52"/>
        <v>3.2683272840014466</v>
      </c>
      <c r="AW406" s="1">
        <f t="shared" si="53"/>
        <v>2.031145237456808</v>
      </c>
    </row>
    <row r="407" spans="1:49" x14ac:dyDescent="0.2">
      <c r="A407">
        <v>405</v>
      </c>
      <c r="B407" t="s">
        <v>3169</v>
      </c>
      <c r="C407" t="s">
        <v>3168</v>
      </c>
      <c r="F407" t="s">
        <v>3167</v>
      </c>
      <c r="G407" t="s">
        <v>13</v>
      </c>
      <c r="H407" t="s">
        <v>12</v>
      </c>
      <c r="I407" t="s">
        <v>3166</v>
      </c>
      <c r="J407">
        <v>60014169</v>
      </c>
      <c r="K407" t="s">
        <v>3165</v>
      </c>
      <c r="L407" t="s">
        <v>3164</v>
      </c>
      <c r="M407" t="s">
        <v>56</v>
      </c>
      <c r="N407">
        <v>1</v>
      </c>
      <c r="O407" t="s">
        <v>3163</v>
      </c>
      <c r="P407">
        <v>6701532301</v>
      </c>
      <c r="Q407">
        <v>60014169</v>
      </c>
      <c r="R407" s="7">
        <v>30682</v>
      </c>
      <c r="S407" s="8">
        <f t="shared" si="48"/>
        <v>1984</v>
      </c>
      <c r="T407" s="8">
        <v>1984</v>
      </c>
      <c r="U407" s="8">
        <f t="shared" si="49"/>
        <v>38</v>
      </c>
      <c r="V407" s="7">
        <v>30864</v>
      </c>
      <c r="W407" t="s">
        <v>3162</v>
      </c>
      <c r="X407" s="2">
        <v>0.752</v>
      </c>
      <c r="Y407" s="6">
        <f t="shared" si="54"/>
        <v>2.0074210512266089E-2</v>
      </c>
      <c r="AA407">
        <v>3649059</v>
      </c>
      <c r="AB407">
        <v>17277</v>
      </c>
      <c r="AC407">
        <v>15581691</v>
      </c>
      <c r="AD407" t="s">
        <v>4</v>
      </c>
      <c r="AE407">
        <v>9</v>
      </c>
      <c r="AF407">
        <v>3</v>
      </c>
      <c r="AH407" t="s">
        <v>3161</v>
      </c>
      <c r="AI407" t="s">
        <v>3160</v>
      </c>
      <c r="AK407" t="s">
        <v>3159</v>
      </c>
      <c r="AL407">
        <v>2</v>
      </c>
      <c r="AM407" s="5">
        <f t="shared" si="50"/>
        <v>5.2631578947368418E-2</v>
      </c>
      <c r="AN407" s="4">
        <f t="shared" si="55"/>
        <v>7.9714621654476962E-5</v>
      </c>
      <c r="AO407" s="3"/>
      <c r="AP407">
        <v>0</v>
      </c>
      <c r="AR407" t="s">
        <v>0</v>
      </c>
      <c r="AT407" s="2">
        <v>3.5539999999999998</v>
      </c>
      <c r="AU407" s="1">
        <f t="shared" si="51"/>
        <v>1.4075861745082605</v>
      </c>
      <c r="AV407" s="1">
        <f t="shared" si="52"/>
        <v>1.0076962566960284</v>
      </c>
      <c r="AW407" s="1">
        <f t="shared" si="53"/>
        <v>0.60780633888379609</v>
      </c>
    </row>
    <row r="408" spans="1:49" x14ac:dyDescent="0.2">
      <c r="A408">
        <v>406</v>
      </c>
      <c r="B408" t="s">
        <v>3158</v>
      </c>
      <c r="C408" t="s">
        <v>3157</v>
      </c>
      <c r="E408">
        <v>6434397</v>
      </c>
      <c r="F408" t="s">
        <v>3156</v>
      </c>
      <c r="G408" t="s">
        <v>13</v>
      </c>
      <c r="H408" t="s">
        <v>12</v>
      </c>
      <c r="I408" t="s">
        <v>3155</v>
      </c>
      <c r="J408" t="s">
        <v>3154</v>
      </c>
      <c r="K408" t="s">
        <v>3153</v>
      </c>
      <c r="L408" t="s">
        <v>3152</v>
      </c>
      <c r="M408" t="s">
        <v>3151</v>
      </c>
      <c r="N408">
        <v>5</v>
      </c>
      <c r="O408" t="s">
        <v>3150</v>
      </c>
      <c r="P408" t="s">
        <v>3149</v>
      </c>
      <c r="Q408" t="s">
        <v>3148</v>
      </c>
      <c r="R408" s="7">
        <v>30682</v>
      </c>
      <c r="S408" s="8">
        <f t="shared" si="48"/>
        <v>1984</v>
      </c>
      <c r="T408" s="8">
        <v>1984</v>
      </c>
      <c r="U408" s="8">
        <f t="shared" si="49"/>
        <v>38</v>
      </c>
      <c r="V408" s="7">
        <v>1984</v>
      </c>
      <c r="W408" t="s">
        <v>3147</v>
      </c>
      <c r="X408" s="2" t="s">
        <v>45</v>
      </c>
      <c r="Y408" s="6" t="e">
        <f t="shared" si="54"/>
        <v>#VALUE!</v>
      </c>
      <c r="AA408">
        <v>184888</v>
      </c>
      <c r="AB408">
        <v>95851</v>
      </c>
      <c r="AC408">
        <v>14374315</v>
      </c>
      <c r="AD408" t="s">
        <v>4</v>
      </c>
      <c r="AE408">
        <v>365</v>
      </c>
      <c r="AF408">
        <v>2</v>
      </c>
      <c r="AH408" t="s">
        <v>3146</v>
      </c>
      <c r="AI408" t="s">
        <v>3145</v>
      </c>
      <c r="AJ408" t="s">
        <v>3144</v>
      </c>
      <c r="AK408" t="s">
        <v>3143</v>
      </c>
      <c r="AL408">
        <v>47</v>
      </c>
      <c r="AM408" s="5">
        <f t="shared" si="50"/>
        <v>1.236842105263158</v>
      </c>
      <c r="AN408" s="4">
        <f t="shared" si="55"/>
        <v>1.8732936088802089E-3</v>
      </c>
      <c r="AO408" s="3"/>
      <c r="AP408">
        <v>0</v>
      </c>
      <c r="AQ408" t="s">
        <v>2781</v>
      </c>
      <c r="AR408" t="s">
        <v>3142</v>
      </c>
      <c r="AS408" t="s">
        <v>2780</v>
      </c>
      <c r="AT408" s="2" t="s">
        <v>45</v>
      </c>
      <c r="AU408" s="1" t="e">
        <f t="shared" si="51"/>
        <v>#VALUE!</v>
      </c>
      <c r="AV408" s="1" t="e">
        <f t="shared" si="52"/>
        <v>#VALUE!</v>
      </c>
      <c r="AW408" s="1" t="e">
        <f t="shared" si="53"/>
        <v>#VALUE!</v>
      </c>
    </row>
    <row r="409" spans="1:49" x14ac:dyDescent="0.2">
      <c r="A409">
        <v>407</v>
      </c>
      <c r="B409" t="s">
        <v>3141</v>
      </c>
      <c r="C409" t="s">
        <v>3140</v>
      </c>
      <c r="D409" t="s">
        <v>3139</v>
      </c>
      <c r="E409">
        <v>6744416</v>
      </c>
      <c r="F409" t="s">
        <v>3138</v>
      </c>
      <c r="G409" t="s">
        <v>13</v>
      </c>
      <c r="H409" t="s">
        <v>12</v>
      </c>
      <c r="I409" t="s">
        <v>3137</v>
      </c>
      <c r="J409" t="s">
        <v>3136</v>
      </c>
      <c r="K409" t="s">
        <v>3135</v>
      </c>
      <c r="L409" t="s">
        <v>3134</v>
      </c>
      <c r="M409" t="s">
        <v>206</v>
      </c>
      <c r="N409">
        <v>5</v>
      </c>
      <c r="O409" t="s">
        <v>3133</v>
      </c>
      <c r="P409" t="s">
        <v>3132</v>
      </c>
      <c r="Q409" t="s">
        <v>3131</v>
      </c>
      <c r="R409" s="7">
        <v>30682</v>
      </c>
      <c r="S409" s="8">
        <f t="shared" si="48"/>
        <v>1984</v>
      </c>
      <c r="T409" s="8">
        <v>1984</v>
      </c>
      <c r="U409" s="8">
        <f t="shared" si="49"/>
        <v>38</v>
      </c>
      <c r="V409" s="7">
        <v>30864</v>
      </c>
      <c r="W409" t="s">
        <v>3130</v>
      </c>
      <c r="X409" s="2">
        <v>26.303999999999998</v>
      </c>
      <c r="Y409" s="6">
        <f t="shared" si="54"/>
        <v>0.70217025706735003</v>
      </c>
      <c r="AA409">
        <v>928674</v>
      </c>
      <c r="AB409">
        <v>18434</v>
      </c>
      <c r="AD409" t="s">
        <v>4</v>
      </c>
      <c r="AE409">
        <v>37</v>
      </c>
      <c r="AF409">
        <v>3</v>
      </c>
      <c r="AH409" t="s">
        <v>3129</v>
      </c>
      <c r="AI409" t="s">
        <v>3128</v>
      </c>
      <c r="AK409" t="s">
        <v>3127</v>
      </c>
      <c r="AL409">
        <v>266</v>
      </c>
      <c r="AM409" s="5">
        <f t="shared" si="50"/>
        <v>7</v>
      </c>
      <c r="AN409" s="4">
        <f t="shared" si="55"/>
        <v>1.0602044680045438E-2</v>
      </c>
      <c r="AO409" s="3"/>
      <c r="AP409">
        <v>0</v>
      </c>
      <c r="AQ409" t="s">
        <v>3126</v>
      </c>
      <c r="AR409" t="s">
        <v>3125</v>
      </c>
      <c r="AS409" t="s">
        <v>3124</v>
      </c>
      <c r="AT409" s="2">
        <v>41.582000000000001</v>
      </c>
      <c r="AU409" s="1">
        <f t="shared" si="51"/>
        <v>49.469979335115866</v>
      </c>
      <c r="AV409" s="1">
        <f t="shared" si="52"/>
        <v>35.638615087369772</v>
      </c>
      <c r="AW409" s="1">
        <f t="shared" si="53"/>
        <v>21.807250839623681</v>
      </c>
    </row>
    <row r="410" spans="1:49" x14ac:dyDescent="0.2">
      <c r="A410">
        <v>408</v>
      </c>
      <c r="B410" t="s">
        <v>3123</v>
      </c>
      <c r="F410" t="s">
        <v>3122</v>
      </c>
      <c r="G410" t="s">
        <v>13</v>
      </c>
      <c r="H410" t="s">
        <v>12</v>
      </c>
      <c r="I410" t="s">
        <v>2146</v>
      </c>
      <c r="N410">
        <v>2</v>
      </c>
      <c r="O410" t="s">
        <v>2410</v>
      </c>
      <c r="P410" t="s">
        <v>2409</v>
      </c>
      <c r="Q410" t="s">
        <v>266</v>
      </c>
      <c r="R410" s="7">
        <v>30682</v>
      </c>
      <c r="S410" s="8">
        <f t="shared" si="48"/>
        <v>1984</v>
      </c>
      <c r="T410" s="8">
        <v>1984</v>
      </c>
      <c r="U410" s="8">
        <f t="shared" si="49"/>
        <v>38</v>
      </c>
      <c r="V410" s="7" t="s">
        <v>2673</v>
      </c>
      <c r="W410" t="s">
        <v>1668</v>
      </c>
      <c r="X410" s="2" t="s">
        <v>45</v>
      </c>
      <c r="Y410" s="6" t="e">
        <f t="shared" si="54"/>
        <v>#VALUE!</v>
      </c>
      <c r="AA410" t="s">
        <v>1667</v>
      </c>
      <c r="AB410">
        <v>30906</v>
      </c>
      <c r="AD410" t="s">
        <v>4</v>
      </c>
      <c r="AE410" t="s">
        <v>1666</v>
      </c>
      <c r="AF410">
        <v>6</v>
      </c>
      <c r="AH410" t="s">
        <v>3121</v>
      </c>
      <c r="AI410" t="s">
        <v>3120</v>
      </c>
      <c r="AK410" t="s">
        <v>3119</v>
      </c>
      <c r="AL410">
        <v>0</v>
      </c>
      <c r="AM410" s="5">
        <f t="shared" si="50"/>
        <v>0</v>
      </c>
      <c r="AN410" s="4">
        <f t="shared" si="55"/>
        <v>0</v>
      </c>
      <c r="AO410" s="3"/>
      <c r="AP410">
        <v>0</v>
      </c>
      <c r="AR410" t="s">
        <v>0</v>
      </c>
      <c r="AT410" s="2" t="s">
        <v>45</v>
      </c>
      <c r="AU410" s="1" t="e">
        <f t="shared" si="51"/>
        <v>#VALUE!</v>
      </c>
      <c r="AV410" s="1" t="e">
        <f t="shared" si="52"/>
        <v>#VALUE!</v>
      </c>
      <c r="AW410" s="1" t="e">
        <f t="shared" si="53"/>
        <v>#VALUE!</v>
      </c>
    </row>
    <row r="411" spans="1:49" x14ac:dyDescent="0.2">
      <c r="A411">
        <v>409</v>
      </c>
      <c r="B411" t="s">
        <v>3118</v>
      </c>
      <c r="C411" t="s">
        <v>3117</v>
      </c>
      <c r="F411" t="s">
        <v>3116</v>
      </c>
      <c r="G411" t="s">
        <v>13</v>
      </c>
      <c r="H411" t="s">
        <v>12</v>
      </c>
      <c r="I411" t="s">
        <v>3115</v>
      </c>
      <c r="J411">
        <v>60022195</v>
      </c>
      <c r="K411" t="s">
        <v>195</v>
      </c>
      <c r="L411" t="s">
        <v>194</v>
      </c>
      <c r="M411" t="s">
        <v>56</v>
      </c>
      <c r="N411">
        <v>2</v>
      </c>
      <c r="O411" t="s">
        <v>3114</v>
      </c>
      <c r="P411" t="s">
        <v>3113</v>
      </c>
      <c r="Q411" t="s">
        <v>3112</v>
      </c>
      <c r="R411" s="7">
        <v>30682</v>
      </c>
      <c r="S411" s="8">
        <f t="shared" si="48"/>
        <v>1984</v>
      </c>
      <c r="T411" s="8">
        <v>1984</v>
      </c>
      <c r="U411" s="8">
        <f t="shared" si="49"/>
        <v>38</v>
      </c>
      <c r="V411" s="7">
        <v>30834</v>
      </c>
      <c r="W411" t="s">
        <v>691</v>
      </c>
      <c r="X411" s="2">
        <v>1.774</v>
      </c>
      <c r="Y411" s="6">
        <f t="shared" si="54"/>
        <v>4.7355916820159633E-2</v>
      </c>
      <c r="AA411">
        <v>295515</v>
      </c>
      <c r="AB411">
        <v>29066</v>
      </c>
      <c r="AC411">
        <v>17414326</v>
      </c>
      <c r="AD411" t="s">
        <v>4</v>
      </c>
      <c r="AE411">
        <v>24</v>
      </c>
      <c r="AF411">
        <v>6</v>
      </c>
      <c r="AH411" t="s">
        <v>3111</v>
      </c>
      <c r="AI411" t="s">
        <v>3110</v>
      </c>
      <c r="AK411" t="s">
        <v>3109</v>
      </c>
      <c r="AL411">
        <v>27</v>
      </c>
      <c r="AM411" s="5">
        <f t="shared" si="50"/>
        <v>0.71052631578947367</v>
      </c>
      <c r="AN411" s="4">
        <f t="shared" si="55"/>
        <v>1.076147392335439E-3</v>
      </c>
      <c r="AO411" s="3"/>
      <c r="AP411">
        <v>0</v>
      </c>
      <c r="AR411" t="s">
        <v>0</v>
      </c>
      <c r="AT411" s="2">
        <v>3.1789999999999998</v>
      </c>
      <c r="AU411" s="1">
        <f t="shared" si="51"/>
        <v>3.3471985991812372</v>
      </c>
      <c r="AV411" s="1">
        <f t="shared" si="52"/>
        <v>2.4216032106247538</v>
      </c>
      <c r="AW411" s="1">
        <f t="shared" si="53"/>
        <v>1.4960078220682695</v>
      </c>
    </row>
    <row r="412" spans="1:49" x14ac:dyDescent="0.2">
      <c r="A412">
        <v>410</v>
      </c>
      <c r="B412" t="s">
        <v>3108</v>
      </c>
      <c r="C412" t="s">
        <v>3107</v>
      </c>
      <c r="F412" t="s">
        <v>3106</v>
      </c>
      <c r="G412" t="s">
        <v>13</v>
      </c>
      <c r="H412" t="s">
        <v>12</v>
      </c>
      <c r="I412" t="s">
        <v>3105</v>
      </c>
      <c r="J412">
        <v>60072442</v>
      </c>
      <c r="K412" t="s">
        <v>3104</v>
      </c>
      <c r="L412" t="s">
        <v>3103</v>
      </c>
      <c r="M412" t="s">
        <v>2033</v>
      </c>
      <c r="N412">
        <v>1</v>
      </c>
      <c r="O412" t="s">
        <v>3102</v>
      </c>
      <c r="P412">
        <v>7006225019</v>
      </c>
      <c r="Q412">
        <v>60072442</v>
      </c>
      <c r="R412" s="7">
        <v>30682</v>
      </c>
      <c r="S412" s="8">
        <f t="shared" si="48"/>
        <v>1984</v>
      </c>
      <c r="T412" s="8">
        <v>1984</v>
      </c>
      <c r="U412" s="8">
        <f t="shared" si="49"/>
        <v>38</v>
      </c>
      <c r="V412" s="7">
        <v>30834</v>
      </c>
      <c r="W412" t="s">
        <v>380</v>
      </c>
      <c r="X412" s="2">
        <v>1.6519999999999999</v>
      </c>
      <c r="Y412" s="6">
        <f t="shared" si="54"/>
        <v>4.409919649769093E-2</v>
      </c>
      <c r="AA412" t="s">
        <v>379</v>
      </c>
      <c r="AB412">
        <v>17337</v>
      </c>
      <c r="AC412">
        <v>15582221</v>
      </c>
      <c r="AD412" t="s">
        <v>4</v>
      </c>
      <c r="AE412">
        <v>32</v>
      </c>
      <c r="AF412">
        <v>6</v>
      </c>
      <c r="AH412" t="s">
        <v>3101</v>
      </c>
      <c r="AI412" t="s">
        <v>3100</v>
      </c>
      <c r="AK412" t="s">
        <v>3099</v>
      </c>
      <c r="AL412">
        <v>1</v>
      </c>
      <c r="AM412" s="5">
        <f t="shared" si="50"/>
        <v>2.6315789473684209E-2</v>
      </c>
      <c r="AN412" s="4">
        <f t="shared" si="55"/>
        <v>3.9857310827238481E-5</v>
      </c>
      <c r="AO412" s="3"/>
      <c r="AP412">
        <v>0</v>
      </c>
      <c r="AR412" t="s">
        <v>0</v>
      </c>
      <c r="AT412" s="2" t="s">
        <v>45</v>
      </c>
      <c r="AU412" s="1">
        <f t="shared" si="51"/>
        <v>3.088139474163182</v>
      </c>
      <c r="AV412" s="1">
        <f t="shared" si="52"/>
        <v>2.2069526904259082</v>
      </c>
      <c r="AW412" s="1">
        <f t="shared" si="53"/>
        <v>1.3257659066886345</v>
      </c>
    </row>
    <row r="413" spans="1:49" x14ac:dyDescent="0.2">
      <c r="A413">
        <v>411</v>
      </c>
      <c r="B413" t="s">
        <v>3098</v>
      </c>
      <c r="C413" t="s">
        <v>3097</v>
      </c>
      <c r="F413" t="s">
        <v>3096</v>
      </c>
      <c r="G413" t="s">
        <v>13</v>
      </c>
      <c r="H413" t="s">
        <v>12</v>
      </c>
      <c r="I413" t="s">
        <v>3095</v>
      </c>
      <c r="J413">
        <v>60018735</v>
      </c>
      <c r="K413" t="s">
        <v>3094</v>
      </c>
      <c r="L413" t="s">
        <v>644</v>
      </c>
      <c r="M413" t="s">
        <v>643</v>
      </c>
      <c r="N413">
        <v>2</v>
      </c>
      <c r="O413" t="s">
        <v>3093</v>
      </c>
      <c r="P413" t="s">
        <v>3092</v>
      </c>
      <c r="Q413" t="s">
        <v>3091</v>
      </c>
      <c r="R413" s="7">
        <v>30682</v>
      </c>
      <c r="S413" s="8">
        <f t="shared" si="48"/>
        <v>1984</v>
      </c>
      <c r="T413" s="8">
        <v>1984</v>
      </c>
      <c r="U413" s="8">
        <f t="shared" si="49"/>
        <v>38</v>
      </c>
      <c r="V413" s="7">
        <v>30834</v>
      </c>
      <c r="W413" t="s">
        <v>380</v>
      </c>
      <c r="X413" s="2">
        <v>1.6519999999999999</v>
      </c>
      <c r="Y413" s="6">
        <f t="shared" si="54"/>
        <v>4.409919649769093E-2</v>
      </c>
      <c r="AA413" t="s">
        <v>379</v>
      </c>
      <c r="AB413">
        <v>17337</v>
      </c>
      <c r="AC413">
        <v>15582221</v>
      </c>
      <c r="AD413" t="s">
        <v>4</v>
      </c>
      <c r="AE413">
        <v>32</v>
      </c>
      <c r="AF413">
        <v>6</v>
      </c>
      <c r="AH413" t="s">
        <v>3090</v>
      </c>
      <c r="AI413" t="s">
        <v>3089</v>
      </c>
      <c r="AK413" t="s">
        <v>3088</v>
      </c>
      <c r="AL413">
        <v>35</v>
      </c>
      <c r="AM413" s="5">
        <f t="shared" si="50"/>
        <v>0.92105263157894735</v>
      </c>
      <c r="AN413" s="4">
        <f t="shared" si="55"/>
        <v>1.3950058789533469E-3</v>
      </c>
      <c r="AO413" s="3"/>
      <c r="AP413">
        <v>0</v>
      </c>
      <c r="AR413" t="s">
        <v>0</v>
      </c>
      <c r="AT413" s="2" t="s">
        <v>45</v>
      </c>
      <c r="AU413" s="1">
        <f t="shared" si="51"/>
        <v>3.1287939312069657</v>
      </c>
      <c r="AV413" s="1">
        <f t="shared" si="52"/>
        <v>2.2747101188322136</v>
      </c>
      <c r="AW413" s="1">
        <f t="shared" si="53"/>
        <v>1.420626306457462</v>
      </c>
    </row>
    <row r="414" spans="1:49" x14ac:dyDescent="0.2">
      <c r="A414">
        <v>412</v>
      </c>
      <c r="B414" t="s">
        <v>3087</v>
      </c>
      <c r="C414" t="s">
        <v>3086</v>
      </c>
      <c r="F414" t="s">
        <v>3085</v>
      </c>
      <c r="G414" t="s">
        <v>13</v>
      </c>
      <c r="H414" t="s">
        <v>12</v>
      </c>
      <c r="I414" t="s">
        <v>3084</v>
      </c>
      <c r="J414" t="s">
        <v>3083</v>
      </c>
      <c r="K414" t="s">
        <v>3082</v>
      </c>
      <c r="L414" t="s">
        <v>3081</v>
      </c>
      <c r="M414" t="s">
        <v>72</v>
      </c>
      <c r="N414">
        <v>8</v>
      </c>
      <c r="O414" t="s">
        <v>3080</v>
      </c>
      <c r="P414" t="s">
        <v>3079</v>
      </c>
      <c r="Q414" t="s">
        <v>3078</v>
      </c>
      <c r="R414" s="7">
        <v>30682</v>
      </c>
      <c r="S414" s="8">
        <f t="shared" si="48"/>
        <v>1984</v>
      </c>
      <c r="T414" s="8">
        <v>1984</v>
      </c>
      <c r="U414" s="8">
        <f t="shared" si="49"/>
        <v>38</v>
      </c>
      <c r="V414" s="7">
        <v>30834</v>
      </c>
      <c r="W414" t="s">
        <v>691</v>
      </c>
      <c r="X414" s="2">
        <v>1.774</v>
      </c>
      <c r="Y414" s="6">
        <f t="shared" si="54"/>
        <v>4.7355916820159633E-2</v>
      </c>
      <c r="AA414">
        <v>295515</v>
      </c>
      <c r="AB414">
        <v>29066</v>
      </c>
      <c r="AC414">
        <v>17414326</v>
      </c>
      <c r="AD414" t="s">
        <v>4</v>
      </c>
      <c r="AE414">
        <v>24</v>
      </c>
      <c r="AF414">
        <v>6</v>
      </c>
      <c r="AH414" t="s">
        <v>3077</v>
      </c>
      <c r="AI414" t="s">
        <v>3076</v>
      </c>
      <c r="AK414" t="s">
        <v>3075</v>
      </c>
      <c r="AL414">
        <v>34</v>
      </c>
      <c r="AM414" s="5">
        <f t="shared" si="50"/>
        <v>0.89473684210526316</v>
      </c>
      <c r="AN414" s="4">
        <f t="shared" si="55"/>
        <v>1.3551485681261085E-3</v>
      </c>
      <c r="AO414" s="3"/>
      <c r="AP414">
        <v>0</v>
      </c>
      <c r="AR414" t="s">
        <v>0</v>
      </c>
      <c r="AT414" s="2">
        <v>3.1789999999999998</v>
      </c>
      <c r="AU414" s="1">
        <f t="shared" si="51"/>
        <v>3.3555686344549569</v>
      </c>
      <c r="AV414" s="1">
        <f t="shared" si="52"/>
        <v>2.435553269414287</v>
      </c>
      <c r="AW414" s="1">
        <f t="shared" si="53"/>
        <v>1.5155379043736164</v>
      </c>
    </row>
    <row r="415" spans="1:49" x14ac:dyDescent="0.2">
      <c r="A415">
        <v>413</v>
      </c>
      <c r="B415" t="s">
        <v>3074</v>
      </c>
      <c r="C415" t="s">
        <v>3073</v>
      </c>
      <c r="F415" t="s">
        <v>3072</v>
      </c>
      <c r="G415" t="s">
        <v>13</v>
      </c>
      <c r="H415" t="s">
        <v>12</v>
      </c>
      <c r="I415" t="s">
        <v>3071</v>
      </c>
      <c r="J415">
        <v>60022195</v>
      </c>
      <c r="K415" t="s">
        <v>195</v>
      </c>
      <c r="L415" t="s">
        <v>194</v>
      </c>
      <c r="M415" t="s">
        <v>56</v>
      </c>
      <c r="N415">
        <v>1</v>
      </c>
      <c r="O415" t="s">
        <v>3070</v>
      </c>
      <c r="P415">
        <v>6602639494</v>
      </c>
      <c r="Q415">
        <v>60022195</v>
      </c>
      <c r="R415" s="7">
        <v>30682</v>
      </c>
      <c r="S415" s="8">
        <f t="shared" si="48"/>
        <v>1984</v>
      </c>
      <c r="T415" s="8">
        <v>1984</v>
      </c>
      <c r="U415" s="8">
        <f t="shared" si="49"/>
        <v>38</v>
      </c>
      <c r="V415" s="7">
        <v>30834</v>
      </c>
      <c r="W415" t="s">
        <v>380</v>
      </c>
      <c r="X415" s="2">
        <v>1.6519999999999999</v>
      </c>
      <c r="Y415" s="6">
        <f t="shared" si="54"/>
        <v>4.409919649769093E-2</v>
      </c>
      <c r="AA415" t="s">
        <v>379</v>
      </c>
      <c r="AB415">
        <v>17337</v>
      </c>
      <c r="AC415">
        <v>15582221</v>
      </c>
      <c r="AD415" t="s">
        <v>4</v>
      </c>
      <c r="AE415">
        <v>32</v>
      </c>
      <c r="AF415">
        <v>6</v>
      </c>
      <c r="AH415" t="s">
        <v>3069</v>
      </c>
      <c r="AI415" t="s">
        <v>3068</v>
      </c>
      <c r="AK415" t="s">
        <v>3067</v>
      </c>
      <c r="AL415">
        <v>16</v>
      </c>
      <c r="AM415" s="5">
        <f t="shared" si="50"/>
        <v>0.42105263157894735</v>
      </c>
      <c r="AN415" s="4">
        <f t="shared" si="55"/>
        <v>6.377169732358157E-4</v>
      </c>
      <c r="AO415" s="3"/>
      <c r="AP415">
        <v>0</v>
      </c>
      <c r="AR415" t="s">
        <v>0</v>
      </c>
      <c r="AT415" s="2" t="s">
        <v>45</v>
      </c>
      <c r="AU415" s="1">
        <f t="shared" si="51"/>
        <v>3.1060752640354394</v>
      </c>
      <c r="AV415" s="1">
        <f t="shared" si="52"/>
        <v>2.2368456735463371</v>
      </c>
      <c r="AW415" s="1">
        <f t="shared" si="53"/>
        <v>1.3676160830572348</v>
      </c>
    </row>
    <row r="416" spans="1:49" x14ac:dyDescent="0.2">
      <c r="A416">
        <v>414</v>
      </c>
      <c r="B416" t="s">
        <v>3066</v>
      </c>
      <c r="F416" t="s">
        <v>3065</v>
      </c>
      <c r="G416" t="s">
        <v>13</v>
      </c>
      <c r="H416" t="s">
        <v>12</v>
      </c>
      <c r="I416" t="s">
        <v>3064</v>
      </c>
      <c r="N416">
        <v>2</v>
      </c>
      <c r="O416" t="s">
        <v>3063</v>
      </c>
      <c r="P416" t="s">
        <v>3062</v>
      </c>
      <c r="Q416" t="s">
        <v>266</v>
      </c>
      <c r="R416" s="7">
        <v>30682</v>
      </c>
      <c r="S416" s="8">
        <f t="shared" si="48"/>
        <v>1984</v>
      </c>
      <c r="T416" s="8">
        <v>1984</v>
      </c>
      <c r="U416" s="8">
        <f t="shared" si="49"/>
        <v>38</v>
      </c>
      <c r="V416" s="7" t="s">
        <v>2673</v>
      </c>
      <c r="W416" t="s">
        <v>3061</v>
      </c>
      <c r="X416" s="2" t="s">
        <v>45</v>
      </c>
      <c r="Y416" s="6" t="e">
        <f t="shared" si="54"/>
        <v>#VALUE!</v>
      </c>
      <c r="AA416">
        <v>1679368</v>
      </c>
      <c r="AB416">
        <v>35103</v>
      </c>
      <c r="AD416" t="s">
        <v>4</v>
      </c>
      <c r="AE416">
        <v>2</v>
      </c>
      <c r="AF416">
        <v>2</v>
      </c>
      <c r="AH416" t="s">
        <v>3060</v>
      </c>
      <c r="AI416" t="s">
        <v>3059</v>
      </c>
      <c r="AK416" t="s">
        <v>3058</v>
      </c>
      <c r="AL416">
        <v>1</v>
      </c>
      <c r="AM416" s="5">
        <f t="shared" si="50"/>
        <v>2.6315789473684209E-2</v>
      </c>
      <c r="AN416" s="4">
        <f t="shared" si="55"/>
        <v>3.9857310827238481E-5</v>
      </c>
      <c r="AO416" s="3"/>
      <c r="AP416">
        <v>0</v>
      </c>
      <c r="AR416" t="s">
        <v>0</v>
      </c>
      <c r="AT416" s="2" t="s">
        <v>45</v>
      </c>
      <c r="AU416" s="1" t="e">
        <f t="shared" si="51"/>
        <v>#VALUE!</v>
      </c>
      <c r="AV416" s="1" t="e">
        <f t="shared" si="52"/>
        <v>#VALUE!</v>
      </c>
      <c r="AW416" s="1" t="e">
        <f t="shared" si="53"/>
        <v>#VALUE!</v>
      </c>
    </row>
    <row r="417" spans="1:49" x14ac:dyDescent="0.2">
      <c r="A417">
        <v>415</v>
      </c>
      <c r="B417" t="s">
        <v>3057</v>
      </c>
      <c r="F417" t="s">
        <v>3056</v>
      </c>
      <c r="G417" t="s">
        <v>13</v>
      </c>
      <c r="H417" t="s">
        <v>12</v>
      </c>
      <c r="I417" t="s">
        <v>3055</v>
      </c>
      <c r="N417">
        <v>1</v>
      </c>
      <c r="O417" t="s">
        <v>3054</v>
      </c>
      <c r="P417">
        <v>6508180187</v>
      </c>
      <c r="R417" s="7">
        <v>30682</v>
      </c>
      <c r="S417" s="8">
        <f t="shared" si="48"/>
        <v>1984</v>
      </c>
      <c r="T417" s="8">
        <v>1984</v>
      </c>
      <c r="U417" s="8">
        <f t="shared" si="49"/>
        <v>38</v>
      </c>
      <c r="V417" s="7" t="s">
        <v>2673</v>
      </c>
      <c r="W417" t="s">
        <v>748</v>
      </c>
      <c r="X417" s="2" t="s">
        <v>45</v>
      </c>
      <c r="Y417" s="6" t="e">
        <f t="shared" si="54"/>
        <v>#VALUE!</v>
      </c>
      <c r="AA417" t="s">
        <v>747</v>
      </c>
      <c r="AB417">
        <v>33832</v>
      </c>
      <c r="AD417" t="s">
        <v>4</v>
      </c>
      <c r="AE417">
        <v>18</v>
      </c>
      <c r="AF417">
        <v>6</v>
      </c>
      <c r="AH417" t="s">
        <v>2160</v>
      </c>
      <c r="AI417" t="s">
        <v>3053</v>
      </c>
      <c r="AK417" t="s">
        <v>3052</v>
      </c>
      <c r="AL417">
        <v>0</v>
      </c>
      <c r="AM417" s="5">
        <f t="shared" si="50"/>
        <v>0</v>
      </c>
      <c r="AN417" s="4">
        <f t="shared" si="55"/>
        <v>0</v>
      </c>
      <c r="AO417" s="3"/>
      <c r="AP417">
        <v>0</v>
      </c>
      <c r="AR417" t="s">
        <v>0</v>
      </c>
      <c r="AT417" s="2" t="s">
        <v>45</v>
      </c>
      <c r="AU417" s="1" t="e">
        <f t="shared" si="51"/>
        <v>#VALUE!</v>
      </c>
      <c r="AV417" s="1" t="e">
        <f t="shared" si="52"/>
        <v>#VALUE!</v>
      </c>
      <c r="AW417" s="1" t="e">
        <f t="shared" si="53"/>
        <v>#VALUE!</v>
      </c>
    </row>
    <row r="418" spans="1:49" x14ac:dyDescent="0.2">
      <c r="A418">
        <v>416</v>
      </c>
      <c r="B418" t="s">
        <v>3051</v>
      </c>
      <c r="C418" t="s">
        <v>3050</v>
      </c>
      <c r="E418">
        <v>6587360</v>
      </c>
      <c r="F418" t="s">
        <v>3049</v>
      </c>
      <c r="G418" t="s">
        <v>13</v>
      </c>
      <c r="H418" t="s">
        <v>12</v>
      </c>
      <c r="I418" t="s">
        <v>3048</v>
      </c>
      <c r="N418">
        <v>2</v>
      </c>
      <c r="O418" t="s">
        <v>3047</v>
      </c>
      <c r="P418" t="s">
        <v>3046</v>
      </c>
      <c r="Q418" t="s">
        <v>266</v>
      </c>
      <c r="R418" s="7">
        <v>30682</v>
      </c>
      <c r="S418" s="8">
        <f t="shared" si="48"/>
        <v>1984</v>
      </c>
      <c r="T418" s="8">
        <v>1984</v>
      </c>
      <c r="U418" s="8">
        <f t="shared" si="49"/>
        <v>38</v>
      </c>
      <c r="V418" s="7">
        <v>30834</v>
      </c>
      <c r="W418" t="s">
        <v>3045</v>
      </c>
      <c r="X418" s="2">
        <v>5.0110000000000001</v>
      </c>
      <c r="Y418" s="6">
        <f t="shared" si="54"/>
        <v>0.13376578308107098</v>
      </c>
      <c r="AA418">
        <v>278424</v>
      </c>
      <c r="AB418">
        <v>21121</v>
      </c>
      <c r="AD418" t="s">
        <v>4</v>
      </c>
      <c r="AE418">
        <v>81</v>
      </c>
      <c r="AF418">
        <v>11</v>
      </c>
      <c r="AH418" t="s">
        <v>3044</v>
      </c>
      <c r="AI418" t="s">
        <v>3043</v>
      </c>
      <c r="AK418" t="s">
        <v>3042</v>
      </c>
      <c r="AL418">
        <v>43</v>
      </c>
      <c r="AM418" s="5">
        <f t="shared" si="50"/>
        <v>1.131578947368421</v>
      </c>
      <c r="AN418" s="4">
        <f t="shared" si="55"/>
        <v>1.7138643655712547E-3</v>
      </c>
      <c r="AO418" s="3"/>
      <c r="AP418">
        <v>1</v>
      </c>
      <c r="AR418" t="s">
        <v>0</v>
      </c>
      <c r="AT418" s="2" t="s">
        <v>45</v>
      </c>
      <c r="AU418" s="1">
        <f t="shared" si="51"/>
        <v>9.4150207466421048</v>
      </c>
      <c r="AV418" s="1">
        <f t="shared" si="52"/>
        <v>6.773982372332112</v>
      </c>
      <c r="AW418" s="1">
        <f t="shared" si="53"/>
        <v>4.1329439980221174</v>
      </c>
    </row>
    <row r="419" spans="1:49" x14ac:dyDescent="0.2">
      <c r="A419">
        <v>417</v>
      </c>
      <c r="B419" t="s">
        <v>3041</v>
      </c>
      <c r="C419" t="s">
        <v>3040</v>
      </c>
      <c r="F419" t="s">
        <v>3039</v>
      </c>
      <c r="G419" t="s">
        <v>13</v>
      </c>
      <c r="H419" t="s">
        <v>12</v>
      </c>
      <c r="I419" t="s">
        <v>3038</v>
      </c>
      <c r="J419">
        <v>60025997</v>
      </c>
      <c r="K419" t="s">
        <v>3037</v>
      </c>
      <c r="L419" t="s">
        <v>644</v>
      </c>
      <c r="M419" t="s">
        <v>643</v>
      </c>
      <c r="N419">
        <v>1</v>
      </c>
      <c r="O419" t="s">
        <v>3036</v>
      </c>
      <c r="P419">
        <v>7005495467</v>
      </c>
      <c r="Q419">
        <v>60025997</v>
      </c>
      <c r="R419" s="7">
        <v>30682</v>
      </c>
      <c r="S419" s="8">
        <f t="shared" si="48"/>
        <v>1984</v>
      </c>
      <c r="T419" s="8">
        <v>1984</v>
      </c>
      <c r="U419" s="8">
        <f t="shared" si="49"/>
        <v>38</v>
      </c>
      <c r="V419" s="7">
        <v>1984</v>
      </c>
      <c r="W419" t="s">
        <v>756</v>
      </c>
      <c r="X419" s="2">
        <v>0.111</v>
      </c>
      <c r="Y419" s="6">
        <f t="shared" si="54"/>
        <v>2.9630816048690639E-3</v>
      </c>
      <c r="AA419">
        <v>87566621</v>
      </c>
      <c r="AB419">
        <v>24890</v>
      </c>
      <c r="AC419">
        <v>15206424</v>
      </c>
      <c r="AD419" t="s">
        <v>4</v>
      </c>
      <c r="AE419">
        <v>67</v>
      </c>
      <c r="AF419">
        <v>6</v>
      </c>
      <c r="AH419" t="s">
        <v>3035</v>
      </c>
      <c r="AI419" t="s">
        <v>3034</v>
      </c>
      <c r="AK419" t="s">
        <v>3033</v>
      </c>
      <c r="AL419">
        <v>1</v>
      </c>
      <c r="AM419" s="5">
        <f t="shared" si="50"/>
        <v>2.6315789473684209E-2</v>
      </c>
      <c r="AN419" s="4">
        <f t="shared" si="55"/>
        <v>3.9857310827238481E-5</v>
      </c>
      <c r="AO419" s="3"/>
      <c r="AP419">
        <v>0</v>
      </c>
      <c r="AR419" t="s">
        <v>0</v>
      </c>
      <c r="AT419" s="2" t="s">
        <v>45</v>
      </c>
      <c r="AU419" s="1">
        <f t="shared" si="51"/>
        <v>0.2086114316656516</v>
      </c>
      <c r="AV419" s="1">
        <f t="shared" si="52"/>
        <v>0.15014694578481511</v>
      </c>
      <c r="AW419" s="1">
        <f t="shared" si="53"/>
        <v>9.1682459903978594E-2</v>
      </c>
    </row>
    <row r="420" spans="1:49" x14ac:dyDescent="0.2">
      <c r="A420">
        <v>418</v>
      </c>
      <c r="B420" t="s">
        <v>3032</v>
      </c>
      <c r="C420" t="s">
        <v>3031</v>
      </c>
      <c r="F420" t="s">
        <v>3030</v>
      </c>
      <c r="G420" t="s">
        <v>13</v>
      </c>
      <c r="H420" t="s">
        <v>12</v>
      </c>
      <c r="I420" t="s">
        <v>2834</v>
      </c>
      <c r="J420" t="s">
        <v>2833</v>
      </c>
      <c r="K420" t="s">
        <v>2832</v>
      </c>
      <c r="L420" t="s">
        <v>2831</v>
      </c>
      <c r="M420" t="s">
        <v>2830</v>
      </c>
      <c r="N420">
        <v>2</v>
      </c>
      <c r="O420" t="s">
        <v>3029</v>
      </c>
      <c r="P420" t="s">
        <v>3028</v>
      </c>
      <c r="Q420" t="s">
        <v>2827</v>
      </c>
      <c r="R420" s="7">
        <v>30682</v>
      </c>
      <c r="S420" s="8">
        <f t="shared" si="48"/>
        <v>1984</v>
      </c>
      <c r="T420" s="8">
        <v>1984</v>
      </c>
      <c r="U420" s="8">
        <f t="shared" si="49"/>
        <v>38</v>
      </c>
      <c r="V420" s="7">
        <v>30834</v>
      </c>
      <c r="W420" t="s">
        <v>380</v>
      </c>
      <c r="X420" s="2">
        <v>1.6519999999999999</v>
      </c>
      <c r="Y420" s="6">
        <f t="shared" si="54"/>
        <v>4.409919649769093E-2</v>
      </c>
      <c r="AA420" t="s">
        <v>379</v>
      </c>
      <c r="AB420">
        <v>17337</v>
      </c>
      <c r="AC420">
        <v>15582221</v>
      </c>
      <c r="AD420" t="s">
        <v>4</v>
      </c>
      <c r="AE420">
        <v>32</v>
      </c>
      <c r="AF420">
        <v>6</v>
      </c>
      <c r="AH420" t="s">
        <v>3027</v>
      </c>
      <c r="AI420" t="s">
        <v>3026</v>
      </c>
      <c r="AK420" t="s">
        <v>3025</v>
      </c>
      <c r="AL420">
        <v>16</v>
      </c>
      <c r="AM420" s="5">
        <f t="shared" si="50"/>
        <v>0.42105263157894735</v>
      </c>
      <c r="AN420" s="4">
        <f t="shared" si="55"/>
        <v>6.377169732358157E-4</v>
      </c>
      <c r="AO420" s="3"/>
      <c r="AP420">
        <v>0</v>
      </c>
      <c r="AR420" t="s">
        <v>0</v>
      </c>
      <c r="AT420" s="2" t="s">
        <v>45</v>
      </c>
      <c r="AU420" s="1">
        <f t="shared" si="51"/>
        <v>3.1060752640354394</v>
      </c>
      <c r="AV420" s="1">
        <f t="shared" si="52"/>
        <v>2.2368456735463371</v>
      </c>
      <c r="AW420" s="1">
        <f t="shared" si="53"/>
        <v>1.3676160830572348</v>
      </c>
    </row>
    <row r="421" spans="1:49" x14ac:dyDescent="0.2">
      <c r="A421">
        <v>419</v>
      </c>
      <c r="B421" t="s">
        <v>3024</v>
      </c>
      <c r="F421" t="s">
        <v>3023</v>
      </c>
      <c r="G421" t="s">
        <v>13</v>
      </c>
      <c r="H421" t="s">
        <v>12</v>
      </c>
      <c r="I421" t="s">
        <v>3022</v>
      </c>
      <c r="N421">
        <v>1</v>
      </c>
      <c r="O421" t="s">
        <v>3021</v>
      </c>
      <c r="P421">
        <v>57224798403</v>
      </c>
      <c r="R421" s="7">
        <v>30682</v>
      </c>
      <c r="S421" s="8">
        <f t="shared" si="48"/>
        <v>1984</v>
      </c>
      <c r="T421" s="8">
        <v>1984</v>
      </c>
      <c r="U421" s="8">
        <f t="shared" si="49"/>
        <v>38</v>
      </c>
      <c r="V421" s="7" t="s">
        <v>2673</v>
      </c>
      <c r="W421" t="s">
        <v>1668</v>
      </c>
      <c r="X421" s="2" t="s">
        <v>45</v>
      </c>
      <c r="Y421" s="6" t="e">
        <f t="shared" si="54"/>
        <v>#VALUE!</v>
      </c>
      <c r="AA421" t="s">
        <v>1667</v>
      </c>
      <c r="AB421">
        <v>30906</v>
      </c>
      <c r="AD421" t="s">
        <v>4</v>
      </c>
      <c r="AE421" t="s">
        <v>1666</v>
      </c>
      <c r="AF421">
        <v>6</v>
      </c>
      <c r="AH421" t="s">
        <v>3020</v>
      </c>
      <c r="AI421" t="s">
        <v>3019</v>
      </c>
      <c r="AK421" t="s">
        <v>3018</v>
      </c>
      <c r="AL421">
        <v>5</v>
      </c>
      <c r="AM421" s="5">
        <f t="shared" si="50"/>
        <v>0.13157894736842105</v>
      </c>
      <c r="AN421" s="4">
        <f t="shared" si="55"/>
        <v>1.9928655413619243E-4</v>
      </c>
      <c r="AO421" s="3"/>
      <c r="AP421">
        <v>0</v>
      </c>
      <c r="AR421" t="s">
        <v>0</v>
      </c>
      <c r="AT421" s="2" t="s">
        <v>45</v>
      </c>
      <c r="AU421" s="1" t="e">
        <f t="shared" si="51"/>
        <v>#VALUE!</v>
      </c>
      <c r="AV421" s="1" t="e">
        <f t="shared" si="52"/>
        <v>#VALUE!</v>
      </c>
      <c r="AW421" s="1" t="e">
        <f t="shared" si="53"/>
        <v>#VALUE!</v>
      </c>
    </row>
    <row r="422" spans="1:49" x14ac:dyDescent="0.2">
      <c r="A422">
        <v>420</v>
      </c>
      <c r="B422" t="s">
        <v>3017</v>
      </c>
      <c r="C422" t="s">
        <v>3016</v>
      </c>
      <c r="F422" t="s">
        <v>3015</v>
      </c>
      <c r="G422" t="s">
        <v>13</v>
      </c>
      <c r="H422" t="s">
        <v>12</v>
      </c>
      <c r="I422" t="s">
        <v>1526</v>
      </c>
      <c r="J422">
        <v>60016849</v>
      </c>
      <c r="K422" t="s">
        <v>913</v>
      </c>
      <c r="L422" t="s">
        <v>912</v>
      </c>
      <c r="M422" t="s">
        <v>38</v>
      </c>
      <c r="N422">
        <v>2</v>
      </c>
      <c r="O422" t="s">
        <v>1525</v>
      </c>
      <c r="P422" t="s">
        <v>1524</v>
      </c>
      <c r="Q422" t="s">
        <v>909</v>
      </c>
      <c r="R422" s="7">
        <v>30682</v>
      </c>
      <c r="S422" s="8">
        <f t="shared" si="48"/>
        <v>1984</v>
      </c>
      <c r="T422" s="8">
        <v>1984</v>
      </c>
      <c r="U422" s="8">
        <f t="shared" si="49"/>
        <v>38</v>
      </c>
      <c r="V422" s="7">
        <v>30834</v>
      </c>
      <c r="W422" t="s">
        <v>1523</v>
      </c>
      <c r="X422" s="2">
        <v>0.78200000000000003</v>
      </c>
      <c r="Y422" s="6">
        <f t="shared" si="54"/>
        <v>2.0875043378446919E-2</v>
      </c>
      <c r="AA422">
        <v>189316</v>
      </c>
      <c r="AB422">
        <v>19901</v>
      </c>
      <c r="AC422">
        <v>15579611</v>
      </c>
      <c r="AD422" t="s">
        <v>4</v>
      </c>
      <c r="AE422" t="s">
        <v>1522</v>
      </c>
      <c r="AF422">
        <v>2</v>
      </c>
      <c r="AH422" t="s">
        <v>3014</v>
      </c>
      <c r="AI422" t="s">
        <v>3013</v>
      </c>
      <c r="AK422" t="s">
        <v>3012</v>
      </c>
      <c r="AL422">
        <v>13</v>
      </c>
      <c r="AM422" s="5">
        <f t="shared" si="50"/>
        <v>0.34210526315789475</v>
      </c>
      <c r="AN422" s="4">
        <f t="shared" si="55"/>
        <v>5.1814504075410031E-4</v>
      </c>
      <c r="AO422" s="3"/>
      <c r="AP422">
        <v>0</v>
      </c>
      <c r="AR422" t="s">
        <v>0</v>
      </c>
      <c r="AT422" s="2">
        <v>3.863</v>
      </c>
      <c r="AU422" s="1">
        <f t="shared" si="51"/>
        <v>1.4767973877139071</v>
      </c>
      <c r="AV422" s="1">
        <f t="shared" si="52"/>
        <v>1.069659420960051</v>
      </c>
      <c r="AW422" s="1">
        <f t="shared" si="53"/>
        <v>0.66252145420619457</v>
      </c>
    </row>
    <row r="423" spans="1:49" x14ac:dyDescent="0.2">
      <c r="A423">
        <v>421</v>
      </c>
      <c r="B423" t="s">
        <v>3011</v>
      </c>
      <c r="C423" t="s">
        <v>3010</v>
      </c>
      <c r="F423" t="s">
        <v>3009</v>
      </c>
      <c r="G423" t="s">
        <v>13</v>
      </c>
      <c r="H423" t="s">
        <v>12</v>
      </c>
      <c r="I423" t="s">
        <v>2450</v>
      </c>
      <c r="J423">
        <v>60013141</v>
      </c>
      <c r="K423" t="s">
        <v>2855</v>
      </c>
      <c r="L423" t="s">
        <v>2854</v>
      </c>
      <c r="M423" t="s">
        <v>2853</v>
      </c>
      <c r="N423">
        <v>1</v>
      </c>
      <c r="O423" t="s">
        <v>2852</v>
      </c>
      <c r="P423">
        <v>7101988263</v>
      </c>
      <c r="Q423">
        <v>60013141</v>
      </c>
      <c r="R423" s="7">
        <v>30682</v>
      </c>
      <c r="S423" s="8">
        <f t="shared" si="48"/>
        <v>1984</v>
      </c>
      <c r="T423" s="8">
        <v>1984</v>
      </c>
      <c r="U423" s="8">
        <f t="shared" si="49"/>
        <v>38</v>
      </c>
      <c r="V423" s="7">
        <v>30834</v>
      </c>
      <c r="W423" t="s">
        <v>380</v>
      </c>
      <c r="X423" s="2">
        <v>1.6519999999999999</v>
      </c>
      <c r="Y423" s="6">
        <f t="shared" si="54"/>
        <v>4.409919649769093E-2</v>
      </c>
      <c r="AA423" t="s">
        <v>379</v>
      </c>
      <c r="AB423">
        <v>17337</v>
      </c>
      <c r="AC423">
        <v>15582221</v>
      </c>
      <c r="AD423" t="s">
        <v>4</v>
      </c>
      <c r="AE423">
        <v>32</v>
      </c>
      <c r="AF423">
        <v>6</v>
      </c>
      <c r="AH423" t="s">
        <v>3008</v>
      </c>
      <c r="AI423" t="s">
        <v>3007</v>
      </c>
      <c r="AK423" t="s">
        <v>3006</v>
      </c>
      <c r="AL423">
        <v>36</v>
      </c>
      <c r="AM423" s="5">
        <f t="shared" si="50"/>
        <v>0.94736842105263153</v>
      </c>
      <c r="AN423" s="4">
        <f t="shared" si="55"/>
        <v>1.4348631897805853E-3</v>
      </c>
      <c r="AO423" s="3"/>
      <c r="AP423">
        <v>0</v>
      </c>
      <c r="AR423" t="s">
        <v>0</v>
      </c>
      <c r="AT423" s="2" t="s">
        <v>45</v>
      </c>
      <c r="AU423" s="1">
        <f t="shared" si="51"/>
        <v>3.1299896505317824</v>
      </c>
      <c r="AV423" s="1">
        <f t="shared" si="52"/>
        <v>2.2767029843735758</v>
      </c>
      <c r="AW423" s="1">
        <f t="shared" si="53"/>
        <v>1.4234163182153687</v>
      </c>
    </row>
    <row r="424" spans="1:49" x14ac:dyDescent="0.2">
      <c r="A424">
        <v>422</v>
      </c>
      <c r="B424" t="s">
        <v>3005</v>
      </c>
      <c r="C424" t="s">
        <v>3004</v>
      </c>
      <c r="F424" t="s">
        <v>3003</v>
      </c>
      <c r="G424" t="s">
        <v>13</v>
      </c>
      <c r="H424" t="s">
        <v>12</v>
      </c>
      <c r="I424" t="s">
        <v>3002</v>
      </c>
      <c r="J424">
        <v>60010294</v>
      </c>
      <c r="K424" t="s">
        <v>3001</v>
      </c>
      <c r="L424" t="s">
        <v>3000</v>
      </c>
      <c r="M424" t="s">
        <v>2999</v>
      </c>
      <c r="N424">
        <v>2</v>
      </c>
      <c r="O424" t="s">
        <v>2998</v>
      </c>
      <c r="P424" t="s">
        <v>2997</v>
      </c>
      <c r="Q424" t="s">
        <v>2996</v>
      </c>
      <c r="R424" s="7">
        <v>30682</v>
      </c>
      <c r="S424" s="8">
        <f t="shared" si="48"/>
        <v>1984</v>
      </c>
      <c r="T424" s="8">
        <v>1984</v>
      </c>
      <c r="U424" s="8">
        <f t="shared" si="49"/>
        <v>38</v>
      </c>
      <c r="V424" s="7">
        <v>30834</v>
      </c>
      <c r="W424" t="s">
        <v>380</v>
      </c>
      <c r="X424" s="2">
        <v>1.6519999999999999</v>
      </c>
      <c r="Y424" s="6">
        <f t="shared" si="54"/>
        <v>4.409919649769093E-2</v>
      </c>
      <c r="AA424" t="s">
        <v>379</v>
      </c>
      <c r="AB424">
        <v>17337</v>
      </c>
      <c r="AC424">
        <v>15582221</v>
      </c>
      <c r="AD424" t="s">
        <v>4</v>
      </c>
      <c r="AE424">
        <v>32</v>
      </c>
      <c r="AF424">
        <v>6</v>
      </c>
      <c r="AH424" t="s">
        <v>2995</v>
      </c>
      <c r="AI424" t="s">
        <v>2994</v>
      </c>
      <c r="AK424" t="s">
        <v>2993</v>
      </c>
      <c r="AL424">
        <v>7</v>
      </c>
      <c r="AM424" s="5">
        <f t="shared" si="50"/>
        <v>0.18421052631578946</v>
      </c>
      <c r="AN424" s="4">
        <f t="shared" si="55"/>
        <v>2.7900117579066937E-4</v>
      </c>
      <c r="AO424" s="3"/>
      <c r="AP424">
        <v>0</v>
      </c>
      <c r="AR424" t="s">
        <v>0</v>
      </c>
      <c r="AT424" s="2" t="s">
        <v>45</v>
      </c>
      <c r="AU424" s="1">
        <f t="shared" si="51"/>
        <v>3.0953137901120851</v>
      </c>
      <c r="AV424" s="1">
        <f t="shared" si="52"/>
        <v>2.2189098836740797</v>
      </c>
      <c r="AW424" s="1">
        <f t="shared" si="53"/>
        <v>1.3425059772360746</v>
      </c>
    </row>
    <row r="425" spans="1:49" x14ac:dyDescent="0.2">
      <c r="A425">
        <v>423</v>
      </c>
      <c r="B425" t="s">
        <v>2992</v>
      </c>
      <c r="C425" t="s">
        <v>2991</v>
      </c>
      <c r="F425" t="s">
        <v>2990</v>
      </c>
      <c r="G425" t="s">
        <v>13</v>
      </c>
      <c r="H425" t="s">
        <v>12</v>
      </c>
      <c r="I425" t="s">
        <v>2989</v>
      </c>
      <c r="J425">
        <v>60025209</v>
      </c>
      <c r="K425" t="s">
        <v>2863</v>
      </c>
      <c r="L425" t="s">
        <v>1965</v>
      </c>
      <c r="M425" t="s">
        <v>56</v>
      </c>
      <c r="N425">
        <v>1</v>
      </c>
      <c r="O425" t="s">
        <v>2988</v>
      </c>
      <c r="P425">
        <v>7004263090</v>
      </c>
      <c r="Q425">
        <v>60025209</v>
      </c>
      <c r="R425" s="7">
        <v>30682</v>
      </c>
      <c r="S425" s="8">
        <f t="shared" si="48"/>
        <v>1984</v>
      </c>
      <c r="T425" s="8">
        <v>1984</v>
      </c>
      <c r="U425" s="8">
        <f t="shared" si="49"/>
        <v>38</v>
      </c>
      <c r="V425" s="7">
        <v>30834</v>
      </c>
      <c r="W425" t="s">
        <v>380</v>
      </c>
      <c r="X425" s="2">
        <v>1.6519999999999999</v>
      </c>
      <c r="Y425" s="6">
        <f t="shared" si="54"/>
        <v>4.409919649769093E-2</v>
      </c>
      <c r="AA425" t="s">
        <v>379</v>
      </c>
      <c r="AB425">
        <v>17337</v>
      </c>
      <c r="AC425">
        <v>15582221</v>
      </c>
      <c r="AD425" t="s">
        <v>4</v>
      </c>
      <c r="AE425">
        <v>32</v>
      </c>
      <c r="AF425">
        <v>6</v>
      </c>
      <c r="AH425" t="s">
        <v>2987</v>
      </c>
      <c r="AI425" t="s">
        <v>2986</v>
      </c>
      <c r="AK425" t="s">
        <v>2985</v>
      </c>
      <c r="AL425">
        <v>1</v>
      </c>
      <c r="AM425" s="5">
        <f t="shared" si="50"/>
        <v>2.6315789473684209E-2</v>
      </c>
      <c r="AN425" s="4">
        <f t="shared" si="55"/>
        <v>3.9857310827238481E-5</v>
      </c>
      <c r="AO425" s="3"/>
      <c r="AP425">
        <v>0</v>
      </c>
      <c r="AR425" t="s">
        <v>0</v>
      </c>
      <c r="AT425" s="2" t="s">
        <v>45</v>
      </c>
      <c r="AU425" s="1">
        <f t="shared" si="51"/>
        <v>3.088139474163182</v>
      </c>
      <c r="AV425" s="1">
        <f t="shared" si="52"/>
        <v>2.2069526904259082</v>
      </c>
      <c r="AW425" s="1">
        <f t="shared" si="53"/>
        <v>1.3257659066886345</v>
      </c>
    </row>
    <row r="426" spans="1:49" x14ac:dyDescent="0.2">
      <c r="A426">
        <v>424</v>
      </c>
      <c r="B426" t="s">
        <v>2984</v>
      </c>
      <c r="C426" t="s">
        <v>2983</v>
      </c>
      <c r="F426" t="s">
        <v>2982</v>
      </c>
      <c r="G426" t="s">
        <v>13</v>
      </c>
      <c r="H426" t="s">
        <v>12</v>
      </c>
      <c r="I426" t="s">
        <v>1352</v>
      </c>
      <c r="J426">
        <v>60014313</v>
      </c>
      <c r="K426" t="s">
        <v>1351</v>
      </c>
      <c r="L426" t="s">
        <v>1350</v>
      </c>
      <c r="M426" t="s">
        <v>56</v>
      </c>
      <c r="N426">
        <v>2</v>
      </c>
      <c r="O426" t="s">
        <v>2981</v>
      </c>
      <c r="P426" t="s">
        <v>2980</v>
      </c>
      <c r="Q426" t="s">
        <v>2979</v>
      </c>
      <c r="R426" s="7">
        <v>30682</v>
      </c>
      <c r="S426" s="8">
        <f t="shared" si="48"/>
        <v>1984</v>
      </c>
      <c r="T426" s="8">
        <v>1984</v>
      </c>
      <c r="U426" s="8">
        <f t="shared" si="49"/>
        <v>38</v>
      </c>
      <c r="V426" s="7">
        <v>30834</v>
      </c>
      <c r="W426" t="s">
        <v>380</v>
      </c>
      <c r="X426" s="2">
        <v>1.6519999999999999</v>
      </c>
      <c r="Y426" s="6">
        <f t="shared" si="54"/>
        <v>4.409919649769093E-2</v>
      </c>
      <c r="AA426" t="s">
        <v>379</v>
      </c>
      <c r="AB426">
        <v>17337</v>
      </c>
      <c r="AC426">
        <v>15582221</v>
      </c>
      <c r="AD426" t="s">
        <v>4</v>
      </c>
      <c r="AE426">
        <v>32</v>
      </c>
      <c r="AF426">
        <v>6</v>
      </c>
      <c r="AH426" t="s">
        <v>2978</v>
      </c>
      <c r="AI426" t="s">
        <v>2977</v>
      </c>
      <c r="AK426" t="s">
        <v>2976</v>
      </c>
      <c r="AL426">
        <v>272</v>
      </c>
      <c r="AM426" s="5">
        <f t="shared" si="50"/>
        <v>7.1578947368421053</v>
      </c>
      <c r="AN426" s="4">
        <f t="shared" si="55"/>
        <v>1.0841188545008868E-2</v>
      </c>
      <c r="AO426" s="3"/>
      <c r="AP426">
        <v>0</v>
      </c>
      <c r="AR426" t="s">
        <v>0</v>
      </c>
      <c r="AT426" s="2" t="s">
        <v>45</v>
      </c>
      <c r="AU426" s="1">
        <f t="shared" si="51"/>
        <v>3.4121794111886308</v>
      </c>
      <c r="AV426" s="1">
        <f t="shared" si="52"/>
        <v>2.7470192521349897</v>
      </c>
      <c r="AW426" s="1">
        <f t="shared" si="53"/>
        <v>2.0818590930813485</v>
      </c>
    </row>
    <row r="427" spans="1:49" x14ac:dyDescent="0.2">
      <c r="A427">
        <v>425</v>
      </c>
      <c r="B427" t="s">
        <v>2975</v>
      </c>
      <c r="C427" t="s">
        <v>2974</v>
      </c>
      <c r="F427" t="s">
        <v>2973</v>
      </c>
      <c r="G427" t="s">
        <v>13</v>
      </c>
      <c r="H427" t="s">
        <v>12</v>
      </c>
      <c r="I427" t="s">
        <v>2972</v>
      </c>
      <c r="N427">
        <v>1</v>
      </c>
      <c r="O427" t="s">
        <v>2971</v>
      </c>
      <c r="P427">
        <v>24512080300</v>
      </c>
      <c r="R427" s="7">
        <v>30682</v>
      </c>
      <c r="S427" s="8">
        <f t="shared" si="48"/>
        <v>1984</v>
      </c>
      <c r="T427" s="8">
        <v>1984</v>
      </c>
      <c r="U427" s="8">
        <f t="shared" si="49"/>
        <v>38</v>
      </c>
      <c r="V427" s="7">
        <v>30834</v>
      </c>
      <c r="W427" t="s">
        <v>380</v>
      </c>
      <c r="X427" s="2">
        <v>1.6519999999999999</v>
      </c>
      <c r="Y427" s="6">
        <f t="shared" si="54"/>
        <v>4.409919649769093E-2</v>
      </c>
      <c r="AA427" t="s">
        <v>379</v>
      </c>
      <c r="AB427">
        <v>17337</v>
      </c>
      <c r="AC427">
        <v>15582221</v>
      </c>
      <c r="AD427" t="s">
        <v>4</v>
      </c>
      <c r="AE427">
        <v>32</v>
      </c>
      <c r="AF427">
        <v>6</v>
      </c>
      <c r="AH427" t="s">
        <v>2970</v>
      </c>
      <c r="AI427" t="s">
        <v>2969</v>
      </c>
      <c r="AK427" t="s">
        <v>2968</v>
      </c>
      <c r="AL427">
        <v>34</v>
      </c>
      <c r="AM427" s="5">
        <f t="shared" si="50"/>
        <v>0.89473684210526316</v>
      </c>
      <c r="AN427" s="4">
        <f t="shared" si="55"/>
        <v>1.3551485681261085E-3</v>
      </c>
      <c r="AO427" s="3"/>
      <c r="AP427">
        <v>0</v>
      </c>
      <c r="AR427" t="s">
        <v>0</v>
      </c>
      <c r="AT427" s="2" t="s">
        <v>45</v>
      </c>
      <c r="AU427" s="1">
        <f t="shared" si="51"/>
        <v>3.1275982118821481</v>
      </c>
      <c r="AV427" s="1">
        <f t="shared" si="52"/>
        <v>2.2727172532908519</v>
      </c>
      <c r="AW427" s="1">
        <f t="shared" si="53"/>
        <v>1.4178362946995555</v>
      </c>
    </row>
    <row r="428" spans="1:49" x14ac:dyDescent="0.2">
      <c r="A428">
        <v>426</v>
      </c>
      <c r="B428" t="s">
        <v>2967</v>
      </c>
      <c r="C428" t="s">
        <v>2966</v>
      </c>
      <c r="F428" t="s">
        <v>2965</v>
      </c>
      <c r="G428" t="s">
        <v>13</v>
      </c>
      <c r="H428" t="s">
        <v>12</v>
      </c>
      <c r="I428" t="s">
        <v>2964</v>
      </c>
      <c r="J428">
        <v>60025272</v>
      </c>
      <c r="K428" t="s">
        <v>2538</v>
      </c>
      <c r="L428" t="s">
        <v>644</v>
      </c>
      <c r="M428" t="s">
        <v>643</v>
      </c>
      <c r="N428">
        <v>3</v>
      </c>
      <c r="O428" t="s">
        <v>2963</v>
      </c>
      <c r="P428" t="s">
        <v>2962</v>
      </c>
      <c r="Q428" t="s">
        <v>2961</v>
      </c>
      <c r="R428" s="7">
        <v>30682</v>
      </c>
      <c r="S428" s="8">
        <f t="shared" si="48"/>
        <v>1984</v>
      </c>
      <c r="T428" s="8">
        <v>1984</v>
      </c>
      <c r="U428" s="8">
        <f t="shared" si="49"/>
        <v>38</v>
      </c>
      <c r="V428" s="7">
        <v>30834</v>
      </c>
      <c r="W428" t="s">
        <v>2072</v>
      </c>
      <c r="X428" s="2">
        <v>0.371</v>
      </c>
      <c r="Y428" s="6">
        <f t="shared" si="54"/>
        <v>9.9036331117695747E-3</v>
      </c>
      <c r="AA428">
        <v>214922</v>
      </c>
      <c r="AB428">
        <v>130262</v>
      </c>
      <c r="AC428">
        <v>13474065</v>
      </c>
      <c r="AD428" t="s">
        <v>4</v>
      </c>
      <c r="AE428">
        <v>23</v>
      </c>
      <c r="AF428">
        <v>6</v>
      </c>
      <c r="AH428" t="s">
        <v>2960</v>
      </c>
      <c r="AI428" t="s">
        <v>2959</v>
      </c>
      <c r="AK428" t="s">
        <v>2958</v>
      </c>
      <c r="AL428">
        <v>5</v>
      </c>
      <c r="AM428" s="5">
        <f t="shared" si="50"/>
        <v>0.13157894736842105</v>
      </c>
      <c r="AN428" s="4">
        <f t="shared" si="55"/>
        <v>1.9928655413619243E-4</v>
      </c>
      <c r="AO428" s="3"/>
      <c r="AP428">
        <v>0</v>
      </c>
      <c r="AR428" t="s">
        <v>0</v>
      </c>
      <c r="AT428" s="2">
        <v>1.48</v>
      </c>
      <c r="AU428" s="1">
        <f t="shared" si="51"/>
        <v>0.69923291444795599</v>
      </c>
      <c r="AV428" s="1">
        <f t="shared" si="52"/>
        <v>0.50514598329528837</v>
      </c>
      <c r="AW428" s="1">
        <f t="shared" si="53"/>
        <v>0.3110590521426207</v>
      </c>
    </row>
    <row r="429" spans="1:49" x14ac:dyDescent="0.2">
      <c r="A429">
        <v>427</v>
      </c>
      <c r="B429" t="s">
        <v>2957</v>
      </c>
      <c r="F429" t="s">
        <v>2956</v>
      </c>
      <c r="G429" t="s">
        <v>13</v>
      </c>
      <c r="H429" t="s">
        <v>12</v>
      </c>
      <c r="I429" t="s">
        <v>646</v>
      </c>
      <c r="N429">
        <v>3</v>
      </c>
      <c r="O429" t="s">
        <v>2955</v>
      </c>
      <c r="P429" t="s">
        <v>2954</v>
      </c>
      <c r="Q429" t="s">
        <v>8</v>
      </c>
      <c r="R429" s="7">
        <v>30682</v>
      </c>
      <c r="S429" s="8">
        <f t="shared" si="48"/>
        <v>1984</v>
      </c>
      <c r="T429" s="8">
        <v>1984</v>
      </c>
      <c r="U429" s="8">
        <f t="shared" si="49"/>
        <v>38</v>
      </c>
      <c r="V429" s="7" t="s">
        <v>2673</v>
      </c>
      <c r="W429" t="s">
        <v>1668</v>
      </c>
      <c r="X429" s="2" t="s">
        <v>45</v>
      </c>
      <c r="Y429" s="6" t="e">
        <f t="shared" si="54"/>
        <v>#VALUE!</v>
      </c>
      <c r="AA429" t="s">
        <v>1667</v>
      </c>
      <c r="AB429">
        <v>30906</v>
      </c>
      <c r="AD429" t="s">
        <v>4</v>
      </c>
      <c r="AE429" t="s">
        <v>1666</v>
      </c>
      <c r="AF429">
        <v>6</v>
      </c>
      <c r="AH429" t="s">
        <v>2953</v>
      </c>
      <c r="AI429" t="s">
        <v>2952</v>
      </c>
      <c r="AK429" t="s">
        <v>2951</v>
      </c>
      <c r="AL429">
        <v>2</v>
      </c>
      <c r="AM429" s="5">
        <f t="shared" si="50"/>
        <v>5.2631578947368418E-2</v>
      </c>
      <c r="AN429" s="4">
        <f t="shared" si="55"/>
        <v>7.9714621654476962E-5</v>
      </c>
      <c r="AO429" s="3"/>
      <c r="AP429">
        <v>0</v>
      </c>
      <c r="AR429" t="s">
        <v>0</v>
      </c>
      <c r="AT429" s="2" t="s">
        <v>45</v>
      </c>
      <c r="AU429" s="1" t="e">
        <f t="shared" si="51"/>
        <v>#VALUE!</v>
      </c>
      <c r="AV429" s="1" t="e">
        <f t="shared" si="52"/>
        <v>#VALUE!</v>
      </c>
      <c r="AW429" s="1" t="e">
        <f t="shared" si="53"/>
        <v>#VALUE!</v>
      </c>
    </row>
    <row r="430" spans="1:49" x14ac:dyDescent="0.2">
      <c r="A430">
        <v>428</v>
      </c>
      <c r="B430" t="s">
        <v>2950</v>
      </c>
      <c r="C430" t="s">
        <v>2949</v>
      </c>
      <c r="F430" t="s">
        <v>2948</v>
      </c>
      <c r="G430" t="s">
        <v>13</v>
      </c>
      <c r="H430" t="s">
        <v>12</v>
      </c>
      <c r="I430" t="s">
        <v>2947</v>
      </c>
      <c r="J430">
        <v>60026306</v>
      </c>
      <c r="K430" t="s">
        <v>2946</v>
      </c>
      <c r="L430" t="s">
        <v>2945</v>
      </c>
      <c r="M430" t="s">
        <v>56</v>
      </c>
      <c r="N430">
        <v>2</v>
      </c>
      <c r="O430" t="s">
        <v>2944</v>
      </c>
      <c r="P430" t="s">
        <v>2943</v>
      </c>
      <c r="Q430" t="s">
        <v>2942</v>
      </c>
      <c r="R430" s="7">
        <v>30682</v>
      </c>
      <c r="S430" s="8">
        <f t="shared" si="48"/>
        <v>1984</v>
      </c>
      <c r="T430" s="8">
        <v>1984</v>
      </c>
      <c r="U430" s="8">
        <f t="shared" si="49"/>
        <v>38</v>
      </c>
      <c r="V430" s="7">
        <v>30834</v>
      </c>
      <c r="W430" t="s">
        <v>380</v>
      </c>
      <c r="X430" s="2">
        <v>1.6519999999999999</v>
      </c>
      <c r="Y430" s="6">
        <f t="shared" si="54"/>
        <v>4.409919649769093E-2</v>
      </c>
      <c r="AA430" t="s">
        <v>379</v>
      </c>
      <c r="AB430">
        <v>17337</v>
      </c>
      <c r="AC430">
        <v>15582221</v>
      </c>
      <c r="AD430" t="s">
        <v>4</v>
      </c>
      <c r="AE430">
        <v>32</v>
      </c>
      <c r="AF430">
        <v>6</v>
      </c>
      <c r="AH430" t="s">
        <v>2941</v>
      </c>
      <c r="AI430" t="s">
        <v>2940</v>
      </c>
      <c r="AK430" t="s">
        <v>2939</v>
      </c>
      <c r="AL430">
        <v>3</v>
      </c>
      <c r="AM430" s="5">
        <f t="shared" si="50"/>
        <v>7.8947368421052627E-2</v>
      </c>
      <c r="AN430" s="4">
        <f t="shared" si="55"/>
        <v>1.1957193248171546E-4</v>
      </c>
      <c r="AO430" s="3"/>
      <c r="AP430">
        <v>0</v>
      </c>
      <c r="AR430" t="s">
        <v>0</v>
      </c>
      <c r="AT430" s="2" t="s">
        <v>45</v>
      </c>
      <c r="AU430" s="1">
        <f t="shared" si="51"/>
        <v>3.0905309128128167</v>
      </c>
      <c r="AV430" s="1">
        <f t="shared" si="52"/>
        <v>2.2109384215086325</v>
      </c>
      <c r="AW430" s="1">
        <f t="shared" si="53"/>
        <v>1.3313459302044479</v>
      </c>
    </row>
    <row r="431" spans="1:49" x14ac:dyDescent="0.2">
      <c r="A431">
        <v>429</v>
      </c>
      <c r="B431" t="s">
        <v>2938</v>
      </c>
      <c r="C431" t="s">
        <v>2937</v>
      </c>
      <c r="F431" t="s">
        <v>2936</v>
      </c>
      <c r="G431" t="s">
        <v>13</v>
      </c>
      <c r="H431" t="s">
        <v>12</v>
      </c>
      <c r="I431" t="s">
        <v>2935</v>
      </c>
      <c r="J431" t="s">
        <v>2934</v>
      </c>
      <c r="K431" t="s">
        <v>2933</v>
      </c>
      <c r="L431" t="s">
        <v>2932</v>
      </c>
      <c r="M431" t="s">
        <v>206</v>
      </c>
      <c r="N431">
        <v>2</v>
      </c>
      <c r="O431" t="s">
        <v>2931</v>
      </c>
      <c r="P431">
        <v>35611381200</v>
      </c>
      <c r="Q431" t="s">
        <v>2930</v>
      </c>
      <c r="R431" s="7">
        <v>30682</v>
      </c>
      <c r="S431" s="8">
        <f t="shared" si="48"/>
        <v>1984</v>
      </c>
      <c r="T431" s="8">
        <v>1984</v>
      </c>
      <c r="U431" s="8">
        <f t="shared" si="49"/>
        <v>38</v>
      </c>
      <c r="V431" s="7">
        <v>30834</v>
      </c>
      <c r="W431" t="s">
        <v>380</v>
      </c>
      <c r="X431" s="2">
        <v>1.6519999999999999</v>
      </c>
      <c r="Y431" s="6">
        <f t="shared" si="54"/>
        <v>4.409919649769093E-2</v>
      </c>
      <c r="AA431" t="s">
        <v>379</v>
      </c>
      <c r="AB431">
        <v>17337</v>
      </c>
      <c r="AC431">
        <v>15582221</v>
      </c>
      <c r="AD431" t="s">
        <v>4</v>
      </c>
      <c r="AE431">
        <v>32</v>
      </c>
      <c r="AF431">
        <v>6</v>
      </c>
      <c r="AH431" t="s">
        <v>2929</v>
      </c>
      <c r="AI431" t="s">
        <v>2928</v>
      </c>
      <c r="AK431" t="s">
        <v>2927</v>
      </c>
      <c r="AL431">
        <v>18</v>
      </c>
      <c r="AM431" s="5">
        <f t="shared" si="50"/>
        <v>0.47368421052631576</v>
      </c>
      <c r="AN431" s="4">
        <f t="shared" si="55"/>
        <v>7.1743159489029266E-4</v>
      </c>
      <c r="AO431" s="3"/>
      <c r="AP431">
        <v>0</v>
      </c>
      <c r="AR431" t="s">
        <v>0</v>
      </c>
      <c r="AT431" s="2" t="s">
        <v>45</v>
      </c>
      <c r="AU431" s="1">
        <f t="shared" si="51"/>
        <v>3.1084667026850736</v>
      </c>
      <c r="AV431" s="1">
        <f t="shared" si="52"/>
        <v>2.2408314046290614</v>
      </c>
      <c r="AW431" s="1">
        <f t="shared" si="53"/>
        <v>1.3731961065730482</v>
      </c>
    </row>
    <row r="432" spans="1:49" x14ac:dyDescent="0.2">
      <c r="A432">
        <v>430</v>
      </c>
      <c r="B432" t="s">
        <v>2926</v>
      </c>
      <c r="C432" t="s">
        <v>2925</v>
      </c>
      <c r="F432" t="s">
        <v>2924</v>
      </c>
      <c r="G432" t="s">
        <v>13</v>
      </c>
      <c r="H432" t="s">
        <v>12</v>
      </c>
      <c r="I432" t="s">
        <v>2923</v>
      </c>
      <c r="J432">
        <v>60008435</v>
      </c>
      <c r="K432" t="s">
        <v>1386</v>
      </c>
      <c r="L432" t="s">
        <v>1385</v>
      </c>
      <c r="M432" t="s">
        <v>643</v>
      </c>
      <c r="N432">
        <v>2</v>
      </c>
      <c r="O432" t="s">
        <v>2922</v>
      </c>
      <c r="P432" t="s">
        <v>2921</v>
      </c>
      <c r="Q432" t="s">
        <v>2920</v>
      </c>
      <c r="R432" s="7">
        <v>30682</v>
      </c>
      <c r="S432" s="8">
        <f t="shared" ref="S432:S495" si="56">YEAR(R432)</f>
        <v>1984</v>
      </c>
      <c r="T432" s="8">
        <v>1984</v>
      </c>
      <c r="U432" s="8">
        <f t="shared" ref="U432:U495" si="57">2022-T432</f>
        <v>38</v>
      </c>
      <c r="V432" s="7">
        <v>30834</v>
      </c>
      <c r="W432" t="s">
        <v>380</v>
      </c>
      <c r="X432" s="2">
        <v>1.6519999999999999</v>
      </c>
      <c r="Y432" s="6">
        <f t="shared" si="54"/>
        <v>4.409919649769093E-2</v>
      </c>
      <c r="AA432" t="s">
        <v>379</v>
      </c>
      <c r="AB432">
        <v>17337</v>
      </c>
      <c r="AC432">
        <v>15582221</v>
      </c>
      <c r="AD432" t="s">
        <v>4</v>
      </c>
      <c r="AE432">
        <v>32</v>
      </c>
      <c r="AF432">
        <v>6</v>
      </c>
      <c r="AH432" t="s">
        <v>2919</v>
      </c>
      <c r="AI432" t="s">
        <v>2918</v>
      </c>
      <c r="AK432" t="s">
        <v>2917</v>
      </c>
      <c r="AL432">
        <v>29</v>
      </c>
      <c r="AM432" s="5">
        <f t="shared" ref="AM432:AM495" si="58">AL432/U432</f>
        <v>0.76315789473684215</v>
      </c>
      <c r="AN432" s="4">
        <f t="shared" si="55"/>
        <v>1.1558620139899161E-3</v>
      </c>
      <c r="AO432" s="3"/>
      <c r="AP432">
        <v>0</v>
      </c>
      <c r="AR432" t="s">
        <v>0</v>
      </c>
      <c r="AT432" s="2" t="s">
        <v>45</v>
      </c>
      <c r="AU432" s="1">
        <f t="shared" ref="AU432:AU495" si="59">(Y432*0.7+AN432*0.3)*100</f>
        <v>3.1216196152580626</v>
      </c>
      <c r="AV432" s="1">
        <f t="shared" ref="AV432:AV495" si="60">(Y432*0.5+AN432*0.5)*100</f>
        <v>2.2627529255840422</v>
      </c>
      <c r="AW432" s="1">
        <f t="shared" ref="AW432:AW495" si="61">(Y432*0.3+AN432*0.7)*100</f>
        <v>1.4038862359100219</v>
      </c>
    </row>
    <row r="433" spans="1:49" x14ac:dyDescent="0.2">
      <c r="A433">
        <v>431</v>
      </c>
      <c r="B433" t="s">
        <v>2916</v>
      </c>
      <c r="C433" t="s">
        <v>2915</v>
      </c>
      <c r="F433" t="s">
        <v>2914</v>
      </c>
      <c r="G433" t="s">
        <v>13</v>
      </c>
      <c r="H433" t="s">
        <v>12</v>
      </c>
      <c r="I433" t="s">
        <v>2913</v>
      </c>
      <c r="J433">
        <v>60021208</v>
      </c>
      <c r="K433" t="s">
        <v>2912</v>
      </c>
      <c r="L433" t="s">
        <v>644</v>
      </c>
      <c r="M433" t="s">
        <v>643</v>
      </c>
      <c r="N433">
        <v>2</v>
      </c>
      <c r="O433" t="s">
        <v>2911</v>
      </c>
      <c r="P433" t="s">
        <v>2910</v>
      </c>
      <c r="Q433" t="s">
        <v>2909</v>
      </c>
      <c r="R433" s="7">
        <v>30682</v>
      </c>
      <c r="S433" s="8">
        <f t="shared" si="56"/>
        <v>1984</v>
      </c>
      <c r="T433" s="8">
        <v>1984</v>
      </c>
      <c r="U433" s="8">
        <f t="shared" si="57"/>
        <v>38</v>
      </c>
      <c r="V433" s="7">
        <v>30834</v>
      </c>
      <c r="W433" t="s">
        <v>380</v>
      </c>
      <c r="X433" s="2">
        <v>1.6519999999999999</v>
      </c>
      <c r="Y433" s="6">
        <f t="shared" si="54"/>
        <v>4.409919649769093E-2</v>
      </c>
      <c r="AA433" t="s">
        <v>379</v>
      </c>
      <c r="AB433">
        <v>17337</v>
      </c>
      <c r="AC433">
        <v>15582221</v>
      </c>
      <c r="AD433" t="s">
        <v>4</v>
      </c>
      <c r="AE433">
        <v>32</v>
      </c>
      <c r="AF433">
        <v>6</v>
      </c>
      <c r="AH433" t="s">
        <v>2908</v>
      </c>
      <c r="AI433" t="s">
        <v>2907</v>
      </c>
      <c r="AK433" t="s">
        <v>2906</v>
      </c>
      <c r="AL433">
        <v>43</v>
      </c>
      <c r="AM433" s="5">
        <f t="shared" si="58"/>
        <v>1.131578947368421</v>
      </c>
      <c r="AN433" s="4">
        <f t="shared" si="55"/>
        <v>1.7138643655712547E-3</v>
      </c>
      <c r="AO433" s="3"/>
      <c r="AP433">
        <v>0</v>
      </c>
      <c r="AR433" t="s">
        <v>0</v>
      </c>
      <c r="AT433" s="2" t="s">
        <v>45</v>
      </c>
      <c r="AU433" s="1">
        <f t="shared" si="59"/>
        <v>3.138359685805503</v>
      </c>
      <c r="AV433" s="1">
        <f t="shared" si="60"/>
        <v>2.2906530431631094</v>
      </c>
      <c r="AW433" s="1">
        <f t="shared" si="61"/>
        <v>1.4429464005207158</v>
      </c>
    </row>
    <row r="434" spans="1:49" x14ac:dyDescent="0.2">
      <c r="A434">
        <v>432</v>
      </c>
      <c r="B434" t="s">
        <v>2905</v>
      </c>
      <c r="C434" t="s">
        <v>2904</v>
      </c>
      <c r="F434" t="s">
        <v>2903</v>
      </c>
      <c r="G434" t="s">
        <v>13</v>
      </c>
      <c r="H434" t="s">
        <v>12</v>
      </c>
      <c r="I434" t="s">
        <v>1352</v>
      </c>
      <c r="J434">
        <v>60014313</v>
      </c>
      <c r="K434" t="s">
        <v>1351</v>
      </c>
      <c r="L434" t="s">
        <v>1350</v>
      </c>
      <c r="M434" t="s">
        <v>56</v>
      </c>
      <c r="N434">
        <v>3</v>
      </c>
      <c r="O434" t="s">
        <v>2902</v>
      </c>
      <c r="P434" t="s">
        <v>2901</v>
      </c>
      <c r="Q434" t="s">
        <v>2900</v>
      </c>
      <c r="R434" s="7">
        <v>30682</v>
      </c>
      <c r="S434" s="8">
        <f t="shared" si="56"/>
        <v>1984</v>
      </c>
      <c r="T434" s="8">
        <v>1984</v>
      </c>
      <c r="U434" s="8">
        <f t="shared" si="57"/>
        <v>38</v>
      </c>
      <c r="V434" s="7">
        <v>30834</v>
      </c>
      <c r="W434" t="s">
        <v>380</v>
      </c>
      <c r="X434" s="2">
        <v>1.6519999999999999</v>
      </c>
      <c r="Y434" s="6">
        <f t="shared" si="54"/>
        <v>4.409919649769093E-2</v>
      </c>
      <c r="AA434" t="s">
        <v>379</v>
      </c>
      <c r="AB434">
        <v>17337</v>
      </c>
      <c r="AC434">
        <v>15582221</v>
      </c>
      <c r="AD434" t="s">
        <v>4</v>
      </c>
      <c r="AE434">
        <v>32</v>
      </c>
      <c r="AF434">
        <v>6</v>
      </c>
      <c r="AH434" t="s">
        <v>2899</v>
      </c>
      <c r="AI434" t="s">
        <v>2898</v>
      </c>
      <c r="AK434" t="s">
        <v>2897</v>
      </c>
      <c r="AL434">
        <v>20</v>
      </c>
      <c r="AM434" s="5">
        <f t="shared" si="58"/>
        <v>0.52631578947368418</v>
      </c>
      <c r="AN434" s="4">
        <f t="shared" si="55"/>
        <v>7.9714621654476973E-4</v>
      </c>
      <c r="AO434" s="3"/>
      <c r="AP434">
        <v>0</v>
      </c>
      <c r="AR434" t="s">
        <v>0</v>
      </c>
      <c r="AT434" s="2" t="s">
        <v>45</v>
      </c>
      <c r="AU434" s="1">
        <f t="shared" si="59"/>
        <v>3.1108581413347083</v>
      </c>
      <c r="AV434" s="1">
        <f t="shared" si="60"/>
        <v>2.2448171357117848</v>
      </c>
      <c r="AW434" s="1">
        <f t="shared" si="61"/>
        <v>1.3787761300888617</v>
      </c>
    </row>
    <row r="435" spans="1:49" x14ac:dyDescent="0.2">
      <c r="A435">
        <v>433</v>
      </c>
      <c r="B435" t="s">
        <v>2896</v>
      </c>
      <c r="C435" t="s">
        <v>2895</v>
      </c>
      <c r="F435" t="s">
        <v>2894</v>
      </c>
      <c r="G435" t="s">
        <v>13</v>
      </c>
      <c r="H435" t="s">
        <v>12</v>
      </c>
      <c r="I435" t="s">
        <v>2893</v>
      </c>
      <c r="J435">
        <v>60004176</v>
      </c>
      <c r="K435" t="s">
        <v>1856</v>
      </c>
      <c r="L435" t="s">
        <v>1855</v>
      </c>
      <c r="M435" t="s">
        <v>643</v>
      </c>
      <c r="N435">
        <v>2</v>
      </c>
      <c r="O435" t="s">
        <v>2892</v>
      </c>
      <c r="P435" t="s">
        <v>2891</v>
      </c>
      <c r="Q435" t="s">
        <v>1852</v>
      </c>
      <c r="R435" s="7">
        <v>30682</v>
      </c>
      <c r="S435" s="8">
        <f t="shared" si="56"/>
        <v>1984</v>
      </c>
      <c r="T435" s="8">
        <v>1984</v>
      </c>
      <c r="U435" s="8">
        <f t="shared" si="57"/>
        <v>38</v>
      </c>
      <c r="V435" s="7">
        <v>1984</v>
      </c>
      <c r="W435" t="s">
        <v>756</v>
      </c>
      <c r="X435" s="2">
        <v>0.111</v>
      </c>
      <c r="Y435" s="6">
        <f t="shared" si="54"/>
        <v>2.9630816048690639E-3</v>
      </c>
      <c r="AA435">
        <v>87566621</v>
      </c>
      <c r="AB435">
        <v>24890</v>
      </c>
      <c r="AC435">
        <v>15206424</v>
      </c>
      <c r="AD435" t="s">
        <v>4</v>
      </c>
      <c r="AE435">
        <v>67</v>
      </c>
      <c r="AF435">
        <v>6</v>
      </c>
      <c r="AH435" t="s">
        <v>2890</v>
      </c>
      <c r="AI435" t="s">
        <v>2889</v>
      </c>
      <c r="AK435" t="s">
        <v>2888</v>
      </c>
      <c r="AL435">
        <v>7</v>
      </c>
      <c r="AM435" s="5">
        <f t="shared" si="58"/>
        <v>0.18421052631578946</v>
      </c>
      <c r="AN435" s="4">
        <f t="shared" si="55"/>
        <v>2.7900117579066937E-4</v>
      </c>
      <c r="AO435" s="3"/>
      <c r="AP435">
        <v>0</v>
      </c>
      <c r="AR435" t="s">
        <v>0</v>
      </c>
      <c r="AT435" s="2" t="s">
        <v>45</v>
      </c>
      <c r="AU435" s="1">
        <f t="shared" si="59"/>
        <v>0.21578574761455452</v>
      </c>
      <c r="AV435" s="1">
        <f t="shared" si="60"/>
        <v>0.16210413903298668</v>
      </c>
      <c r="AW435" s="1">
        <f t="shared" si="61"/>
        <v>0.10842253045141875</v>
      </c>
    </row>
    <row r="436" spans="1:49" x14ac:dyDescent="0.2">
      <c r="A436">
        <v>434</v>
      </c>
      <c r="B436" t="s">
        <v>2887</v>
      </c>
      <c r="C436" t="s">
        <v>2886</v>
      </c>
      <c r="F436" t="s">
        <v>2885</v>
      </c>
      <c r="G436" t="s">
        <v>13</v>
      </c>
      <c r="H436" t="s">
        <v>12</v>
      </c>
      <c r="I436" t="s">
        <v>2884</v>
      </c>
      <c r="J436" t="s">
        <v>2879</v>
      </c>
      <c r="K436" t="s">
        <v>2883</v>
      </c>
      <c r="L436" t="s">
        <v>2882</v>
      </c>
      <c r="M436" t="s">
        <v>2076</v>
      </c>
      <c r="N436">
        <v>2</v>
      </c>
      <c r="O436" t="s">
        <v>2881</v>
      </c>
      <c r="P436" t="s">
        <v>2880</v>
      </c>
      <c r="Q436" t="s">
        <v>2879</v>
      </c>
      <c r="R436" s="7">
        <v>30682</v>
      </c>
      <c r="S436" s="8">
        <f t="shared" si="56"/>
        <v>1984</v>
      </c>
      <c r="T436" s="8">
        <v>1984</v>
      </c>
      <c r="U436" s="8">
        <f t="shared" si="57"/>
        <v>38</v>
      </c>
      <c r="V436" s="7">
        <v>30834</v>
      </c>
      <c r="W436" t="s">
        <v>1523</v>
      </c>
      <c r="X436" s="2">
        <v>0.78200000000000003</v>
      </c>
      <c r="Y436" s="6">
        <f t="shared" si="54"/>
        <v>2.0875043378446919E-2</v>
      </c>
      <c r="AA436">
        <v>189316</v>
      </c>
      <c r="AB436">
        <v>19901</v>
      </c>
      <c r="AC436">
        <v>15579611</v>
      </c>
      <c r="AD436" t="s">
        <v>4</v>
      </c>
      <c r="AE436" t="s">
        <v>1522</v>
      </c>
      <c r="AF436">
        <v>2</v>
      </c>
      <c r="AH436" t="s">
        <v>2878</v>
      </c>
      <c r="AI436" t="s">
        <v>2877</v>
      </c>
      <c r="AK436" t="s">
        <v>2876</v>
      </c>
      <c r="AL436">
        <v>4</v>
      </c>
      <c r="AM436" s="5">
        <f t="shared" si="58"/>
        <v>0.10526315789473684</v>
      </c>
      <c r="AN436" s="4">
        <f t="shared" si="55"/>
        <v>1.5942924330895392E-4</v>
      </c>
      <c r="AO436" s="3"/>
      <c r="AP436">
        <v>0</v>
      </c>
      <c r="AR436" t="s">
        <v>0</v>
      </c>
      <c r="AT436" s="2">
        <v>3.863</v>
      </c>
      <c r="AU436" s="1">
        <f t="shared" si="59"/>
        <v>1.4660359137905528</v>
      </c>
      <c r="AV436" s="1">
        <f t="shared" si="60"/>
        <v>1.0517236310877938</v>
      </c>
      <c r="AW436" s="1">
        <f t="shared" si="61"/>
        <v>0.63741134838503433</v>
      </c>
    </row>
    <row r="437" spans="1:49" x14ac:dyDescent="0.2">
      <c r="A437">
        <v>435</v>
      </c>
      <c r="B437" t="s">
        <v>2875</v>
      </c>
      <c r="F437" t="s">
        <v>2874</v>
      </c>
      <c r="G437" t="s">
        <v>13</v>
      </c>
      <c r="H437" t="s">
        <v>12</v>
      </c>
      <c r="I437" t="s">
        <v>2873</v>
      </c>
      <c r="N437">
        <v>1</v>
      </c>
      <c r="O437" t="s">
        <v>2872</v>
      </c>
      <c r="P437">
        <v>6507874782</v>
      </c>
      <c r="R437" s="7">
        <v>30682</v>
      </c>
      <c r="S437" s="8">
        <f t="shared" si="56"/>
        <v>1984</v>
      </c>
      <c r="T437" s="8">
        <v>1984</v>
      </c>
      <c r="U437" s="8">
        <f t="shared" si="57"/>
        <v>38</v>
      </c>
      <c r="V437" s="7" t="s">
        <v>2673</v>
      </c>
      <c r="W437" t="s">
        <v>2871</v>
      </c>
      <c r="X437" s="2" t="s">
        <v>45</v>
      </c>
      <c r="Y437" s="6" t="e">
        <f t="shared" si="54"/>
        <v>#VALUE!</v>
      </c>
      <c r="AB437">
        <v>33812</v>
      </c>
      <c r="AD437" t="s">
        <v>4</v>
      </c>
      <c r="AE437">
        <v>27</v>
      </c>
      <c r="AF437">
        <v>6</v>
      </c>
      <c r="AH437" t="s">
        <v>2870</v>
      </c>
      <c r="AI437" t="s">
        <v>2869</v>
      </c>
      <c r="AK437" t="s">
        <v>2868</v>
      </c>
      <c r="AL437">
        <v>0</v>
      </c>
      <c r="AM437" s="5">
        <f t="shared" si="58"/>
        <v>0</v>
      </c>
      <c r="AN437" s="4">
        <f t="shared" si="55"/>
        <v>0</v>
      </c>
      <c r="AO437" s="3"/>
      <c r="AP437">
        <v>0</v>
      </c>
      <c r="AR437" t="s">
        <v>0</v>
      </c>
      <c r="AT437" s="2" t="s">
        <v>45</v>
      </c>
      <c r="AU437" s="1" t="e">
        <f t="shared" si="59"/>
        <v>#VALUE!</v>
      </c>
      <c r="AV437" s="1" t="e">
        <f t="shared" si="60"/>
        <v>#VALUE!</v>
      </c>
      <c r="AW437" s="1" t="e">
        <f t="shared" si="61"/>
        <v>#VALUE!</v>
      </c>
    </row>
    <row r="438" spans="1:49" x14ac:dyDescent="0.2">
      <c r="A438">
        <v>436</v>
      </c>
      <c r="B438" t="s">
        <v>2867</v>
      </c>
      <c r="C438" t="s">
        <v>2866</v>
      </c>
      <c r="F438" t="s">
        <v>2865</v>
      </c>
      <c r="G438" t="s">
        <v>13</v>
      </c>
      <c r="H438" t="s">
        <v>12</v>
      </c>
      <c r="I438" t="s">
        <v>2864</v>
      </c>
      <c r="J438">
        <v>60025209</v>
      </c>
      <c r="K438" t="s">
        <v>2863</v>
      </c>
      <c r="L438" t="s">
        <v>1965</v>
      </c>
      <c r="M438" t="s">
        <v>56</v>
      </c>
      <c r="N438">
        <v>1</v>
      </c>
      <c r="O438" t="s">
        <v>2862</v>
      </c>
      <c r="P438">
        <v>57197192927</v>
      </c>
      <c r="Q438">
        <v>60025209</v>
      </c>
      <c r="R438" s="7">
        <v>30682</v>
      </c>
      <c r="S438" s="8">
        <f t="shared" si="56"/>
        <v>1984</v>
      </c>
      <c r="T438" s="8">
        <v>1984</v>
      </c>
      <c r="U438" s="8">
        <f t="shared" si="57"/>
        <v>38</v>
      </c>
      <c r="V438" s="7">
        <v>30834</v>
      </c>
      <c r="W438" t="s">
        <v>380</v>
      </c>
      <c r="X438" s="2">
        <v>1.6519999999999999</v>
      </c>
      <c r="Y438" s="6">
        <f t="shared" si="54"/>
        <v>4.409919649769093E-2</v>
      </c>
      <c r="AA438" t="s">
        <v>379</v>
      </c>
      <c r="AB438">
        <v>17337</v>
      </c>
      <c r="AC438">
        <v>15582221</v>
      </c>
      <c r="AD438" t="s">
        <v>4</v>
      </c>
      <c r="AE438">
        <v>32</v>
      </c>
      <c r="AF438">
        <v>6</v>
      </c>
      <c r="AH438" t="s">
        <v>2861</v>
      </c>
      <c r="AI438" t="s">
        <v>2860</v>
      </c>
      <c r="AK438" t="s">
        <v>2859</v>
      </c>
      <c r="AL438">
        <v>10</v>
      </c>
      <c r="AM438" s="5">
        <f t="shared" si="58"/>
        <v>0.26315789473684209</v>
      </c>
      <c r="AN438" s="4">
        <f t="shared" si="55"/>
        <v>3.9857310827238487E-4</v>
      </c>
      <c r="AO438" s="3"/>
      <c r="AP438">
        <v>0</v>
      </c>
      <c r="AR438" t="s">
        <v>0</v>
      </c>
      <c r="AT438" s="2" t="s">
        <v>45</v>
      </c>
      <c r="AU438" s="1">
        <f t="shared" si="59"/>
        <v>3.0989009480865368</v>
      </c>
      <c r="AV438" s="1">
        <f t="shared" si="60"/>
        <v>2.2248884802981657</v>
      </c>
      <c r="AW438" s="1">
        <f t="shared" si="61"/>
        <v>1.3508760125097947</v>
      </c>
    </row>
    <row r="439" spans="1:49" x14ac:dyDescent="0.2">
      <c r="A439">
        <v>437</v>
      </c>
      <c r="B439" t="s">
        <v>2858</v>
      </c>
      <c r="C439" t="s">
        <v>2857</v>
      </c>
      <c r="F439" t="s">
        <v>2856</v>
      </c>
      <c r="G439" t="s">
        <v>13</v>
      </c>
      <c r="H439" t="s">
        <v>12</v>
      </c>
      <c r="I439" t="s">
        <v>2450</v>
      </c>
      <c r="J439">
        <v>60013141</v>
      </c>
      <c r="K439" t="s">
        <v>2855</v>
      </c>
      <c r="L439" t="s">
        <v>2854</v>
      </c>
      <c r="M439" t="s">
        <v>2853</v>
      </c>
      <c r="N439">
        <v>1</v>
      </c>
      <c r="O439" t="s">
        <v>2852</v>
      </c>
      <c r="P439">
        <v>7101988263</v>
      </c>
      <c r="Q439">
        <v>60013141</v>
      </c>
      <c r="R439" s="7">
        <v>30682</v>
      </c>
      <c r="S439" s="8">
        <f t="shared" si="56"/>
        <v>1984</v>
      </c>
      <c r="T439" s="8">
        <v>1984</v>
      </c>
      <c r="U439" s="8">
        <f t="shared" si="57"/>
        <v>38</v>
      </c>
      <c r="V439" s="7">
        <v>30834</v>
      </c>
      <c r="W439" t="s">
        <v>380</v>
      </c>
      <c r="X439" s="2">
        <v>1.6519999999999999</v>
      </c>
      <c r="Y439" s="6">
        <f t="shared" si="54"/>
        <v>4.409919649769093E-2</v>
      </c>
      <c r="AA439" t="s">
        <v>379</v>
      </c>
      <c r="AB439">
        <v>17337</v>
      </c>
      <c r="AC439">
        <v>15582221</v>
      </c>
      <c r="AD439" t="s">
        <v>4</v>
      </c>
      <c r="AE439">
        <v>32</v>
      </c>
      <c r="AF439">
        <v>6</v>
      </c>
      <c r="AH439" t="s">
        <v>2851</v>
      </c>
      <c r="AI439" t="s">
        <v>2850</v>
      </c>
      <c r="AK439" t="s">
        <v>2849</v>
      </c>
      <c r="AL439">
        <v>18</v>
      </c>
      <c r="AM439" s="5">
        <f t="shared" si="58"/>
        <v>0.47368421052631576</v>
      </c>
      <c r="AN439" s="4">
        <f t="shared" si="55"/>
        <v>7.1743159489029266E-4</v>
      </c>
      <c r="AO439" s="3"/>
      <c r="AP439">
        <v>0</v>
      </c>
      <c r="AR439" t="s">
        <v>0</v>
      </c>
      <c r="AT439" s="2" t="s">
        <v>45</v>
      </c>
      <c r="AU439" s="1">
        <f t="shared" si="59"/>
        <v>3.1084667026850736</v>
      </c>
      <c r="AV439" s="1">
        <f t="shared" si="60"/>
        <v>2.2408314046290614</v>
      </c>
      <c r="AW439" s="1">
        <f t="shared" si="61"/>
        <v>1.3731961065730482</v>
      </c>
    </row>
    <row r="440" spans="1:49" x14ac:dyDescent="0.2">
      <c r="A440">
        <v>438</v>
      </c>
      <c r="B440" t="s">
        <v>2848</v>
      </c>
      <c r="F440" t="s">
        <v>2847</v>
      </c>
      <c r="G440" t="s">
        <v>13</v>
      </c>
      <c r="H440" t="s">
        <v>12</v>
      </c>
      <c r="I440" t="s">
        <v>2846</v>
      </c>
      <c r="N440">
        <v>3</v>
      </c>
      <c r="O440" t="s">
        <v>2845</v>
      </c>
      <c r="P440" t="s">
        <v>2844</v>
      </c>
      <c r="Q440" t="s">
        <v>8</v>
      </c>
      <c r="R440" s="7">
        <v>30682</v>
      </c>
      <c r="S440" s="8">
        <f t="shared" si="56"/>
        <v>1984</v>
      </c>
      <c r="T440" s="8">
        <v>1984</v>
      </c>
      <c r="U440" s="8">
        <f t="shared" si="57"/>
        <v>38</v>
      </c>
      <c r="V440" s="7" t="s">
        <v>2843</v>
      </c>
      <c r="W440" t="s">
        <v>2842</v>
      </c>
      <c r="X440" s="2" t="s">
        <v>45</v>
      </c>
      <c r="Y440" s="6" t="e">
        <f t="shared" si="54"/>
        <v>#VALUE!</v>
      </c>
      <c r="AA440" t="s">
        <v>2841</v>
      </c>
      <c r="AB440">
        <v>90205</v>
      </c>
      <c r="AD440" t="s">
        <v>4</v>
      </c>
      <c r="AF440">
        <v>148</v>
      </c>
      <c r="AH440" t="s">
        <v>2840</v>
      </c>
      <c r="AI440" t="s">
        <v>2839</v>
      </c>
      <c r="AK440" t="s">
        <v>2838</v>
      </c>
      <c r="AL440">
        <v>0</v>
      </c>
      <c r="AM440" s="5">
        <f t="shared" si="58"/>
        <v>0</v>
      </c>
      <c r="AN440" s="4">
        <f t="shared" si="55"/>
        <v>0</v>
      </c>
      <c r="AO440" s="3"/>
      <c r="AP440">
        <v>0</v>
      </c>
      <c r="AR440" t="s">
        <v>0</v>
      </c>
      <c r="AT440" s="2" t="s">
        <v>45</v>
      </c>
      <c r="AU440" s="1" t="e">
        <f t="shared" si="59"/>
        <v>#VALUE!</v>
      </c>
      <c r="AV440" s="1" t="e">
        <f t="shared" si="60"/>
        <v>#VALUE!</v>
      </c>
      <c r="AW440" s="1" t="e">
        <f t="shared" si="61"/>
        <v>#VALUE!</v>
      </c>
    </row>
    <row r="441" spans="1:49" x14ac:dyDescent="0.2">
      <c r="A441">
        <v>439</v>
      </c>
      <c r="B441" t="s">
        <v>2837</v>
      </c>
      <c r="C441" t="s">
        <v>2836</v>
      </c>
      <c r="F441" t="s">
        <v>2835</v>
      </c>
      <c r="G441" t="s">
        <v>13</v>
      </c>
      <c r="H441" t="s">
        <v>12</v>
      </c>
      <c r="I441" t="s">
        <v>2834</v>
      </c>
      <c r="J441" t="s">
        <v>2833</v>
      </c>
      <c r="K441" t="s">
        <v>2832</v>
      </c>
      <c r="L441" t="s">
        <v>2831</v>
      </c>
      <c r="M441" t="s">
        <v>2830</v>
      </c>
      <c r="N441">
        <v>2</v>
      </c>
      <c r="O441" t="s">
        <v>2829</v>
      </c>
      <c r="P441" t="s">
        <v>2828</v>
      </c>
      <c r="Q441" t="s">
        <v>2827</v>
      </c>
      <c r="R441" s="7">
        <v>30682</v>
      </c>
      <c r="S441" s="8">
        <f t="shared" si="56"/>
        <v>1984</v>
      </c>
      <c r="T441" s="8">
        <v>1984</v>
      </c>
      <c r="U441" s="8">
        <f t="shared" si="57"/>
        <v>38</v>
      </c>
      <c r="V441" s="7">
        <v>30834</v>
      </c>
      <c r="W441" t="s">
        <v>380</v>
      </c>
      <c r="X441" s="2">
        <v>1.6519999999999999</v>
      </c>
      <c r="Y441" s="6">
        <f t="shared" si="54"/>
        <v>4.409919649769093E-2</v>
      </c>
      <c r="AA441" t="s">
        <v>379</v>
      </c>
      <c r="AB441">
        <v>17337</v>
      </c>
      <c r="AC441">
        <v>15582221</v>
      </c>
      <c r="AD441" t="s">
        <v>4</v>
      </c>
      <c r="AE441">
        <v>32</v>
      </c>
      <c r="AF441">
        <v>6</v>
      </c>
      <c r="AH441" t="s">
        <v>2826</v>
      </c>
      <c r="AI441" t="s">
        <v>2825</v>
      </c>
      <c r="AK441" t="s">
        <v>2824</v>
      </c>
      <c r="AL441">
        <v>19</v>
      </c>
      <c r="AM441" s="5">
        <f t="shared" si="58"/>
        <v>0.5</v>
      </c>
      <c r="AN441" s="4">
        <f t="shared" si="55"/>
        <v>7.572889057175312E-4</v>
      </c>
      <c r="AO441" s="3"/>
      <c r="AP441">
        <v>0</v>
      </c>
      <c r="AR441" t="s">
        <v>0</v>
      </c>
      <c r="AT441" s="2" t="s">
        <v>45</v>
      </c>
      <c r="AU441" s="1">
        <f t="shared" si="59"/>
        <v>3.1096624220098912</v>
      </c>
      <c r="AV441" s="1">
        <f t="shared" si="60"/>
        <v>2.2428242701704231</v>
      </c>
      <c r="AW441" s="1">
        <f t="shared" si="61"/>
        <v>1.375986118330955</v>
      </c>
    </row>
    <row r="442" spans="1:49" x14ac:dyDescent="0.2">
      <c r="A442">
        <v>440</v>
      </c>
      <c r="B442" t="s">
        <v>2823</v>
      </c>
      <c r="C442" t="s">
        <v>2822</v>
      </c>
      <c r="F442" t="s">
        <v>2821</v>
      </c>
      <c r="G442" t="s">
        <v>13</v>
      </c>
      <c r="H442" t="s">
        <v>12</v>
      </c>
      <c r="I442" t="s">
        <v>2820</v>
      </c>
      <c r="J442">
        <v>60013901</v>
      </c>
      <c r="K442" t="s">
        <v>2819</v>
      </c>
      <c r="L442" t="s">
        <v>2818</v>
      </c>
      <c r="M442" t="s">
        <v>56</v>
      </c>
      <c r="N442">
        <v>4</v>
      </c>
      <c r="O442" t="s">
        <v>2817</v>
      </c>
      <c r="P442" t="s">
        <v>2816</v>
      </c>
      <c r="Q442" t="s">
        <v>2815</v>
      </c>
      <c r="R442" s="7">
        <v>30682</v>
      </c>
      <c r="S442" s="8">
        <f t="shared" si="56"/>
        <v>1984</v>
      </c>
      <c r="T442" s="8">
        <v>1984</v>
      </c>
      <c r="U442" s="8">
        <f t="shared" si="57"/>
        <v>38</v>
      </c>
      <c r="V442" s="7">
        <v>30834</v>
      </c>
      <c r="W442" t="s">
        <v>691</v>
      </c>
      <c r="X442" s="2">
        <v>1.774</v>
      </c>
      <c r="Y442" s="6">
        <f t="shared" si="54"/>
        <v>4.7355916820159633E-2</v>
      </c>
      <c r="AA442">
        <v>295515</v>
      </c>
      <c r="AB442">
        <v>29066</v>
      </c>
      <c r="AC442">
        <v>17414326</v>
      </c>
      <c r="AD442" t="s">
        <v>4</v>
      </c>
      <c r="AE442">
        <v>24</v>
      </c>
      <c r="AF442">
        <v>6</v>
      </c>
      <c r="AH442" t="s">
        <v>2814</v>
      </c>
      <c r="AI442" t="s">
        <v>2813</v>
      </c>
      <c r="AK442" t="s">
        <v>2812</v>
      </c>
      <c r="AL442">
        <v>0</v>
      </c>
      <c r="AM442" s="5">
        <f t="shared" si="58"/>
        <v>0</v>
      </c>
      <c r="AN442" s="4">
        <f t="shared" si="55"/>
        <v>0</v>
      </c>
      <c r="AO442" s="3"/>
      <c r="AP442">
        <v>0</v>
      </c>
      <c r="AR442" t="s">
        <v>0</v>
      </c>
      <c r="AT442" s="2">
        <v>3.1789999999999998</v>
      </c>
      <c r="AU442" s="1">
        <f t="shared" si="59"/>
        <v>3.3149141774111741</v>
      </c>
      <c r="AV442" s="1">
        <f t="shared" si="60"/>
        <v>2.3677958410079816</v>
      </c>
      <c r="AW442" s="1">
        <f t="shared" si="61"/>
        <v>1.4206775046047888</v>
      </c>
    </row>
    <row r="443" spans="1:49" x14ac:dyDescent="0.2">
      <c r="A443">
        <v>441</v>
      </c>
      <c r="B443" t="s">
        <v>2811</v>
      </c>
      <c r="C443" t="s">
        <v>2810</v>
      </c>
      <c r="F443" t="s">
        <v>2809</v>
      </c>
      <c r="G443" t="s">
        <v>13</v>
      </c>
      <c r="H443" t="s">
        <v>12</v>
      </c>
      <c r="I443" t="s">
        <v>2808</v>
      </c>
      <c r="N443">
        <v>2</v>
      </c>
      <c r="O443" t="s">
        <v>2807</v>
      </c>
      <c r="P443" t="s">
        <v>2806</v>
      </c>
      <c r="Q443" t="s">
        <v>266</v>
      </c>
      <c r="R443" s="7">
        <v>30682</v>
      </c>
      <c r="S443" s="8">
        <f t="shared" si="56"/>
        <v>1984</v>
      </c>
      <c r="T443" s="8">
        <v>1984</v>
      </c>
      <c r="U443" s="8">
        <f t="shared" si="57"/>
        <v>38</v>
      </c>
      <c r="V443" s="7" t="s">
        <v>2673</v>
      </c>
      <c r="W443" s="11" t="s">
        <v>1146</v>
      </c>
      <c r="X443" s="2">
        <v>2.383</v>
      </c>
      <c r="Y443" s="6">
        <f t="shared" si="54"/>
        <v>6.3612824003630442E-2</v>
      </c>
      <c r="AA443">
        <v>1437097</v>
      </c>
      <c r="AB443">
        <v>101236</v>
      </c>
      <c r="AD443" t="s">
        <v>4</v>
      </c>
      <c r="AE443">
        <v>131</v>
      </c>
      <c r="AF443" t="s">
        <v>2685</v>
      </c>
      <c r="AH443" t="s">
        <v>2805</v>
      </c>
      <c r="AI443" t="s">
        <v>2804</v>
      </c>
      <c r="AK443" t="s">
        <v>2803</v>
      </c>
      <c r="AL443">
        <v>14</v>
      </c>
      <c r="AM443" s="5">
        <f t="shared" si="58"/>
        <v>0.36842105263157893</v>
      </c>
      <c r="AN443" s="4">
        <f t="shared" si="55"/>
        <v>5.5800235158133874E-4</v>
      </c>
      <c r="AO443" s="3"/>
      <c r="AP443">
        <v>0</v>
      </c>
      <c r="AR443" t="s">
        <v>0</v>
      </c>
      <c r="AT443" s="2" t="s">
        <v>45</v>
      </c>
      <c r="AU443" s="1">
        <f t="shared" si="59"/>
        <v>4.4696377508015708</v>
      </c>
      <c r="AV443" s="1">
        <f t="shared" si="60"/>
        <v>3.2085413177605888</v>
      </c>
      <c r="AW443" s="1">
        <f t="shared" si="61"/>
        <v>1.9474448847196069</v>
      </c>
    </row>
    <row r="444" spans="1:49" x14ac:dyDescent="0.2">
      <c r="A444">
        <v>442</v>
      </c>
      <c r="B444" t="s">
        <v>2802</v>
      </c>
      <c r="C444" t="s">
        <v>2801</v>
      </c>
      <c r="F444" t="s">
        <v>2800</v>
      </c>
      <c r="G444" t="s">
        <v>13</v>
      </c>
      <c r="H444" t="s">
        <v>12</v>
      </c>
      <c r="I444" t="s">
        <v>2799</v>
      </c>
      <c r="J444">
        <v>60018020</v>
      </c>
      <c r="K444" t="s">
        <v>2372</v>
      </c>
      <c r="L444" t="s">
        <v>2371</v>
      </c>
      <c r="M444" t="s">
        <v>56</v>
      </c>
      <c r="N444">
        <v>1</v>
      </c>
      <c r="O444" t="s">
        <v>2798</v>
      </c>
      <c r="P444">
        <v>22976701400</v>
      </c>
      <c r="Q444">
        <v>60018020</v>
      </c>
      <c r="R444" s="7">
        <v>30682</v>
      </c>
      <c r="S444" s="8">
        <f t="shared" si="56"/>
        <v>1984</v>
      </c>
      <c r="T444" s="8">
        <v>1984</v>
      </c>
      <c r="U444" s="8">
        <f t="shared" si="57"/>
        <v>38</v>
      </c>
      <c r="V444" s="7">
        <v>1984</v>
      </c>
      <c r="W444" t="s">
        <v>1645</v>
      </c>
      <c r="X444" s="2">
        <v>0.46</v>
      </c>
      <c r="Y444" s="6">
        <f t="shared" si="54"/>
        <v>1.2279437281439364E-2</v>
      </c>
      <c r="AA444">
        <v>933813</v>
      </c>
      <c r="AB444">
        <v>28031</v>
      </c>
      <c r="AC444">
        <v>19399375</v>
      </c>
      <c r="AD444" t="s">
        <v>4</v>
      </c>
      <c r="AE444">
        <v>12</v>
      </c>
      <c r="AF444">
        <v>2</v>
      </c>
      <c r="AH444" t="s">
        <v>2797</v>
      </c>
      <c r="AI444" t="s">
        <v>2796</v>
      </c>
      <c r="AK444" t="s">
        <v>2795</v>
      </c>
      <c r="AL444">
        <v>11</v>
      </c>
      <c r="AM444" s="5">
        <f t="shared" si="58"/>
        <v>0.28947368421052633</v>
      </c>
      <c r="AN444" s="4">
        <f t="shared" si="55"/>
        <v>4.3843041909962335E-4</v>
      </c>
      <c r="AO444" s="3"/>
      <c r="AP444">
        <v>0</v>
      </c>
      <c r="AR444" t="s">
        <v>0</v>
      </c>
      <c r="AT444" s="2">
        <v>1.222</v>
      </c>
      <c r="AU444" s="1">
        <f t="shared" si="59"/>
        <v>0.87271352227374399</v>
      </c>
      <c r="AV444" s="1">
        <f t="shared" si="60"/>
        <v>0.63589338502694936</v>
      </c>
      <c r="AW444" s="1">
        <f t="shared" si="61"/>
        <v>0.39907324778015452</v>
      </c>
    </row>
    <row r="445" spans="1:49" x14ac:dyDescent="0.2">
      <c r="A445">
        <v>443</v>
      </c>
      <c r="B445" t="s">
        <v>2794</v>
      </c>
      <c r="C445" t="s">
        <v>2793</v>
      </c>
      <c r="D445">
        <v>38109884903405</v>
      </c>
      <c r="F445" t="s">
        <v>2792</v>
      </c>
      <c r="G445" t="s">
        <v>13</v>
      </c>
      <c r="H445" t="s">
        <v>12</v>
      </c>
      <c r="I445" t="s">
        <v>2791</v>
      </c>
      <c r="J445">
        <v>60025858</v>
      </c>
      <c r="K445" t="s">
        <v>2790</v>
      </c>
      <c r="L445" t="s">
        <v>2789</v>
      </c>
      <c r="M445" t="s">
        <v>1259</v>
      </c>
      <c r="N445">
        <v>3</v>
      </c>
      <c r="O445" t="s">
        <v>2788</v>
      </c>
      <c r="P445" t="s">
        <v>2787</v>
      </c>
      <c r="Q445" t="s">
        <v>2786</v>
      </c>
      <c r="R445" s="7">
        <v>30682</v>
      </c>
      <c r="S445" s="8">
        <f t="shared" si="56"/>
        <v>1984</v>
      </c>
      <c r="T445" s="8">
        <v>1984</v>
      </c>
      <c r="U445" s="8">
        <f t="shared" si="57"/>
        <v>38</v>
      </c>
      <c r="V445" s="7">
        <v>30834</v>
      </c>
      <c r="W445" t="s">
        <v>2785</v>
      </c>
      <c r="X445" s="2">
        <v>0.42899999999999999</v>
      </c>
      <c r="Y445" s="6">
        <f t="shared" si="54"/>
        <v>1.1451909986385841E-2</v>
      </c>
      <c r="AA445">
        <v>381098</v>
      </c>
      <c r="AB445">
        <v>29886</v>
      </c>
      <c r="AD445" t="s">
        <v>4</v>
      </c>
      <c r="AE445">
        <v>50</v>
      </c>
      <c r="AF445">
        <v>9</v>
      </c>
      <c r="AH445" t="s">
        <v>2784</v>
      </c>
      <c r="AI445" t="s">
        <v>2783</v>
      </c>
      <c r="AK445" t="s">
        <v>2782</v>
      </c>
      <c r="AL445">
        <v>28</v>
      </c>
      <c r="AM445" s="5">
        <f t="shared" si="58"/>
        <v>0.73684210526315785</v>
      </c>
      <c r="AN445" s="4">
        <f t="shared" si="55"/>
        <v>1.1160047031626775E-3</v>
      </c>
      <c r="AO445" s="3"/>
      <c r="AP445">
        <v>0</v>
      </c>
      <c r="AQ445" t="s">
        <v>2781</v>
      </c>
      <c r="AR445" t="s">
        <v>0</v>
      </c>
      <c r="AS445" t="s">
        <v>2780</v>
      </c>
      <c r="AT445" s="2">
        <v>1.804</v>
      </c>
      <c r="AU445" s="1">
        <f t="shared" si="59"/>
        <v>0.83511384014188916</v>
      </c>
      <c r="AV445" s="1">
        <f t="shared" si="60"/>
        <v>0.62839573447742592</v>
      </c>
      <c r="AW445" s="1">
        <f t="shared" si="61"/>
        <v>0.42167762881296261</v>
      </c>
    </row>
    <row r="446" spans="1:49" x14ac:dyDescent="0.2">
      <c r="A446">
        <v>444</v>
      </c>
      <c r="B446" t="s">
        <v>2779</v>
      </c>
      <c r="C446" t="s">
        <v>2778</v>
      </c>
      <c r="F446" t="s">
        <v>2777</v>
      </c>
      <c r="G446" t="s">
        <v>13</v>
      </c>
      <c r="H446" t="s">
        <v>12</v>
      </c>
      <c r="I446" t="s">
        <v>2734</v>
      </c>
      <c r="N446">
        <v>3</v>
      </c>
      <c r="O446" t="s">
        <v>2776</v>
      </c>
      <c r="P446" t="s">
        <v>2775</v>
      </c>
      <c r="Q446" t="s">
        <v>8</v>
      </c>
      <c r="R446" s="7">
        <v>30682</v>
      </c>
      <c r="S446" s="8">
        <f t="shared" si="56"/>
        <v>1984</v>
      </c>
      <c r="T446" s="8">
        <v>1984</v>
      </c>
      <c r="U446" s="8">
        <f t="shared" si="57"/>
        <v>38</v>
      </c>
      <c r="V446" s="7" t="s">
        <v>2673</v>
      </c>
      <c r="W446" s="11" t="s">
        <v>1146</v>
      </c>
      <c r="X446" s="2">
        <v>2.383</v>
      </c>
      <c r="Y446" s="6">
        <f t="shared" si="54"/>
        <v>6.3612824003630442E-2</v>
      </c>
      <c r="AA446">
        <v>1437097</v>
      </c>
      <c r="AB446">
        <v>101236</v>
      </c>
      <c r="AD446" t="s">
        <v>4</v>
      </c>
      <c r="AE446">
        <v>131</v>
      </c>
      <c r="AF446" t="s">
        <v>2685</v>
      </c>
      <c r="AH446" t="s">
        <v>2774</v>
      </c>
      <c r="AI446" t="s">
        <v>2773</v>
      </c>
      <c r="AK446" t="s">
        <v>2772</v>
      </c>
      <c r="AL446">
        <v>8</v>
      </c>
      <c r="AM446" s="5">
        <f t="shared" si="58"/>
        <v>0.21052631578947367</v>
      </c>
      <c r="AN446" s="4">
        <f t="shared" si="55"/>
        <v>3.1885848661790785E-4</v>
      </c>
      <c r="AO446" s="3"/>
      <c r="AP446">
        <v>0</v>
      </c>
      <c r="AR446" t="s">
        <v>0</v>
      </c>
      <c r="AT446" s="2" t="s">
        <v>45</v>
      </c>
      <c r="AU446" s="1">
        <f t="shared" si="59"/>
        <v>4.4624634348526682</v>
      </c>
      <c r="AV446" s="1">
        <f t="shared" si="60"/>
        <v>3.1965841245124174</v>
      </c>
      <c r="AW446" s="1">
        <f t="shared" si="61"/>
        <v>1.930704814172167</v>
      </c>
    </row>
    <row r="447" spans="1:49" x14ac:dyDescent="0.2">
      <c r="A447">
        <v>445</v>
      </c>
      <c r="B447" t="s">
        <v>2771</v>
      </c>
      <c r="C447" t="s">
        <v>2770</v>
      </c>
      <c r="F447" t="s">
        <v>2769</v>
      </c>
      <c r="G447" t="s">
        <v>13</v>
      </c>
      <c r="H447" t="s">
        <v>12</v>
      </c>
      <c r="I447" t="s">
        <v>2768</v>
      </c>
      <c r="J447">
        <v>60003269</v>
      </c>
      <c r="K447" t="s">
        <v>2767</v>
      </c>
      <c r="L447" t="s">
        <v>2371</v>
      </c>
      <c r="M447" t="s">
        <v>56</v>
      </c>
      <c r="N447">
        <v>1</v>
      </c>
      <c r="O447" t="s">
        <v>2766</v>
      </c>
      <c r="P447">
        <v>6603104051</v>
      </c>
      <c r="Q447">
        <v>60003269</v>
      </c>
      <c r="R447" s="7">
        <v>30682</v>
      </c>
      <c r="S447" s="8">
        <f t="shared" si="56"/>
        <v>1984</v>
      </c>
      <c r="T447" s="8">
        <v>1984</v>
      </c>
      <c r="U447" s="8">
        <f t="shared" si="57"/>
        <v>38</v>
      </c>
      <c r="V447" s="7">
        <v>1984</v>
      </c>
      <c r="W447" t="s">
        <v>1645</v>
      </c>
      <c r="X447" s="2">
        <v>0.46</v>
      </c>
      <c r="Y447" s="6">
        <f t="shared" si="54"/>
        <v>1.2279437281439364E-2</v>
      </c>
      <c r="AA447">
        <v>933813</v>
      </c>
      <c r="AB447">
        <v>28031</v>
      </c>
      <c r="AC447">
        <v>19399375</v>
      </c>
      <c r="AD447" t="s">
        <v>4</v>
      </c>
      <c r="AE447">
        <v>12</v>
      </c>
      <c r="AF447">
        <v>2</v>
      </c>
      <c r="AH447" t="s">
        <v>2200</v>
      </c>
      <c r="AI447" t="s">
        <v>2765</v>
      </c>
      <c r="AK447" t="s">
        <v>2764</v>
      </c>
      <c r="AL447">
        <v>4</v>
      </c>
      <c r="AM447" s="5">
        <f t="shared" si="58"/>
        <v>0.10526315789473684</v>
      </c>
      <c r="AN447" s="4">
        <f t="shared" si="55"/>
        <v>1.5942924330895392E-4</v>
      </c>
      <c r="AO447" s="3"/>
      <c r="AP447">
        <v>0</v>
      </c>
      <c r="AR447" t="s">
        <v>0</v>
      </c>
      <c r="AT447" s="2">
        <v>1.222</v>
      </c>
      <c r="AU447" s="1">
        <f t="shared" si="59"/>
        <v>0.86434348700002406</v>
      </c>
      <c r="AV447" s="1">
        <f t="shared" si="60"/>
        <v>0.62194332623741588</v>
      </c>
      <c r="AW447" s="1">
        <f t="shared" si="61"/>
        <v>0.37954316547480765</v>
      </c>
    </row>
    <row r="448" spans="1:49" x14ac:dyDescent="0.2">
      <c r="A448">
        <v>446</v>
      </c>
      <c r="B448" t="s">
        <v>2763</v>
      </c>
      <c r="C448" t="s">
        <v>2762</v>
      </c>
      <c r="F448" t="s">
        <v>2761</v>
      </c>
      <c r="G448" t="s">
        <v>13</v>
      </c>
      <c r="H448" t="s">
        <v>12</v>
      </c>
      <c r="I448" t="s">
        <v>646</v>
      </c>
      <c r="N448">
        <v>2</v>
      </c>
      <c r="O448" t="s">
        <v>2760</v>
      </c>
      <c r="P448" t="s">
        <v>2759</v>
      </c>
      <c r="Q448" t="s">
        <v>266</v>
      </c>
      <c r="R448" s="7">
        <v>30682</v>
      </c>
      <c r="S448" s="8">
        <f t="shared" si="56"/>
        <v>1984</v>
      </c>
      <c r="T448" s="8">
        <v>1984</v>
      </c>
      <c r="U448" s="8">
        <f t="shared" si="57"/>
        <v>38</v>
      </c>
      <c r="V448" s="7" t="s">
        <v>2673</v>
      </c>
      <c r="W448" s="11" t="s">
        <v>1146</v>
      </c>
      <c r="X448" s="2">
        <v>2.383</v>
      </c>
      <c r="Y448" s="6">
        <f t="shared" si="54"/>
        <v>6.3612824003630442E-2</v>
      </c>
      <c r="AA448">
        <v>1437097</v>
      </c>
      <c r="AB448">
        <v>101236</v>
      </c>
      <c r="AD448" t="s">
        <v>4</v>
      </c>
      <c r="AE448">
        <v>131</v>
      </c>
      <c r="AF448" t="s">
        <v>2685</v>
      </c>
      <c r="AH448" t="s">
        <v>2758</v>
      </c>
      <c r="AI448" t="s">
        <v>2757</v>
      </c>
      <c r="AK448" t="s">
        <v>2756</v>
      </c>
      <c r="AL448">
        <v>7</v>
      </c>
      <c r="AM448" s="5">
        <f t="shared" si="58"/>
        <v>0.18421052631578946</v>
      </c>
      <c r="AN448" s="4">
        <f t="shared" si="55"/>
        <v>2.7900117579066937E-4</v>
      </c>
      <c r="AO448" s="3"/>
      <c r="AP448">
        <v>0</v>
      </c>
      <c r="AR448" t="s">
        <v>0</v>
      </c>
      <c r="AT448" s="2" t="s">
        <v>45</v>
      </c>
      <c r="AU448" s="1">
        <f t="shared" si="59"/>
        <v>4.4612677155278506</v>
      </c>
      <c r="AV448" s="1">
        <f t="shared" si="60"/>
        <v>3.1945912589710557</v>
      </c>
      <c r="AW448" s="1">
        <f t="shared" si="61"/>
        <v>1.9279148024142601</v>
      </c>
    </row>
    <row r="449" spans="1:49" x14ac:dyDescent="0.2">
      <c r="A449">
        <v>447</v>
      </c>
      <c r="B449" t="s">
        <v>2755</v>
      </c>
      <c r="C449" t="s">
        <v>2754</v>
      </c>
      <c r="F449" t="s">
        <v>2753</v>
      </c>
      <c r="G449" t="s">
        <v>13</v>
      </c>
      <c r="H449" t="s">
        <v>12</v>
      </c>
      <c r="I449" t="s">
        <v>2752</v>
      </c>
      <c r="N449">
        <v>2</v>
      </c>
      <c r="O449" t="s">
        <v>2751</v>
      </c>
      <c r="P449" t="s">
        <v>2750</v>
      </c>
      <c r="Q449" t="s">
        <v>266</v>
      </c>
      <c r="R449" s="7">
        <v>30682</v>
      </c>
      <c r="S449" s="8">
        <f t="shared" si="56"/>
        <v>1984</v>
      </c>
      <c r="T449" s="8">
        <v>1984</v>
      </c>
      <c r="U449" s="8">
        <f t="shared" si="57"/>
        <v>38</v>
      </c>
      <c r="V449" s="7" t="s">
        <v>2673</v>
      </c>
      <c r="W449" s="11" t="s">
        <v>1146</v>
      </c>
      <c r="X449" s="2">
        <v>2.383</v>
      </c>
      <c r="Y449" s="6">
        <f t="shared" si="54"/>
        <v>6.3612824003630442E-2</v>
      </c>
      <c r="AA449">
        <v>1437097</v>
      </c>
      <c r="AB449">
        <v>101236</v>
      </c>
      <c r="AD449" t="s">
        <v>4</v>
      </c>
      <c r="AE449">
        <v>131</v>
      </c>
      <c r="AF449" t="s">
        <v>2685</v>
      </c>
      <c r="AH449" t="s">
        <v>2749</v>
      </c>
      <c r="AI449" t="s">
        <v>2748</v>
      </c>
      <c r="AK449" t="s">
        <v>2747</v>
      </c>
      <c r="AL449">
        <v>15</v>
      </c>
      <c r="AM449" s="5">
        <f t="shared" si="58"/>
        <v>0.39473684210526316</v>
      </c>
      <c r="AN449" s="4">
        <f t="shared" si="55"/>
        <v>5.9785966240857727E-4</v>
      </c>
      <c r="AO449" s="3"/>
      <c r="AP449">
        <v>0</v>
      </c>
      <c r="AR449" t="s">
        <v>0</v>
      </c>
      <c r="AT449" s="2" t="s">
        <v>45</v>
      </c>
      <c r="AU449" s="1">
        <f t="shared" si="59"/>
        <v>4.4708334701263883</v>
      </c>
      <c r="AV449" s="1">
        <f t="shared" si="60"/>
        <v>3.210534183301951</v>
      </c>
      <c r="AW449" s="1">
        <f t="shared" si="61"/>
        <v>1.9502348964775138</v>
      </c>
    </row>
    <row r="450" spans="1:49" x14ac:dyDescent="0.2">
      <c r="A450">
        <v>448</v>
      </c>
      <c r="B450" t="s">
        <v>2746</v>
      </c>
      <c r="C450" t="s">
        <v>2745</v>
      </c>
      <c r="F450" t="s">
        <v>2744</v>
      </c>
      <c r="G450" t="s">
        <v>13</v>
      </c>
      <c r="H450" t="s">
        <v>12</v>
      </c>
      <c r="I450" t="s">
        <v>2743</v>
      </c>
      <c r="N450">
        <v>3</v>
      </c>
      <c r="O450" t="s">
        <v>2742</v>
      </c>
      <c r="P450" t="s">
        <v>2741</v>
      </c>
      <c r="Q450" t="s">
        <v>8</v>
      </c>
      <c r="R450" s="7">
        <v>30682</v>
      </c>
      <c r="S450" s="8">
        <f t="shared" si="56"/>
        <v>1984</v>
      </c>
      <c r="T450" s="8">
        <v>1984</v>
      </c>
      <c r="U450" s="8">
        <f t="shared" si="57"/>
        <v>38</v>
      </c>
      <c r="V450" s="7" t="s">
        <v>2673</v>
      </c>
      <c r="W450" s="11" t="s">
        <v>1146</v>
      </c>
      <c r="X450" s="2">
        <v>2.383</v>
      </c>
      <c r="Y450" s="6">
        <f t="shared" ref="Y450:Y513" si="62">(X450-$Z$4)/($Z$3-$Z$4)</f>
        <v>6.3612824003630442E-2</v>
      </c>
      <c r="AA450">
        <v>1437097</v>
      </c>
      <c r="AB450">
        <v>101236</v>
      </c>
      <c r="AD450" t="s">
        <v>4</v>
      </c>
      <c r="AE450">
        <v>131</v>
      </c>
      <c r="AF450" t="s">
        <v>2685</v>
      </c>
      <c r="AH450" t="s">
        <v>2740</v>
      </c>
      <c r="AI450" t="s">
        <v>2739</v>
      </c>
      <c r="AK450" t="s">
        <v>2738</v>
      </c>
      <c r="AL450">
        <v>12</v>
      </c>
      <c r="AM450" s="5">
        <f t="shared" si="58"/>
        <v>0.31578947368421051</v>
      </c>
      <c r="AN450" s="4">
        <f t="shared" ref="AN450:AN513" si="63">(AM450-$AO$4)/($AO$3-$AO$4)</f>
        <v>4.7828772992686183E-4</v>
      </c>
      <c r="AO450" s="3"/>
      <c r="AP450">
        <v>0</v>
      </c>
      <c r="AR450" t="s">
        <v>0</v>
      </c>
      <c r="AT450" s="2" t="s">
        <v>45</v>
      </c>
      <c r="AU450" s="1">
        <f t="shared" si="59"/>
        <v>4.4672463121519366</v>
      </c>
      <c r="AV450" s="1">
        <f t="shared" si="60"/>
        <v>3.2045555866778654</v>
      </c>
      <c r="AW450" s="1">
        <f t="shared" si="61"/>
        <v>1.9418648612037934</v>
      </c>
    </row>
    <row r="451" spans="1:49" x14ac:dyDescent="0.2">
      <c r="A451">
        <v>449</v>
      </c>
      <c r="B451" t="s">
        <v>2737</v>
      </c>
      <c r="C451" t="s">
        <v>2736</v>
      </c>
      <c r="F451" t="s">
        <v>2735</v>
      </c>
      <c r="G451" t="s">
        <v>13</v>
      </c>
      <c r="H451" t="s">
        <v>12</v>
      </c>
      <c r="I451" t="s">
        <v>2734</v>
      </c>
      <c r="N451">
        <v>3</v>
      </c>
      <c r="O451" t="s">
        <v>2733</v>
      </c>
      <c r="P451" t="s">
        <v>2732</v>
      </c>
      <c r="Q451" t="s">
        <v>8</v>
      </c>
      <c r="R451" s="7">
        <v>30682</v>
      </c>
      <c r="S451" s="8">
        <f t="shared" si="56"/>
        <v>1984</v>
      </c>
      <c r="T451" s="8">
        <v>1984</v>
      </c>
      <c r="U451" s="8">
        <f t="shared" si="57"/>
        <v>38</v>
      </c>
      <c r="V451" s="7" t="s">
        <v>2673</v>
      </c>
      <c r="W451" s="11" t="s">
        <v>1146</v>
      </c>
      <c r="X451" s="2">
        <v>2.383</v>
      </c>
      <c r="Y451" s="6">
        <f t="shared" si="62"/>
        <v>6.3612824003630442E-2</v>
      </c>
      <c r="AA451">
        <v>1437097</v>
      </c>
      <c r="AB451">
        <v>101236</v>
      </c>
      <c r="AD451" t="s">
        <v>4</v>
      </c>
      <c r="AE451">
        <v>131</v>
      </c>
      <c r="AF451" t="s">
        <v>2685</v>
      </c>
      <c r="AH451" t="s">
        <v>2731</v>
      </c>
      <c r="AI451" t="s">
        <v>2730</v>
      </c>
      <c r="AK451" t="s">
        <v>2729</v>
      </c>
      <c r="AL451">
        <v>23</v>
      </c>
      <c r="AM451" s="5">
        <f t="shared" si="58"/>
        <v>0.60526315789473684</v>
      </c>
      <c r="AN451" s="4">
        <f t="shared" si="63"/>
        <v>9.1671814902648512E-4</v>
      </c>
      <c r="AO451" s="3"/>
      <c r="AP451">
        <v>0</v>
      </c>
      <c r="AR451" t="s">
        <v>0</v>
      </c>
      <c r="AT451" s="2" t="s">
        <v>45</v>
      </c>
      <c r="AU451" s="1">
        <f t="shared" si="59"/>
        <v>4.480399224724926</v>
      </c>
      <c r="AV451" s="1">
        <f t="shared" si="60"/>
        <v>3.2264771076328462</v>
      </c>
      <c r="AW451" s="1">
        <f t="shared" si="61"/>
        <v>1.9725549905407671</v>
      </c>
    </row>
    <row r="452" spans="1:49" x14ac:dyDescent="0.2">
      <c r="A452">
        <v>450</v>
      </c>
      <c r="B452" t="s">
        <v>2728</v>
      </c>
      <c r="C452" t="s">
        <v>2727</v>
      </c>
      <c r="F452" t="s">
        <v>2726</v>
      </c>
      <c r="G452" t="s">
        <v>13</v>
      </c>
      <c r="H452" t="s">
        <v>12</v>
      </c>
      <c r="I452" t="s">
        <v>1737</v>
      </c>
      <c r="J452">
        <v>60019647</v>
      </c>
      <c r="K452" t="s">
        <v>1736</v>
      </c>
      <c r="L452" t="s">
        <v>1735</v>
      </c>
      <c r="M452" t="s">
        <v>56</v>
      </c>
      <c r="N452">
        <v>1</v>
      </c>
      <c r="O452" t="s">
        <v>1734</v>
      </c>
      <c r="P452">
        <v>7406739047</v>
      </c>
      <c r="Q452">
        <v>60019647</v>
      </c>
      <c r="R452" s="7">
        <v>30682</v>
      </c>
      <c r="S452" s="8">
        <f t="shared" si="56"/>
        <v>1984</v>
      </c>
      <c r="T452" s="8">
        <v>1984</v>
      </c>
      <c r="U452" s="8">
        <f t="shared" si="57"/>
        <v>38</v>
      </c>
      <c r="V452" s="7">
        <v>1984</v>
      </c>
      <c r="W452" t="s">
        <v>2466</v>
      </c>
      <c r="X452" s="2">
        <v>1.3720000000000001</v>
      </c>
      <c r="Y452" s="6">
        <f t="shared" si="62"/>
        <v>3.662475641333654E-2</v>
      </c>
      <c r="AA452">
        <v>189480</v>
      </c>
      <c r="AB452">
        <v>17366</v>
      </c>
      <c r="AC452">
        <v>15579670</v>
      </c>
      <c r="AD452" t="s">
        <v>4</v>
      </c>
      <c r="AE452">
        <v>32</v>
      </c>
      <c r="AF452">
        <v>6</v>
      </c>
      <c r="AH452" t="s">
        <v>2725</v>
      </c>
      <c r="AI452" t="s">
        <v>2724</v>
      </c>
      <c r="AK452" t="s">
        <v>2723</v>
      </c>
      <c r="AL452">
        <v>10</v>
      </c>
      <c r="AM452" s="5">
        <f t="shared" si="58"/>
        <v>0.26315789473684209</v>
      </c>
      <c r="AN452" s="4">
        <f t="shared" si="63"/>
        <v>3.9857310827238487E-4</v>
      </c>
      <c r="AO452" s="3"/>
      <c r="AP452">
        <v>0</v>
      </c>
      <c r="AR452" t="s">
        <v>0</v>
      </c>
      <c r="AT452" s="2" t="s">
        <v>45</v>
      </c>
      <c r="AU452" s="1">
        <f t="shared" si="59"/>
        <v>2.5756901421817293</v>
      </c>
      <c r="AV452" s="1">
        <f t="shared" si="60"/>
        <v>1.8511664760804463</v>
      </c>
      <c r="AW452" s="1">
        <f t="shared" si="61"/>
        <v>1.1266428099791632</v>
      </c>
    </row>
    <row r="453" spans="1:49" x14ac:dyDescent="0.2">
      <c r="A453">
        <v>451</v>
      </c>
      <c r="B453" t="s">
        <v>2722</v>
      </c>
      <c r="C453" t="s">
        <v>2721</v>
      </c>
      <c r="F453" t="s">
        <v>2720</v>
      </c>
      <c r="G453" t="s">
        <v>13</v>
      </c>
      <c r="H453" t="s">
        <v>12</v>
      </c>
      <c r="I453" t="s">
        <v>2719</v>
      </c>
      <c r="N453">
        <v>4</v>
      </c>
      <c r="O453" t="s">
        <v>2718</v>
      </c>
      <c r="P453" t="s">
        <v>2717</v>
      </c>
      <c r="Q453" t="s">
        <v>525</v>
      </c>
      <c r="R453" s="7">
        <v>30682</v>
      </c>
      <c r="S453" s="8">
        <f t="shared" si="56"/>
        <v>1984</v>
      </c>
      <c r="T453" s="8">
        <v>1984</v>
      </c>
      <c r="U453" s="8">
        <f t="shared" si="57"/>
        <v>38</v>
      </c>
      <c r="V453" s="7" t="s">
        <v>2673</v>
      </c>
      <c r="W453" s="11" t="s">
        <v>1146</v>
      </c>
      <c r="X453" s="2">
        <v>2.383</v>
      </c>
      <c r="Y453" s="6">
        <f t="shared" si="62"/>
        <v>6.3612824003630442E-2</v>
      </c>
      <c r="AA453">
        <v>1437097</v>
      </c>
      <c r="AB453">
        <v>101236</v>
      </c>
      <c r="AD453" t="s">
        <v>4</v>
      </c>
      <c r="AE453">
        <v>131</v>
      </c>
      <c r="AF453" t="s">
        <v>2685</v>
      </c>
      <c r="AH453" t="s">
        <v>2716</v>
      </c>
      <c r="AI453" t="s">
        <v>2715</v>
      </c>
      <c r="AK453" t="s">
        <v>2714</v>
      </c>
      <c r="AL453">
        <v>1</v>
      </c>
      <c r="AM453" s="5">
        <f t="shared" si="58"/>
        <v>2.6315789473684209E-2</v>
      </c>
      <c r="AN453" s="4">
        <f t="shared" si="63"/>
        <v>3.9857310827238481E-5</v>
      </c>
      <c r="AO453" s="3"/>
      <c r="AP453">
        <v>0</v>
      </c>
      <c r="AR453" t="s">
        <v>0</v>
      </c>
      <c r="AT453" s="2" t="s">
        <v>45</v>
      </c>
      <c r="AU453" s="1">
        <f t="shared" si="59"/>
        <v>4.454093399578948</v>
      </c>
      <c r="AV453" s="1">
        <f t="shared" si="60"/>
        <v>3.1826340657228842</v>
      </c>
      <c r="AW453" s="1">
        <f t="shared" si="61"/>
        <v>1.9111747318668197</v>
      </c>
    </row>
    <row r="454" spans="1:49" x14ac:dyDescent="0.2">
      <c r="A454">
        <v>452</v>
      </c>
      <c r="B454" t="s">
        <v>2713</v>
      </c>
      <c r="C454" t="s">
        <v>2712</v>
      </c>
      <c r="F454" t="s">
        <v>2711</v>
      </c>
      <c r="G454" t="s">
        <v>13</v>
      </c>
      <c r="H454" t="s">
        <v>12</v>
      </c>
      <c r="I454" t="s">
        <v>2710</v>
      </c>
      <c r="N454">
        <v>1</v>
      </c>
      <c r="O454" t="s">
        <v>2709</v>
      </c>
      <c r="P454">
        <v>55301786100</v>
      </c>
      <c r="R454" s="7">
        <v>30682</v>
      </c>
      <c r="S454" s="8">
        <f t="shared" si="56"/>
        <v>1984</v>
      </c>
      <c r="T454" s="8">
        <v>1984</v>
      </c>
      <c r="U454" s="8">
        <f t="shared" si="57"/>
        <v>38</v>
      </c>
      <c r="V454" s="7" t="s">
        <v>2673</v>
      </c>
      <c r="W454" s="11" t="s">
        <v>1146</v>
      </c>
      <c r="X454" s="2">
        <v>2.383</v>
      </c>
      <c r="Y454" s="6">
        <f t="shared" si="62"/>
        <v>6.3612824003630442E-2</v>
      </c>
      <c r="AA454">
        <v>1437097</v>
      </c>
      <c r="AB454">
        <v>101236</v>
      </c>
      <c r="AD454" t="s">
        <v>4</v>
      </c>
      <c r="AE454">
        <v>131</v>
      </c>
      <c r="AF454" t="s">
        <v>2685</v>
      </c>
      <c r="AH454" t="s">
        <v>2708</v>
      </c>
      <c r="AI454" t="s">
        <v>2707</v>
      </c>
      <c r="AK454" t="s">
        <v>2706</v>
      </c>
      <c r="AL454">
        <v>3</v>
      </c>
      <c r="AM454" s="5">
        <f t="shared" si="58"/>
        <v>7.8947368421052627E-2</v>
      </c>
      <c r="AN454" s="4">
        <f t="shared" si="63"/>
        <v>1.1957193248171546E-4</v>
      </c>
      <c r="AO454" s="3"/>
      <c r="AP454">
        <v>0</v>
      </c>
      <c r="AR454" t="s">
        <v>0</v>
      </c>
      <c r="AT454" s="2" t="s">
        <v>45</v>
      </c>
      <c r="AU454" s="1">
        <f t="shared" si="59"/>
        <v>4.4564848382285822</v>
      </c>
      <c r="AV454" s="1">
        <f t="shared" si="60"/>
        <v>3.186619796805608</v>
      </c>
      <c r="AW454" s="1">
        <f t="shared" si="61"/>
        <v>1.9167547553826332</v>
      </c>
    </row>
    <row r="455" spans="1:49" x14ac:dyDescent="0.2">
      <c r="A455">
        <v>453</v>
      </c>
      <c r="B455" t="s">
        <v>2705</v>
      </c>
      <c r="C455" t="s">
        <v>2704</v>
      </c>
      <c r="F455" t="s">
        <v>2703</v>
      </c>
      <c r="G455" t="s">
        <v>13</v>
      </c>
      <c r="H455" t="s">
        <v>12</v>
      </c>
      <c r="I455" t="s">
        <v>2702</v>
      </c>
      <c r="J455" t="s">
        <v>2701</v>
      </c>
      <c r="K455" t="s">
        <v>2700</v>
      </c>
      <c r="L455" t="s">
        <v>2699</v>
      </c>
      <c r="M455" t="s">
        <v>2698</v>
      </c>
      <c r="N455">
        <v>3</v>
      </c>
      <c r="O455" t="s">
        <v>2697</v>
      </c>
      <c r="P455" t="s">
        <v>2696</v>
      </c>
      <c r="Q455" t="s">
        <v>2695</v>
      </c>
      <c r="R455" s="7">
        <v>30682</v>
      </c>
      <c r="S455" s="8">
        <f t="shared" si="56"/>
        <v>1984</v>
      </c>
      <c r="T455" s="8">
        <v>1984</v>
      </c>
      <c r="U455" s="8">
        <f t="shared" si="57"/>
        <v>38</v>
      </c>
      <c r="V455" s="7">
        <v>1984</v>
      </c>
      <c r="W455" t="s">
        <v>474</v>
      </c>
      <c r="X455" s="2">
        <v>1.1879999999999999</v>
      </c>
      <c r="Y455" s="6">
        <f t="shared" si="62"/>
        <v>3.1712981500760788E-2</v>
      </c>
      <c r="AA455">
        <v>10706631</v>
      </c>
      <c r="AB455">
        <v>29210</v>
      </c>
      <c r="AD455" t="s">
        <v>4</v>
      </c>
      <c r="AE455">
        <v>27</v>
      </c>
      <c r="AF455">
        <v>6</v>
      </c>
      <c r="AH455" t="s">
        <v>2694</v>
      </c>
      <c r="AI455" t="s">
        <v>2693</v>
      </c>
      <c r="AK455" t="s">
        <v>2692</v>
      </c>
      <c r="AL455">
        <v>2</v>
      </c>
      <c r="AM455" s="5">
        <f t="shared" si="58"/>
        <v>5.2631578947368418E-2</v>
      </c>
      <c r="AN455" s="4">
        <f t="shared" si="63"/>
        <v>7.9714621654476962E-5</v>
      </c>
      <c r="AO455" s="3"/>
      <c r="AP455">
        <v>0</v>
      </c>
      <c r="AR455" t="s">
        <v>0</v>
      </c>
      <c r="AT455" s="2">
        <v>3.5209999999999999</v>
      </c>
      <c r="AU455" s="1">
        <f t="shared" si="59"/>
        <v>2.2223001437028893</v>
      </c>
      <c r="AV455" s="1">
        <f t="shared" si="60"/>
        <v>1.5896348061207635</v>
      </c>
      <c r="AW455" s="1">
        <f t="shared" si="61"/>
        <v>0.95696946853863707</v>
      </c>
    </row>
    <row r="456" spans="1:49" x14ac:dyDescent="0.2">
      <c r="A456">
        <v>454</v>
      </c>
      <c r="B456" t="s">
        <v>2691</v>
      </c>
      <c r="C456" t="s">
        <v>2690</v>
      </c>
      <c r="F456" t="s">
        <v>2689</v>
      </c>
      <c r="G456" t="s">
        <v>13</v>
      </c>
      <c r="H456" t="s">
        <v>12</v>
      </c>
      <c r="I456" t="s">
        <v>2688</v>
      </c>
      <c r="N456">
        <v>2</v>
      </c>
      <c r="O456" t="s">
        <v>2687</v>
      </c>
      <c r="P456" t="s">
        <v>2686</v>
      </c>
      <c r="Q456" t="s">
        <v>266</v>
      </c>
      <c r="R456" s="7">
        <v>30682</v>
      </c>
      <c r="S456" s="8">
        <f t="shared" si="56"/>
        <v>1984</v>
      </c>
      <c r="T456" s="8">
        <v>1984</v>
      </c>
      <c r="U456" s="8">
        <f t="shared" si="57"/>
        <v>38</v>
      </c>
      <c r="V456" s="7" t="s">
        <v>2673</v>
      </c>
      <c r="W456" s="11" t="s">
        <v>1146</v>
      </c>
      <c r="X456" s="2">
        <v>2.383</v>
      </c>
      <c r="Y456" s="6">
        <f t="shared" si="62"/>
        <v>6.3612824003630442E-2</v>
      </c>
      <c r="AA456">
        <v>1437097</v>
      </c>
      <c r="AB456">
        <v>101236</v>
      </c>
      <c r="AD456" t="s">
        <v>4</v>
      </c>
      <c r="AE456">
        <v>131</v>
      </c>
      <c r="AF456" t="s">
        <v>2685</v>
      </c>
      <c r="AH456" t="s">
        <v>2264</v>
      </c>
      <c r="AI456" t="s">
        <v>2684</v>
      </c>
      <c r="AK456" t="s">
        <v>2683</v>
      </c>
      <c r="AL456">
        <v>29</v>
      </c>
      <c r="AM456" s="5">
        <f t="shared" si="58"/>
        <v>0.76315789473684215</v>
      </c>
      <c r="AN456" s="4">
        <f t="shared" si="63"/>
        <v>1.1558620139899161E-3</v>
      </c>
      <c r="AO456" s="3"/>
      <c r="AP456">
        <v>0</v>
      </c>
      <c r="AR456" t="s">
        <v>0</v>
      </c>
      <c r="AT456" s="2" t="s">
        <v>45</v>
      </c>
      <c r="AU456" s="1">
        <f t="shared" si="59"/>
        <v>4.4875735406738286</v>
      </c>
      <c r="AV456" s="1">
        <f t="shared" si="60"/>
        <v>3.2384343008810177</v>
      </c>
      <c r="AW456" s="1">
        <f t="shared" si="61"/>
        <v>1.9892950610882074</v>
      </c>
    </row>
    <row r="457" spans="1:49" x14ac:dyDescent="0.2">
      <c r="A457">
        <v>455</v>
      </c>
      <c r="B457" t="s">
        <v>2682</v>
      </c>
      <c r="C457" t="s">
        <v>2681</v>
      </c>
      <c r="F457" t="s">
        <v>2680</v>
      </c>
      <c r="G457" t="s">
        <v>13</v>
      </c>
      <c r="H457" t="s">
        <v>12</v>
      </c>
      <c r="I457" t="s">
        <v>2679</v>
      </c>
      <c r="J457">
        <v>60018829</v>
      </c>
      <c r="K457" t="s">
        <v>2678</v>
      </c>
      <c r="L457" t="s">
        <v>2677</v>
      </c>
      <c r="M457" t="s">
        <v>167</v>
      </c>
      <c r="N457">
        <v>2</v>
      </c>
      <c r="O457" t="s">
        <v>2676</v>
      </c>
      <c r="P457" t="s">
        <v>2675</v>
      </c>
      <c r="Q457" t="s">
        <v>2674</v>
      </c>
      <c r="R457" s="7">
        <v>30682</v>
      </c>
      <c r="S457" s="8">
        <f t="shared" si="56"/>
        <v>1984</v>
      </c>
      <c r="T457" s="8">
        <v>1984</v>
      </c>
      <c r="U457" s="8">
        <f t="shared" si="57"/>
        <v>38</v>
      </c>
      <c r="V457" s="7" t="s">
        <v>2673</v>
      </c>
      <c r="W457" t="s">
        <v>2672</v>
      </c>
      <c r="X457" s="2" t="s">
        <v>45</v>
      </c>
      <c r="Y457" s="6" t="e">
        <f t="shared" si="62"/>
        <v>#VALUE!</v>
      </c>
      <c r="AA457">
        <v>2639327</v>
      </c>
      <c r="AB457">
        <v>33344</v>
      </c>
      <c r="AD457" t="s">
        <v>4</v>
      </c>
      <c r="AE457">
        <v>1</v>
      </c>
      <c r="AF457">
        <v>4</v>
      </c>
      <c r="AH457" t="s">
        <v>265</v>
      </c>
      <c r="AI457" t="s">
        <v>2671</v>
      </c>
      <c r="AK457" t="s">
        <v>2670</v>
      </c>
      <c r="AL457">
        <v>0</v>
      </c>
      <c r="AM457" s="5">
        <f t="shared" si="58"/>
        <v>0</v>
      </c>
      <c r="AN457" s="4">
        <f t="shared" si="63"/>
        <v>0</v>
      </c>
      <c r="AO457" s="3"/>
      <c r="AP457">
        <v>0</v>
      </c>
      <c r="AR457" t="s">
        <v>0</v>
      </c>
      <c r="AT457" s="2" t="s">
        <v>45</v>
      </c>
      <c r="AU457" s="1" t="e">
        <f t="shared" si="59"/>
        <v>#VALUE!</v>
      </c>
      <c r="AV457" s="1" t="e">
        <f t="shared" si="60"/>
        <v>#VALUE!</v>
      </c>
      <c r="AW457" s="1" t="e">
        <f t="shared" si="61"/>
        <v>#VALUE!</v>
      </c>
    </row>
    <row r="458" spans="1:49" x14ac:dyDescent="0.2">
      <c r="A458">
        <v>456</v>
      </c>
      <c r="B458" t="s">
        <v>2669</v>
      </c>
      <c r="C458" t="s">
        <v>2668</v>
      </c>
      <c r="F458" t="s">
        <v>2667</v>
      </c>
      <c r="G458" t="s">
        <v>13</v>
      </c>
      <c r="H458" t="s">
        <v>12</v>
      </c>
      <c r="I458" t="s">
        <v>2666</v>
      </c>
      <c r="J458">
        <v>60001247</v>
      </c>
      <c r="K458" t="s">
        <v>2022</v>
      </c>
      <c r="M458" t="s">
        <v>56</v>
      </c>
      <c r="N458">
        <v>1</v>
      </c>
      <c r="O458" t="s">
        <v>2665</v>
      </c>
      <c r="P458">
        <v>7102186231</v>
      </c>
      <c r="Q458">
        <v>60001247</v>
      </c>
      <c r="R458" s="7">
        <v>30682</v>
      </c>
      <c r="S458" s="8">
        <f t="shared" si="56"/>
        <v>1984</v>
      </c>
      <c r="T458" s="8">
        <v>1984</v>
      </c>
      <c r="U458" s="8">
        <f t="shared" si="57"/>
        <v>38</v>
      </c>
      <c r="V458" s="7">
        <v>30803</v>
      </c>
      <c r="W458" t="s">
        <v>380</v>
      </c>
      <c r="X458" s="2">
        <v>1.6519999999999999</v>
      </c>
      <c r="Y458" s="6">
        <f t="shared" si="62"/>
        <v>4.409919649769093E-2</v>
      </c>
      <c r="AA458" t="s">
        <v>379</v>
      </c>
      <c r="AB458">
        <v>17337</v>
      </c>
      <c r="AC458">
        <v>15582221</v>
      </c>
      <c r="AD458" t="s">
        <v>4</v>
      </c>
      <c r="AE458">
        <v>32</v>
      </c>
      <c r="AF458">
        <v>5</v>
      </c>
      <c r="AH458" t="s">
        <v>2664</v>
      </c>
      <c r="AI458" t="s">
        <v>2663</v>
      </c>
      <c r="AK458" t="s">
        <v>2662</v>
      </c>
      <c r="AL458">
        <v>29</v>
      </c>
      <c r="AM458" s="5">
        <f t="shared" si="58"/>
        <v>0.76315789473684215</v>
      </c>
      <c r="AN458" s="4">
        <f t="shared" si="63"/>
        <v>1.1558620139899161E-3</v>
      </c>
      <c r="AO458" s="3"/>
      <c r="AP458">
        <v>0</v>
      </c>
      <c r="AR458" t="s">
        <v>0</v>
      </c>
      <c r="AT458" s="2" t="s">
        <v>45</v>
      </c>
      <c r="AU458" s="1">
        <f t="shared" si="59"/>
        <v>3.1216196152580626</v>
      </c>
      <c r="AV458" s="1">
        <f t="shared" si="60"/>
        <v>2.2627529255840422</v>
      </c>
      <c r="AW458" s="1">
        <f t="shared" si="61"/>
        <v>1.4038862359100219</v>
      </c>
    </row>
    <row r="459" spans="1:49" x14ac:dyDescent="0.2">
      <c r="A459">
        <v>457</v>
      </c>
      <c r="B459" t="s">
        <v>2661</v>
      </c>
      <c r="C459" t="s">
        <v>2660</v>
      </c>
      <c r="F459" t="s">
        <v>2659</v>
      </c>
      <c r="G459" t="s">
        <v>13</v>
      </c>
      <c r="H459" t="s">
        <v>12</v>
      </c>
      <c r="I459" t="s">
        <v>2658</v>
      </c>
      <c r="N459">
        <v>1</v>
      </c>
      <c r="O459" t="s">
        <v>2657</v>
      </c>
      <c r="P459">
        <v>57225662103</v>
      </c>
      <c r="R459" s="7">
        <v>30682</v>
      </c>
      <c r="S459" s="8">
        <f t="shared" si="56"/>
        <v>1984</v>
      </c>
      <c r="T459" s="8">
        <v>1984</v>
      </c>
      <c r="U459" s="8">
        <f t="shared" si="57"/>
        <v>38</v>
      </c>
      <c r="V459" s="7" t="s">
        <v>2252</v>
      </c>
      <c r="W459" t="s">
        <v>111</v>
      </c>
      <c r="X459" s="2">
        <v>2.383</v>
      </c>
      <c r="Y459" s="6">
        <f t="shared" si="62"/>
        <v>6.3612824003630442E-2</v>
      </c>
      <c r="AA459">
        <v>189219</v>
      </c>
      <c r="AB459">
        <v>17915</v>
      </c>
      <c r="AD459" t="s">
        <v>4</v>
      </c>
      <c r="AE459">
        <v>72</v>
      </c>
      <c r="AF459">
        <v>5</v>
      </c>
      <c r="AH459" t="s">
        <v>2656</v>
      </c>
      <c r="AI459" t="s">
        <v>2655</v>
      </c>
      <c r="AK459" t="s">
        <v>2654</v>
      </c>
      <c r="AL459">
        <v>14</v>
      </c>
      <c r="AM459" s="5">
        <f t="shared" si="58"/>
        <v>0.36842105263157893</v>
      </c>
      <c r="AN459" s="4">
        <f t="shared" si="63"/>
        <v>5.5800235158133874E-4</v>
      </c>
      <c r="AO459" s="3"/>
      <c r="AP459">
        <v>0</v>
      </c>
      <c r="AR459" t="s">
        <v>0</v>
      </c>
      <c r="AT459" s="2">
        <v>10.961</v>
      </c>
      <c r="AU459" s="1">
        <f t="shared" si="59"/>
        <v>4.4696377508015708</v>
      </c>
      <c r="AV459" s="1">
        <f t="shared" si="60"/>
        <v>3.2085413177605888</v>
      </c>
      <c r="AW459" s="1">
        <f t="shared" si="61"/>
        <v>1.9474448847196069</v>
      </c>
    </row>
    <row r="460" spans="1:49" x14ac:dyDescent="0.2">
      <c r="A460">
        <v>458</v>
      </c>
      <c r="B460" t="s">
        <v>2653</v>
      </c>
      <c r="C460" t="s">
        <v>2652</v>
      </c>
      <c r="F460" t="s">
        <v>2651</v>
      </c>
      <c r="G460" t="s">
        <v>13</v>
      </c>
      <c r="H460" t="s">
        <v>12</v>
      </c>
      <c r="I460" t="s">
        <v>2650</v>
      </c>
      <c r="J460">
        <v>60102562</v>
      </c>
      <c r="K460" t="s">
        <v>2649</v>
      </c>
      <c r="L460" t="s">
        <v>2648</v>
      </c>
      <c r="M460" t="s">
        <v>56</v>
      </c>
      <c r="N460">
        <v>1</v>
      </c>
      <c r="O460" t="s">
        <v>2647</v>
      </c>
      <c r="P460">
        <v>7003531669</v>
      </c>
      <c r="Q460">
        <v>60102562</v>
      </c>
      <c r="R460" s="7">
        <v>30682</v>
      </c>
      <c r="S460" s="8">
        <f t="shared" si="56"/>
        <v>1984</v>
      </c>
      <c r="T460" s="8">
        <v>1984</v>
      </c>
      <c r="U460" s="8">
        <f t="shared" si="57"/>
        <v>38</v>
      </c>
      <c r="V460" s="7">
        <v>30803</v>
      </c>
      <c r="W460" t="s">
        <v>380</v>
      </c>
      <c r="X460" s="2">
        <v>1.6519999999999999</v>
      </c>
      <c r="Y460" s="6">
        <f t="shared" si="62"/>
        <v>4.409919649769093E-2</v>
      </c>
      <c r="AA460" t="s">
        <v>379</v>
      </c>
      <c r="AB460">
        <v>17337</v>
      </c>
      <c r="AC460">
        <v>15582221</v>
      </c>
      <c r="AD460" t="s">
        <v>4</v>
      </c>
      <c r="AE460">
        <v>32</v>
      </c>
      <c r="AF460">
        <v>5</v>
      </c>
      <c r="AH460" t="s">
        <v>2646</v>
      </c>
      <c r="AI460" t="s">
        <v>2645</v>
      </c>
      <c r="AK460" t="s">
        <v>2644</v>
      </c>
      <c r="AL460">
        <v>7</v>
      </c>
      <c r="AM460" s="5">
        <f t="shared" si="58"/>
        <v>0.18421052631578946</v>
      </c>
      <c r="AN460" s="4">
        <f t="shared" si="63"/>
        <v>2.7900117579066937E-4</v>
      </c>
      <c r="AO460" s="3"/>
      <c r="AP460">
        <v>0</v>
      </c>
      <c r="AR460" t="s">
        <v>0</v>
      </c>
      <c r="AT460" s="2" t="s">
        <v>45</v>
      </c>
      <c r="AU460" s="1">
        <f t="shared" si="59"/>
        <v>3.0953137901120851</v>
      </c>
      <c r="AV460" s="1">
        <f t="shared" si="60"/>
        <v>2.2189098836740797</v>
      </c>
      <c r="AW460" s="1">
        <f t="shared" si="61"/>
        <v>1.3425059772360746</v>
      </c>
    </row>
    <row r="461" spans="1:49" x14ac:dyDescent="0.2">
      <c r="A461">
        <v>459</v>
      </c>
      <c r="B461" t="s">
        <v>2643</v>
      </c>
      <c r="C461" t="s">
        <v>2642</v>
      </c>
      <c r="F461" t="s">
        <v>2641</v>
      </c>
      <c r="G461" t="s">
        <v>13</v>
      </c>
      <c r="H461" t="s">
        <v>12</v>
      </c>
      <c r="I461" t="s">
        <v>2640</v>
      </c>
      <c r="J461">
        <v>60010491</v>
      </c>
      <c r="K461" t="s">
        <v>2639</v>
      </c>
      <c r="L461" t="s">
        <v>2638</v>
      </c>
      <c r="M461" t="s">
        <v>56</v>
      </c>
      <c r="N461">
        <v>2</v>
      </c>
      <c r="O461" t="s">
        <v>2637</v>
      </c>
      <c r="P461" t="s">
        <v>2636</v>
      </c>
      <c r="Q461" t="s">
        <v>2635</v>
      </c>
      <c r="R461" s="7">
        <v>30682</v>
      </c>
      <c r="S461" s="8">
        <f t="shared" si="56"/>
        <v>1984</v>
      </c>
      <c r="T461" s="8">
        <v>1984</v>
      </c>
      <c r="U461" s="8">
        <f t="shared" si="57"/>
        <v>38</v>
      </c>
      <c r="V461" s="7">
        <v>30803</v>
      </c>
      <c r="W461" t="s">
        <v>380</v>
      </c>
      <c r="X461" s="2">
        <v>1.6519999999999999</v>
      </c>
      <c r="Y461" s="6">
        <f t="shared" si="62"/>
        <v>4.409919649769093E-2</v>
      </c>
      <c r="AA461" t="s">
        <v>379</v>
      </c>
      <c r="AB461">
        <v>17337</v>
      </c>
      <c r="AC461">
        <v>15582221</v>
      </c>
      <c r="AD461" t="s">
        <v>4</v>
      </c>
      <c r="AE461">
        <v>32</v>
      </c>
      <c r="AF461">
        <v>5</v>
      </c>
      <c r="AH461" t="s">
        <v>2634</v>
      </c>
      <c r="AI461" t="s">
        <v>2633</v>
      </c>
      <c r="AK461" t="s">
        <v>2632</v>
      </c>
      <c r="AL461">
        <v>8</v>
      </c>
      <c r="AM461" s="5">
        <f t="shared" si="58"/>
        <v>0.21052631578947367</v>
      </c>
      <c r="AN461" s="4">
        <f t="shared" si="63"/>
        <v>3.1885848661790785E-4</v>
      </c>
      <c r="AO461" s="3"/>
      <c r="AP461">
        <v>0</v>
      </c>
      <c r="AR461" t="s">
        <v>0</v>
      </c>
      <c r="AT461" s="2" t="s">
        <v>45</v>
      </c>
      <c r="AU461" s="1">
        <f t="shared" si="59"/>
        <v>3.0965095094369026</v>
      </c>
      <c r="AV461" s="1">
        <f t="shared" si="60"/>
        <v>2.2209027492154423</v>
      </c>
      <c r="AW461" s="1">
        <f t="shared" si="61"/>
        <v>1.3452959889939813</v>
      </c>
    </row>
    <row r="462" spans="1:49" x14ac:dyDescent="0.2">
      <c r="A462">
        <v>460</v>
      </c>
      <c r="B462" t="s">
        <v>2631</v>
      </c>
      <c r="F462" t="s">
        <v>2630</v>
      </c>
      <c r="G462" t="s">
        <v>13</v>
      </c>
      <c r="H462" t="s">
        <v>12</v>
      </c>
      <c r="I462" t="s">
        <v>2629</v>
      </c>
      <c r="N462">
        <v>2</v>
      </c>
      <c r="O462" t="s">
        <v>2628</v>
      </c>
      <c r="P462" t="s">
        <v>2627</v>
      </c>
      <c r="Q462" t="s">
        <v>266</v>
      </c>
      <c r="R462" s="7">
        <v>30682</v>
      </c>
      <c r="S462" s="8">
        <f t="shared" si="56"/>
        <v>1984</v>
      </c>
      <c r="T462" s="8">
        <v>1984</v>
      </c>
      <c r="U462" s="8">
        <f t="shared" si="57"/>
        <v>38</v>
      </c>
      <c r="V462" s="7" t="s">
        <v>2481</v>
      </c>
      <c r="W462" t="s">
        <v>1503</v>
      </c>
      <c r="X462" s="2">
        <v>0.125</v>
      </c>
      <c r="Y462" s="6">
        <f t="shared" si="62"/>
        <v>3.3368036090867838E-3</v>
      </c>
      <c r="AA462">
        <v>26557</v>
      </c>
      <c r="AB462">
        <v>40401</v>
      </c>
      <c r="AD462" t="s">
        <v>4</v>
      </c>
      <c r="AE462">
        <v>53</v>
      </c>
      <c r="AF462">
        <v>3</v>
      </c>
      <c r="AH462" t="s">
        <v>2626</v>
      </c>
      <c r="AI462" t="s">
        <v>2625</v>
      </c>
      <c r="AK462" t="s">
        <v>2624</v>
      </c>
      <c r="AL462">
        <v>1</v>
      </c>
      <c r="AM462" s="5">
        <f t="shared" si="58"/>
        <v>2.6315789473684209E-2</v>
      </c>
      <c r="AN462" s="4">
        <f t="shared" si="63"/>
        <v>3.9857310827238481E-5</v>
      </c>
      <c r="AO462" s="3"/>
      <c r="AP462">
        <v>0</v>
      </c>
      <c r="AR462" t="s">
        <v>0</v>
      </c>
      <c r="AT462" s="2" t="s">
        <v>45</v>
      </c>
      <c r="AU462" s="1">
        <f t="shared" si="59"/>
        <v>0.234771971960892</v>
      </c>
      <c r="AV462" s="1">
        <f t="shared" si="60"/>
        <v>0.16883304599570112</v>
      </c>
      <c r="AW462" s="1">
        <f t="shared" si="61"/>
        <v>0.1028941200305102</v>
      </c>
    </row>
    <row r="463" spans="1:49" x14ac:dyDescent="0.2">
      <c r="A463">
        <v>461</v>
      </c>
      <c r="B463" t="s">
        <v>2623</v>
      </c>
      <c r="C463" t="s">
        <v>2622</v>
      </c>
      <c r="F463" t="s">
        <v>2621</v>
      </c>
      <c r="G463" t="s">
        <v>13</v>
      </c>
      <c r="H463" t="s">
        <v>12</v>
      </c>
      <c r="I463" t="s">
        <v>2491</v>
      </c>
      <c r="J463">
        <v>60001247</v>
      </c>
      <c r="K463" t="s">
        <v>2022</v>
      </c>
      <c r="M463" t="s">
        <v>56</v>
      </c>
      <c r="N463">
        <v>1</v>
      </c>
      <c r="O463" t="s">
        <v>2490</v>
      </c>
      <c r="P463">
        <v>7102001903</v>
      </c>
      <c r="Q463">
        <v>60001247</v>
      </c>
      <c r="R463" s="7">
        <v>30682</v>
      </c>
      <c r="S463" s="8">
        <f t="shared" si="56"/>
        <v>1984</v>
      </c>
      <c r="T463" s="8">
        <v>1984</v>
      </c>
      <c r="U463" s="8">
        <f t="shared" si="57"/>
        <v>38</v>
      </c>
      <c r="V463" s="7">
        <v>30803</v>
      </c>
      <c r="W463" t="s">
        <v>380</v>
      </c>
      <c r="X463" s="2">
        <v>1.6519999999999999</v>
      </c>
      <c r="Y463" s="6">
        <f t="shared" si="62"/>
        <v>4.409919649769093E-2</v>
      </c>
      <c r="AA463" t="s">
        <v>379</v>
      </c>
      <c r="AB463">
        <v>17337</v>
      </c>
      <c r="AC463">
        <v>15582221</v>
      </c>
      <c r="AD463" t="s">
        <v>4</v>
      </c>
      <c r="AE463">
        <v>32</v>
      </c>
      <c r="AF463">
        <v>5</v>
      </c>
      <c r="AH463" t="s">
        <v>2112</v>
      </c>
      <c r="AI463" t="s">
        <v>2620</v>
      </c>
      <c r="AK463" t="s">
        <v>2619</v>
      </c>
      <c r="AL463">
        <v>19</v>
      </c>
      <c r="AM463" s="5">
        <f t="shared" si="58"/>
        <v>0.5</v>
      </c>
      <c r="AN463" s="4">
        <f t="shared" si="63"/>
        <v>7.572889057175312E-4</v>
      </c>
      <c r="AO463" s="3"/>
      <c r="AP463">
        <v>0</v>
      </c>
      <c r="AR463" t="s">
        <v>0</v>
      </c>
      <c r="AT463" s="2" t="s">
        <v>45</v>
      </c>
      <c r="AU463" s="1">
        <f t="shared" si="59"/>
        <v>3.1096624220098912</v>
      </c>
      <c r="AV463" s="1">
        <f t="shared" si="60"/>
        <v>2.2428242701704231</v>
      </c>
      <c r="AW463" s="1">
        <f t="shared" si="61"/>
        <v>1.375986118330955</v>
      </c>
    </row>
    <row r="464" spans="1:49" x14ac:dyDescent="0.2">
      <c r="A464">
        <v>462</v>
      </c>
      <c r="B464" t="s">
        <v>2618</v>
      </c>
      <c r="C464" t="s">
        <v>2617</v>
      </c>
      <c r="F464" t="s">
        <v>2616</v>
      </c>
      <c r="G464" t="s">
        <v>13</v>
      </c>
      <c r="H464" t="s">
        <v>12</v>
      </c>
      <c r="I464" t="s">
        <v>2615</v>
      </c>
      <c r="J464">
        <v>60009982</v>
      </c>
      <c r="K464" t="s">
        <v>2614</v>
      </c>
      <c r="L464" t="s">
        <v>194</v>
      </c>
      <c r="M464" t="s">
        <v>56</v>
      </c>
      <c r="N464">
        <v>2</v>
      </c>
      <c r="O464" t="s">
        <v>2613</v>
      </c>
      <c r="P464" t="s">
        <v>2612</v>
      </c>
      <c r="Q464" t="s">
        <v>2611</v>
      </c>
      <c r="R464" s="7">
        <v>30682</v>
      </c>
      <c r="S464" s="8">
        <f t="shared" si="56"/>
        <v>1984</v>
      </c>
      <c r="T464" s="8">
        <v>1984</v>
      </c>
      <c r="U464" s="8">
        <f t="shared" si="57"/>
        <v>38</v>
      </c>
      <c r="V464" s="7">
        <v>30803</v>
      </c>
      <c r="W464" t="s">
        <v>111</v>
      </c>
      <c r="X464" s="2">
        <v>2.383</v>
      </c>
      <c r="Y464" s="6">
        <f t="shared" si="62"/>
        <v>6.3612824003630442E-2</v>
      </c>
      <c r="AA464">
        <v>189219</v>
      </c>
      <c r="AB464">
        <v>17915</v>
      </c>
      <c r="AC464">
        <v>15582256</v>
      </c>
      <c r="AD464" t="s">
        <v>4</v>
      </c>
      <c r="AE464">
        <v>72</v>
      </c>
      <c r="AF464">
        <v>5</v>
      </c>
      <c r="AH464" t="s">
        <v>2610</v>
      </c>
      <c r="AI464" t="s">
        <v>2609</v>
      </c>
      <c r="AK464" t="s">
        <v>2608</v>
      </c>
      <c r="AL464">
        <v>47</v>
      </c>
      <c r="AM464" s="5">
        <f t="shared" si="58"/>
        <v>1.236842105263158</v>
      </c>
      <c r="AN464" s="4">
        <f t="shared" si="63"/>
        <v>1.8732936088802089E-3</v>
      </c>
      <c r="AO464" s="3"/>
      <c r="AP464">
        <v>0</v>
      </c>
      <c r="AR464" t="s">
        <v>0</v>
      </c>
      <c r="AT464" s="2">
        <v>10.961</v>
      </c>
      <c r="AU464" s="1">
        <f t="shared" si="59"/>
        <v>4.5090964885205373</v>
      </c>
      <c r="AV464" s="1">
        <f t="shared" si="60"/>
        <v>3.2743058806255325</v>
      </c>
      <c r="AW464" s="1">
        <f t="shared" si="61"/>
        <v>2.0395152727305277</v>
      </c>
    </row>
    <row r="465" spans="1:49" x14ac:dyDescent="0.2">
      <c r="A465">
        <v>463</v>
      </c>
      <c r="B465" t="s">
        <v>2607</v>
      </c>
      <c r="F465" t="s">
        <v>2606</v>
      </c>
      <c r="G465" t="s">
        <v>13</v>
      </c>
      <c r="H465" t="s">
        <v>12</v>
      </c>
      <c r="I465" t="s">
        <v>2605</v>
      </c>
      <c r="N465">
        <v>2</v>
      </c>
      <c r="O465" t="s">
        <v>2604</v>
      </c>
      <c r="P465" t="s">
        <v>2603</v>
      </c>
      <c r="Q465" t="s">
        <v>266</v>
      </c>
      <c r="R465" s="7">
        <v>30682</v>
      </c>
      <c r="S465" s="8">
        <f t="shared" si="56"/>
        <v>1984</v>
      </c>
      <c r="T465" s="8">
        <v>1984</v>
      </c>
      <c r="U465" s="8">
        <f t="shared" si="57"/>
        <v>38</v>
      </c>
      <c r="V465" s="7" t="s">
        <v>2252</v>
      </c>
      <c r="W465" t="s">
        <v>1181</v>
      </c>
      <c r="X465" s="2" t="s">
        <v>45</v>
      </c>
      <c r="Y465" s="6" t="e">
        <f t="shared" si="62"/>
        <v>#VALUE!</v>
      </c>
      <c r="AA465">
        <v>2511096</v>
      </c>
      <c r="AB465">
        <v>26110</v>
      </c>
      <c r="AD465" t="s">
        <v>4</v>
      </c>
      <c r="AE465">
        <v>64</v>
      </c>
      <c r="AH465" t="s">
        <v>2602</v>
      </c>
      <c r="AI465" t="s">
        <v>2601</v>
      </c>
      <c r="AK465" t="s">
        <v>2600</v>
      </c>
      <c r="AL465">
        <v>0</v>
      </c>
      <c r="AM465" s="5">
        <f t="shared" si="58"/>
        <v>0</v>
      </c>
      <c r="AN465" s="4">
        <f t="shared" si="63"/>
        <v>0</v>
      </c>
      <c r="AO465" s="3"/>
      <c r="AP465">
        <v>0</v>
      </c>
      <c r="AR465" t="s">
        <v>0</v>
      </c>
      <c r="AT465" s="2" t="s">
        <v>45</v>
      </c>
      <c r="AU465" s="1" t="e">
        <f t="shared" si="59"/>
        <v>#VALUE!</v>
      </c>
      <c r="AV465" s="1" t="e">
        <f t="shared" si="60"/>
        <v>#VALUE!</v>
      </c>
      <c r="AW465" s="1" t="e">
        <f t="shared" si="61"/>
        <v>#VALUE!</v>
      </c>
    </row>
    <row r="466" spans="1:49" x14ac:dyDescent="0.2">
      <c r="A466">
        <v>464</v>
      </c>
      <c r="B466" t="s">
        <v>2599</v>
      </c>
      <c r="F466" t="s">
        <v>2598</v>
      </c>
      <c r="G466" t="s">
        <v>13</v>
      </c>
      <c r="H466" t="s">
        <v>12</v>
      </c>
      <c r="I466" t="s">
        <v>1184</v>
      </c>
      <c r="N466">
        <v>2</v>
      </c>
      <c r="O466" t="s">
        <v>2597</v>
      </c>
      <c r="P466" t="s">
        <v>2596</v>
      </c>
      <c r="Q466" t="s">
        <v>266</v>
      </c>
      <c r="R466" s="7">
        <v>30682</v>
      </c>
      <c r="S466" s="8">
        <f t="shared" si="56"/>
        <v>1984</v>
      </c>
      <c r="T466" s="8">
        <v>1984</v>
      </c>
      <c r="U466" s="8">
        <f t="shared" si="57"/>
        <v>38</v>
      </c>
      <c r="V466" s="7" t="s">
        <v>2252</v>
      </c>
      <c r="W466" t="s">
        <v>1181</v>
      </c>
      <c r="X466" s="2" t="s">
        <v>45</v>
      </c>
      <c r="Y466" s="6" t="e">
        <f t="shared" si="62"/>
        <v>#VALUE!</v>
      </c>
      <c r="AA466">
        <v>2511096</v>
      </c>
      <c r="AB466">
        <v>26110</v>
      </c>
      <c r="AD466" t="s">
        <v>4</v>
      </c>
      <c r="AE466">
        <v>64</v>
      </c>
      <c r="AH466" t="s">
        <v>2595</v>
      </c>
      <c r="AI466" t="s">
        <v>2594</v>
      </c>
      <c r="AK466" t="s">
        <v>2593</v>
      </c>
      <c r="AL466">
        <v>1</v>
      </c>
      <c r="AM466" s="5">
        <f t="shared" si="58"/>
        <v>2.6315789473684209E-2</v>
      </c>
      <c r="AN466" s="4">
        <f t="shared" si="63"/>
        <v>3.9857310827238481E-5</v>
      </c>
      <c r="AO466" s="3"/>
      <c r="AP466">
        <v>0</v>
      </c>
      <c r="AR466" t="s">
        <v>0</v>
      </c>
      <c r="AT466" s="2" t="s">
        <v>45</v>
      </c>
      <c r="AU466" s="1" t="e">
        <f t="shared" si="59"/>
        <v>#VALUE!</v>
      </c>
      <c r="AV466" s="1" t="e">
        <f t="shared" si="60"/>
        <v>#VALUE!</v>
      </c>
      <c r="AW466" s="1" t="e">
        <f t="shared" si="61"/>
        <v>#VALUE!</v>
      </c>
    </row>
    <row r="467" spans="1:49" x14ac:dyDescent="0.2">
      <c r="A467">
        <v>465</v>
      </c>
      <c r="B467" t="s">
        <v>2592</v>
      </c>
      <c r="C467" t="s">
        <v>2591</v>
      </c>
      <c r="F467" t="s">
        <v>2590</v>
      </c>
      <c r="G467" t="s">
        <v>13</v>
      </c>
      <c r="H467" t="s">
        <v>12</v>
      </c>
      <c r="I467" t="s">
        <v>2589</v>
      </c>
      <c r="J467">
        <v>60000745</v>
      </c>
      <c r="K467" t="s">
        <v>1783</v>
      </c>
      <c r="L467" t="s">
        <v>1782</v>
      </c>
      <c r="M467" t="s">
        <v>56</v>
      </c>
      <c r="N467">
        <v>2</v>
      </c>
      <c r="O467" t="s">
        <v>2588</v>
      </c>
      <c r="P467" t="s">
        <v>2587</v>
      </c>
      <c r="Q467" t="s">
        <v>2381</v>
      </c>
      <c r="R467" s="7">
        <v>30682</v>
      </c>
      <c r="S467" s="8">
        <f t="shared" si="56"/>
        <v>1984</v>
      </c>
      <c r="T467" s="8">
        <v>1984</v>
      </c>
      <c r="U467" s="8">
        <f t="shared" si="57"/>
        <v>38</v>
      </c>
      <c r="V467" s="7">
        <v>30803</v>
      </c>
      <c r="W467" t="s">
        <v>380</v>
      </c>
      <c r="X467" s="2">
        <v>1.6519999999999999</v>
      </c>
      <c r="Y467" s="6">
        <f t="shared" si="62"/>
        <v>4.409919649769093E-2</v>
      </c>
      <c r="AA467" t="s">
        <v>379</v>
      </c>
      <c r="AB467">
        <v>17337</v>
      </c>
      <c r="AC467">
        <v>15582221</v>
      </c>
      <c r="AD467" t="s">
        <v>4</v>
      </c>
      <c r="AE467">
        <v>32</v>
      </c>
      <c r="AF467">
        <v>5</v>
      </c>
      <c r="AH467" t="s">
        <v>2586</v>
      </c>
      <c r="AI467" t="s">
        <v>2585</v>
      </c>
      <c r="AK467" t="s">
        <v>2584</v>
      </c>
      <c r="AL467">
        <v>120</v>
      </c>
      <c r="AM467" s="5">
        <f t="shared" si="58"/>
        <v>3.1578947368421053</v>
      </c>
      <c r="AN467" s="4">
        <f t="shared" si="63"/>
        <v>4.7828772992686182E-3</v>
      </c>
      <c r="AO467" s="3"/>
      <c r="AP467">
        <v>0</v>
      </c>
      <c r="AR467" t="s">
        <v>0</v>
      </c>
      <c r="AT467" s="2" t="s">
        <v>45</v>
      </c>
      <c r="AU467" s="1">
        <f t="shared" si="59"/>
        <v>3.2304300738164238</v>
      </c>
      <c r="AV467" s="1">
        <f t="shared" si="60"/>
        <v>2.4441036898479775</v>
      </c>
      <c r="AW467" s="1">
        <f t="shared" si="61"/>
        <v>1.6577773058795309</v>
      </c>
    </row>
    <row r="468" spans="1:49" x14ac:dyDescent="0.2">
      <c r="A468">
        <v>466</v>
      </c>
      <c r="B468" t="s">
        <v>2583</v>
      </c>
      <c r="C468" t="s">
        <v>2582</v>
      </c>
      <c r="F468" t="s">
        <v>2581</v>
      </c>
      <c r="G468" t="s">
        <v>13</v>
      </c>
      <c r="H468" t="s">
        <v>12</v>
      </c>
      <c r="I468" t="s">
        <v>2580</v>
      </c>
      <c r="J468">
        <v>60101699</v>
      </c>
      <c r="K468" t="s">
        <v>2579</v>
      </c>
      <c r="L468" t="s">
        <v>644</v>
      </c>
      <c r="M468" t="s">
        <v>643</v>
      </c>
      <c r="N468">
        <v>3</v>
      </c>
      <c r="O468" t="s">
        <v>2578</v>
      </c>
      <c r="P468" t="s">
        <v>2577</v>
      </c>
      <c r="Q468" t="s">
        <v>2576</v>
      </c>
      <c r="R468" s="7">
        <v>30682</v>
      </c>
      <c r="S468" s="8">
        <f t="shared" si="56"/>
        <v>1984</v>
      </c>
      <c r="T468" s="8">
        <v>1984</v>
      </c>
      <c r="U468" s="8">
        <f t="shared" si="57"/>
        <v>38</v>
      </c>
      <c r="V468" s="7">
        <v>30803</v>
      </c>
      <c r="W468" t="s">
        <v>380</v>
      </c>
      <c r="X468" s="2">
        <v>1.6519999999999999</v>
      </c>
      <c r="Y468" s="6">
        <f t="shared" si="62"/>
        <v>4.409919649769093E-2</v>
      </c>
      <c r="AA468" t="s">
        <v>379</v>
      </c>
      <c r="AB468">
        <v>17337</v>
      </c>
      <c r="AC468">
        <v>15582221</v>
      </c>
      <c r="AD468" t="s">
        <v>4</v>
      </c>
      <c r="AE468">
        <v>32</v>
      </c>
      <c r="AF468">
        <v>5</v>
      </c>
      <c r="AH468" t="s">
        <v>2575</v>
      </c>
      <c r="AI468" t="s">
        <v>2574</v>
      </c>
      <c r="AK468" t="s">
        <v>2573</v>
      </c>
      <c r="AL468">
        <v>71</v>
      </c>
      <c r="AM468" s="5">
        <f t="shared" si="58"/>
        <v>1.868421052631579</v>
      </c>
      <c r="AN468" s="4">
        <f t="shared" si="63"/>
        <v>2.8298690687339327E-3</v>
      </c>
      <c r="AO468" s="3"/>
      <c r="AP468">
        <v>0</v>
      </c>
      <c r="AR468" t="s">
        <v>0</v>
      </c>
      <c r="AT468" s="2" t="s">
        <v>45</v>
      </c>
      <c r="AU468" s="1">
        <f t="shared" si="59"/>
        <v>3.1718398269003827</v>
      </c>
      <c r="AV468" s="1">
        <f t="shared" si="60"/>
        <v>2.3464532783212433</v>
      </c>
      <c r="AW468" s="1">
        <f t="shared" si="61"/>
        <v>1.5210667297421032</v>
      </c>
    </row>
    <row r="469" spans="1:49" x14ac:dyDescent="0.2">
      <c r="A469">
        <v>467</v>
      </c>
      <c r="B469" t="s">
        <v>2572</v>
      </c>
      <c r="C469" t="s">
        <v>2571</v>
      </c>
      <c r="F469" t="s">
        <v>2570</v>
      </c>
      <c r="G469" t="s">
        <v>13</v>
      </c>
      <c r="H469" t="s">
        <v>12</v>
      </c>
      <c r="I469" t="s">
        <v>2569</v>
      </c>
      <c r="N469">
        <v>2</v>
      </c>
      <c r="O469" t="s">
        <v>2568</v>
      </c>
      <c r="P469" t="s">
        <v>2567</v>
      </c>
      <c r="Q469" t="s">
        <v>266</v>
      </c>
      <c r="R469" s="7">
        <v>30682</v>
      </c>
      <c r="S469" s="8">
        <f t="shared" si="56"/>
        <v>1984</v>
      </c>
      <c r="T469" s="8">
        <v>1984</v>
      </c>
      <c r="U469" s="8">
        <f t="shared" si="57"/>
        <v>38</v>
      </c>
      <c r="V469" s="7" t="s">
        <v>2252</v>
      </c>
      <c r="W469" t="s">
        <v>844</v>
      </c>
      <c r="X469" s="2">
        <v>0.218</v>
      </c>
      <c r="Y469" s="6">
        <f t="shared" si="62"/>
        <v>5.8193854942473512E-3</v>
      </c>
      <c r="AA469">
        <v>3772063</v>
      </c>
      <c r="AB469">
        <v>130012</v>
      </c>
      <c r="AD469" t="s">
        <v>4</v>
      </c>
      <c r="AE469">
        <v>30</v>
      </c>
      <c r="AF469">
        <v>3</v>
      </c>
      <c r="AH469" t="s">
        <v>2566</v>
      </c>
      <c r="AI469" t="s">
        <v>2565</v>
      </c>
      <c r="AK469" t="s">
        <v>2564</v>
      </c>
      <c r="AL469">
        <v>0</v>
      </c>
      <c r="AM469" s="5">
        <f t="shared" si="58"/>
        <v>0</v>
      </c>
      <c r="AN469" s="4">
        <f t="shared" si="63"/>
        <v>0</v>
      </c>
      <c r="AO469" s="3"/>
      <c r="AP469">
        <v>0</v>
      </c>
      <c r="AR469" t="s">
        <v>0</v>
      </c>
      <c r="AT469" s="2">
        <v>2.3330000000000002</v>
      </c>
      <c r="AU469" s="1">
        <f t="shared" si="59"/>
        <v>0.40735698459731456</v>
      </c>
      <c r="AV469" s="1">
        <f t="shared" si="60"/>
        <v>0.29096927471236755</v>
      </c>
      <c r="AW469" s="1">
        <f t="shared" si="61"/>
        <v>0.17458156482742054</v>
      </c>
    </row>
    <row r="470" spans="1:49" x14ac:dyDescent="0.2">
      <c r="A470">
        <v>468</v>
      </c>
      <c r="B470" t="s">
        <v>2563</v>
      </c>
      <c r="C470" t="s">
        <v>2562</v>
      </c>
      <c r="F470" t="s">
        <v>2561</v>
      </c>
      <c r="G470" t="s">
        <v>13</v>
      </c>
      <c r="H470" t="s">
        <v>12</v>
      </c>
      <c r="I470" t="s">
        <v>2560</v>
      </c>
      <c r="N470">
        <v>1</v>
      </c>
      <c r="O470" t="s">
        <v>2559</v>
      </c>
      <c r="P470">
        <v>56697571600</v>
      </c>
      <c r="R470" s="7">
        <v>30682</v>
      </c>
      <c r="S470" s="8">
        <f t="shared" si="56"/>
        <v>1984</v>
      </c>
      <c r="T470" s="8">
        <v>1984</v>
      </c>
      <c r="U470" s="8">
        <f t="shared" si="57"/>
        <v>38</v>
      </c>
      <c r="V470" s="7" t="s">
        <v>2252</v>
      </c>
      <c r="W470" t="s">
        <v>111</v>
      </c>
      <c r="X470" s="2">
        <v>2.383</v>
      </c>
      <c r="Y470" s="6">
        <f t="shared" si="62"/>
        <v>6.3612824003630442E-2</v>
      </c>
      <c r="AA470">
        <v>189219</v>
      </c>
      <c r="AB470">
        <v>17915</v>
      </c>
      <c r="AD470" t="s">
        <v>4</v>
      </c>
      <c r="AE470">
        <v>72</v>
      </c>
      <c r="AF470">
        <v>5</v>
      </c>
      <c r="AH470" t="s">
        <v>2558</v>
      </c>
      <c r="AI470" t="s">
        <v>2557</v>
      </c>
      <c r="AK470" t="s">
        <v>2556</v>
      </c>
      <c r="AL470">
        <v>1</v>
      </c>
      <c r="AM470" s="5">
        <f t="shared" si="58"/>
        <v>2.6315789473684209E-2</v>
      </c>
      <c r="AN470" s="4">
        <f t="shared" si="63"/>
        <v>3.9857310827238481E-5</v>
      </c>
      <c r="AO470" s="3"/>
      <c r="AP470">
        <v>0</v>
      </c>
      <c r="AR470" t="s">
        <v>0</v>
      </c>
      <c r="AT470" s="2">
        <v>10.961</v>
      </c>
      <c r="AU470" s="1">
        <f t="shared" si="59"/>
        <v>4.454093399578948</v>
      </c>
      <c r="AV470" s="1">
        <f t="shared" si="60"/>
        <v>3.1826340657228842</v>
      </c>
      <c r="AW470" s="1">
        <f t="shared" si="61"/>
        <v>1.9111747318668197</v>
      </c>
    </row>
    <row r="471" spans="1:49" x14ac:dyDescent="0.2">
      <c r="A471">
        <v>469</v>
      </c>
      <c r="B471" t="s">
        <v>2555</v>
      </c>
      <c r="C471" t="s">
        <v>2554</v>
      </c>
      <c r="F471" t="s">
        <v>2553</v>
      </c>
      <c r="G471" t="s">
        <v>13</v>
      </c>
      <c r="H471" t="s">
        <v>12</v>
      </c>
      <c r="I471" t="s">
        <v>2552</v>
      </c>
      <c r="J471">
        <v>60022002</v>
      </c>
      <c r="K471" t="s">
        <v>2551</v>
      </c>
      <c r="L471" t="s">
        <v>2550</v>
      </c>
      <c r="M471" t="s">
        <v>2549</v>
      </c>
      <c r="N471">
        <v>2</v>
      </c>
      <c r="O471" t="s">
        <v>2548</v>
      </c>
      <c r="P471" t="s">
        <v>2547</v>
      </c>
      <c r="Q471" t="s">
        <v>2546</v>
      </c>
      <c r="R471" s="7">
        <v>30682</v>
      </c>
      <c r="S471" s="8">
        <f t="shared" si="56"/>
        <v>1984</v>
      </c>
      <c r="T471" s="8">
        <v>1984</v>
      </c>
      <c r="U471" s="8">
        <f t="shared" si="57"/>
        <v>38</v>
      </c>
      <c r="V471" s="7">
        <v>30803</v>
      </c>
      <c r="W471" t="s">
        <v>380</v>
      </c>
      <c r="X471" s="2">
        <v>1.6519999999999999</v>
      </c>
      <c r="Y471" s="6">
        <f t="shared" si="62"/>
        <v>4.409919649769093E-2</v>
      </c>
      <c r="AA471" t="s">
        <v>379</v>
      </c>
      <c r="AB471">
        <v>17337</v>
      </c>
      <c r="AC471">
        <v>15582221</v>
      </c>
      <c r="AD471" t="s">
        <v>4</v>
      </c>
      <c r="AE471">
        <v>32</v>
      </c>
      <c r="AF471">
        <v>5</v>
      </c>
      <c r="AH471" t="s">
        <v>2545</v>
      </c>
      <c r="AI471" t="s">
        <v>2544</v>
      </c>
      <c r="AK471" t="s">
        <v>2543</v>
      </c>
      <c r="AL471">
        <v>25</v>
      </c>
      <c r="AM471" s="5">
        <f t="shared" si="58"/>
        <v>0.65789473684210531</v>
      </c>
      <c r="AN471" s="4">
        <f t="shared" si="63"/>
        <v>9.9643277068096219E-4</v>
      </c>
      <c r="AO471" s="3"/>
      <c r="AP471">
        <v>0</v>
      </c>
      <c r="AR471" t="s">
        <v>0</v>
      </c>
      <c r="AT471" s="2" t="s">
        <v>45</v>
      </c>
      <c r="AU471" s="1">
        <f t="shared" si="59"/>
        <v>3.1168367379587938</v>
      </c>
      <c r="AV471" s="1">
        <f t="shared" si="60"/>
        <v>2.2547814634185945</v>
      </c>
      <c r="AW471" s="1">
        <f t="shared" si="61"/>
        <v>1.3927261888783951</v>
      </c>
    </row>
    <row r="472" spans="1:49" x14ac:dyDescent="0.2">
      <c r="A472">
        <v>470</v>
      </c>
      <c r="B472" t="s">
        <v>2542</v>
      </c>
      <c r="C472" t="s">
        <v>2541</v>
      </c>
      <c r="F472" t="s">
        <v>2540</v>
      </c>
      <c r="G472" t="s">
        <v>13</v>
      </c>
      <c r="H472" t="s">
        <v>12</v>
      </c>
      <c r="I472" t="s">
        <v>2539</v>
      </c>
      <c r="J472">
        <v>60025272</v>
      </c>
      <c r="K472" t="s">
        <v>2538</v>
      </c>
      <c r="L472" t="s">
        <v>644</v>
      </c>
      <c r="M472" t="s">
        <v>643</v>
      </c>
      <c r="N472">
        <v>4</v>
      </c>
      <c r="O472" t="s">
        <v>2537</v>
      </c>
      <c r="P472" t="s">
        <v>2536</v>
      </c>
      <c r="Q472" t="s">
        <v>2535</v>
      </c>
      <c r="R472" s="7">
        <v>30682</v>
      </c>
      <c r="S472" s="8">
        <f t="shared" si="56"/>
        <v>1984</v>
      </c>
      <c r="T472" s="8">
        <v>1984</v>
      </c>
      <c r="U472" s="8">
        <f t="shared" si="57"/>
        <v>38</v>
      </c>
      <c r="V472" s="7">
        <v>1984</v>
      </c>
      <c r="W472" t="s">
        <v>2534</v>
      </c>
      <c r="X472" s="2">
        <v>0.76</v>
      </c>
      <c r="Y472" s="6">
        <f t="shared" si="62"/>
        <v>2.0287765943247646E-2</v>
      </c>
      <c r="AA472">
        <v>319015</v>
      </c>
      <c r="AB472">
        <v>29173</v>
      </c>
      <c r="AC472">
        <v>13474073</v>
      </c>
      <c r="AD472" t="s">
        <v>4</v>
      </c>
      <c r="AE472">
        <v>53</v>
      </c>
      <c r="AF472">
        <v>5</v>
      </c>
      <c r="AH472" t="s">
        <v>2533</v>
      </c>
      <c r="AI472" t="s">
        <v>2532</v>
      </c>
      <c r="AK472" t="s">
        <v>2531</v>
      </c>
      <c r="AL472">
        <v>7</v>
      </c>
      <c r="AM472" s="5">
        <f t="shared" si="58"/>
        <v>0.18421052631578946</v>
      </c>
      <c r="AN472" s="4">
        <f t="shared" si="63"/>
        <v>2.7900117579066937E-4</v>
      </c>
      <c r="AO472" s="3"/>
      <c r="AP472">
        <v>0</v>
      </c>
      <c r="AR472" t="s">
        <v>0</v>
      </c>
      <c r="AT472" s="2" t="s">
        <v>45</v>
      </c>
      <c r="AU472" s="1">
        <f t="shared" si="59"/>
        <v>1.4285136513010552</v>
      </c>
      <c r="AV472" s="1">
        <f t="shared" si="60"/>
        <v>1.0283383559519157</v>
      </c>
      <c r="AW472" s="1">
        <f t="shared" si="61"/>
        <v>0.62816306060277627</v>
      </c>
    </row>
    <row r="473" spans="1:49" x14ac:dyDescent="0.2">
      <c r="A473">
        <v>471</v>
      </c>
      <c r="B473" t="s">
        <v>2530</v>
      </c>
      <c r="C473" t="s">
        <v>2529</v>
      </c>
      <c r="F473" t="s">
        <v>2528</v>
      </c>
      <c r="G473" t="s">
        <v>13</v>
      </c>
      <c r="H473" t="s">
        <v>12</v>
      </c>
      <c r="I473" t="s">
        <v>2527</v>
      </c>
      <c r="J473" t="s">
        <v>2521</v>
      </c>
      <c r="K473" t="s">
        <v>2526</v>
      </c>
      <c r="L473" t="s">
        <v>2525</v>
      </c>
      <c r="M473" t="s">
        <v>2524</v>
      </c>
      <c r="N473">
        <v>2</v>
      </c>
      <c r="O473" t="s">
        <v>2523</v>
      </c>
      <c r="P473" t="s">
        <v>2522</v>
      </c>
      <c r="Q473" t="s">
        <v>2521</v>
      </c>
      <c r="R473" s="7">
        <v>30682</v>
      </c>
      <c r="S473" s="8">
        <f t="shared" si="56"/>
        <v>1984</v>
      </c>
      <c r="T473" s="8">
        <v>1984</v>
      </c>
      <c r="U473" s="8">
        <f t="shared" si="57"/>
        <v>38</v>
      </c>
      <c r="V473" s="7">
        <v>30803</v>
      </c>
      <c r="W473" t="s">
        <v>380</v>
      </c>
      <c r="X473" s="2">
        <v>1.6519999999999999</v>
      </c>
      <c r="Y473" s="6">
        <f t="shared" si="62"/>
        <v>4.409919649769093E-2</v>
      </c>
      <c r="AA473" t="s">
        <v>379</v>
      </c>
      <c r="AB473">
        <v>17337</v>
      </c>
      <c r="AC473">
        <v>15582221</v>
      </c>
      <c r="AD473" t="s">
        <v>4</v>
      </c>
      <c r="AE473">
        <v>32</v>
      </c>
      <c r="AF473">
        <v>5</v>
      </c>
      <c r="AH473" t="s">
        <v>2465</v>
      </c>
      <c r="AI473" t="s">
        <v>2520</v>
      </c>
      <c r="AK473" t="s">
        <v>2519</v>
      </c>
      <c r="AL473">
        <v>18</v>
      </c>
      <c r="AM473" s="5">
        <f t="shared" si="58"/>
        <v>0.47368421052631576</v>
      </c>
      <c r="AN473" s="4">
        <f t="shared" si="63"/>
        <v>7.1743159489029266E-4</v>
      </c>
      <c r="AO473" s="3"/>
      <c r="AP473">
        <v>0</v>
      </c>
      <c r="AR473" t="s">
        <v>0</v>
      </c>
      <c r="AT473" s="2" t="s">
        <v>45</v>
      </c>
      <c r="AU473" s="1">
        <f t="shared" si="59"/>
        <v>3.1084667026850736</v>
      </c>
      <c r="AV473" s="1">
        <f t="shared" si="60"/>
        <v>2.2408314046290614</v>
      </c>
      <c r="AW473" s="1">
        <f t="shared" si="61"/>
        <v>1.3731961065730482</v>
      </c>
    </row>
    <row r="474" spans="1:49" x14ac:dyDescent="0.2">
      <c r="A474">
        <v>472</v>
      </c>
      <c r="B474" t="s">
        <v>2518</v>
      </c>
      <c r="F474" t="s">
        <v>2517</v>
      </c>
      <c r="G474" t="s">
        <v>13</v>
      </c>
      <c r="H474" t="s">
        <v>12</v>
      </c>
      <c r="I474" t="s">
        <v>2516</v>
      </c>
      <c r="N474">
        <v>1</v>
      </c>
      <c r="O474" t="s">
        <v>2515</v>
      </c>
      <c r="P474">
        <v>1</v>
      </c>
      <c r="R474" s="7">
        <v>30682</v>
      </c>
      <c r="S474" s="8">
        <f t="shared" si="56"/>
        <v>1984</v>
      </c>
      <c r="T474" s="8">
        <v>1984</v>
      </c>
      <c r="U474" s="8">
        <f t="shared" si="57"/>
        <v>38</v>
      </c>
      <c r="V474" s="7" t="s">
        <v>2252</v>
      </c>
      <c r="W474" t="s">
        <v>2514</v>
      </c>
      <c r="X474" s="2" t="s">
        <v>45</v>
      </c>
      <c r="Y474" s="6" t="e">
        <f t="shared" si="62"/>
        <v>#VALUE!</v>
      </c>
      <c r="AA474">
        <v>438405</v>
      </c>
      <c r="AB474">
        <v>31940</v>
      </c>
      <c r="AD474" t="s">
        <v>4</v>
      </c>
      <c r="AE474">
        <v>20</v>
      </c>
      <c r="AF474">
        <v>5</v>
      </c>
      <c r="AH474" t="s">
        <v>2513</v>
      </c>
      <c r="AI474" t="s">
        <v>2512</v>
      </c>
      <c r="AK474" t="s">
        <v>2511</v>
      </c>
      <c r="AL474">
        <v>0</v>
      </c>
      <c r="AM474" s="5">
        <f t="shared" si="58"/>
        <v>0</v>
      </c>
      <c r="AN474" s="4">
        <f t="shared" si="63"/>
        <v>0</v>
      </c>
      <c r="AO474" s="3"/>
      <c r="AP474">
        <v>0</v>
      </c>
      <c r="AR474" t="s">
        <v>0</v>
      </c>
      <c r="AT474" s="2" t="s">
        <v>45</v>
      </c>
      <c r="AU474" s="1" t="e">
        <f t="shared" si="59"/>
        <v>#VALUE!</v>
      </c>
      <c r="AV474" s="1" t="e">
        <f t="shared" si="60"/>
        <v>#VALUE!</v>
      </c>
      <c r="AW474" s="1" t="e">
        <f t="shared" si="61"/>
        <v>#VALUE!</v>
      </c>
    </row>
    <row r="475" spans="1:49" x14ac:dyDescent="0.2">
      <c r="A475">
        <v>473</v>
      </c>
      <c r="B475" t="s">
        <v>2510</v>
      </c>
      <c r="C475" t="s">
        <v>2509</v>
      </c>
      <c r="F475" t="s">
        <v>2508</v>
      </c>
      <c r="G475" t="s">
        <v>13</v>
      </c>
      <c r="H475" t="s">
        <v>12</v>
      </c>
      <c r="I475" t="s">
        <v>2507</v>
      </c>
      <c r="J475">
        <v>60009037</v>
      </c>
      <c r="K475" t="s">
        <v>592</v>
      </c>
      <c r="L475" t="s">
        <v>591</v>
      </c>
      <c r="M475" t="s">
        <v>56</v>
      </c>
      <c r="N475">
        <v>1</v>
      </c>
      <c r="O475" t="s">
        <v>2506</v>
      </c>
      <c r="P475">
        <v>7406055960</v>
      </c>
      <c r="Q475">
        <v>60009037</v>
      </c>
      <c r="R475" s="7">
        <v>30682</v>
      </c>
      <c r="S475" s="8">
        <f t="shared" si="56"/>
        <v>1984</v>
      </c>
      <c r="T475" s="8">
        <v>1984</v>
      </c>
      <c r="U475" s="8">
        <f t="shared" si="57"/>
        <v>38</v>
      </c>
      <c r="V475" s="7">
        <v>30803</v>
      </c>
      <c r="W475" t="s">
        <v>380</v>
      </c>
      <c r="X475" s="2">
        <v>1.6519999999999999</v>
      </c>
      <c r="Y475" s="6">
        <f t="shared" si="62"/>
        <v>4.409919649769093E-2</v>
      </c>
      <c r="AA475" t="s">
        <v>379</v>
      </c>
      <c r="AB475">
        <v>17337</v>
      </c>
      <c r="AC475">
        <v>15582221</v>
      </c>
      <c r="AD475" t="s">
        <v>4</v>
      </c>
      <c r="AE475">
        <v>32</v>
      </c>
      <c r="AF475">
        <v>5</v>
      </c>
      <c r="AH475" t="s">
        <v>2505</v>
      </c>
      <c r="AI475" t="s">
        <v>2504</v>
      </c>
      <c r="AK475" t="s">
        <v>2503</v>
      </c>
      <c r="AL475">
        <v>5</v>
      </c>
      <c r="AM475" s="5">
        <f t="shared" si="58"/>
        <v>0.13157894736842105</v>
      </c>
      <c r="AN475" s="4">
        <f t="shared" si="63"/>
        <v>1.9928655413619243E-4</v>
      </c>
      <c r="AO475" s="3"/>
      <c r="AP475">
        <v>0</v>
      </c>
      <c r="AR475" t="s">
        <v>0</v>
      </c>
      <c r="AT475" s="2" t="s">
        <v>45</v>
      </c>
      <c r="AU475" s="1">
        <f t="shared" si="59"/>
        <v>3.0929223514624509</v>
      </c>
      <c r="AV475" s="1">
        <f t="shared" si="60"/>
        <v>2.2149241525913563</v>
      </c>
      <c r="AW475" s="1">
        <f t="shared" si="61"/>
        <v>1.3369259537202611</v>
      </c>
    </row>
    <row r="476" spans="1:49" x14ac:dyDescent="0.2">
      <c r="A476">
        <v>474</v>
      </c>
      <c r="B476" t="s">
        <v>2502</v>
      </c>
      <c r="F476" t="s">
        <v>2501</v>
      </c>
      <c r="G476" t="s">
        <v>13</v>
      </c>
      <c r="H476" t="s">
        <v>12</v>
      </c>
      <c r="I476" t="s">
        <v>2500</v>
      </c>
      <c r="N476">
        <v>3</v>
      </c>
      <c r="O476" t="s">
        <v>2499</v>
      </c>
      <c r="P476" t="s">
        <v>2498</v>
      </c>
      <c r="Q476" t="s">
        <v>8</v>
      </c>
      <c r="R476" s="7">
        <v>30682</v>
      </c>
      <c r="S476" s="8">
        <f t="shared" si="56"/>
        <v>1984</v>
      </c>
      <c r="T476" s="8">
        <v>1984</v>
      </c>
      <c r="U476" s="8">
        <f t="shared" si="57"/>
        <v>38</v>
      </c>
      <c r="V476" s="7" t="s">
        <v>2481</v>
      </c>
      <c r="W476" t="s">
        <v>1503</v>
      </c>
      <c r="X476" s="2">
        <v>0.125</v>
      </c>
      <c r="Y476" s="6">
        <f t="shared" si="62"/>
        <v>3.3368036090867838E-3</v>
      </c>
      <c r="AA476">
        <v>26557</v>
      </c>
      <c r="AB476">
        <v>40401</v>
      </c>
      <c r="AD476" t="s">
        <v>4</v>
      </c>
      <c r="AE476">
        <v>53</v>
      </c>
      <c r="AF476">
        <v>3</v>
      </c>
      <c r="AH476" t="s">
        <v>2497</v>
      </c>
      <c r="AI476" t="s">
        <v>2496</v>
      </c>
      <c r="AK476" t="s">
        <v>2495</v>
      </c>
      <c r="AL476">
        <v>4</v>
      </c>
      <c r="AM476" s="5">
        <f t="shared" si="58"/>
        <v>0.10526315789473684</v>
      </c>
      <c r="AN476" s="4">
        <f t="shared" si="63"/>
        <v>1.5942924330895392E-4</v>
      </c>
      <c r="AO476" s="3"/>
      <c r="AP476">
        <v>0</v>
      </c>
      <c r="AR476" t="s">
        <v>0</v>
      </c>
      <c r="AT476" s="2" t="s">
        <v>45</v>
      </c>
      <c r="AU476" s="1">
        <f t="shared" si="59"/>
        <v>0.23835912993534344</v>
      </c>
      <c r="AV476" s="1">
        <f t="shared" si="60"/>
        <v>0.17481164261978688</v>
      </c>
      <c r="AW476" s="1">
        <f t="shared" si="61"/>
        <v>0.11126415530423028</v>
      </c>
    </row>
    <row r="477" spans="1:49" x14ac:dyDescent="0.2">
      <c r="A477">
        <v>475</v>
      </c>
      <c r="B477" t="s">
        <v>2494</v>
      </c>
      <c r="C477" t="s">
        <v>2493</v>
      </c>
      <c r="F477" t="s">
        <v>2492</v>
      </c>
      <c r="G477" t="s">
        <v>13</v>
      </c>
      <c r="H477" t="s">
        <v>12</v>
      </c>
      <c r="I477" t="s">
        <v>2491</v>
      </c>
      <c r="J477">
        <v>60001247</v>
      </c>
      <c r="K477" t="s">
        <v>2022</v>
      </c>
      <c r="M477" t="s">
        <v>56</v>
      </c>
      <c r="N477">
        <v>1</v>
      </c>
      <c r="O477" t="s">
        <v>2490</v>
      </c>
      <c r="P477">
        <v>7102001903</v>
      </c>
      <c r="Q477">
        <v>60001247</v>
      </c>
      <c r="R477" s="7">
        <v>30682</v>
      </c>
      <c r="S477" s="8">
        <f t="shared" si="56"/>
        <v>1984</v>
      </c>
      <c r="T477" s="8">
        <v>1984</v>
      </c>
      <c r="U477" s="8">
        <f t="shared" si="57"/>
        <v>38</v>
      </c>
      <c r="V477" s="7">
        <v>30803</v>
      </c>
      <c r="W477" t="s">
        <v>380</v>
      </c>
      <c r="X477" s="2">
        <v>1.6519999999999999</v>
      </c>
      <c r="Y477" s="6">
        <f t="shared" si="62"/>
        <v>4.409919649769093E-2</v>
      </c>
      <c r="AA477" t="s">
        <v>379</v>
      </c>
      <c r="AB477">
        <v>17337</v>
      </c>
      <c r="AC477">
        <v>15582221</v>
      </c>
      <c r="AD477" t="s">
        <v>4</v>
      </c>
      <c r="AE477">
        <v>32</v>
      </c>
      <c r="AF477">
        <v>5</v>
      </c>
      <c r="AH477" t="s">
        <v>2489</v>
      </c>
      <c r="AI477" t="s">
        <v>2488</v>
      </c>
      <c r="AK477" t="s">
        <v>2487</v>
      </c>
      <c r="AL477">
        <v>87</v>
      </c>
      <c r="AM477" s="5">
        <f t="shared" si="58"/>
        <v>2.2894736842105261</v>
      </c>
      <c r="AN477" s="4">
        <f t="shared" si="63"/>
        <v>3.4675860419697479E-3</v>
      </c>
      <c r="AO477" s="3"/>
      <c r="AP477">
        <v>0</v>
      </c>
      <c r="AR477" t="s">
        <v>0</v>
      </c>
      <c r="AT477" s="2" t="s">
        <v>45</v>
      </c>
      <c r="AU477" s="1">
        <f t="shared" si="59"/>
        <v>3.1909713360974576</v>
      </c>
      <c r="AV477" s="1">
        <f t="shared" si="60"/>
        <v>2.3783391269830338</v>
      </c>
      <c r="AW477" s="1">
        <f t="shared" si="61"/>
        <v>1.5657069178686103</v>
      </c>
    </row>
    <row r="478" spans="1:49" x14ac:dyDescent="0.2">
      <c r="A478">
        <v>476</v>
      </c>
      <c r="B478" t="s">
        <v>2486</v>
      </c>
      <c r="E478">
        <v>6748996</v>
      </c>
      <c r="F478" t="s">
        <v>2485</v>
      </c>
      <c r="G478" t="s">
        <v>13</v>
      </c>
      <c r="H478" t="s">
        <v>12</v>
      </c>
      <c r="I478" t="s">
        <v>2484</v>
      </c>
      <c r="N478">
        <v>2</v>
      </c>
      <c r="O478" t="s">
        <v>2483</v>
      </c>
      <c r="P478" t="s">
        <v>2482</v>
      </c>
      <c r="Q478" t="s">
        <v>266</v>
      </c>
      <c r="R478" s="7">
        <v>30682</v>
      </c>
      <c r="S478" s="8">
        <f t="shared" si="56"/>
        <v>1984</v>
      </c>
      <c r="T478" s="8">
        <v>1984</v>
      </c>
      <c r="U478" s="8">
        <f t="shared" si="57"/>
        <v>38</v>
      </c>
      <c r="V478" s="7" t="s">
        <v>2481</v>
      </c>
      <c r="W478" t="s">
        <v>2480</v>
      </c>
      <c r="X478" s="2" t="s">
        <v>45</v>
      </c>
      <c r="Y478" s="6" t="e">
        <f t="shared" si="62"/>
        <v>#VALUE!</v>
      </c>
      <c r="AA478">
        <v>906689</v>
      </c>
      <c r="AB478">
        <v>35640</v>
      </c>
      <c r="AD478" t="s">
        <v>4</v>
      </c>
      <c r="AE478">
        <v>18</v>
      </c>
      <c r="AF478">
        <v>3</v>
      </c>
      <c r="AH478" t="s">
        <v>2479</v>
      </c>
      <c r="AI478" t="s">
        <v>2478</v>
      </c>
      <c r="AK478" t="s">
        <v>2477</v>
      </c>
      <c r="AL478">
        <v>8</v>
      </c>
      <c r="AM478" s="5">
        <f t="shared" si="58"/>
        <v>0.21052631578947367</v>
      </c>
      <c r="AN478" s="4">
        <f t="shared" si="63"/>
        <v>3.1885848661790785E-4</v>
      </c>
      <c r="AO478" s="3"/>
      <c r="AP478">
        <v>0</v>
      </c>
      <c r="AR478" t="s">
        <v>0</v>
      </c>
      <c r="AT478" s="2" t="s">
        <v>45</v>
      </c>
      <c r="AU478" s="1" t="e">
        <f t="shared" si="59"/>
        <v>#VALUE!</v>
      </c>
      <c r="AV478" s="1" t="e">
        <f t="shared" si="60"/>
        <v>#VALUE!</v>
      </c>
      <c r="AW478" s="1" t="e">
        <f t="shared" si="61"/>
        <v>#VALUE!</v>
      </c>
    </row>
    <row r="479" spans="1:49" x14ac:dyDescent="0.2">
      <c r="A479">
        <v>477</v>
      </c>
      <c r="B479" t="s">
        <v>2476</v>
      </c>
      <c r="C479" t="s">
        <v>2475</v>
      </c>
      <c r="F479" t="s">
        <v>2474</v>
      </c>
      <c r="G479" t="s">
        <v>13</v>
      </c>
      <c r="H479" t="s">
        <v>12</v>
      </c>
      <c r="I479" t="s">
        <v>2473</v>
      </c>
      <c r="J479" t="s">
        <v>2472</v>
      </c>
      <c r="K479" t="s">
        <v>2471</v>
      </c>
      <c r="L479" t="s">
        <v>2470</v>
      </c>
      <c r="M479" t="s">
        <v>72</v>
      </c>
      <c r="N479">
        <v>6</v>
      </c>
      <c r="O479" t="s">
        <v>2469</v>
      </c>
      <c r="P479" t="s">
        <v>2468</v>
      </c>
      <c r="Q479" t="s">
        <v>2467</v>
      </c>
      <c r="R479" s="7">
        <v>30682</v>
      </c>
      <c r="S479" s="8">
        <f t="shared" si="56"/>
        <v>1984</v>
      </c>
      <c r="T479" s="8">
        <v>1984</v>
      </c>
      <c r="U479" s="8">
        <f t="shared" si="57"/>
        <v>38</v>
      </c>
      <c r="V479" s="7">
        <v>30803</v>
      </c>
      <c r="W479" t="s">
        <v>2466</v>
      </c>
      <c r="X479" s="2">
        <v>1.3720000000000001</v>
      </c>
      <c r="Y479" s="6">
        <f t="shared" si="62"/>
        <v>3.662475641333654E-2</v>
      </c>
      <c r="AA479">
        <v>189480</v>
      </c>
      <c r="AB479">
        <v>17366</v>
      </c>
      <c r="AC479">
        <v>15579670</v>
      </c>
      <c r="AD479" t="s">
        <v>4</v>
      </c>
      <c r="AE479">
        <v>32</v>
      </c>
      <c r="AF479">
        <v>5</v>
      </c>
      <c r="AH479" t="s">
        <v>2465</v>
      </c>
      <c r="AI479" t="s">
        <v>2464</v>
      </c>
      <c r="AK479" t="s">
        <v>2463</v>
      </c>
      <c r="AL479">
        <v>3</v>
      </c>
      <c r="AM479" s="5">
        <f t="shared" si="58"/>
        <v>7.8947368421052627E-2</v>
      </c>
      <c r="AN479" s="4">
        <f t="shared" si="63"/>
        <v>1.1957193248171546E-4</v>
      </c>
      <c r="AO479" s="3"/>
      <c r="AP479">
        <v>0</v>
      </c>
      <c r="AR479" t="s">
        <v>0</v>
      </c>
      <c r="AT479" s="2" t="s">
        <v>45</v>
      </c>
      <c r="AU479" s="1">
        <f t="shared" si="59"/>
        <v>2.5673201069080092</v>
      </c>
      <c r="AV479" s="1">
        <f t="shared" si="60"/>
        <v>1.8372164172909127</v>
      </c>
      <c r="AW479" s="1">
        <f t="shared" si="61"/>
        <v>1.1071127276738164</v>
      </c>
    </row>
    <row r="480" spans="1:49" x14ac:dyDescent="0.2">
      <c r="A480">
        <v>478</v>
      </c>
      <c r="B480" t="s">
        <v>2462</v>
      </c>
      <c r="C480" t="s">
        <v>2461</v>
      </c>
      <c r="F480" t="s">
        <v>2460</v>
      </c>
      <c r="G480" t="s">
        <v>13</v>
      </c>
      <c r="H480" t="s">
        <v>12</v>
      </c>
      <c r="I480" t="s">
        <v>2459</v>
      </c>
      <c r="N480">
        <v>2</v>
      </c>
      <c r="O480" t="s">
        <v>2458</v>
      </c>
      <c r="P480" t="s">
        <v>2457</v>
      </c>
      <c r="Q480" t="s">
        <v>266</v>
      </c>
      <c r="R480" s="7">
        <v>30682</v>
      </c>
      <c r="S480" s="8">
        <f t="shared" si="56"/>
        <v>1984</v>
      </c>
      <c r="T480" s="8">
        <v>1984</v>
      </c>
      <c r="U480" s="8">
        <f t="shared" si="57"/>
        <v>38</v>
      </c>
      <c r="V480" s="7" t="s">
        <v>2322</v>
      </c>
      <c r="W480" t="s">
        <v>6</v>
      </c>
      <c r="X480" s="2">
        <v>0.371</v>
      </c>
      <c r="Y480" s="6">
        <f t="shared" si="62"/>
        <v>9.9036331117695747E-3</v>
      </c>
      <c r="AA480">
        <v>486604</v>
      </c>
      <c r="AB480">
        <v>28580</v>
      </c>
      <c r="AC480" t="s">
        <v>5</v>
      </c>
      <c r="AD480" t="s">
        <v>4</v>
      </c>
      <c r="AE480">
        <v>19</v>
      </c>
      <c r="AF480">
        <v>3</v>
      </c>
      <c r="AH480" t="s">
        <v>2456</v>
      </c>
      <c r="AI480" t="s">
        <v>2455</v>
      </c>
      <c r="AK480" t="s">
        <v>2454</v>
      </c>
      <c r="AL480">
        <v>2</v>
      </c>
      <c r="AM480" s="5">
        <f t="shared" si="58"/>
        <v>5.2631578947368418E-2</v>
      </c>
      <c r="AN480" s="4">
        <f t="shared" si="63"/>
        <v>7.9714621654476962E-5</v>
      </c>
      <c r="AO480" s="3"/>
      <c r="AP480">
        <v>0</v>
      </c>
      <c r="AR480" t="s">
        <v>0</v>
      </c>
      <c r="AT480" s="2">
        <v>1.431</v>
      </c>
      <c r="AU480" s="1">
        <f t="shared" si="59"/>
        <v>0.69564575647350457</v>
      </c>
      <c r="AV480" s="1">
        <f t="shared" si="60"/>
        <v>0.49916738667120264</v>
      </c>
      <c r="AW480" s="1">
        <f t="shared" si="61"/>
        <v>0.30268901686890065</v>
      </c>
    </row>
    <row r="481" spans="1:49" x14ac:dyDescent="0.2">
      <c r="A481">
        <v>479</v>
      </c>
      <c r="B481" t="s">
        <v>2453</v>
      </c>
      <c r="C481" t="s">
        <v>2452</v>
      </c>
      <c r="F481" t="s">
        <v>2451</v>
      </c>
      <c r="G481" t="s">
        <v>13</v>
      </c>
      <c r="H481" t="s">
        <v>12</v>
      </c>
      <c r="I481" t="s">
        <v>2450</v>
      </c>
      <c r="N481">
        <v>1</v>
      </c>
      <c r="O481" t="s">
        <v>2449</v>
      </c>
      <c r="P481">
        <v>7101988263</v>
      </c>
      <c r="R481" s="7">
        <v>30682</v>
      </c>
      <c r="S481" s="8">
        <f t="shared" si="56"/>
        <v>1984</v>
      </c>
      <c r="T481" s="8">
        <v>1984</v>
      </c>
      <c r="U481" s="8">
        <f t="shared" si="57"/>
        <v>38</v>
      </c>
      <c r="V481" s="7" t="s">
        <v>2322</v>
      </c>
      <c r="W481" t="s">
        <v>6</v>
      </c>
      <c r="X481" s="2">
        <v>0.371</v>
      </c>
      <c r="Y481" s="6">
        <f t="shared" si="62"/>
        <v>9.9036331117695747E-3</v>
      </c>
      <c r="AA481">
        <v>486604</v>
      </c>
      <c r="AB481">
        <v>28580</v>
      </c>
      <c r="AC481" t="s">
        <v>5</v>
      </c>
      <c r="AD481" t="s">
        <v>4</v>
      </c>
      <c r="AE481">
        <v>19</v>
      </c>
      <c r="AF481">
        <v>3</v>
      </c>
      <c r="AH481" t="s">
        <v>2448</v>
      </c>
      <c r="AI481" t="s">
        <v>2447</v>
      </c>
      <c r="AK481" t="s">
        <v>2446</v>
      </c>
      <c r="AL481">
        <v>16</v>
      </c>
      <c r="AM481" s="5">
        <f t="shared" si="58"/>
        <v>0.42105263157894735</v>
      </c>
      <c r="AN481" s="4">
        <f t="shared" si="63"/>
        <v>6.377169732358157E-4</v>
      </c>
      <c r="AO481" s="3"/>
      <c r="AP481">
        <v>0</v>
      </c>
      <c r="AR481" t="s">
        <v>0</v>
      </c>
      <c r="AT481" s="2">
        <v>1.431</v>
      </c>
      <c r="AU481" s="1">
        <f t="shared" si="59"/>
        <v>0.71238582702094466</v>
      </c>
      <c r="AV481" s="1">
        <f t="shared" si="60"/>
        <v>0.52706750425026949</v>
      </c>
      <c r="AW481" s="1">
        <f t="shared" si="61"/>
        <v>0.34174918147959432</v>
      </c>
    </row>
    <row r="482" spans="1:49" x14ac:dyDescent="0.2">
      <c r="A482">
        <v>480</v>
      </c>
      <c r="B482" t="s">
        <v>2445</v>
      </c>
      <c r="C482" t="s">
        <v>2444</v>
      </c>
      <c r="F482" t="s">
        <v>2443</v>
      </c>
      <c r="G482" t="s">
        <v>13</v>
      </c>
      <c r="H482" t="s">
        <v>12</v>
      </c>
      <c r="I482" t="s">
        <v>2442</v>
      </c>
      <c r="J482">
        <v>60023053</v>
      </c>
      <c r="K482" t="s">
        <v>2441</v>
      </c>
      <c r="L482" t="s">
        <v>2440</v>
      </c>
      <c r="M482" t="s">
        <v>56</v>
      </c>
      <c r="N482">
        <v>1</v>
      </c>
      <c r="O482" t="s">
        <v>2439</v>
      </c>
      <c r="P482">
        <v>6603599117</v>
      </c>
      <c r="Q482">
        <v>60023053</v>
      </c>
      <c r="R482" s="7">
        <v>30682</v>
      </c>
      <c r="S482" s="8">
        <f t="shared" si="56"/>
        <v>1984</v>
      </c>
      <c r="T482" s="8">
        <v>1984</v>
      </c>
      <c r="U482" s="8">
        <f t="shared" si="57"/>
        <v>38</v>
      </c>
      <c r="V482" s="7">
        <v>30803</v>
      </c>
      <c r="W482" t="s">
        <v>2312</v>
      </c>
      <c r="X482" s="2">
        <v>0.65500000000000003</v>
      </c>
      <c r="Y482" s="6">
        <f t="shared" si="62"/>
        <v>1.7484850911614749E-2</v>
      </c>
      <c r="AA482">
        <v>189375</v>
      </c>
      <c r="AB482">
        <v>26051</v>
      </c>
      <c r="AC482" t="s">
        <v>2311</v>
      </c>
      <c r="AD482" t="s">
        <v>4</v>
      </c>
      <c r="AE482" t="s">
        <v>2310</v>
      </c>
      <c r="AF482">
        <v>2</v>
      </c>
      <c r="AH482" t="s">
        <v>2438</v>
      </c>
      <c r="AI482" t="s">
        <v>2437</v>
      </c>
      <c r="AJ482" t="s">
        <v>2436</v>
      </c>
      <c r="AK482" t="s">
        <v>2435</v>
      </c>
      <c r="AL482">
        <v>0</v>
      </c>
      <c r="AM482" s="5">
        <f t="shared" si="58"/>
        <v>0</v>
      </c>
      <c r="AN482" s="4">
        <f t="shared" si="63"/>
        <v>0</v>
      </c>
      <c r="AO482" s="3"/>
      <c r="AP482">
        <v>0</v>
      </c>
      <c r="AR482" t="s">
        <v>0</v>
      </c>
      <c r="AT482" s="2" t="s">
        <v>45</v>
      </c>
      <c r="AU482" s="1">
        <f t="shared" si="59"/>
        <v>1.2239395638130324</v>
      </c>
      <c r="AV482" s="1">
        <f t="shared" si="60"/>
        <v>0.87424254558073744</v>
      </c>
      <c r="AW482" s="1">
        <f t="shared" si="61"/>
        <v>0.52454552734844251</v>
      </c>
    </row>
    <row r="483" spans="1:49" x14ac:dyDescent="0.2">
      <c r="A483">
        <v>481</v>
      </c>
      <c r="B483" t="s">
        <v>2434</v>
      </c>
      <c r="C483" t="s">
        <v>2433</v>
      </c>
      <c r="F483" t="s">
        <v>2432</v>
      </c>
      <c r="G483" t="s">
        <v>13</v>
      </c>
      <c r="H483" t="s">
        <v>12</v>
      </c>
      <c r="I483" t="s">
        <v>2431</v>
      </c>
      <c r="J483">
        <v>60009386</v>
      </c>
      <c r="K483" t="s">
        <v>2430</v>
      </c>
      <c r="L483" t="s">
        <v>2429</v>
      </c>
      <c r="M483" t="s">
        <v>24</v>
      </c>
      <c r="N483">
        <v>2</v>
      </c>
      <c r="O483" t="s">
        <v>2428</v>
      </c>
      <c r="P483" t="s">
        <v>2427</v>
      </c>
      <c r="Q483" t="s">
        <v>2426</v>
      </c>
      <c r="R483" s="7">
        <v>30682</v>
      </c>
      <c r="S483" s="8">
        <f t="shared" si="56"/>
        <v>1984</v>
      </c>
      <c r="T483" s="8">
        <v>1984</v>
      </c>
      <c r="U483" s="8">
        <f t="shared" si="57"/>
        <v>38</v>
      </c>
      <c r="V483" s="7">
        <v>30803</v>
      </c>
      <c r="W483" t="s">
        <v>691</v>
      </c>
      <c r="X483" s="2">
        <v>1.774</v>
      </c>
      <c r="Y483" s="6">
        <f t="shared" si="62"/>
        <v>4.7355916820159633E-2</v>
      </c>
      <c r="AA483">
        <v>295515</v>
      </c>
      <c r="AB483">
        <v>29066</v>
      </c>
      <c r="AC483">
        <v>17414326</v>
      </c>
      <c r="AD483" t="s">
        <v>4</v>
      </c>
      <c r="AE483">
        <v>24</v>
      </c>
      <c r="AF483">
        <v>5</v>
      </c>
      <c r="AH483" t="s">
        <v>2425</v>
      </c>
      <c r="AI483" t="s">
        <v>2424</v>
      </c>
      <c r="AK483" t="s">
        <v>2423</v>
      </c>
      <c r="AL483">
        <v>45</v>
      </c>
      <c r="AM483" s="5">
        <f t="shared" si="58"/>
        <v>1.1842105263157894</v>
      </c>
      <c r="AN483" s="4">
        <f t="shared" si="63"/>
        <v>1.7935789872257318E-3</v>
      </c>
      <c r="AO483" s="3"/>
      <c r="AP483">
        <v>0</v>
      </c>
      <c r="AR483" t="s">
        <v>0</v>
      </c>
      <c r="AT483" s="2">
        <v>3.1789999999999998</v>
      </c>
      <c r="AU483" s="1">
        <f t="shared" si="59"/>
        <v>3.3687215470279459</v>
      </c>
      <c r="AV483" s="1">
        <f t="shared" si="60"/>
        <v>2.4574747903692682</v>
      </c>
      <c r="AW483" s="1">
        <f t="shared" si="61"/>
        <v>1.54622803371059</v>
      </c>
    </row>
    <row r="484" spans="1:49" x14ac:dyDescent="0.2">
      <c r="A484">
        <v>482</v>
      </c>
      <c r="B484" t="s">
        <v>2422</v>
      </c>
      <c r="F484" t="s">
        <v>2421</v>
      </c>
      <c r="G484" t="s">
        <v>13</v>
      </c>
      <c r="H484" t="s">
        <v>12</v>
      </c>
      <c r="I484" t="s">
        <v>2420</v>
      </c>
      <c r="N484">
        <v>1</v>
      </c>
      <c r="O484" t="s">
        <v>2419</v>
      </c>
      <c r="P484">
        <v>6505800399</v>
      </c>
      <c r="R484" s="7">
        <v>30682</v>
      </c>
      <c r="S484" s="8">
        <f t="shared" si="56"/>
        <v>1984</v>
      </c>
      <c r="T484" s="8">
        <v>1984</v>
      </c>
      <c r="U484" s="8">
        <f t="shared" si="57"/>
        <v>38</v>
      </c>
      <c r="V484" s="7" t="s">
        <v>2252</v>
      </c>
      <c r="W484" t="s">
        <v>2418</v>
      </c>
      <c r="X484" s="2">
        <v>0.115</v>
      </c>
      <c r="Y484" s="6">
        <f t="shared" si="62"/>
        <v>3.069859320359841E-3</v>
      </c>
      <c r="AA484">
        <v>933651</v>
      </c>
      <c r="AB484">
        <v>14396</v>
      </c>
      <c r="AD484" t="s">
        <v>4</v>
      </c>
      <c r="AE484">
        <v>25</v>
      </c>
      <c r="AF484">
        <v>5</v>
      </c>
      <c r="AI484" t="s">
        <v>2417</v>
      </c>
      <c r="AK484" t="s">
        <v>2416</v>
      </c>
      <c r="AL484">
        <v>0</v>
      </c>
      <c r="AM484" s="5">
        <f t="shared" si="58"/>
        <v>0</v>
      </c>
      <c r="AN484" s="4">
        <f t="shared" si="63"/>
        <v>0</v>
      </c>
      <c r="AO484" s="3"/>
      <c r="AP484">
        <v>0</v>
      </c>
      <c r="AR484" t="s">
        <v>0</v>
      </c>
      <c r="AT484" s="2">
        <v>0.17499999999999999</v>
      </c>
      <c r="AU484" s="1">
        <f t="shared" si="59"/>
        <v>0.21489015242518883</v>
      </c>
      <c r="AV484" s="1">
        <f t="shared" si="60"/>
        <v>0.15349296601799206</v>
      </c>
      <c r="AW484" s="1">
        <f t="shared" si="61"/>
        <v>9.2095779610795223E-2</v>
      </c>
    </row>
    <row r="485" spans="1:49" x14ac:dyDescent="0.2">
      <c r="A485">
        <v>483</v>
      </c>
      <c r="B485" t="s">
        <v>2415</v>
      </c>
      <c r="C485" t="s">
        <v>2414</v>
      </c>
      <c r="F485" t="s">
        <v>2413</v>
      </c>
      <c r="G485" t="s">
        <v>13</v>
      </c>
      <c r="H485" t="s">
        <v>12</v>
      </c>
      <c r="I485" t="s">
        <v>2146</v>
      </c>
      <c r="J485" t="s">
        <v>2408</v>
      </c>
      <c r="K485" t="s">
        <v>2412</v>
      </c>
      <c r="L485" t="s">
        <v>2411</v>
      </c>
      <c r="M485" t="s">
        <v>2076</v>
      </c>
      <c r="N485">
        <v>2</v>
      </c>
      <c r="O485" t="s">
        <v>2410</v>
      </c>
      <c r="P485" t="s">
        <v>2409</v>
      </c>
      <c r="Q485" t="s">
        <v>2408</v>
      </c>
      <c r="R485" s="7">
        <v>30682</v>
      </c>
      <c r="S485" s="8">
        <f t="shared" si="56"/>
        <v>1984</v>
      </c>
      <c r="T485" s="8">
        <v>1984</v>
      </c>
      <c r="U485" s="8">
        <f t="shared" si="57"/>
        <v>38</v>
      </c>
      <c r="V485" s="7">
        <v>30803</v>
      </c>
      <c r="W485" t="s">
        <v>639</v>
      </c>
      <c r="X485" s="2">
        <v>0.251</v>
      </c>
      <c r="Y485" s="6">
        <f t="shared" si="62"/>
        <v>6.7003016470462617E-3</v>
      </c>
      <c r="AA485">
        <v>207217</v>
      </c>
      <c r="AB485">
        <v>26145</v>
      </c>
      <c r="AC485">
        <v>13623060</v>
      </c>
      <c r="AD485" t="s">
        <v>4</v>
      </c>
      <c r="AE485">
        <v>56</v>
      </c>
      <c r="AF485">
        <v>5</v>
      </c>
      <c r="AH485" t="s">
        <v>2407</v>
      </c>
      <c r="AI485" t="s">
        <v>2406</v>
      </c>
      <c r="AK485" t="s">
        <v>2405</v>
      </c>
      <c r="AL485">
        <v>0</v>
      </c>
      <c r="AM485" s="5">
        <f t="shared" si="58"/>
        <v>0</v>
      </c>
      <c r="AN485" s="4">
        <f t="shared" si="63"/>
        <v>0</v>
      </c>
      <c r="AO485" s="3"/>
      <c r="AP485">
        <v>0</v>
      </c>
      <c r="AQ485" t="s">
        <v>2404</v>
      </c>
      <c r="AR485" t="s">
        <v>0</v>
      </c>
      <c r="AS485" t="s">
        <v>2403</v>
      </c>
      <c r="AT485" s="2">
        <v>1.3360000000000001</v>
      </c>
      <c r="AU485" s="1">
        <f t="shared" si="59"/>
        <v>0.46902111529323826</v>
      </c>
      <c r="AV485" s="1">
        <f t="shared" si="60"/>
        <v>0.33501508235231309</v>
      </c>
      <c r="AW485" s="1">
        <f t="shared" si="61"/>
        <v>0.20100904941138784</v>
      </c>
    </row>
    <row r="486" spans="1:49" x14ac:dyDescent="0.2">
      <c r="A486">
        <v>484</v>
      </c>
      <c r="B486" t="s">
        <v>2402</v>
      </c>
      <c r="C486" t="s">
        <v>2401</v>
      </c>
      <c r="D486">
        <v>11227584901474</v>
      </c>
      <c r="F486" t="s">
        <v>2400</v>
      </c>
      <c r="G486" t="s">
        <v>13</v>
      </c>
      <c r="H486" t="s">
        <v>12</v>
      </c>
      <c r="I486" t="s">
        <v>2399</v>
      </c>
      <c r="J486" t="s">
        <v>2398</v>
      </c>
      <c r="K486" t="s">
        <v>2397</v>
      </c>
      <c r="L486" t="s">
        <v>2396</v>
      </c>
      <c r="M486" t="s">
        <v>2076</v>
      </c>
      <c r="N486">
        <v>6</v>
      </c>
      <c r="O486" t="s">
        <v>2395</v>
      </c>
      <c r="P486" t="s">
        <v>2394</v>
      </c>
      <c r="Q486" t="s">
        <v>2393</v>
      </c>
      <c r="R486" s="7">
        <v>30682</v>
      </c>
      <c r="S486" s="8">
        <f t="shared" si="56"/>
        <v>1984</v>
      </c>
      <c r="T486" s="8">
        <v>1984</v>
      </c>
      <c r="U486" s="8">
        <f t="shared" si="57"/>
        <v>38</v>
      </c>
      <c r="V486" s="7">
        <v>30803</v>
      </c>
      <c r="W486" t="s">
        <v>2392</v>
      </c>
      <c r="X486" s="2">
        <v>0.66900000000000004</v>
      </c>
      <c r="Y486" s="6">
        <f t="shared" si="62"/>
        <v>1.7858572915832469E-2</v>
      </c>
      <c r="AA486">
        <v>112275</v>
      </c>
      <c r="AB486">
        <v>13713</v>
      </c>
      <c r="AD486" t="s">
        <v>4</v>
      </c>
      <c r="AE486">
        <v>24</v>
      </c>
      <c r="AF486">
        <v>5</v>
      </c>
      <c r="AH486" t="s">
        <v>2391</v>
      </c>
      <c r="AI486" t="s">
        <v>2390</v>
      </c>
      <c r="AJ486" t="s">
        <v>2389</v>
      </c>
      <c r="AK486" t="s">
        <v>2388</v>
      </c>
      <c r="AL486">
        <v>2</v>
      </c>
      <c r="AM486" s="5">
        <f t="shared" si="58"/>
        <v>5.2631578947368418E-2</v>
      </c>
      <c r="AN486" s="4">
        <f t="shared" si="63"/>
        <v>7.9714621654476962E-5</v>
      </c>
      <c r="AO486" s="3"/>
      <c r="AP486">
        <v>0</v>
      </c>
      <c r="AR486" t="s">
        <v>0</v>
      </c>
      <c r="AT486" s="2">
        <v>2.226</v>
      </c>
      <c r="AU486" s="1">
        <f t="shared" si="59"/>
        <v>1.2524915427579071</v>
      </c>
      <c r="AV486" s="1">
        <f t="shared" si="60"/>
        <v>0.89691437687434727</v>
      </c>
      <c r="AW486" s="1">
        <f t="shared" si="61"/>
        <v>0.54133721099078747</v>
      </c>
    </row>
    <row r="487" spans="1:49" x14ac:dyDescent="0.2">
      <c r="A487">
        <v>485</v>
      </c>
      <c r="B487" t="s">
        <v>2387</v>
      </c>
      <c r="C487" t="s">
        <v>2386</v>
      </c>
      <c r="F487" t="s">
        <v>2385</v>
      </c>
      <c r="G487" t="s">
        <v>13</v>
      </c>
      <c r="H487" t="s">
        <v>12</v>
      </c>
      <c r="I487" t="s">
        <v>2384</v>
      </c>
      <c r="J487">
        <v>60000745</v>
      </c>
      <c r="K487" t="s">
        <v>1783</v>
      </c>
      <c r="L487" t="s">
        <v>1782</v>
      </c>
      <c r="M487" t="s">
        <v>56</v>
      </c>
      <c r="N487">
        <v>2</v>
      </c>
      <c r="O487" t="s">
        <v>2383</v>
      </c>
      <c r="P487" t="s">
        <v>2382</v>
      </c>
      <c r="Q487" t="s">
        <v>2381</v>
      </c>
      <c r="R487" s="7">
        <v>30682</v>
      </c>
      <c r="S487" s="8">
        <f t="shared" si="56"/>
        <v>1984</v>
      </c>
      <c r="T487" s="8">
        <v>1984</v>
      </c>
      <c r="U487" s="8">
        <f t="shared" si="57"/>
        <v>38</v>
      </c>
      <c r="V487" s="7">
        <v>30803</v>
      </c>
      <c r="W487" t="s">
        <v>2380</v>
      </c>
      <c r="X487" s="2">
        <v>1.365</v>
      </c>
      <c r="Y487" s="6">
        <f t="shared" si="62"/>
        <v>3.6437895411227675E-2</v>
      </c>
      <c r="AA487">
        <v>189545</v>
      </c>
      <c r="AB487">
        <v>17393</v>
      </c>
      <c r="AC487">
        <v>19399359</v>
      </c>
      <c r="AD487" t="s">
        <v>4</v>
      </c>
      <c r="AE487">
        <v>33</v>
      </c>
      <c r="AF487">
        <v>2</v>
      </c>
      <c r="AH487" t="s">
        <v>2379</v>
      </c>
      <c r="AI487" t="s">
        <v>2378</v>
      </c>
      <c r="AK487" t="s">
        <v>2377</v>
      </c>
      <c r="AL487">
        <v>4</v>
      </c>
      <c r="AM487" s="5">
        <f t="shared" si="58"/>
        <v>0.10526315789473684</v>
      </c>
      <c r="AN487" s="4">
        <f t="shared" si="63"/>
        <v>1.5942924330895392E-4</v>
      </c>
      <c r="AO487" s="3"/>
      <c r="AP487">
        <v>0</v>
      </c>
      <c r="AR487" t="s">
        <v>0</v>
      </c>
      <c r="AT487" s="2" t="s">
        <v>45</v>
      </c>
      <c r="AU487" s="1">
        <f t="shared" si="59"/>
        <v>2.5554355560852056</v>
      </c>
      <c r="AV487" s="1">
        <f t="shared" si="60"/>
        <v>1.8298662327268314</v>
      </c>
      <c r="AW487" s="1">
        <f t="shared" si="61"/>
        <v>1.1042969093684569</v>
      </c>
    </row>
    <row r="488" spans="1:49" x14ac:dyDescent="0.2">
      <c r="A488">
        <v>486</v>
      </c>
      <c r="B488" t="s">
        <v>2376</v>
      </c>
      <c r="C488" t="s">
        <v>2375</v>
      </c>
      <c r="F488" t="s">
        <v>2374</v>
      </c>
      <c r="G488" t="s">
        <v>13</v>
      </c>
      <c r="H488" t="s">
        <v>12</v>
      </c>
      <c r="I488" t="s">
        <v>2373</v>
      </c>
      <c r="J488">
        <v>60018020</v>
      </c>
      <c r="K488" t="s">
        <v>2372</v>
      </c>
      <c r="L488" t="s">
        <v>2371</v>
      </c>
      <c r="M488" t="s">
        <v>56</v>
      </c>
      <c r="N488">
        <v>3</v>
      </c>
      <c r="O488" t="s">
        <v>2370</v>
      </c>
      <c r="P488" t="s">
        <v>2369</v>
      </c>
      <c r="Q488" t="s">
        <v>2368</v>
      </c>
      <c r="R488" s="7">
        <v>30682</v>
      </c>
      <c r="S488" s="8">
        <f t="shared" si="56"/>
        <v>1984</v>
      </c>
      <c r="T488" s="8">
        <v>1984</v>
      </c>
      <c r="U488" s="8">
        <f t="shared" si="57"/>
        <v>38</v>
      </c>
      <c r="V488" s="7">
        <v>1984</v>
      </c>
      <c r="W488" t="s">
        <v>474</v>
      </c>
      <c r="X488" s="2">
        <v>1.1879999999999999</v>
      </c>
      <c r="Y488" s="6">
        <f t="shared" si="62"/>
        <v>3.1712981500760788E-2</v>
      </c>
      <c r="AA488">
        <v>10706631</v>
      </c>
      <c r="AB488">
        <v>29210</v>
      </c>
      <c r="AD488" t="s">
        <v>4</v>
      </c>
      <c r="AE488">
        <v>27</v>
      </c>
      <c r="AF488">
        <v>5</v>
      </c>
      <c r="AH488" t="s">
        <v>2367</v>
      </c>
      <c r="AI488" t="s">
        <v>2366</v>
      </c>
      <c r="AK488" t="s">
        <v>2365</v>
      </c>
      <c r="AL488">
        <v>23</v>
      </c>
      <c r="AM488" s="5">
        <f t="shared" si="58"/>
        <v>0.60526315789473684</v>
      </c>
      <c r="AN488" s="4">
        <f t="shared" si="63"/>
        <v>9.1671814902648512E-4</v>
      </c>
      <c r="AO488" s="3"/>
      <c r="AP488">
        <v>0</v>
      </c>
      <c r="AR488" t="s">
        <v>0</v>
      </c>
      <c r="AT488" s="2">
        <v>3.5209999999999999</v>
      </c>
      <c r="AU488" s="1">
        <f t="shared" si="59"/>
        <v>2.2474102495240493</v>
      </c>
      <c r="AV488" s="1">
        <f t="shared" si="60"/>
        <v>1.6314849824893636</v>
      </c>
      <c r="AW488" s="1">
        <f t="shared" si="61"/>
        <v>1.0155597154546776</v>
      </c>
    </row>
    <row r="489" spans="1:49" x14ac:dyDescent="0.2">
      <c r="A489">
        <v>487</v>
      </c>
      <c r="B489" t="s">
        <v>2364</v>
      </c>
      <c r="C489" t="s">
        <v>2363</v>
      </c>
      <c r="F489" t="s">
        <v>2362</v>
      </c>
      <c r="G489" t="s">
        <v>13</v>
      </c>
      <c r="H489" t="s">
        <v>12</v>
      </c>
      <c r="I489" t="s">
        <v>2361</v>
      </c>
      <c r="J489" t="s">
        <v>2356</v>
      </c>
      <c r="K489" t="s">
        <v>2360</v>
      </c>
      <c r="L489" t="s">
        <v>2359</v>
      </c>
      <c r="M489" t="s">
        <v>206</v>
      </c>
      <c r="N489">
        <v>2</v>
      </c>
      <c r="O489" t="s">
        <v>2358</v>
      </c>
      <c r="P489" t="s">
        <v>2357</v>
      </c>
      <c r="Q489" t="s">
        <v>2356</v>
      </c>
      <c r="R489" s="7">
        <v>30682</v>
      </c>
      <c r="S489" s="8">
        <f t="shared" si="56"/>
        <v>1984</v>
      </c>
      <c r="T489" s="8">
        <v>1984</v>
      </c>
      <c r="U489" s="8">
        <f t="shared" si="57"/>
        <v>38</v>
      </c>
      <c r="V489" s="7">
        <v>30803</v>
      </c>
      <c r="W489" t="s">
        <v>2312</v>
      </c>
      <c r="X489" s="2">
        <v>0.65500000000000003</v>
      </c>
      <c r="Y489" s="6">
        <f t="shared" si="62"/>
        <v>1.7484850911614749E-2</v>
      </c>
      <c r="AA489">
        <v>189375</v>
      </c>
      <c r="AB489">
        <v>26051</v>
      </c>
      <c r="AC489" t="s">
        <v>2311</v>
      </c>
      <c r="AD489" t="s">
        <v>4</v>
      </c>
      <c r="AE489" t="s">
        <v>2310</v>
      </c>
      <c r="AF489">
        <v>2</v>
      </c>
      <c r="AH489" t="s">
        <v>2355</v>
      </c>
      <c r="AI489" t="s">
        <v>2354</v>
      </c>
      <c r="AJ489" t="s">
        <v>2353</v>
      </c>
      <c r="AK489" t="s">
        <v>2352</v>
      </c>
      <c r="AL489">
        <v>10</v>
      </c>
      <c r="AM489" s="5">
        <f t="shared" si="58"/>
        <v>0.26315789473684209</v>
      </c>
      <c r="AN489" s="4">
        <f t="shared" si="63"/>
        <v>3.9857310827238487E-4</v>
      </c>
      <c r="AO489" s="3"/>
      <c r="AP489">
        <v>0</v>
      </c>
      <c r="AR489" t="s">
        <v>0</v>
      </c>
      <c r="AT489" s="2" t="s">
        <v>45</v>
      </c>
      <c r="AU489" s="1">
        <f t="shared" si="59"/>
        <v>1.2358967570612038</v>
      </c>
      <c r="AV489" s="1">
        <f t="shared" si="60"/>
        <v>0.89417120099435665</v>
      </c>
      <c r="AW489" s="1">
        <f t="shared" si="61"/>
        <v>0.55244564492750947</v>
      </c>
    </row>
    <row r="490" spans="1:49" x14ac:dyDescent="0.2">
      <c r="A490">
        <v>488</v>
      </c>
      <c r="B490" t="s">
        <v>2351</v>
      </c>
      <c r="C490" t="s">
        <v>2350</v>
      </c>
      <c r="F490" t="s">
        <v>2349</v>
      </c>
      <c r="G490" t="s">
        <v>13</v>
      </c>
      <c r="H490" t="s">
        <v>12</v>
      </c>
      <c r="I490" t="s">
        <v>2348</v>
      </c>
      <c r="J490">
        <v>101489645</v>
      </c>
      <c r="K490" t="s">
        <v>2347</v>
      </c>
      <c r="L490" t="s">
        <v>2346</v>
      </c>
      <c r="M490" t="s">
        <v>167</v>
      </c>
      <c r="N490">
        <v>2</v>
      </c>
      <c r="O490" t="s">
        <v>2345</v>
      </c>
      <c r="P490" t="s">
        <v>2344</v>
      </c>
      <c r="Q490" t="s">
        <v>2343</v>
      </c>
      <c r="R490" s="7">
        <v>30682</v>
      </c>
      <c r="S490" s="8">
        <f t="shared" si="56"/>
        <v>1984</v>
      </c>
      <c r="T490" s="8">
        <v>1984</v>
      </c>
      <c r="U490" s="8">
        <f t="shared" si="57"/>
        <v>38</v>
      </c>
      <c r="V490" s="7">
        <v>30956</v>
      </c>
      <c r="W490" t="s">
        <v>2342</v>
      </c>
      <c r="X490" s="2" t="s">
        <v>45</v>
      </c>
      <c r="Y490" s="6" t="e">
        <f t="shared" si="62"/>
        <v>#VALUE!</v>
      </c>
      <c r="AA490">
        <v>337722</v>
      </c>
      <c r="AB490">
        <v>35312</v>
      </c>
      <c r="AD490" t="s">
        <v>4</v>
      </c>
      <c r="AE490">
        <v>54</v>
      </c>
      <c r="AF490">
        <v>5</v>
      </c>
      <c r="AH490" t="s">
        <v>2341</v>
      </c>
      <c r="AI490" t="s">
        <v>2340</v>
      </c>
      <c r="AJ490" t="s">
        <v>2339</v>
      </c>
      <c r="AK490" t="s">
        <v>2338</v>
      </c>
      <c r="AL490">
        <v>0</v>
      </c>
      <c r="AM490" s="5">
        <f t="shared" si="58"/>
        <v>0</v>
      </c>
      <c r="AN490" s="4">
        <f t="shared" si="63"/>
        <v>0</v>
      </c>
      <c r="AO490" s="3"/>
      <c r="AP490">
        <v>0</v>
      </c>
      <c r="AR490" t="s">
        <v>0</v>
      </c>
      <c r="AT490" s="2" t="s">
        <v>45</v>
      </c>
      <c r="AU490" s="1" t="e">
        <f t="shared" si="59"/>
        <v>#VALUE!</v>
      </c>
      <c r="AV490" s="1" t="e">
        <f t="shared" si="60"/>
        <v>#VALUE!</v>
      </c>
      <c r="AW490" s="1" t="e">
        <f t="shared" si="61"/>
        <v>#VALUE!</v>
      </c>
    </row>
    <row r="491" spans="1:49" x14ac:dyDescent="0.2">
      <c r="A491">
        <v>489</v>
      </c>
      <c r="B491" t="s">
        <v>2337</v>
      </c>
      <c r="C491" t="s">
        <v>2336</v>
      </c>
      <c r="F491" t="s">
        <v>2335</v>
      </c>
      <c r="G491" t="s">
        <v>13</v>
      </c>
      <c r="H491" t="s">
        <v>12</v>
      </c>
      <c r="I491" t="s">
        <v>2334</v>
      </c>
      <c r="N491">
        <v>3</v>
      </c>
      <c r="O491" t="s">
        <v>2333</v>
      </c>
      <c r="P491" t="s">
        <v>2332</v>
      </c>
      <c r="Q491" t="s">
        <v>8</v>
      </c>
      <c r="R491" s="7">
        <v>30682</v>
      </c>
      <c r="S491" s="8">
        <f t="shared" si="56"/>
        <v>1984</v>
      </c>
      <c r="T491" s="8">
        <v>1984</v>
      </c>
      <c r="U491" s="8">
        <f t="shared" si="57"/>
        <v>38</v>
      </c>
      <c r="V491" s="7" t="s">
        <v>2322</v>
      </c>
      <c r="W491" t="s">
        <v>6</v>
      </c>
      <c r="X491" s="2">
        <v>0.371</v>
      </c>
      <c r="Y491" s="6">
        <f t="shared" si="62"/>
        <v>9.9036331117695747E-3</v>
      </c>
      <c r="AA491">
        <v>486604</v>
      </c>
      <c r="AB491">
        <v>28580</v>
      </c>
      <c r="AC491" t="s">
        <v>5</v>
      </c>
      <c r="AD491" t="s">
        <v>4</v>
      </c>
      <c r="AE491">
        <v>19</v>
      </c>
      <c r="AF491">
        <v>3</v>
      </c>
      <c r="AH491" t="s">
        <v>2331</v>
      </c>
      <c r="AI491" t="s">
        <v>2330</v>
      </c>
      <c r="AK491" t="s">
        <v>2329</v>
      </c>
      <c r="AL491">
        <v>1</v>
      </c>
      <c r="AM491" s="5">
        <f t="shared" si="58"/>
        <v>2.6315789473684209E-2</v>
      </c>
      <c r="AN491" s="4">
        <f t="shared" si="63"/>
        <v>3.9857310827238481E-5</v>
      </c>
      <c r="AO491" s="3"/>
      <c r="AP491">
        <v>0</v>
      </c>
      <c r="AR491" t="s">
        <v>0</v>
      </c>
      <c r="AT491" s="2">
        <v>1.431</v>
      </c>
      <c r="AU491" s="1">
        <f t="shared" si="59"/>
        <v>0.69445003714868736</v>
      </c>
      <c r="AV491" s="1">
        <f t="shared" si="60"/>
        <v>0.49717452112984062</v>
      </c>
      <c r="AW491" s="1">
        <f t="shared" si="61"/>
        <v>0.29989900511099399</v>
      </c>
    </row>
    <row r="492" spans="1:49" x14ac:dyDescent="0.2">
      <c r="A492">
        <v>490</v>
      </c>
      <c r="B492" t="s">
        <v>2328</v>
      </c>
      <c r="C492" t="s">
        <v>2327</v>
      </c>
      <c r="F492" t="s">
        <v>2326</v>
      </c>
      <c r="G492" t="s">
        <v>13</v>
      </c>
      <c r="H492" t="s">
        <v>12</v>
      </c>
      <c r="I492" t="s">
        <v>2325</v>
      </c>
      <c r="N492">
        <v>2</v>
      </c>
      <c r="O492" t="s">
        <v>2324</v>
      </c>
      <c r="P492" t="s">
        <v>2323</v>
      </c>
      <c r="Q492" t="s">
        <v>266</v>
      </c>
      <c r="R492" s="7">
        <v>30682</v>
      </c>
      <c r="S492" s="8">
        <f t="shared" si="56"/>
        <v>1984</v>
      </c>
      <c r="T492" s="8">
        <v>1984</v>
      </c>
      <c r="U492" s="8">
        <f t="shared" si="57"/>
        <v>38</v>
      </c>
      <c r="V492" s="7" t="s">
        <v>2322</v>
      </c>
      <c r="W492" t="s">
        <v>6</v>
      </c>
      <c r="X492" s="2">
        <v>0.371</v>
      </c>
      <c r="Y492" s="6">
        <f t="shared" si="62"/>
        <v>9.9036331117695747E-3</v>
      </c>
      <c r="AA492">
        <v>486604</v>
      </c>
      <c r="AB492">
        <v>28580</v>
      </c>
      <c r="AC492" t="s">
        <v>5</v>
      </c>
      <c r="AD492" t="s">
        <v>4</v>
      </c>
      <c r="AE492">
        <v>19</v>
      </c>
      <c r="AF492">
        <v>3</v>
      </c>
      <c r="AH492" t="s">
        <v>2321</v>
      </c>
      <c r="AI492" t="s">
        <v>2320</v>
      </c>
      <c r="AK492" t="s">
        <v>2319</v>
      </c>
      <c r="AL492">
        <v>3</v>
      </c>
      <c r="AM492" s="5">
        <f t="shared" si="58"/>
        <v>7.8947368421052627E-2</v>
      </c>
      <c r="AN492" s="4">
        <f t="shared" si="63"/>
        <v>1.1957193248171546E-4</v>
      </c>
      <c r="AO492" s="3"/>
      <c r="AP492">
        <v>0</v>
      </c>
      <c r="AR492" t="s">
        <v>0</v>
      </c>
      <c r="AT492" s="2">
        <v>1.431</v>
      </c>
      <c r="AU492" s="1">
        <f t="shared" si="59"/>
        <v>0.69684147579832156</v>
      </c>
      <c r="AV492" s="1">
        <f t="shared" si="60"/>
        <v>0.50116025221256455</v>
      </c>
      <c r="AW492" s="1">
        <f t="shared" si="61"/>
        <v>0.30547902862680731</v>
      </c>
    </row>
    <row r="493" spans="1:49" x14ac:dyDescent="0.2">
      <c r="A493">
        <v>491</v>
      </c>
      <c r="B493" t="s">
        <v>2318</v>
      </c>
      <c r="C493" t="s">
        <v>2317</v>
      </c>
      <c r="F493" t="s">
        <v>2316</v>
      </c>
      <c r="G493" t="s">
        <v>13</v>
      </c>
      <c r="H493" t="s">
        <v>12</v>
      </c>
      <c r="I493" t="s">
        <v>2315</v>
      </c>
      <c r="J493">
        <v>60020444</v>
      </c>
      <c r="K493" t="s">
        <v>2314</v>
      </c>
      <c r="L493" t="s">
        <v>1373</v>
      </c>
      <c r="M493" t="s">
        <v>56</v>
      </c>
      <c r="N493">
        <v>1</v>
      </c>
      <c r="O493" t="s">
        <v>2313</v>
      </c>
      <c r="P493">
        <v>7005064847</v>
      </c>
      <c r="Q493">
        <v>60020444</v>
      </c>
      <c r="R493" s="7">
        <v>30682</v>
      </c>
      <c r="S493" s="8">
        <f t="shared" si="56"/>
        <v>1984</v>
      </c>
      <c r="T493" s="8">
        <v>1984</v>
      </c>
      <c r="U493" s="8">
        <f t="shared" si="57"/>
        <v>38</v>
      </c>
      <c r="V493" s="7">
        <v>30803</v>
      </c>
      <c r="W493" t="s">
        <v>2312</v>
      </c>
      <c r="X493" s="2">
        <v>0.65500000000000003</v>
      </c>
      <c r="Y493" s="6">
        <f t="shared" si="62"/>
        <v>1.7484850911614749E-2</v>
      </c>
      <c r="AA493">
        <v>189375</v>
      </c>
      <c r="AB493">
        <v>26051</v>
      </c>
      <c r="AC493" t="s">
        <v>2311</v>
      </c>
      <c r="AD493" t="s">
        <v>4</v>
      </c>
      <c r="AE493" t="s">
        <v>2310</v>
      </c>
      <c r="AF493">
        <v>2</v>
      </c>
      <c r="AH493" t="s">
        <v>2309</v>
      </c>
      <c r="AI493" t="s">
        <v>2308</v>
      </c>
      <c r="AJ493" t="s">
        <v>2307</v>
      </c>
      <c r="AK493" t="s">
        <v>2306</v>
      </c>
      <c r="AL493">
        <v>1</v>
      </c>
      <c r="AM493" s="5">
        <f t="shared" si="58"/>
        <v>2.6315789473684209E-2</v>
      </c>
      <c r="AN493" s="4">
        <f t="shared" si="63"/>
        <v>3.9857310827238481E-5</v>
      </c>
      <c r="AO493" s="3"/>
      <c r="AP493">
        <v>0</v>
      </c>
      <c r="AR493" t="s">
        <v>0</v>
      </c>
      <c r="AT493" s="2" t="s">
        <v>45</v>
      </c>
      <c r="AU493" s="1">
        <f t="shared" si="59"/>
        <v>1.2251352831378495</v>
      </c>
      <c r="AV493" s="1">
        <f t="shared" si="60"/>
        <v>0.87623541112209946</v>
      </c>
      <c r="AW493" s="1">
        <f t="shared" si="61"/>
        <v>0.52733553910634923</v>
      </c>
    </row>
    <row r="494" spans="1:49" x14ac:dyDescent="0.2">
      <c r="A494">
        <v>492</v>
      </c>
      <c r="B494" t="s">
        <v>2305</v>
      </c>
      <c r="C494" t="s">
        <v>2304</v>
      </c>
      <c r="F494" t="s">
        <v>2303</v>
      </c>
      <c r="G494" t="s">
        <v>13</v>
      </c>
      <c r="H494" t="s">
        <v>12</v>
      </c>
      <c r="I494" t="s">
        <v>2302</v>
      </c>
      <c r="J494">
        <v>116316468</v>
      </c>
      <c r="K494" t="s">
        <v>2301</v>
      </c>
      <c r="M494" t="s">
        <v>1022</v>
      </c>
      <c r="N494">
        <v>3</v>
      </c>
      <c r="O494" t="s">
        <v>2300</v>
      </c>
      <c r="P494" t="s">
        <v>2299</v>
      </c>
      <c r="Q494" t="s">
        <v>2298</v>
      </c>
      <c r="R494" s="7">
        <v>30682</v>
      </c>
      <c r="S494" s="8">
        <f t="shared" si="56"/>
        <v>1984</v>
      </c>
      <c r="T494" s="8">
        <v>1984</v>
      </c>
      <c r="U494" s="8">
        <f t="shared" si="57"/>
        <v>38</v>
      </c>
      <c r="V494" s="7">
        <v>30803</v>
      </c>
      <c r="W494" t="s">
        <v>691</v>
      </c>
      <c r="X494" s="2">
        <v>1.774</v>
      </c>
      <c r="Y494" s="6">
        <f t="shared" si="62"/>
        <v>4.7355916820159633E-2</v>
      </c>
      <c r="AA494">
        <v>295515</v>
      </c>
      <c r="AB494">
        <v>29066</v>
      </c>
      <c r="AC494">
        <v>17414326</v>
      </c>
      <c r="AD494" t="s">
        <v>4</v>
      </c>
      <c r="AE494">
        <v>24</v>
      </c>
      <c r="AF494">
        <v>5</v>
      </c>
      <c r="AH494" t="s">
        <v>2297</v>
      </c>
      <c r="AI494" t="s">
        <v>2296</v>
      </c>
      <c r="AK494" t="s">
        <v>2295</v>
      </c>
      <c r="AL494">
        <v>4</v>
      </c>
      <c r="AM494" s="5">
        <f t="shared" si="58"/>
        <v>0.10526315789473684</v>
      </c>
      <c r="AN494" s="4">
        <f t="shared" si="63"/>
        <v>1.5942924330895392E-4</v>
      </c>
      <c r="AO494" s="3"/>
      <c r="AP494">
        <v>0</v>
      </c>
      <c r="AR494" t="s">
        <v>0</v>
      </c>
      <c r="AT494" s="2">
        <v>3.1789999999999998</v>
      </c>
      <c r="AU494" s="1">
        <f t="shared" si="59"/>
        <v>3.3196970547104425</v>
      </c>
      <c r="AV494" s="1">
        <f t="shared" si="60"/>
        <v>2.3757673031734292</v>
      </c>
      <c r="AW494" s="1">
        <f t="shared" si="61"/>
        <v>1.4318375516364157</v>
      </c>
    </row>
    <row r="495" spans="1:49" x14ac:dyDescent="0.2">
      <c r="A495">
        <v>493</v>
      </c>
      <c r="B495" t="s">
        <v>2294</v>
      </c>
      <c r="C495" t="s">
        <v>2293</v>
      </c>
      <c r="F495" t="s">
        <v>2292</v>
      </c>
      <c r="G495" t="s">
        <v>13</v>
      </c>
      <c r="H495" t="s">
        <v>12</v>
      </c>
      <c r="I495" t="s">
        <v>2291</v>
      </c>
      <c r="J495">
        <v>60072501</v>
      </c>
      <c r="K495" t="s">
        <v>2290</v>
      </c>
      <c r="L495" t="s">
        <v>2289</v>
      </c>
      <c r="M495" t="s">
        <v>142</v>
      </c>
      <c r="N495">
        <v>2</v>
      </c>
      <c r="O495" t="s">
        <v>2288</v>
      </c>
      <c r="P495" t="s">
        <v>2287</v>
      </c>
      <c r="Q495" t="s">
        <v>2286</v>
      </c>
      <c r="R495" s="7">
        <v>30682</v>
      </c>
      <c r="S495" s="8">
        <f t="shared" si="56"/>
        <v>1984</v>
      </c>
      <c r="T495" s="8">
        <v>1984</v>
      </c>
      <c r="U495" s="8">
        <f t="shared" si="57"/>
        <v>38</v>
      </c>
      <c r="V495" s="7">
        <v>1984</v>
      </c>
      <c r="W495" t="s">
        <v>2285</v>
      </c>
      <c r="X495" s="2">
        <v>0.2</v>
      </c>
      <c r="Y495" s="6">
        <f t="shared" si="62"/>
        <v>5.3388857745388539E-3</v>
      </c>
      <c r="AA495">
        <v>161136</v>
      </c>
      <c r="AB495">
        <v>16718</v>
      </c>
      <c r="AC495">
        <v>21916349</v>
      </c>
      <c r="AD495" t="s">
        <v>4</v>
      </c>
      <c r="AE495">
        <v>38</v>
      </c>
      <c r="AF495">
        <v>5</v>
      </c>
      <c r="AH495" t="s">
        <v>2151</v>
      </c>
      <c r="AI495" t="s">
        <v>2284</v>
      </c>
      <c r="AK495" t="s">
        <v>2283</v>
      </c>
      <c r="AL495">
        <v>1</v>
      </c>
      <c r="AM495" s="5">
        <f t="shared" si="58"/>
        <v>2.6315789473684209E-2</v>
      </c>
      <c r="AN495" s="4">
        <f t="shared" si="63"/>
        <v>3.9857310827238481E-5</v>
      </c>
      <c r="AO495" s="3"/>
      <c r="AP495">
        <v>0</v>
      </c>
      <c r="AR495" t="s">
        <v>0</v>
      </c>
      <c r="AT495" s="2">
        <v>0.72599999999999998</v>
      </c>
      <c r="AU495" s="1">
        <f t="shared" si="59"/>
        <v>0.37491772354253688</v>
      </c>
      <c r="AV495" s="1">
        <f t="shared" si="60"/>
        <v>0.26893715426830461</v>
      </c>
      <c r="AW495" s="1">
        <f t="shared" si="61"/>
        <v>0.16295658499407228</v>
      </c>
    </row>
    <row r="496" spans="1:49" x14ac:dyDescent="0.2">
      <c r="A496">
        <v>494</v>
      </c>
      <c r="B496" t="s">
        <v>2282</v>
      </c>
      <c r="C496" t="s">
        <v>2281</v>
      </c>
      <c r="F496" t="s">
        <v>2280</v>
      </c>
      <c r="G496" t="s">
        <v>13</v>
      </c>
      <c r="H496" t="s">
        <v>12</v>
      </c>
      <c r="I496" t="s">
        <v>2279</v>
      </c>
      <c r="J496">
        <v>60004750</v>
      </c>
      <c r="K496" t="s">
        <v>1137</v>
      </c>
      <c r="L496" t="s">
        <v>1136</v>
      </c>
      <c r="M496" t="s">
        <v>125</v>
      </c>
      <c r="N496">
        <v>4</v>
      </c>
      <c r="O496" t="s">
        <v>2278</v>
      </c>
      <c r="P496" t="s">
        <v>2277</v>
      </c>
      <c r="Q496" t="s">
        <v>2276</v>
      </c>
      <c r="R496" s="7">
        <v>30682</v>
      </c>
      <c r="S496" s="8">
        <f t="shared" ref="S496:S559" si="64">YEAR(R496)</f>
        <v>1984</v>
      </c>
      <c r="T496" s="8">
        <v>1984</v>
      </c>
      <c r="U496" s="8">
        <f t="shared" ref="U496:U559" si="65">2022-T496</f>
        <v>38</v>
      </c>
      <c r="V496" s="7" t="s">
        <v>2252</v>
      </c>
      <c r="W496" t="s">
        <v>2275</v>
      </c>
      <c r="X496" s="2">
        <v>0.34899999999999998</v>
      </c>
      <c r="Y496" s="6">
        <f t="shared" si="62"/>
        <v>9.3163556765702999E-3</v>
      </c>
      <c r="AA496">
        <v>2564602</v>
      </c>
      <c r="AB496">
        <v>18958</v>
      </c>
      <c r="AD496" t="s">
        <v>4</v>
      </c>
      <c r="AE496">
        <v>1</v>
      </c>
      <c r="AF496">
        <v>5</v>
      </c>
      <c r="AH496" t="s">
        <v>2274</v>
      </c>
      <c r="AI496" t="s">
        <v>2273</v>
      </c>
      <c r="AK496" t="s">
        <v>2272</v>
      </c>
      <c r="AL496">
        <v>0</v>
      </c>
      <c r="AM496" s="5">
        <f t="shared" ref="AM496:AM559" si="66">AL496/U496</f>
        <v>0</v>
      </c>
      <c r="AN496" s="4">
        <f t="shared" si="63"/>
        <v>0</v>
      </c>
      <c r="AO496" s="3"/>
      <c r="AP496">
        <v>0</v>
      </c>
      <c r="AR496" t="s">
        <v>0</v>
      </c>
      <c r="AT496" s="2" t="s">
        <v>45</v>
      </c>
      <c r="AU496" s="1">
        <f t="shared" ref="AU496:AU559" si="67">(Y496*0.7+AN496*0.3)*100</f>
        <v>0.65214489735992098</v>
      </c>
      <c r="AV496" s="1">
        <f t="shared" ref="AV496:AV559" si="68">(Y496*0.5+AN496*0.5)*100</f>
        <v>0.46581778382851502</v>
      </c>
      <c r="AW496" s="1">
        <f t="shared" ref="AW496:AW559" si="69">(Y496*0.3+AN496*0.7)*100</f>
        <v>0.279490670297109</v>
      </c>
    </row>
    <row r="497" spans="1:49" x14ac:dyDescent="0.2">
      <c r="A497">
        <v>495</v>
      </c>
      <c r="B497" t="s">
        <v>2271</v>
      </c>
      <c r="C497" t="s">
        <v>2270</v>
      </c>
      <c r="F497" t="s">
        <v>2269</v>
      </c>
      <c r="G497" t="s">
        <v>13</v>
      </c>
      <c r="H497" t="s">
        <v>12</v>
      </c>
      <c r="I497" t="s">
        <v>2268</v>
      </c>
      <c r="J497">
        <v>60017837</v>
      </c>
      <c r="K497" t="s">
        <v>2257</v>
      </c>
      <c r="L497" t="s">
        <v>2256</v>
      </c>
      <c r="M497" t="s">
        <v>85</v>
      </c>
      <c r="N497">
        <v>2</v>
      </c>
      <c r="O497" t="s">
        <v>2267</v>
      </c>
      <c r="P497" t="s">
        <v>2266</v>
      </c>
      <c r="Q497" t="s">
        <v>2265</v>
      </c>
      <c r="R497" s="7">
        <v>30682</v>
      </c>
      <c r="S497" s="8">
        <f t="shared" si="64"/>
        <v>1984</v>
      </c>
      <c r="T497" s="8">
        <v>1984</v>
      </c>
      <c r="U497" s="8">
        <f t="shared" si="65"/>
        <v>38</v>
      </c>
      <c r="V497" s="7" t="s">
        <v>2252</v>
      </c>
      <c r="W497" t="s">
        <v>2251</v>
      </c>
      <c r="X497" s="2" t="s">
        <v>45</v>
      </c>
      <c r="Y497" s="6" t="e">
        <f t="shared" si="62"/>
        <v>#VALUE!</v>
      </c>
      <c r="AA497" t="s">
        <v>2250</v>
      </c>
      <c r="AB497">
        <v>31890</v>
      </c>
      <c r="AD497" t="s">
        <v>4</v>
      </c>
      <c r="AE497">
        <v>131</v>
      </c>
      <c r="AF497">
        <v>3</v>
      </c>
      <c r="AH497" t="s">
        <v>2264</v>
      </c>
      <c r="AI497" t="s">
        <v>2263</v>
      </c>
      <c r="AK497" t="s">
        <v>2262</v>
      </c>
      <c r="AL497">
        <v>10</v>
      </c>
      <c r="AM497" s="5">
        <f t="shared" si="66"/>
        <v>0.26315789473684209</v>
      </c>
      <c r="AN497" s="4">
        <f t="shared" si="63"/>
        <v>3.9857310827238487E-4</v>
      </c>
      <c r="AO497" s="3"/>
      <c r="AP497">
        <v>0</v>
      </c>
      <c r="AR497" t="s">
        <v>0</v>
      </c>
      <c r="AT497" s="2" t="s">
        <v>45</v>
      </c>
      <c r="AU497" s="1" t="e">
        <f t="shared" si="67"/>
        <v>#VALUE!</v>
      </c>
      <c r="AV497" s="1" t="e">
        <f t="shared" si="68"/>
        <v>#VALUE!</v>
      </c>
      <c r="AW497" s="1" t="e">
        <f t="shared" si="69"/>
        <v>#VALUE!</v>
      </c>
    </row>
    <row r="498" spans="1:49" x14ac:dyDescent="0.2">
      <c r="A498">
        <v>496</v>
      </c>
      <c r="B498" t="s">
        <v>2261</v>
      </c>
      <c r="C498" t="s">
        <v>2260</v>
      </c>
      <c r="F498" t="s">
        <v>2259</v>
      </c>
      <c r="G498" t="s">
        <v>13</v>
      </c>
      <c r="H498" t="s">
        <v>12</v>
      </c>
      <c r="I498" t="s">
        <v>2258</v>
      </c>
      <c r="J498">
        <v>60017837</v>
      </c>
      <c r="K498" t="s">
        <v>2257</v>
      </c>
      <c r="L498" t="s">
        <v>2256</v>
      </c>
      <c r="M498" t="s">
        <v>85</v>
      </c>
      <c r="N498">
        <v>3</v>
      </c>
      <c r="O498" t="s">
        <v>2255</v>
      </c>
      <c r="P498" t="s">
        <v>2254</v>
      </c>
      <c r="Q498" t="s">
        <v>2253</v>
      </c>
      <c r="R498" s="7">
        <v>30682</v>
      </c>
      <c r="S498" s="8">
        <f t="shared" si="64"/>
        <v>1984</v>
      </c>
      <c r="T498" s="8">
        <v>1984</v>
      </c>
      <c r="U498" s="8">
        <f t="shared" si="65"/>
        <v>38</v>
      </c>
      <c r="V498" s="7" t="s">
        <v>2252</v>
      </c>
      <c r="W498" t="s">
        <v>2251</v>
      </c>
      <c r="X498" s="2" t="s">
        <v>45</v>
      </c>
      <c r="Y498" s="6" t="e">
        <f t="shared" si="62"/>
        <v>#VALUE!</v>
      </c>
      <c r="AA498" t="s">
        <v>2250</v>
      </c>
      <c r="AB498">
        <v>31890</v>
      </c>
      <c r="AD498" t="s">
        <v>4</v>
      </c>
      <c r="AE498">
        <v>131</v>
      </c>
      <c r="AF498">
        <v>3</v>
      </c>
      <c r="AH498" t="s">
        <v>2249</v>
      </c>
      <c r="AI498" t="s">
        <v>2248</v>
      </c>
      <c r="AK498" t="s">
        <v>2247</v>
      </c>
      <c r="AL498">
        <v>10</v>
      </c>
      <c r="AM498" s="5">
        <f t="shared" si="66"/>
        <v>0.26315789473684209</v>
      </c>
      <c r="AN498" s="4">
        <f t="shared" si="63"/>
        <v>3.9857310827238487E-4</v>
      </c>
      <c r="AO498" s="3"/>
      <c r="AP498">
        <v>0</v>
      </c>
      <c r="AR498" t="s">
        <v>0</v>
      </c>
      <c r="AT498" s="2" t="s">
        <v>45</v>
      </c>
      <c r="AU498" s="1" t="e">
        <f t="shared" si="67"/>
        <v>#VALUE!</v>
      </c>
      <c r="AV498" s="1" t="e">
        <f t="shared" si="68"/>
        <v>#VALUE!</v>
      </c>
      <c r="AW498" s="1" t="e">
        <f t="shared" si="69"/>
        <v>#VALUE!</v>
      </c>
    </row>
    <row r="499" spans="1:49" x14ac:dyDescent="0.2">
      <c r="A499">
        <v>497</v>
      </c>
      <c r="B499" t="s">
        <v>2246</v>
      </c>
      <c r="F499" t="s">
        <v>2245</v>
      </c>
      <c r="G499" t="s">
        <v>13</v>
      </c>
      <c r="H499" t="s">
        <v>12</v>
      </c>
      <c r="I499" t="s">
        <v>2244</v>
      </c>
      <c r="N499">
        <v>6</v>
      </c>
      <c r="O499" t="s">
        <v>2243</v>
      </c>
      <c r="P499" t="s">
        <v>2242</v>
      </c>
      <c r="Q499" t="s">
        <v>1402</v>
      </c>
      <c r="R499" s="7">
        <v>30682</v>
      </c>
      <c r="S499" s="8">
        <f t="shared" si="64"/>
        <v>1984</v>
      </c>
      <c r="T499" s="8">
        <v>1984</v>
      </c>
      <c r="U499" s="8">
        <f t="shared" si="65"/>
        <v>38</v>
      </c>
      <c r="V499" s="7" t="s">
        <v>1817</v>
      </c>
      <c r="W499" t="s">
        <v>1055</v>
      </c>
      <c r="X499" s="2" t="s">
        <v>45</v>
      </c>
      <c r="Y499" s="6" t="e">
        <f t="shared" si="62"/>
        <v>#VALUE!</v>
      </c>
      <c r="AA499">
        <v>337889</v>
      </c>
      <c r="AB499">
        <v>40920</v>
      </c>
      <c r="AD499" t="s">
        <v>4</v>
      </c>
      <c r="AE499">
        <v>29</v>
      </c>
      <c r="AF499">
        <v>4</v>
      </c>
      <c r="AH499" t="s">
        <v>2241</v>
      </c>
      <c r="AI499" t="s">
        <v>2240</v>
      </c>
      <c r="AK499" t="s">
        <v>2239</v>
      </c>
      <c r="AL499">
        <v>1</v>
      </c>
      <c r="AM499" s="5">
        <f t="shared" si="66"/>
        <v>2.6315789473684209E-2</v>
      </c>
      <c r="AN499" s="4">
        <f t="shared" si="63"/>
        <v>3.9857310827238481E-5</v>
      </c>
      <c r="AO499" s="3"/>
      <c r="AP499">
        <v>0</v>
      </c>
      <c r="AR499" t="s">
        <v>0</v>
      </c>
      <c r="AT499" s="2" t="s">
        <v>45</v>
      </c>
      <c r="AU499" s="1" t="e">
        <f t="shared" si="67"/>
        <v>#VALUE!</v>
      </c>
      <c r="AV499" s="1" t="e">
        <f t="shared" si="68"/>
        <v>#VALUE!</v>
      </c>
      <c r="AW499" s="1" t="e">
        <f t="shared" si="69"/>
        <v>#VALUE!</v>
      </c>
    </row>
    <row r="500" spans="1:49" x14ac:dyDescent="0.2">
      <c r="A500">
        <v>498</v>
      </c>
      <c r="B500" t="s">
        <v>2238</v>
      </c>
      <c r="F500" t="s">
        <v>2237</v>
      </c>
      <c r="G500" t="s">
        <v>13</v>
      </c>
      <c r="H500" t="s">
        <v>12</v>
      </c>
      <c r="I500" t="s">
        <v>2236</v>
      </c>
      <c r="N500">
        <v>3</v>
      </c>
      <c r="O500" t="s">
        <v>2235</v>
      </c>
      <c r="P500" t="s">
        <v>2234</v>
      </c>
      <c r="Q500" t="s">
        <v>8</v>
      </c>
      <c r="R500" s="7">
        <v>30682</v>
      </c>
      <c r="S500" s="8">
        <f t="shared" si="64"/>
        <v>1984</v>
      </c>
      <c r="T500" s="8">
        <v>1984</v>
      </c>
      <c r="U500" s="8">
        <f t="shared" si="65"/>
        <v>38</v>
      </c>
      <c r="V500" s="7" t="s">
        <v>1817</v>
      </c>
      <c r="W500" t="s">
        <v>1055</v>
      </c>
      <c r="X500" s="2" t="s">
        <v>45</v>
      </c>
      <c r="Y500" s="6" t="e">
        <f t="shared" si="62"/>
        <v>#VALUE!</v>
      </c>
      <c r="AA500">
        <v>337889</v>
      </c>
      <c r="AB500">
        <v>40920</v>
      </c>
      <c r="AD500" t="s">
        <v>4</v>
      </c>
      <c r="AE500">
        <v>29</v>
      </c>
      <c r="AF500">
        <v>4</v>
      </c>
      <c r="AH500" t="s">
        <v>2233</v>
      </c>
      <c r="AI500" t="s">
        <v>2232</v>
      </c>
      <c r="AK500" t="s">
        <v>2231</v>
      </c>
      <c r="AL500">
        <v>0</v>
      </c>
      <c r="AM500" s="5">
        <f t="shared" si="66"/>
        <v>0</v>
      </c>
      <c r="AN500" s="4">
        <f t="shared" si="63"/>
        <v>0</v>
      </c>
      <c r="AO500" s="3"/>
      <c r="AP500">
        <v>0</v>
      </c>
      <c r="AR500" t="s">
        <v>0</v>
      </c>
      <c r="AT500" s="2" t="s">
        <v>45</v>
      </c>
      <c r="AU500" s="1" t="e">
        <f t="shared" si="67"/>
        <v>#VALUE!</v>
      </c>
      <c r="AV500" s="1" t="e">
        <f t="shared" si="68"/>
        <v>#VALUE!</v>
      </c>
      <c r="AW500" s="1" t="e">
        <f t="shared" si="69"/>
        <v>#VALUE!</v>
      </c>
    </row>
    <row r="501" spans="1:49" x14ac:dyDescent="0.2">
      <c r="A501">
        <v>499</v>
      </c>
      <c r="B501" t="s">
        <v>2230</v>
      </c>
      <c r="F501" t="s">
        <v>2229</v>
      </c>
      <c r="G501" t="s">
        <v>13</v>
      </c>
      <c r="H501" t="s">
        <v>12</v>
      </c>
      <c r="I501" t="s">
        <v>2228</v>
      </c>
      <c r="N501">
        <v>1</v>
      </c>
      <c r="O501" t="s">
        <v>2227</v>
      </c>
      <c r="P501">
        <v>7404061152</v>
      </c>
      <c r="R501" s="7">
        <v>30682</v>
      </c>
      <c r="S501" s="8">
        <f t="shared" si="64"/>
        <v>1984</v>
      </c>
      <c r="T501" s="8">
        <v>1984</v>
      </c>
      <c r="U501" s="8">
        <f t="shared" si="65"/>
        <v>38</v>
      </c>
      <c r="V501" s="7" t="s">
        <v>1817</v>
      </c>
      <c r="W501" t="s">
        <v>1032</v>
      </c>
      <c r="X501" s="2" t="s">
        <v>45</v>
      </c>
      <c r="Y501" s="6" t="e">
        <f t="shared" si="62"/>
        <v>#VALUE!</v>
      </c>
      <c r="AA501">
        <v>262897</v>
      </c>
      <c r="AB501">
        <v>18580</v>
      </c>
      <c r="AD501" t="s">
        <v>4</v>
      </c>
      <c r="AE501">
        <v>27</v>
      </c>
      <c r="AF501">
        <v>4</v>
      </c>
      <c r="AI501" t="s">
        <v>2226</v>
      </c>
      <c r="AK501" t="s">
        <v>2225</v>
      </c>
      <c r="AL501">
        <v>6</v>
      </c>
      <c r="AM501" s="5">
        <f t="shared" si="66"/>
        <v>0.15789473684210525</v>
      </c>
      <c r="AN501" s="4">
        <f t="shared" si="63"/>
        <v>2.3914386496343091E-4</v>
      </c>
      <c r="AO501" s="3"/>
      <c r="AP501">
        <v>0</v>
      </c>
      <c r="AR501" t="s">
        <v>0</v>
      </c>
      <c r="AT501" s="2">
        <v>0.30599999999999999</v>
      </c>
      <c r="AU501" s="1" t="e">
        <f t="shared" si="67"/>
        <v>#VALUE!</v>
      </c>
      <c r="AV501" s="1" t="e">
        <f t="shared" si="68"/>
        <v>#VALUE!</v>
      </c>
      <c r="AW501" s="1" t="e">
        <f t="shared" si="69"/>
        <v>#VALUE!</v>
      </c>
    </row>
    <row r="502" spans="1:49" x14ac:dyDescent="0.2">
      <c r="A502">
        <v>500</v>
      </c>
      <c r="B502" t="s">
        <v>2224</v>
      </c>
      <c r="F502" t="s">
        <v>2223</v>
      </c>
      <c r="G502" t="s">
        <v>13</v>
      </c>
      <c r="H502" t="s">
        <v>12</v>
      </c>
      <c r="I502" t="s">
        <v>2222</v>
      </c>
      <c r="N502">
        <v>4</v>
      </c>
      <c r="O502" t="s">
        <v>2221</v>
      </c>
      <c r="P502" t="s">
        <v>2220</v>
      </c>
      <c r="Q502" t="s">
        <v>525</v>
      </c>
      <c r="R502" s="7">
        <v>30682</v>
      </c>
      <c r="S502" s="8">
        <f t="shared" si="64"/>
        <v>1984</v>
      </c>
      <c r="T502" s="8">
        <v>1984</v>
      </c>
      <c r="U502" s="8">
        <f t="shared" si="65"/>
        <v>38</v>
      </c>
      <c r="V502" s="7" t="s">
        <v>2192</v>
      </c>
      <c r="W502" t="s">
        <v>2219</v>
      </c>
      <c r="X502" s="2">
        <v>0.22</v>
      </c>
      <c r="Y502" s="6">
        <f t="shared" si="62"/>
        <v>5.8727743519927395E-3</v>
      </c>
      <c r="AA502">
        <v>2705214</v>
      </c>
      <c r="AB502">
        <v>28119</v>
      </c>
      <c r="AD502" t="s">
        <v>4</v>
      </c>
      <c r="AE502">
        <v>5</v>
      </c>
      <c r="AF502">
        <v>2</v>
      </c>
      <c r="AH502" t="s">
        <v>1031</v>
      </c>
      <c r="AI502" t="s">
        <v>2218</v>
      </c>
      <c r="AK502" t="s">
        <v>2217</v>
      </c>
      <c r="AL502">
        <v>1</v>
      </c>
      <c r="AM502" s="5">
        <f t="shared" si="66"/>
        <v>2.6315789473684209E-2</v>
      </c>
      <c r="AN502" s="4">
        <f t="shared" si="63"/>
        <v>3.9857310827238481E-5</v>
      </c>
      <c r="AO502" s="3"/>
      <c r="AP502">
        <v>0</v>
      </c>
      <c r="AR502" t="s">
        <v>0</v>
      </c>
      <c r="AT502" s="2" t="s">
        <v>45</v>
      </c>
      <c r="AU502" s="1">
        <f t="shared" si="67"/>
        <v>0.41228992396430897</v>
      </c>
      <c r="AV502" s="1">
        <f t="shared" si="68"/>
        <v>0.29563158314099891</v>
      </c>
      <c r="AW502" s="1">
        <f t="shared" si="69"/>
        <v>0.17897324231768888</v>
      </c>
    </row>
    <row r="503" spans="1:49" x14ac:dyDescent="0.2">
      <c r="A503">
        <v>501</v>
      </c>
      <c r="B503" t="s">
        <v>2216</v>
      </c>
      <c r="C503" t="s">
        <v>2215</v>
      </c>
      <c r="F503" t="s">
        <v>2214</v>
      </c>
      <c r="G503" t="s">
        <v>13</v>
      </c>
      <c r="H503" t="s">
        <v>12</v>
      </c>
      <c r="I503" t="s">
        <v>2213</v>
      </c>
      <c r="N503">
        <v>7</v>
      </c>
      <c r="O503" t="s">
        <v>2212</v>
      </c>
      <c r="P503" t="s">
        <v>2211</v>
      </c>
      <c r="Q503" t="s">
        <v>2210</v>
      </c>
      <c r="R503" s="7">
        <v>30682</v>
      </c>
      <c r="S503" s="8">
        <f t="shared" si="64"/>
        <v>1984</v>
      </c>
      <c r="T503" s="8">
        <v>1984</v>
      </c>
      <c r="U503" s="8">
        <f t="shared" si="65"/>
        <v>38</v>
      </c>
      <c r="V503" s="7">
        <v>30773</v>
      </c>
      <c r="W503" t="s">
        <v>2209</v>
      </c>
      <c r="X503" s="2">
        <v>2.0070000000000001</v>
      </c>
      <c r="Y503" s="6">
        <f t="shared" si="62"/>
        <v>5.3575718747497406E-2</v>
      </c>
      <c r="AA503">
        <v>948276</v>
      </c>
      <c r="AB503">
        <v>27962</v>
      </c>
      <c r="AC503">
        <v>19448007</v>
      </c>
      <c r="AD503" t="s">
        <v>4</v>
      </c>
      <c r="AE503">
        <v>11</v>
      </c>
      <c r="AF503">
        <v>4</v>
      </c>
      <c r="AH503" t="s">
        <v>2208</v>
      </c>
      <c r="AI503" t="s">
        <v>2207</v>
      </c>
      <c r="AK503" t="s">
        <v>2206</v>
      </c>
      <c r="AL503">
        <v>37</v>
      </c>
      <c r="AM503" s="5">
        <f t="shared" si="66"/>
        <v>0.97368421052631582</v>
      </c>
      <c r="AN503" s="4">
        <f t="shared" si="63"/>
        <v>1.474720500607824E-3</v>
      </c>
      <c r="AO503" s="3"/>
      <c r="AP503">
        <v>0</v>
      </c>
      <c r="AR503" t="s">
        <v>0</v>
      </c>
      <c r="AT503" s="2">
        <v>4.72</v>
      </c>
      <c r="AU503" s="1">
        <f t="shared" si="67"/>
        <v>3.7945419273430527</v>
      </c>
      <c r="AV503" s="1">
        <f t="shared" si="68"/>
        <v>2.7525219624052615</v>
      </c>
      <c r="AW503" s="1">
        <f t="shared" si="69"/>
        <v>1.7105019974674698</v>
      </c>
    </row>
    <row r="504" spans="1:49" x14ac:dyDescent="0.2">
      <c r="A504">
        <v>502</v>
      </c>
      <c r="B504" t="s">
        <v>2205</v>
      </c>
      <c r="F504" t="s">
        <v>2204</v>
      </c>
      <c r="G504" t="s">
        <v>13</v>
      </c>
      <c r="H504" t="s">
        <v>12</v>
      </c>
      <c r="I504" t="s">
        <v>2203</v>
      </c>
      <c r="N504">
        <v>3</v>
      </c>
      <c r="O504" t="s">
        <v>2202</v>
      </c>
      <c r="P504" t="s">
        <v>2201</v>
      </c>
      <c r="Q504" t="s">
        <v>8</v>
      </c>
      <c r="R504" s="7">
        <v>30682</v>
      </c>
      <c r="S504" s="8">
        <f t="shared" si="64"/>
        <v>1984</v>
      </c>
      <c r="T504" s="8">
        <v>1984</v>
      </c>
      <c r="U504" s="8">
        <f t="shared" si="65"/>
        <v>38</v>
      </c>
      <c r="V504" s="7" t="s">
        <v>1817</v>
      </c>
      <c r="W504" t="s">
        <v>1055</v>
      </c>
      <c r="X504" s="2" t="s">
        <v>45</v>
      </c>
      <c r="Y504" s="6" t="e">
        <f t="shared" si="62"/>
        <v>#VALUE!</v>
      </c>
      <c r="AA504">
        <v>337889</v>
      </c>
      <c r="AB504">
        <v>40920</v>
      </c>
      <c r="AD504" t="s">
        <v>4</v>
      </c>
      <c r="AE504">
        <v>29</v>
      </c>
      <c r="AF504">
        <v>4</v>
      </c>
      <c r="AH504" t="s">
        <v>2200</v>
      </c>
      <c r="AI504" t="s">
        <v>2199</v>
      </c>
      <c r="AK504" t="s">
        <v>2198</v>
      </c>
      <c r="AL504">
        <v>0</v>
      </c>
      <c r="AM504" s="5">
        <f t="shared" si="66"/>
        <v>0</v>
      </c>
      <c r="AN504" s="4">
        <f t="shared" si="63"/>
        <v>0</v>
      </c>
      <c r="AO504" s="3"/>
      <c r="AP504">
        <v>0</v>
      </c>
      <c r="AR504" t="s">
        <v>0</v>
      </c>
      <c r="AT504" s="2" t="s">
        <v>45</v>
      </c>
      <c r="AU504" s="1" t="e">
        <f t="shared" si="67"/>
        <v>#VALUE!</v>
      </c>
      <c r="AV504" s="1" t="e">
        <f t="shared" si="68"/>
        <v>#VALUE!</v>
      </c>
      <c r="AW504" s="1" t="e">
        <f t="shared" si="69"/>
        <v>#VALUE!</v>
      </c>
    </row>
    <row r="505" spans="1:49" x14ac:dyDescent="0.2">
      <c r="A505">
        <v>503</v>
      </c>
      <c r="B505" t="s">
        <v>2197</v>
      </c>
      <c r="F505" t="s">
        <v>2196</v>
      </c>
      <c r="G505" t="s">
        <v>13</v>
      </c>
      <c r="H505" t="s">
        <v>12</v>
      </c>
      <c r="I505" t="s">
        <v>2195</v>
      </c>
      <c r="N505">
        <v>2</v>
      </c>
      <c r="O505" t="s">
        <v>2194</v>
      </c>
      <c r="P505" t="s">
        <v>2193</v>
      </c>
      <c r="Q505" t="s">
        <v>266</v>
      </c>
      <c r="R505" s="7">
        <v>30682</v>
      </c>
      <c r="S505" s="8">
        <f t="shared" si="64"/>
        <v>1984</v>
      </c>
      <c r="T505" s="8">
        <v>1984</v>
      </c>
      <c r="U505" s="8">
        <f t="shared" si="65"/>
        <v>38</v>
      </c>
      <c r="V505" s="7" t="s">
        <v>2192</v>
      </c>
      <c r="W505" t="s">
        <v>2191</v>
      </c>
      <c r="X505" s="2">
        <v>0.69799999999999995</v>
      </c>
      <c r="Y505" s="6">
        <f t="shared" si="62"/>
        <v>1.86327113531406E-2</v>
      </c>
      <c r="AA505">
        <v>219142</v>
      </c>
      <c r="AB505">
        <v>29585</v>
      </c>
      <c r="AD505" t="s">
        <v>4</v>
      </c>
      <c r="AE505">
        <v>32</v>
      </c>
      <c r="AF505">
        <v>2</v>
      </c>
      <c r="AH505" t="s">
        <v>2190</v>
      </c>
      <c r="AI505" t="s">
        <v>2189</v>
      </c>
      <c r="AK505" t="s">
        <v>2188</v>
      </c>
      <c r="AL505">
        <v>2</v>
      </c>
      <c r="AM505" s="5">
        <f t="shared" si="66"/>
        <v>5.2631578947368418E-2</v>
      </c>
      <c r="AN505" s="4">
        <f t="shared" si="63"/>
        <v>7.9714621654476962E-5</v>
      </c>
      <c r="AO505" s="3"/>
      <c r="AP505">
        <v>0</v>
      </c>
      <c r="AR505" t="s">
        <v>0</v>
      </c>
      <c r="AT505" s="2">
        <v>1.5309999999999999</v>
      </c>
      <c r="AU505" s="1">
        <f t="shared" si="67"/>
        <v>1.3066812333694764</v>
      </c>
      <c r="AV505" s="1">
        <f t="shared" si="68"/>
        <v>0.93562129873975375</v>
      </c>
      <c r="AW505" s="1">
        <f t="shared" si="69"/>
        <v>0.56456136411003144</v>
      </c>
    </row>
    <row r="506" spans="1:49" x14ac:dyDescent="0.2">
      <c r="A506">
        <v>504</v>
      </c>
      <c r="B506" t="s">
        <v>2187</v>
      </c>
      <c r="F506" t="s">
        <v>2186</v>
      </c>
      <c r="G506" t="s">
        <v>13</v>
      </c>
      <c r="H506" t="s">
        <v>12</v>
      </c>
      <c r="I506" t="s">
        <v>2185</v>
      </c>
      <c r="N506">
        <v>1</v>
      </c>
      <c r="O506" t="s">
        <v>2184</v>
      </c>
      <c r="P506">
        <v>57211667276</v>
      </c>
      <c r="R506" s="7">
        <v>30682</v>
      </c>
      <c r="S506" s="8">
        <f t="shared" si="64"/>
        <v>1984</v>
      </c>
      <c r="T506" s="8">
        <v>1984</v>
      </c>
      <c r="U506" s="8">
        <f t="shared" si="65"/>
        <v>38</v>
      </c>
      <c r="V506" s="7" t="s">
        <v>1817</v>
      </c>
      <c r="W506" t="s">
        <v>1055</v>
      </c>
      <c r="X506" s="2" t="s">
        <v>45</v>
      </c>
      <c r="Y506" s="6" t="e">
        <f t="shared" si="62"/>
        <v>#VALUE!</v>
      </c>
      <c r="AA506">
        <v>337889</v>
      </c>
      <c r="AB506">
        <v>40920</v>
      </c>
      <c r="AD506" t="s">
        <v>4</v>
      </c>
      <c r="AE506">
        <v>29</v>
      </c>
      <c r="AF506">
        <v>4</v>
      </c>
      <c r="AH506" t="s">
        <v>2183</v>
      </c>
      <c r="AI506" t="s">
        <v>2182</v>
      </c>
      <c r="AK506" t="s">
        <v>2181</v>
      </c>
      <c r="AL506">
        <v>1</v>
      </c>
      <c r="AM506" s="5">
        <f t="shared" si="66"/>
        <v>2.6315789473684209E-2</v>
      </c>
      <c r="AN506" s="4">
        <f t="shared" si="63"/>
        <v>3.9857310827238481E-5</v>
      </c>
      <c r="AO506" s="3"/>
      <c r="AP506">
        <v>0</v>
      </c>
      <c r="AR506" t="s">
        <v>0</v>
      </c>
      <c r="AT506" s="2" t="s">
        <v>45</v>
      </c>
      <c r="AU506" s="1" t="e">
        <f t="shared" si="67"/>
        <v>#VALUE!</v>
      </c>
      <c r="AV506" s="1" t="e">
        <f t="shared" si="68"/>
        <v>#VALUE!</v>
      </c>
      <c r="AW506" s="1" t="e">
        <f t="shared" si="69"/>
        <v>#VALUE!</v>
      </c>
    </row>
    <row r="507" spans="1:49" x14ac:dyDescent="0.2">
      <c r="A507">
        <v>505</v>
      </c>
      <c r="B507" t="s">
        <v>2180</v>
      </c>
      <c r="F507" t="s">
        <v>2179</v>
      </c>
      <c r="G507" t="s">
        <v>13</v>
      </c>
      <c r="H507" t="s">
        <v>12</v>
      </c>
      <c r="I507" t="s">
        <v>2178</v>
      </c>
      <c r="N507">
        <v>2</v>
      </c>
      <c r="O507" t="s">
        <v>2177</v>
      </c>
      <c r="P507" t="s">
        <v>2176</v>
      </c>
      <c r="Q507" t="s">
        <v>266</v>
      </c>
      <c r="R507" s="7">
        <v>30682</v>
      </c>
      <c r="S507" s="8">
        <f t="shared" si="64"/>
        <v>1984</v>
      </c>
      <c r="T507" s="8">
        <v>1984</v>
      </c>
      <c r="U507" s="8">
        <f t="shared" si="65"/>
        <v>38</v>
      </c>
      <c r="V507" s="7" t="s">
        <v>1817</v>
      </c>
      <c r="W507" t="s">
        <v>1055</v>
      </c>
      <c r="X507" s="2" t="s">
        <v>45</v>
      </c>
      <c r="Y507" s="6" t="e">
        <f t="shared" si="62"/>
        <v>#VALUE!</v>
      </c>
      <c r="AA507">
        <v>337889</v>
      </c>
      <c r="AB507">
        <v>40920</v>
      </c>
      <c r="AD507" t="s">
        <v>4</v>
      </c>
      <c r="AE507">
        <v>29</v>
      </c>
      <c r="AF507">
        <v>4</v>
      </c>
      <c r="AH507" t="s">
        <v>2175</v>
      </c>
      <c r="AI507" t="s">
        <v>2174</v>
      </c>
      <c r="AK507" t="s">
        <v>2173</v>
      </c>
      <c r="AL507">
        <v>0</v>
      </c>
      <c r="AM507" s="5">
        <f t="shared" si="66"/>
        <v>0</v>
      </c>
      <c r="AN507" s="4">
        <f t="shared" si="63"/>
        <v>0</v>
      </c>
      <c r="AO507" s="3"/>
      <c r="AP507">
        <v>0</v>
      </c>
      <c r="AR507" t="s">
        <v>0</v>
      </c>
      <c r="AT507" s="2" t="s">
        <v>45</v>
      </c>
      <c r="AU507" s="1" t="e">
        <f t="shared" si="67"/>
        <v>#VALUE!</v>
      </c>
      <c r="AV507" s="1" t="e">
        <f t="shared" si="68"/>
        <v>#VALUE!</v>
      </c>
      <c r="AW507" s="1" t="e">
        <f t="shared" si="69"/>
        <v>#VALUE!</v>
      </c>
    </row>
    <row r="508" spans="1:49" x14ac:dyDescent="0.2">
      <c r="A508">
        <v>506</v>
      </c>
      <c r="B508" t="s">
        <v>2172</v>
      </c>
      <c r="F508" t="s">
        <v>2171</v>
      </c>
      <c r="G508" t="s">
        <v>13</v>
      </c>
      <c r="H508" t="s">
        <v>12</v>
      </c>
      <c r="I508" t="s">
        <v>2170</v>
      </c>
      <c r="N508">
        <v>1</v>
      </c>
      <c r="O508" t="s">
        <v>2169</v>
      </c>
      <c r="P508">
        <v>35839177700</v>
      </c>
      <c r="R508" s="7">
        <v>30682</v>
      </c>
      <c r="S508" s="8">
        <f t="shared" si="64"/>
        <v>1984</v>
      </c>
      <c r="T508" s="8">
        <v>1984</v>
      </c>
      <c r="U508" s="8">
        <f t="shared" si="65"/>
        <v>38</v>
      </c>
      <c r="V508" s="7" t="s">
        <v>1817</v>
      </c>
      <c r="W508" t="s">
        <v>2168</v>
      </c>
      <c r="X508" s="2" t="s">
        <v>45</v>
      </c>
      <c r="Y508" s="6" t="e">
        <f t="shared" si="62"/>
        <v>#VALUE!</v>
      </c>
      <c r="AA508">
        <v>13583948</v>
      </c>
      <c r="AB508">
        <v>17747</v>
      </c>
      <c r="AD508" t="s">
        <v>4</v>
      </c>
      <c r="AE508">
        <v>2</v>
      </c>
      <c r="AF508">
        <v>2</v>
      </c>
      <c r="AH508" t="s">
        <v>2167</v>
      </c>
      <c r="AI508" t="s">
        <v>2166</v>
      </c>
      <c r="AK508" t="s">
        <v>2165</v>
      </c>
      <c r="AL508">
        <v>0</v>
      </c>
      <c r="AM508" s="5">
        <f t="shared" si="66"/>
        <v>0</v>
      </c>
      <c r="AN508" s="4">
        <f t="shared" si="63"/>
        <v>0</v>
      </c>
      <c r="AO508" s="3"/>
      <c r="AP508">
        <v>0</v>
      </c>
      <c r="AR508" t="s">
        <v>0</v>
      </c>
      <c r="AT508" s="2" t="s">
        <v>45</v>
      </c>
      <c r="AU508" s="1" t="e">
        <f t="shared" si="67"/>
        <v>#VALUE!</v>
      </c>
      <c r="AV508" s="1" t="e">
        <f t="shared" si="68"/>
        <v>#VALUE!</v>
      </c>
      <c r="AW508" s="1" t="e">
        <f t="shared" si="69"/>
        <v>#VALUE!</v>
      </c>
    </row>
    <row r="509" spans="1:49" x14ac:dyDescent="0.2">
      <c r="A509">
        <v>507</v>
      </c>
      <c r="B509" t="s">
        <v>2164</v>
      </c>
      <c r="F509" t="s">
        <v>2163</v>
      </c>
      <c r="G509" t="s">
        <v>13</v>
      </c>
      <c r="H509" t="s">
        <v>12</v>
      </c>
      <c r="I509" t="s">
        <v>2162</v>
      </c>
      <c r="N509">
        <v>1</v>
      </c>
      <c r="O509" t="s">
        <v>2161</v>
      </c>
      <c r="P509">
        <v>57198025301</v>
      </c>
      <c r="R509" s="7">
        <v>30682</v>
      </c>
      <c r="S509" s="8">
        <f t="shared" si="64"/>
        <v>1984</v>
      </c>
      <c r="T509" s="8">
        <v>1984</v>
      </c>
      <c r="U509" s="8">
        <f t="shared" si="65"/>
        <v>38</v>
      </c>
      <c r="V509" s="7" t="s">
        <v>1817</v>
      </c>
      <c r="W509" t="s">
        <v>364</v>
      </c>
      <c r="X509" s="2">
        <v>0.14099999999999999</v>
      </c>
      <c r="Y509" s="6">
        <f t="shared" si="62"/>
        <v>3.7639144710498915E-3</v>
      </c>
      <c r="AA509">
        <v>402508</v>
      </c>
      <c r="AB509">
        <v>20868</v>
      </c>
      <c r="AD509" t="s">
        <v>4</v>
      </c>
      <c r="AE509" t="s">
        <v>1941</v>
      </c>
      <c r="AF509">
        <v>4</v>
      </c>
      <c r="AH509" t="s">
        <v>2160</v>
      </c>
      <c r="AI509" t="s">
        <v>2159</v>
      </c>
      <c r="AK509" t="s">
        <v>2158</v>
      </c>
      <c r="AL509">
        <v>0</v>
      </c>
      <c r="AM509" s="5">
        <f t="shared" si="66"/>
        <v>0</v>
      </c>
      <c r="AN509" s="4">
        <f t="shared" si="63"/>
        <v>0</v>
      </c>
      <c r="AO509" s="3"/>
      <c r="AP509">
        <v>0</v>
      </c>
      <c r="AR509" t="s">
        <v>0</v>
      </c>
      <c r="AT509" s="2" t="s">
        <v>45</v>
      </c>
      <c r="AU509" s="1">
        <f t="shared" si="67"/>
        <v>0.26347401297349238</v>
      </c>
      <c r="AV509" s="1">
        <f t="shared" si="68"/>
        <v>0.18819572355249459</v>
      </c>
      <c r="AW509" s="1">
        <f t="shared" si="69"/>
        <v>0.11291743413149673</v>
      </c>
    </row>
    <row r="510" spans="1:49" x14ac:dyDescent="0.2">
      <c r="A510">
        <v>508</v>
      </c>
      <c r="B510" t="s">
        <v>2157</v>
      </c>
      <c r="C510" t="s">
        <v>2156</v>
      </c>
      <c r="F510" t="s">
        <v>2155</v>
      </c>
      <c r="G510" t="s">
        <v>13</v>
      </c>
      <c r="H510" t="s">
        <v>12</v>
      </c>
      <c r="I510" t="s">
        <v>2154</v>
      </c>
      <c r="N510">
        <v>3</v>
      </c>
      <c r="O510" t="s">
        <v>2153</v>
      </c>
      <c r="P510" t="s">
        <v>2152</v>
      </c>
      <c r="Q510" t="s">
        <v>8</v>
      </c>
      <c r="R510" s="7">
        <v>30682</v>
      </c>
      <c r="S510" s="8">
        <f t="shared" si="64"/>
        <v>1984</v>
      </c>
      <c r="T510" s="8">
        <v>1984</v>
      </c>
      <c r="U510" s="8">
        <f t="shared" si="65"/>
        <v>38</v>
      </c>
      <c r="V510" s="7" t="s">
        <v>1817</v>
      </c>
      <c r="W510" s="11" t="s">
        <v>1146</v>
      </c>
      <c r="X510" s="2">
        <v>2.383</v>
      </c>
      <c r="Y510" s="6">
        <f t="shared" si="62"/>
        <v>6.3612824003630442E-2</v>
      </c>
      <c r="AA510">
        <v>1437097</v>
      </c>
      <c r="AB510">
        <v>101236</v>
      </c>
      <c r="AD510" t="s">
        <v>4</v>
      </c>
      <c r="AE510">
        <v>131</v>
      </c>
      <c r="AF510">
        <v>2</v>
      </c>
      <c r="AH510" t="s">
        <v>2151</v>
      </c>
      <c r="AI510" t="s">
        <v>2150</v>
      </c>
      <c r="AK510" t="s">
        <v>2149</v>
      </c>
      <c r="AL510">
        <v>30</v>
      </c>
      <c r="AM510" s="5">
        <f t="shared" si="66"/>
        <v>0.78947368421052633</v>
      </c>
      <c r="AN510" s="4">
        <f t="shared" si="63"/>
        <v>1.1957193248171545E-3</v>
      </c>
      <c r="AO510" s="3"/>
      <c r="AP510">
        <v>0</v>
      </c>
      <c r="AR510" t="s">
        <v>0</v>
      </c>
      <c r="AT510" s="2" t="s">
        <v>45</v>
      </c>
      <c r="AU510" s="1">
        <f t="shared" si="67"/>
        <v>4.4887692599986453</v>
      </c>
      <c r="AV510" s="1">
        <f t="shared" si="68"/>
        <v>3.2404271664223798</v>
      </c>
      <c r="AW510" s="1">
        <f t="shared" si="69"/>
        <v>1.9920850728461139</v>
      </c>
    </row>
    <row r="511" spans="1:49" x14ac:dyDescent="0.2">
      <c r="A511">
        <v>509</v>
      </c>
      <c r="B511" t="s">
        <v>2148</v>
      </c>
      <c r="F511" t="s">
        <v>2147</v>
      </c>
      <c r="G511" t="s">
        <v>13</v>
      </c>
      <c r="H511" t="s">
        <v>12</v>
      </c>
      <c r="I511" t="s">
        <v>2146</v>
      </c>
      <c r="N511">
        <v>1</v>
      </c>
      <c r="O511" t="s">
        <v>2145</v>
      </c>
      <c r="P511">
        <v>7201750560</v>
      </c>
      <c r="R511" s="7">
        <v>30682</v>
      </c>
      <c r="S511" s="8">
        <f t="shared" si="64"/>
        <v>1984</v>
      </c>
      <c r="T511" s="8">
        <v>1984</v>
      </c>
      <c r="U511" s="8">
        <f t="shared" si="65"/>
        <v>38</v>
      </c>
      <c r="V511" s="7" t="s">
        <v>1817</v>
      </c>
      <c r="W511" t="s">
        <v>1668</v>
      </c>
      <c r="X511" s="2" t="s">
        <v>45</v>
      </c>
      <c r="Y511" s="6" t="e">
        <f t="shared" si="62"/>
        <v>#VALUE!</v>
      </c>
      <c r="AA511" t="s">
        <v>1667</v>
      </c>
      <c r="AB511">
        <v>30906</v>
      </c>
      <c r="AD511" t="s">
        <v>4</v>
      </c>
      <c r="AE511" t="s">
        <v>2144</v>
      </c>
      <c r="AF511">
        <v>4</v>
      </c>
      <c r="AH511" t="s">
        <v>2143</v>
      </c>
      <c r="AI511" t="s">
        <v>2142</v>
      </c>
      <c r="AK511" t="s">
        <v>2141</v>
      </c>
      <c r="AL511">
        <v>0</v>
      </c>
      <c r="AM511" s="5">
        <f t="shared" si="66"/>
        <v>0</v>
      </c>
      <c r="AN511" s="4">
        <f t="shared" si="63"/>
        <v>0</v>
      </c>
      <c r="AO511" s="3"/>
      <c r="AP511">
        <v>0</v>
      </c>
      <c r="AR511" t="s">
        <v>0</v>
      </c>
      <c r="AT511" s="2" t="s">
        <v>45</v>
      </c>
      <c r="AU511" s="1" t="e">
        <f t="shared" si="67"/>
        <v>#VALUE!</v>
      </c>
      <c r="AV511" s="1" t="e">
        <f t="shared" si="68"/>
        <v>#VALUE!</v>
      </c>
      <c r="AW511" s="1" t="e">
        <f t="shared" si="69"/>
        <v>#VALUE!</v>
      </c>
    </row>
    <row r="512" spans="1:49" x14ac:dyDescent="0.2">
      <c r="A512">
        <v>510</v>
      </c>
      <c r="B512" t="s">
        <v>2140</v>
      </c>
      <c r="C512" t="s">
        <v>2139</v>
      </c>
      <c r="F512" t="s">
        <v>2138</v>
      </c>
      <c r="G512" t="s">
        <v>13</v>
      </c>
      <c r="H512" t="s">
        <v>12</v>
      </c>
      <c r="I512" t="s">
        <v>2137</v>
      </c>
      <c r="J512" t="s">
        <v>2136</v>
      </c>
      <c r="K512" t="s">
        <v>2135</v>
      </c>
      <c r="L512" t="s">
        <v>2134</v>
      </c>
      <c r="M512" t="s">
        <v>206</v>
      </c>
      <c r="N512">
        <v>4</v>
      </c>
      <c r="O512" t="s">
        <v>2133</v>
      </c>
      <c r="P512" t="s">
        <v>2132</v>
      </c>
      <c r="Q512" t="s">
        <v>2131</v>
      </c>
      <c r="R512" s="7">
        <v>30682</v>
      </c>
      <c r="S512" s="8">
        <f t="shared" si="64"/>
        <v>1984</v>
      </c>
      <c r="T512" s="8">
        <v>1984</v>
      </c>
      <c r="U512" s="8">
        <f t="shared" si="65"/>
        <v>38</v>
      </c>
      <c r="V512" s="7">
        <v>30773</v>
      </c>
      <c r="W512" t="s">
        <v>380</v>
      </c>
      <c r="X512" s="2">
        <v>1.6519999999999999</v>
      </c>
      <c r="Y512" s="6">
        <f t="shared" si="62"/>
        <v>4.409919649769093E-2</v>
      </c>
      <c r="AA512" t="s">
        <v>379</v>
      </c>
      <c r="AB512">
        <v>17337</v>
      </c>
      <c r="AC512">
        <v>15582221</v>
      </c>
      <c r="AD512" t="s">
        <v>4</v>
      </c>
      <c r="AE512">
        <v>32</v>
      </c>
      <c r="AF512">
        <v>4</v>
      </c>
      <c r="AH512" t="s">
        <v>2130</v>
      </c>
      <c r="AI512" t="s">
        <v>2129</v>
      </c>
      <c r="AK512" t="s">
        <v>2128</v>
      </c>
      <c r="AL512">
        <v>20</v>
      </c>
      <c r="AM512" s="5">
        <f t="shared" si="66"/>
        <v>0.52631578947368418</v>
      </c>
      <c r="AN512" s="4">
        <f t="shared" si="63"/>
        <v>7.9714621654476973E-4</v>
      </c>
      <c r="AO512" s="3"/>
      <c r="AP512">
        <v>0</v>
      </c>
      <c r="AR512" t="s">
        <v>0</v>
      </c>
      <c r="AT512" s="2" t="s">
        <v>45</v>
      </c>
      <c r="AU512" s="1">
        <f t="shared" si="67"/>
        <v>3.1108581413347083</v>
      </c>
      <c r="AV512" s="1">
        <f t="shared" si="68"/>
        <v>2.2448171357117848</v>
      </c>
      <c r="AW512" s="1">
        <f t="shared" si="69"/>
        <v>1.3787761300888617</v>
      </c>
    </row>
    <row r="513" spans="1:49" x14ac:dyDescent="0.2">
      <c r="A513">
        <v>511</v>
      </c>
      <c r="B513" t="s">
        <v>2127</v>
      </c>
      <c r="F513" t="s">
        <v>2126</v>
      </c>
      <c r="G513" t="s">
        <v>13</v>
      </c>
      <c r="H513" t="s">
        <v>12</v>
      </c>
      <c r="I513" t="s">
        <v>2125</v>
      </c>
      <c r="N513">
        <v>1</v>
      </c>
      <c r="O513" t="s">
        <v>2124</v>
      </c>
      <c r="P513">
        <v>7005126200</v>
      </c>
      <c r="R513" s="7">
        <v>30682</v>
      </c>
      <c r="S513" s="8">
        <f t="shared" si="64"/>
        <v>1984</v>
      </c>
      <c r="T513" s="8">
        <v>1984</v>
      </c>
      <c r="U513" s="8">
        <f t="shared" si="65"/>
        <v>38</v>
      </c>
      <c r="V513" s="7" t="s">
        <v>1817</v>
      </c>
      <c r="W513" t="s">
        <v>2123</v>
      </c>
      <c r="X513" s="2" t="s">
        <v>45</v>
      </c>
      <c r="Y513" s="6" t="e">
        <f t="shared" si="62"/>
        <v>#VALUE!</v>
      </c>
      <c r="AA513">
        <v>386340</v>
      </c>
      <c r="AB513">
        <v>12937</v>
      </c>
      <c r="AD513" t="s">
        <v>4</v>
      </c>
      <c r="AE513">
        <v>26</v>
      </c>
      <c r="AF513">
        <v>4</v>
      </c>
      <c r="AH513" t="s">
        <v>2122</v>
      </c>
      <c r="AI513" t="s">
        <v>2121</v>
      </c>
      <c r="AK513" t="s">
        <v>2120</v>
      </c>
      <c r="AL513">
        <v>0</v>
      </c>
      <c r="AM513" s="5">
        <f t="shared" si="66"/>
        <v>0</v>
      </c>
      <c r="AN513" s="4">
        <f t="shared" si="63"/>
        <v>0</v>
      </c>
      <c r="AO513" s="3"/>
      <c r="AP513">
        <v>0</v>
      </c>
      <c r="AR513" t="s">
        <v>0</v>
      </c>
      <c r="AT513" s="2" t="s">
        <v>45</v>
      </c>
      <c r="AU513" s="1" t="e">
        <f t="shared" si="67"/>
        <v>#VALUE!</v>
      </c>
      <c r="AV513" s="1" t="e">
        <f t="shared" si="68"/>
        <v>#VALUE!</v>
      </c>
      <c r="AW513" s="1" t="e">
        <f t="shared" si="69"/>
        <v>#VALUE!</v>
      </c>
    </row>
    <row r="514" spans="1:49" x14ac:dyDescent="0.2">
      <c r="A514">
        <v>512</v>
      </c>
      <c r="B514" t="s">
        <v>2119</v>
      </c>
      <c r="C514" t="s">
        <v>2118</v>
      </c>
      <c r="F514" t="s">
        <v>2117</v>
      </c>
      <c r="G514" t="s">
        <v>13</v>
      </c>
      <c r="H514" t="s">
        <v>12</v>
      </c>
      <c r="I514" t="s">
        <v>2116</v>
      </c>
      <c r="J514">
        <v>60031828</v>
      </c>
      <c r="K514" t="s">
        <v>2115</v>
      </c>
      <c r="L514" t="s">
        <v>2114</v>
      </c>
      <c r="M514" t="s">
        <v>38</v>
      </c>
      <c r="N514">
        <v>1</v>
      </c>
      <c r="O514" t="s">
        <v>2113</v>
      </c>
      <c r="P514">
        <v>7101764513</v>
      </c>
      <c r="Q514">
        <v>60031828</v>
      </c>
      <c r="R514" s="7">
        <v>30682</v>
      </c>
      <c r="S514" s="8">
        <f t="shared" si="64"/>
        <v>1984</v>
      </c>
      <c r="T514" s="8">
        <v>1984</v>
      </c>
      <c r="U514" s="8">
        <f t="shared" si="65"/>
        <v>38</v>
      </c>
      <c r="V514" s="7">
        <v>1984</v>
      </c>
      <c r="W514" t="s">
        <v>111</v>
      </c>
      <c r="X514" s="2">
        <v>2.383</v>
      </c>
      <c r="Y514" s="6">
        <f t="shared" ref="Y514:Y577" si="70">(X514-$Z$4)/($Z$3-$Z$4)</f>
        <v>6.3612824003630442E-2</v>
      </c>
      <c r="AA514">
        <v>189219</v>
      </c>
      <c r="AB514">
        <v>17915</v>
      </c>
      <c r="AC514">
        <v>15582256</v>
      </c>
      <c r="AD514" t="s">
        <v>4</v>
      </c>
      <c r="AE514">
        <v>72</v>
      </c>
      <c r="AF514">
        <v>4</v>
      </c>
      <c r="AH514" t="s">
        <v>2112</v>
      </c>
      <c r="AI514" t="s">
        <v>2111</v>
      </c>
      <c r="AK514" t="s">
        <v>2110</v>
      </c>
      <c r="AL514">
        <v>4</v>
      </c>
      <c r="AM514" s="5">
        <f t="shared" si="66"/>
        <v>0.10526315789473684</v>
      </c>
      <c r="AN514" s="4">
        <f t="shared" ref="AN514:AN577" si="71">(AM514-$AO$4)/($AO$3-$AO$4)</f>
        <v>1.5942924330895392E-4</v>
      </c>
      <c r="AO514" s="3"/>
      <c r="AP514">
        <v>0</v>
      </c>
      <c r="AR514" t="s">
        <v>0</v>
      </c>
      <c r="AT514" s="2">
        <v>10.961</v>
      </c>
      <c r="AU514" s="1">
        <f t="shared" si="67"/>
        <v>4.4576805575533989</v>
      </c>
      <c r="AV514" s="1">
        <f t="shared" si="68"/>
        <v>3.1886126623469702</v>
      </c>
      <c r="AW514" s="1">
        <f t="shared" si="69"/>
        <v>1.9195447671405401</v>
      </c>
    </row>
    <row r="515" spans="1:49" x14ac:dyDescent="0.2">
      <c r="A515">
        <v>513</v>
      </c>
      <c r="B515" t="s">
        <v>2109</v>
      </c>
      <c r="C515" t="s">
        <v>2108</v>
      </c>
      <c r="F515" t="s">
        <v>2107</v>
      </c>
      <c r="G515" t="s">
        <v>13</v>
      </c>
      <c r="H515" t="s">
        <v>12</v>
      </c>
      <c r="I515" t="s">
        <v>2106</v>
      </c>
      <c r="J515">
        <v>60025578</v>
      </c>
      <c r="K515" t="s">
        <v>219</v>
      </c>
      <c r="L515" t="s">
        <v>218</v>
      </c>
      <c r="M515" t="s">
        <v>217</v>
      </c>
      <c r="N515">
        <v>3</v>
      </c>
      <c r="O515" t="s">
        <v>2105</v>
      </c>
      <c r="P515" t="s">
        <v>2104</v>
      </c>
      <c r="Q515" t="s">
        <v>2103</v>
      </c>
      <c r="R515" s="7">
        <v>30682</v>
      </c>
      <c r="S515" s="8">
        <f t="shared" si="64"/>
        <v>1984</v>
      </c>
      <c r="T515" s="8">
        <v>1984</v>
      </c>
      <c r="U515" s="8">
        <f t="shared" si="65"/>
        <v>38</v>
      </c>
      <c r="V515" s="7">
        <v>30773</v>
      </c>
      <c r="W515" t="s">
        <v>380</v>
      </c>
      <c r="X515" s="2">
        <v>1.6519999999999999</v>
      </c>
      <c r="Y515" s="6">
        <f t="shared" si="70"/>
        <v>4.409919649769093E-2</v>
      </c>
      <c r="AA515" t="s">
        <v>379</v>
      </c>
      <c r="AB515">
        <v>17337</v>
      </c>
      <c r="AC515">
        <v>15582221</v>
      </c>
      <c r="AD515" t="s">
        <v>4</v>
      </c>
      <c r="AE515">
        <v>32</v>
      </c>
      <c r="AF515">
        <v>4</v>
      </c>
      <c r="AH515" t="s">
        <v>2102</v>
      </c>
      <c r="AI515" t="s">
        <v>2101</v>
      </c>
      <c r="AK515" t="s">
        <v>2100</v>
      </c>
      <c r="AL515">
        <v>3</v>
      </c>
      <c r="AM515" s="5">
        <f t="shared" si="66"/>
        <v>7.8947368421052627E-2</v>
      </c>
      <c r="AN515" s="4">
        <f t="shared" si="71"/>
        <v>1.1957193248171546E-4</v>
      </c>
      <c r="AO515" s="3"/>
      <c r="AP515">
        <v>0</v>
      </c>
      <c r="AR515" t="s">
        <v>0</v>
      </c>
      <c r="AT515" s="2" t="s">
        <v>45</v>
      </c>
      <c r="AU515" s="1">
        <f t="shared" si="67"/>
        <v>3.0905309128128167</v>
      </c>
      <c r="AV515" s="1">
        <f t="shared" si="68"/>
        <v>2.2109384215086325</v>
      </c>
      <c r="AW515" s="1">
        <f t="shared" si="69"/>
        <v>1.3313459302044479</v>
      </c>
    </row>
    <row r="516" spans="1:49" x14ac:dyDescent="0.2">
      <c r="A516">
        <v>514</v>
      </c>
      <c r="B516" t="s">
        <v>2099</v>
      </c>
      <c r="C516" t="s">
        <v>2098</v>
      </c>
      <c r="F516" t="s">
        <v>2097</v>
      </c>
      <c r="G516" t="s">
        <v>13</v>
      </c>
      <c r="H516" t="s">
        <v>12</v>
      </c>
      <c r="I516" t="s">
        <v>2096</v>
      </c>
      <c r="N516">
        <v>2</v>
      </c>
      <c r="O516" t="s">
        <v>2095</v>
      </c>
      <c r="P516" t="s">
        <v>2094</v>
      </c>
      <c r="Q516" t="s">
        <v>266</v>
      </c>
      <c r="R516" s="7">
        <v>30682</v>
      </c>
      <c r="S516" s="8">
        <f t="shared" si="64"/>
        <v>1984</v>
      </c>
      <c r="T516" s="8">
        <v>1984</v>
      </c>
      <c r="U516" s="8">
        <f t="shared" si="65"/>
        <v>38</v>
      </c>
      <c r="V516" s="7" t="s">
        <v>1817</v>
      </c>
      <c r="W516" s="11" t="s">
        <v>1146</v>
      </c>
      <c r="X516" s="2">
        <v>2.383</v>
      </c>
      <c r="Y516" s="6">
        <f t="shared" si="70"/>
        <v>6.3612824003630442E-2</v>
      </c>
      <c r="AA516">
        <v>1437097</v>
      </c>
      <c r="AB516">
        <v>101236</v>
      </c>
      <c r="AD516" t="s">
        <v>4</v>
      </c>
      <c r="AE516">
        <v>131</v>
      </c>
      <c r="AF516">
        <v>2</v>
      </c>
      <c r="AH516" t="s">
        <v>2093</v>
      </c>
      <c r="AI516" t="s">
        <v>2092</v>
      </c>
      <c r="AK516" t="s">
        <v>2091</v>
      </c>
      <c r="AL516">
        <v>1</v>
      </c>
      <c r="AM516" s="5">
        <f t="shared" si="66"/>
        <v>2.6315789473684209E-2</v>
      </c>
      <c r="AN516" s="4">
        <f t="shared" si="71"/>
        <v>3.9857310827238481E-5</v>
      </c>
      <c r="AO516" s="3"/>
      <c r="AP516">
        <v>0</v>
      </c>
      <c r="AR516" t="s">
        <v>0</v>
      </c>
      <c r="AT516" s="2" t="s">
        <v>45</v>
      </c>
      <c r="AU516" s="1">
        <f t="shared" si="67"/>
        <v>4.454093399578948</v>
      </c>
      <c r="AV516" s="1">
        <f t="shared" si="68"/>
        <v>3.1826340657228842</v>
      </c>
      <c r="AW516" s="1">
        <f t="shared" si="69"/>
        <v>1.9111747318668197</v>
      </c>
    </row>
    <row r="517" spans="1:49" x14ac:dyDescent="0.2">
      <c r="A517">
        <v>515</v>
      </c>
      <c r="B517" t="s">
        <v>2090</v>
      </c>
      <c r="C517" t="s">
        <v>2089</v>
      </c>
      <c r="F517" t="s">
        <v>2088</v>
      </c>
      <c r="G517" t="s">
        <v>13</v>
      </c>
      <c r="H517" t="s">
        <v>12</v>
      </c>
      <c r="I517" t="s">
        <v>2087</v>
      </c>
      <c r="J517">
        <v>60027271</v>
      </c>
      <c r="K517" t="s">
        <v>1374</v>
      </c>
      <c r="L517" t="s">
        <v>1373</v>
      </c>
      <c r="M517" t="s">
        <v>56</v>
      </c>
      <c r="N517">
        <v>2</v>
      </c>
      <c r="O517" t="s">
        <v>1994</v>
      </c>
      <c r="P517" t="s">
        <v>1993</v>
      </c>
      <c r="Q517" t="s">
        <v>1992</v>
      </c>
      <c r="R517" s="7">
        <v>30682</v>
      </c>
      <c r="S517" s="8">
        <f t="shared" si="64"/>
        <v>1984</v>
      </c>
      <c r="T517" s="8">
        <v>1984</v>
      </c>
      <c r="U517" s="8">
        <f t="shared" si="65"/>
        <v>38</v>
      </c>
      <c r="V517" s="7">
        <v>30773</v>
      </c>
      <c r="W517" t="s">
        <v>380</v>
      </c>
      <c r="X517" s="2">
        <v>1.6519999999999999</v>
      </c>
      <c r="Y517" s="6">
        <f t="shared" si="70"/>
        <v>4.409919649769093E-2</v>
      </c>
      <c r="AA517" t="s">
        <v>379</v>
      </c>
      <c r="AB517">
        <v>17337</v>
      </c>
      <c r="AC517">
        <v>15582221</v>
      </c>
      <c r="AD517" t="s">
        <v>4</v>
      </c>
      <c r="AE517">
        <v>32</v>
      </c>
      <c r="AF517">
        <v>4</v>
      </c>
      <c r="AH517" t="s">
        <v>2086</v>
      </c>
      <c r="AI517" t="s">
        <v>2085</v>
      </c>
      <c r="AK517" t="s">
        <v>2084</v>
      </c>
      <c r="AL517">
        <v>3</v>
      </c>
      <c r="AM517" s="5">
        <f t="shared" si="66"/>
        <v>7.8947368421052627E-2</v>
      </c>
      <c r="AN517" s="4">
        <f t="shared" si="71"/>
        <v>1.1957193248171546E-4</v>
      </c>
      <c r="AO517" s="3"/>
      <c r="AP517">
        <v>0</v>
      </c>
      <c r="AR517" t="s">
        <v>0</v>
      </c>
      <c r="AT517" s="2" t="s">
        <v>45</v>
      </c>
      <c r="AU517" s="1">
        <f t="shared" si="67"/>
        <v>3.0905309128128167</v>
      </c>
      <c r="AV517" s="1">
        <f t="shared" si="68"/>
        <v>2.2109384215086325</v>
      </c>
      <c r="AW517" s="1">
        <f t="shared" si="69"/>
        <v>1.3313459302044479</v>
      </c>
    </row>
    <row r="518" spans="1:49" x14ac:dyDescent="0.2">
      <c r="A518">
        <v>516</v>
      </c>
      <c r="B518" t="s">
        <v>2083</v>
      </c>
      <c r="C518" t="s">
        <v>2082</v>
      </c>
      <c r="F518" t="s">
        <v>2081</v>
      </c>
      <c r="G518" t="s">
        <v>13</v>
      </c>
      <c r="H518" t="s">
        <v>12</v>
      </c>
      <c r="I518" t="s">
        <v>2080</v>
      </c>
      <c r="J518" t="s">
        <v>2079</v>
      </c>
      <c r="K518" t="s">
        <v>2078</v>
      </c>
      <c r="L518" t="s">
        <v>2077</v>
      </c>
      <c r="M518" t="s">
        <v>2076</v>
      </c>
      <c r="N518">
        <v>4</v>
      </c>
      <c r="O518" t="s">
        <v>2075</v>
      </c>
      <c r="P518" t="s">
        <v>2074</v>
      </c>
      <c r="Q518" t="s">
        <v>2073</v>
      </c>
      <c r="R518" s="7">
        <v>30682</v>
      </c>
      <c r="S518" s="8">
        <f t="shared" si="64"/>
        <v>1984</v>
      </c>
      <c r="T518" s="8">
        <v>1984</v>
      </c>
      <c r="U518" s="8">
        <f t="shared" si="65"/>
        <v>38</v>
      </c>
      <c r="V518" s="7">
        <v>30773</v>
      </c>
      <c r="W518" t="s">
        <v>2072</v>
      </c>
      <c r="X518" s="2">
        <v>0.371</v>
      </c>
      <c r="Y518" s="6">
        <f t="shared" si="70"/>
        <v>9.9036331117695747E-3</v>
      </c>
      <c r="AA518">
        <v>214922</v>
      </c>
      <c r="AB518">
        <v>130262</v>
      </c>
      <c r="AC518">
        <v>13474065</v>
      </c>
      <c r="AD518" t="s">
        <v>4</v>
      </c>
      <c r="AE518">
        <v>23</v>
      </c>
      <c r="AF518">
        <v>4</v>
      </c>
      <c r="AH518" t="s">
        <v>2071</v>
      </c>
      <c r="AI518" t="s">
        <v>2070</v>
      </c>
      <c r="AK518" t="s">
        <v>2069</v>
      </c>
      <c r="AL518">
        <v>10</v>
      </c>
      <c r="AM518" s="5">
        <f t="shared" si="66"/>
        <v>0.26315789473684209</v>
      </c>
      <c r="AN518" s="4">
        <f t="shared" si="71"/>
        <v>3.9857310827238487E-4</v>
      </c>
      <c r="AO518" s="3"/>
      <c r="AP518">
        <v>0</v>
      </c>
      <c r="AR518" t="s">
        <v>0</v>
      </c>
      <c r="AT518" s="2">
        <v>1.48</v>
      </c>
      <c r="AU518" s="1">
        <f t="shared" si="67"/>
        <v>0.70521151107204172</v>
      </c>
      <c r="AV518" s="1">
        <f t="shared" si="68"/>
        <v>0.51511031100209803</v>
      </c>
      <c r="AW518" s="1">
        <f t="shared" si="69"/>
        <v>0.32500911093215418</v>
      </c>
    </row>
    <row r="519" spans="1:49" x14ac:dyDescent="0.2">
      <c r="A519">
        <v>517</v>
      </c>
      <c r="B519" t="s">
        <v>2068</v>
      </c>
      <c r="C519" t="s">
        <v>2067</v>
      </c>
      <c r="F519" t="s">
        <v>2066</v>
      </c>
      <c r="G519" t="s">
        <v>13</v>
      </c>
      <c r="H519" t="s">
        <v>12</v>
      </c>
      <c r="I519" t="s">
        <v>2065</v>
      </c>
      <c r="J519">
        <v>60025555</v>
      </c>
      <c r="K519" t="s">
        <v>1317</v>
      </c>
      <c r="L519" t="s">
        <v>644</v>
      </c>
      <c r="M519" t="s">
        <v>643</v>
      </c>
      <c r="N519">
        <v>3</v>
      </c>
      <c r="O519" t="s">
        <v>2064</v>
      </c>
      <c r="P519" t="s">
        <v>2063</v>
      </c>
      <c r="Q519" t="s">
        <v>1314</v>
      </c>
      <c r="R519" s="7">
        <v>30682</v>
      </c>
      <c r="S519" s="8">
        <f t="shared" si="64"/>
        <v>1984</v>
      </c>
      <c r="T519" s="8">
        <v>1984</v>
      </c>
      <c r="U519" s="8">
        <f t="shared" si="65"/>
        <v>38</v>
      </c>
      <c r="V519" s="7">
        <v>30773</v>
      </c>
      <c r="W519" t="s">
        <v>652</v>
      </c>
      <c r="X519" s="2">
        <v>1.468</v>
      </c>
      <c r="Y519" s="6">
        <f t="shared" si="70"/>
        <v>3.9187421585115186E-2</v>
      </c>
      <c r="AA519">
        <v>906778</v>
      </c>
      <c r="AB519">
        <v>18931</v>
      </c>
      <c r="AD519" t="s">
        <v>4</v>
      </c>
      <c r="AE519">
        <v>32</v>
      </c>
      <c r="AF519">
        <v>4</v>
      </c>
      <c r="AH519" t="s">
        <v>2062</v>
      </c>
      <c r="AI519" t="s">
        <v>2061</v>
      </c>
      <c r="AK519" t="s">
        <v>2060</v>
      </c>
      <c r="AL519">
        <v>6</v>
      </c>
      <c r="AM519" s="5">
        <f t="shared" si="66"/>
        <v>0.15789473684210525</v>
      </c>
      <c r="AN519" s="4">
        <f t="shared" si="71"/>
        <v>2.3914386496343091E-4</v>
      </c>
      <c r="AO519" s="3"/>
      <c r="AP519">
        <v>0</v>
      </c>
      <c r="AR519" t="s">
        <v>0</v>
      </c>
      <c r="AT519" s="2">
        <v>5.0830000000000002</v>
      </c>
      <c r="AU519" s="1">
        <f t="shared" si="67"/>
        <v>2.7502938269069657</v>
      </c>
      <c r="AV519" s="1">
        <f t="shared" si="68"/>
        <v>1.9713282725039309</v>
      </c>
      <c r="AW519" s="1">
        <f t="shared" si="69"/>
        <v>1.1923627181008958</v>
      </c>
    </row>
    <row r="520" spans="1:49" x14ac:dyDescent="0.2">
      <c r="A520">
        <v>518</v>
      </c>
      <c r="B520" t="s">
        <v>2059</v>
      </c>
      <c r="C520" t="s">
        <v>2058</v>
      </c>
      <c r="F520" t="s">
        <v>2057</v>
      </c>
      <c r="G520" t="s">
        <v>13</v>
      </c>
      <c r="H520" t="s">
        <v>12</v>
      </c>
      <c r="I520" t="s">
        <v>2056</v>
      </c>
      <c r="J520">
        <v>60030551</v>
      </c>
      <c r="K520" t="s">
        <v>2055</v>
      </c>
      <c r="L520" t="s">
        <v>2054</v>
      </c>
      <c r="M520" t="s">
        <v>56</v>
      </c>
      <c r="N520">
        <v>2</v>
      </c>
      <c r="O520" t="s">
        <v>2053</v>
      </c>
      <c r="P520" t="s">
        <v>2052</v>
      </c>
      <c r="Q520" t="s">
        <v>2051</v>
      </c>
      <c r="R520" s="7">
        <v>30682</v>
      </c>
      <c r="S520" s="8">
        <f t="shared" si="64"/>
        <v>1984</v>
      </c>
      <c r="T520" s="8">
        <v>1984</v>
      </c>
      <c r="U520" s="8">
        <f t="shared" si="65"/>
        <v>38</v>
      </c>
      <c r="V520" s="7">
        <v>30773</v>
      </c>
      <c r="W520" t="s">
        <v>380</v>
      </c>
      <c r="X520" s="2">
        <v>1.6519999999999999</v>
      </c>
      <c r="Y520" s="6">
        <f t="shared" si="70"/>
        <v>4.409919649769093E-2</v>
      </c>
      <c r="AA520" t="s">
        <v>379</v>
      </c>
      <c r="AB520">
        <v>17337</v>
      </c>
      <c r="AC520">
        <v>15582221</v>
      </c>
      <c r="AD520" t="s">
        <v>4</v>
      </c>
      <c r="AE520">
        <v>32</v>
      </c>
      <c r="AF520">
        <v>4</v>
      </c>
      <c r="AH520" t="s">
        <v>2050</v>
      </c>
      <c r="AI520" t="s">
        <v>2049</v>
      </c>
      <c r="AK520" t="s">
        <v>2048</v>
      </c>
      <c r="AL520">
        <v>120</v>
      </c>
      <c r="AM520" s="5">
        <f t="shared" si="66"/>
        <v>3.1578947368421053</v>
      </c>
      <c r="AN520" s="4">
        <f t="shared" si="71"/>
        <v>4.7828772992686182E-3</v>
      </c>
      <c r="AO520" s="3"/>
      <c r="AP520">
        <v>0</v>
      </c>
      <c r="AR520" t="s">
        <v>0</v>
      </c>
      <c r="AT520" s="2" t="s">
        <v>45</v>
      </c>
      <c r="AU520" s="1">
        <f t="shared" si="67"/>
        <v>3.2304300738164238</v>
      </c>
      <c r="AV520" s="1">
        <f t="shared" si="68"/>
        <v>2.4441036898479775</v>
      </c>
      <c r="AW520" s="1">
        <f t="shared" si="69"/>
        <v>1.6577773058795309</v>
      </c>
    </row>
    <row r="521" spans="1:49" x14ac:dyDescent="0.2">
      <c r="A521">
        <v>519</v>
      </c>
      <c r="B521" t="s">
        <v>2047</v>
      </c>
      <c r="C521" t="s">
        <v>2046</v>
      </c>
      <c r="F521" t="s">
        <v>2045</v>
      </c>
      <c r="G521" t="s">
        <v>13</v>
      </c>
      <c r="H521" t="s">
        <v>12</v>
      </c>
      <c r="I521" t="s">
        <v>677</v>
      </c>
      <c r="J521">
        <v>60025757</v>
      </c>
      <c r="K521" t="s">
        <v>676</v>
      </c>
      <c r="L521" t="s">
        <v>675</v>
      </c>
      <c r="M521" t="s">
        <v>125</v>
      </c>
      <c r="N521">
        <v>2</v>
      </c>
      <c r="O521" t="s">
        <v>2044</v>
      </c>
      <c r="P521" t="s">
        <v>2043</v>
      </c>
      <c r="Q521" t="s">
        <v>672</v>
      </c>
      <c r="R521" s="7">
        <v>30682</v>
      </c>
      <c r="S521" s="8">
        <f t="shared" si="64"/>
        <v>1984</v>
      </c>
      <c r="T521" s="8">
        <v>1984</v>
      </c>
      <c r="U521" s="8">
        <f t="shared" si="65"/>
        <v>38</v>
      </c>
      <c r="V521" s="7">
        <v>30773</v>
      </c>
      <c r="W521" t="s">
        <v>380</v>
      </c>
      <c r="X521" s="2">
        <v>1.6519999999999999</v>
      </c>
      <c r="Y521" s="6">
        <f t="shared" si="70"/>
        <v>4.409919649769093E-2</v>
      </c>
      <c r="AA521" t="s">
        <v>379</v>
      </c>
      <c r="AB521">
        <v>17337</v>
      </c>
      <c r="AC521">
        <v>15582221</v>
      </c>
      <c r="AD521" t="s">
        <v>4</v>
      </c>
      <c r="AE521">
        <v>32</v>
      </c>
      <c r="AF521">
        <v>4</v>
      </c>
      <c r="AH521" t="s">
        <v>2042</v>
      </c>
      <c r="AI521" t="s">
        <v>2041</v>
      </c>
      <c r="AK521" t="s">
        <v>2040</v>
      </c>
      <c r="AL521">
        <v>13</v>
      </c>
      <c r="AM521" s="5">
        <f t="shared" si="66"/>
        <v>0.34210526315789475</v>
      </c>
      <c r="AN521" s="4">
        <f t="shared" si="71"/>
        <v>5.1814504075410031E-4</v>
      </c>
      <c r="AO521" s="3"/>
      <c r="AP521">
        <v>0</v>
      </c>
      <c r="AR521" t="s">
        <v>0</v>
      </c>
      <c r="AT521" s="2" t="s">
        <v>45</v>
      </c>
      <c r="AU521" s="1">
        <f t="shared" si="67"/>
        <v>3.1024881060609881</v>
      </c>
      <c r="AV521" s="1">
        <f t="shared" si="68"/>
        <v>2.2308670769222516</v>
      </c>
      <c r="AW521" s="1">
        <f t="shared" si="69"/>
        <v>1.3592460477835149</v>
      </c>
    </row>
    <row r="522" spans="1:49" x14ac:dyDescent="0.2">
      <c r="A522">
        <v>520</v>
      </c>
      <c r="B522" t="s">
        <v>2039</v>
      </c>
      <c r="C522" t="s">
        <v>2038</v>
      </c>
      <c r="F522" t="s">
        <v>2037</v>
      </c>
      <c r="G522" t="s">
        <v>13</v>
      </c>
      <c r="H522" t="s">
        <v>12</v>
      </c>
      <c r="I522" t="s">
        <v>2036</v>
      </c>
      <c r="J522">
        <v>60026340</v>
      </c>
      <c r="K522" t="s">
        <v>2035</v>
      </c>
      <c r="L522" t="s">
        <v>2034</v>
      </c>
      <c r="M522" t="s">
        <v>2033</v>
      </c>
      <c r="N522">
        <v>3</v>
      </c>
      <c r="O522" t="s">
        <v>2032</v>
      </c>
      <c r="P522" t="s">
        <v>2031</v>
      </c>
      <c r="Q522" t="s">
        <v>2030</v>
      </c>
      <c r="R522" s="7">
        <v>30682</v>
      </c>
      <c r="S522" s="8">
        <f t="shared" si="64"/>
        <v>1984</v>
      </c>
      <c r="T522" s="8">
        <v>1984</v>
      </c>
      <c r="U522" s="8">
        <f t="shared" si="65"/>
        <v>38</v>
      </c>
      <c r="V522" s="7">
        <v>30773</v>
      </c>
      <c r="W522" t="s">
        <v>380</v>
      </c>
      <c r="X522" s="2">
        <v>1.6519999999999999</v>
      </c>
      <c r="Y522" s="6">
        <f t="shared" si="70"/>
        <v>4.409919649769093E-2</v>
      </c>
      <c r="AA522" t="s">
        <v>379</v>
      </c>
      <c r="AB522">
        <v>17337</v>
      </c>
      <c r="AC522">
        <v>15582221</v>
      </c>
      <c r="AD522" t="s">
        <v>4</v>
      </c>
      <c r="AE522">
        <v>32</v>
      </c>
      <c r="AF522">
        <v>4</v>
      </c>
      <c r="AH522" t="s">
        <v>2029</v>
      </c>
      <c r="AI522" t="s">
        <v>2028</v>
      </c>
      <c r="AK522" t="s">
        <v>2027</v>
      </c>
      <c r="AL522">
        <v>2</v>
      </c>
      <c r="AM522" s="5">
        <f t="shared" si="66"/>
        <v>5.2631578947368418E-2</v>
      </c>
      <c r="AN522" s="4">
        <f t="shared" si="71"/>
        <v>7.9714621654476962E-5</v>
      </c>
      <c r="AO522" s="3"/>
      <c r="AP522">
        <v>0</v>
      </c>
      <c r="AR522" t="s">
        <v>0</v>
      </c>
      <c r="AT522" s="2" t="s">
        <v>45</v>
      </c>
      <c r="AU522" s="1">
        <f t="shared" si="67"/>
        <v>3.0893351934879991</v>
      </c>
      <c r="AV522" s="1">
        <f t="shared" si="68"/>
        <v>2.2089455559672704</v>
      </c>
      <c r="AW522" s="1">
        <f t="shared" si="69"/>
        <v>1.3285559184465412</v>
      </c>
    </row>
    <row r="523" spans="1:49" x14ac:dyDescent="0.2">
      <c r="A523">
        <v>521</v>
      </c>
      <c r="B523" t="s">
        <v>2026</v>
      </c>
      <c r="C523" t="s">
        <v>2025</v>
      </c>
      <c r="F523" t="s">
        <v>2024</v>
      </c>
      <c r="G523" t="s">
        <v>13</v>
      </c>
      <c r="H523" t="s">
        <v>12</v>
      </c>
      <c r="I523" t="s">
        <v>2023</v>
      </c>
      <c r="J523">
        <v>60001247</v>
      </c>
      <c r="K523" t="s">
        <v>2022</v>
      </c>
      <c r="M523" t="s">
        <v>56</v>
      </c>
      <c r="N523">
        <v>1</v>
      </c>
      <c r="O523" t="s">
        <v>2021</v>
      </c>
      <c r="P523">
        <v>7003451771</v>
      </c>
      <c r="Q523">
        <v>60001247</v>
      </c>
      <c r="R523" s="7">
        <v>30682</v>
      </c>
      <c r="S523" s="8">
        <f t="shared" si="64"/>
        <v>1984</v>
      </c>
      <c r="T523" s="8">
        <v>1984</v>
      </c>
      <c r="U523" s="8">
        <f t="shared" si="65"/>
        <v>38</v>
      </c>
      <c r="V523" s="7">
        <v>30773</v>
      </c>
      <c r="W523" t="s">
        <v>380</v>
      </c>
      <c r="X523" s="2">
        <v>1.6519999999999999</v>
      </c>
      <c r="Y523" s="6">
        <f t="shared" si="70"/>
        <v>4.409919649769093E-2</v>
      </c>
      <c r="AA523" t="s">
        <v>379</v>
      </c>
      <c r="AB523">
        <v>17337</v>
      </c>
      <c r="AC523">
        <v>15582221</v>
      </c>
      <c r="AD523" t="s">
        <v>4</v>
      </c>
      <c r="AE523">
        <v>32</v>
      </c>
      <c r="AF523">
        <v>4</v>
      </c>
      <c r="AH523" t="s">
        <v>2020</v>
      </c>
      <c r="AI523" t="s">
        <v>2019</v>
      </c>
      <c r="AK523" t="s">
        <v>2018</v>
      </c>
      <c r="AL523">
        <v>148</v>
      </c>
      <c r="AM523" s="5">
        <f t="shared" si="66"/>
        <v>3.8947368421052633</v>
      </c>
      <c r="AN523" s="4">
        <f t="shared" si="71"/>
        <v>5.8988820024312959E-3</v>
      </c>
      <c r="AO523" s="3"/>
      <c r="AP523">
        <v>0</v>
      </c>
      <c r="AR523" t="s">
        <v>0</v>
      </c>
      <c r="AT523" s="2" t="s">
        <v>45</v>
      </c>
      <c r="AU523" s="1">
        <f t="shared" si="67"/>
        <v>3.263910214911304</v>
      </c>
      <c r="AV523" s="1">
        <f t="shared" si="68"/>
        <v>2.499903925006111</v>
      </c>
      <c r="AW523" s="1">
        <f t="shared" si="69"/>
        <v>1.7358976351009185</v>
      </c>
    </row>
    <row r="524" spans="1:49" x14ac:dyDescent="0.2">
      <c r="A524">
        <v>522</v>
      </c>
      <c r="B524" t="s">
        <v>2017</v>
      </c>
      <c r="C524" t="s">
        <v>2016</v>
      </c>
      <c r="F524" t="s">
        <v>2015</v>
      </c>
      <c r="G524" t="s">
        <v>13</v>
      </c>
      <c r="H524" t="s">
        <v>12</v>
      </c>
      <c r="I524" t="s">
        <v>2014</v>
      </c>
      <c r="J524">
        <v>60000854</v>
      </c>
      <c r="K524" t="s">
        <v>2013</v>
      </c>
      <c r="L524" t="s">
        <v>2012</v>
      </c>
      <c r="M524" t="s">
        <v>56</v>
      </c>
      <c r="N524">
        <v>1</v>
      </c>
      <c r="O524" t="s">
        <v>2011</v>
      </c>
      <c r="P524">
        <v>7401639390</v>
      </c>
      <c r="Q524">
        <v>60000854</v>
      </c>
      <c r="R524" s="7">
        <v>30682</v>
      </c>
      <c r="S524" s="8">
        <f t="shared" si="64"/>
        <v>1984</v>
      </c>
      <c r="T524" s="8">
        <v>1984</v>
      </c>
      <c r="U524" s="8">
        <f t="shared" si="65"/>
        <v>38</v>
      </c>
      <c r="V524" s="7">
        <v>30773</v>
      </c>
      <c r="W524" t="s">
        <v>380</v>
      </c>
      <c r="X524" s="2">
        <v>1.6519999999999999</v>
      </c>
      <c r="Y524" s="6">
        <f t="shared" si="70"/>
        <v>4.409919649769093E-2</v>
      </c>
      <c r="AA524" t="s">
        <v>379</v>
      </c>
      <c r="AB524">
        <v>17337</v>
      </c>
      <c r="AC524">
        <v>15582221</v>
      </c>
      <c r="AD524" t="s">
        <v>4</v>
      </c>
      <c r="AE524">
        <v>32</v>
      </c>
      <c r="AF524">
        <v>4</v>
      </c>
      <c r="AH524" t="s">
        <v>2010</v>
      </c>
      <c r="AI524" t="s">
        <v>2009</v>
      </c>
      <c r="AK524" t="s">
        <v>2008</v>
      </c>
      <c r="AL524">
        <v>24</v>
      </c>
      <c r="AM524" s="5">
        <f t="shared" si="66"/>
        <v>0.63157894736842102</v>
      </c>
      <c r="AN524" s="4">
        <f t="shared" si="71"/>
        <v>9.5657545985372366E-4</v>
      </c>
      <c r="AO524" s="3"/>
      <c r="AP524">
        <v>0</v>
      </c>
      <c r="AR524" t="s">
        <v>0</v>
      </c>
      <c r="AT524" s="2" t="s">
        <v>45</v>
      </c>
      <c r="AU524" s="1">
        <f t="shared" si="67"/>
        <v>3.1156410186339767</v>
      </c>
      <c r="AV524" s="1">
        <f t="shared" si="68"/>
        <v>2.2527885978772328</v>
      </c>
      <c r="AW524" s="1">
        <f t="shared" si="69"/>
        <v>1.3899361771204886</v>
      </c>
    </row>
    <row r="525" spans="1:49" x14ac:dyDescent="0.2">
      <c r="A525">
        <v>523</v>
      </c>
      <c r="B525" t="s">
        <v>2007</v>
      </c>
      <c r="C525" t="s">
        <v>2006</v>
      </c>
      <c r="F525" t="s">
        <v>2005</v>
      </c>
      <c r="G525" t="s">
        <v>13</v>
      </c>
      <c r="H525" t="s">
        <v>12</v>
      </c>
      <c r="I525" t="s">
        <v>2004</v>
      </c>
      <c r="N525">
        <v>3</v>
      </c>
      <c r="O525" t="s">
        <v>2003</v>
      </c>
      <c r="P525" t="s">
        <v>2002</v>
      </c>
      <c r="Q525" t="s">
        <v>8</v>
      </c>
      <c r="R525" s="7">
        <v>30682</v>
      </c>
      <c r="S525" s="8">
        <f t="shared" si="64"/>
        <v>1984</v>
      </c>
      <c r="T525" s="8">
        <v>1984</v>
      </c>
      <c r="U525" s="8">
        <f t="shared" si="65"/>
        <v>38</v>
      </c>
      <c r="V525" s="7" t="s">
        <v>1817</v>
      </c>
      <c r="W525" s="11" t="s">
        <v>1146</v>
      </c>
      <c r="X525" s="2">
        <v>2.383</v>
      </c>
      <c r="Y525" s="6">
        <f t="shared" si="70"/>
        <v>6.3612824003630442E-2</v>
      </c>
      <c r="AA525">
        <v>1437097</v>
      </c>
      <c r="AB525">
        <v>101236</v>
      </c>
      <c r="AD525" t="s">
        <v>4</v>
      </c>
      <c r="AE525">
        <v>131</v>
      </c>
      <c r="AF525">
        <v>2</v>
      </c>
      <c r="AH525" t="s">
        <v>2001</v>
      </c>
      <c r="AI525" t="s">
        <v>2000</v>
      </c>
      <c r="AK525" t="s">
        <v>1999</v>
      </c>
      <c r="AL525">
        <v>94</v>
      </c>
      <c r="AM525" s="5">
        <f t="shared" si="66"/>
        <v>2.4736842105263159</v>
      </c>
      <c r="AN525" s="4">
        <f t="shared" si="71"/>
        <v>3.7465872177604178E-3</v>
      </c>
      <c r="AO525" s="3"/>
      <c r="AP525">
        <v>0</v>
      </c>
      <c r="AR525" t="s">
        <v>0</v>
      </c>
      <c r="AT525" s="2" t="s">
        <v>45</v>
      </c>
      <c r="AU525" s="1">
        <f t="shared" si="67"/>
        <v>4.5652952967869433</v>
      </c>
      <c r="AV525" s="1">
        <f t="shared" si="68"/>
        <v>3.367970561069543</v>
      </c>
      <c r="AW525" s="1">
        <f t="shared" si="69"/>
        <v>2.1706458253521426</v>
      </c>
    </row>
    <row r="526" spans="1:49" x14ac:dyDescent="0.2">
      <c r="A526">
        <v>524</v>
      </c>
      <c r="B526" t="s">
        <v>1998</v>
      </c>
      <c r="C526" t="s">
        <v>1997</v>
      </c>
      <c r="F526" t="s">
        <v>1996</v>
      </c>
      <c r="G526" t="s">
        <v>13</v>
      </c>
      <c r="H526" t="s">
        <v>12</v>
      </c>
      <c r="I526" t="s">
        <v>1995</v>
      </c>
      <c r="J526">
        <v>60027271</v>
      </c>
      <c r="K526" t="s">
        <v>1374</v>
      </c>
      <c r="L526" t="s">
        <v>1373</v>
      </c>
      <c r="M526" t="s">
        <v>56</v>
      </c>
      <c r="N526">
        <v>2</v>
      </c>
      <c r="O526" t="s">
        <v>1994</v>
      </c>
      <c r="P526" t="s">
        <v>1993</v>
      </c>
      <c r="Q526" t="s">
        <v>1992</v>
      </c>
      <c r="R526" s="7">
        <v>30682</v>
      </c>
      <c r="S526" s="8">
        <f t="shared" si="64"/>
        <v>1984</v>
      </c>
      <c r="T526" s="8">
        <v>1984</v>
      </c>
      <c r="U526" s="8">
        <f t="shared" si="65"/>
        <v>38</v>
      </c>
      <c r="V526" s="7">
        <v>30773</v>
      </c>
      <c r="W526" t="s">
        <v>380</v>
      </c>
      <c r="X526" s="2">
        <v>1.6519999999999999</v>
      </c>
      <c r="Y526" s="6">
        <f t="shared" si="70"/>
        <v>4.409919649769093E-2</v>
      </c>
      <c r="AA526" t="s">
        <v>379</v>
      </c>
      <c r="AB526">
        <v>17337</v>
      </c>
      <c r="AC526">
        <v>15582221</v>
      </c>
      <c r="AD526" t="s">
        <v>4</v>
      </c>
      <c r="AE526">
        <v>32</v>
      </c>
      <c r="AF526">
        <v>4</v>
      </c>
      <c r="AH526" t="s">
        <v>1991</v>
      </c>
      <c r="AI526" t="s">
        <v>1990</v>
      </c>
      <c r="AK526" t="s">
        <v>1989</v>
      </c>
      <c r="AL526">
        <v>5</v>
      </c>
      <c r="AM526" s="5">
        <f t="shared" si="66"/>
        <v>0.13157894736842105</v>
      </c>
      <c r="AN526" s="4">
        <f t="shared" si="71"/>
        <v>1.9928655413619243E-4</v>
      </c>
      <c r="AO526" s="3"/>
      <c r="AP526">
        <v>0</v>
      </c>
      <c r="AR526" t="s">
        <v>0</v>
      </c>
      <c r="AT526" s="2" t="s">
        <v>45</v>
      </c>
      <c r="AU526" s="1">
        <f t="shared" si="67"/>
        <v>3.0929223514624509</v>
      </c>
      <c r="AV526" s="1">
        <f t="shared" si="68"/>
        <v>2.2149241525913563</v>
      </c>
      <c r="AW526" s="1">
        <f t="shared" si="69"/>
        <v>1.3369259537202611</v>
      </c>
    </row>
    <row r="527" spans="1:49" x14ac:dyDescent="0.2">
      <c r="A527">
        <v>525</v>
      </c>
      <c r="B527" t="s">
        <v>1988</v>
      </c>
      <c r="C527" t="s">
        <v>1987</v>
      </c>
      <c r="F527" t="s">
        <v>1986</v>
      </c>
      <c r="G527" t="s">
        <v>13</v>
      </c>
      <c r="H527" t="s">
        <v>12</v>
      </c>
      <c r="I527" t="s">
        <v>1985</v>
      </c>
      <c r="N527">
        <v>1</v>
      </c>
      <c r="O527" t="s">
        <v>1984</v>
      </c>
      <c r="P527">
        <v>6701399240</v>
      </c>
      <c r="R527" s="7">
        <v>30682</v>
      </c>
      <c r="S527" s="8">
        <f t="shared" si="64"/>
        <v>1984</v>
      </c>
      <c r="T527" s="8">
        <v>1984</v>
      </c>
      <c r="U527" s="8">
        <f t="shared" si="65"/>
        <v>38</v>
      </c>
      <c r="V527" s="7">
        <v>30773</v>
      </c>
      <c r="W527" t="s">
        <v>380</v>
      </c>
      <c r="X527" s="2">
        <v>1.6519999999999999</v>
      </c>
      <c r="Y527" s="6">
        <f t="shared" si="70"/>
        <v>4.409919649769093E-2</v>
      </c>
      <c r="AA527" t="s">
        <v>379</v>
      </c>
      <c r="AB527">
        <v>17337</v>
      </c>
      <c r="AC527">
        <v>15582221</v>
      </c>
      <c r="AD527" t="s">
        <v>4</v>
      </c>
      <c r="AE527">
        <v>32</v>
      </c>
      <c r="AF527">
        <v>4</v>
      </c>
      <c r="AH527" t="s">
        <v>1983</v>
      </c>
      <c r="AI527" t="s">
        <v>1982</v>
      </c>
      <c r="AK527" t="s">
        <v>1981</v>
      </c>
      <c r="AL527">
        <v>20</v>
      </c>
      <c r="AM527" s="5">
        <f t="shared" si="66"/>
        <v>0.52631578947368418</v>
      </c>
      <c r="AN527" s="4">
        <f t="shared" si="71"/>
        <v>7.9714621654476973E-4</v>
      </c>
      <c r="AO527" s="3"/>
      <c r="AP527">
        <v>0</v>
      </c>
      <c r="AR527" t="s">
        <v>0</v>
      </c>
      <c r="AT527" s="2" t="s">
        <v>45</v>
      </c>
      <c r="AU527" s="1">
        <f t="shared" si="67"/>
        <v>3.1108581413347083</v>
      </c>
      <c r="AV527" s="1">
        <f t="shared" si="68"/>
        <v>2.2448171357117848</v>
      </c>
      <c r="AW527" s="1">
        <f t="shared" si="69"/>
        <v>1.3787761300888617</v>
      </c>
    </row>
    <row r="528" spans="1:49" x14ac:dyDescent="0.2">
      <c r="A528">
        <v>526</v>
      </c>
      <c r="B528" t="s">
        <v>1980</v>
      </c>
      <c r="C528" t="s">
        <v>1979</v>
      </c>
      <c r="F528" t="s">
        <v>1978</v>
      </c>
      <c r="G528" t="s">
        <v>13</v>
      </c>
      <c r="H528" t="s">
        <v>12</v>
      </c>
      <c r="I528" t="s">
        <v>1977</v>
      </c>
      <c r="J528">
        <v>60011132</v>
      </c>
      <c r="K528" t="s">
        <v>1976</v>
      </c>
      <c r="L528" t="s">
        <v>1975</v>
      </c>
      <c r="M528" t="s">
        <v>56</v>
      </c>
      <c r="N528">
        <v>1</v>
      </c>
      <c r="O528" t="s">
        <v>1974</v>
      </c>
      <c r="P528">
        <v>56681052000</v>
      </c>
      <c r="Q528">
        <v>60011132</v>
      </c>
      <c r="R528" s="7">
        <v>30682</v>
      </c>
      <c r="S528" s="8">
        <f t="shared" si="64"/>
        <v>1984</v>
      </c>
      <c r="T528" s="8">
        <v>1984</v>
      </c>
      <c r="U528" s="8">
        <f t="shared" si="65"/>
        <v>38</v>
      </c>
      <c r="V528" s="7">
        <v>30773</v>
      </c>
      <c r="W528" t="s">
        <v>380</v>
      </c>
      <c r="X528" s="2">
        <v>1.6519999999999999</v>
      </c>
      <c r="Y528" s="6">
        <f t="shared" si="70"/>
        <v>4.409919649769093E-2</v>
      </c>
      <c r="AA528" t="s">
        <v>379</v>
      </c>
      <c r="AB528">
        <v>17337</v>
      </c>
      <c r="AC528">
        <v>15582221</v>
      </c>
      <c r="AD528" t="s">
        <v>4</v>
      </c>
      <c r="AE528">
        <v>32</v>
      </c>
      <c r="AF528">
        <v>4</v>
      </c>
      <c r="AH528" t="s">
        <v>1973</v>
      </c>
      <c r="AI528" t="s">
        <v>1972</v>
      </c>
      <c r="AK528" t="s">
        <v>1971</v>
      </c>
      <c r="AL528">
        <v>1</v>
      </c>
      <c r="AM528" s="5">
        <f t="shared" si="66"/>
        <v>2.6315789473684209E-2</v>
      </c>
      <c r="AN528" s="4">
        <f t="shared" si="71"/>
        <v>3.9857310827238481E-5</v>
      </c>
      <c r="AO528" s="3"/>
      <c r="AP528">
        <v>0</v>
      </c>
      <c r="AR528" t="s">
        <v>0</v>
      </c>
      <c r="AT528" s="2" t="s">
        <v>45</v>
      </c>
      <c r="AU528" s="1">
        <f t="shared" si="67"/>
        <v>3.088139474163182</v>
      </c>
      <c r="AV528" s="1">
        <f t="shared" si="68"/>
        <v>2.2069526904259082</v>
      </c>
      <c r="AW528" s="1">
        <f t="shared" si="69"/>
        <v>1.3257659066886345</v>
      </c>
    </row>
    <row r="529" spans="1:49" x14ac:dyDescent="0.2">
      <c r="A529">
        <v>527</v>
      </c>
      <c r="B529" t="s">
        <v>1970</v>
      </c>
      <c r="C529" t="s">
        <v>1969</v>
      </c>
      <c r="F529" t="s">
        <v>1968</v>
      </c>
      <c r="G529" t="s">
        <v>13</v>
      </c>
      <c r="H529" t="s">
        <v>12</v>
      </c>
      <c r="I529" t="s">
        <v>1967</v>
      </c>
      <c r="J529">
        <v>60029311</v>
      </c>
      <c r="K529" t="s">
        <v>1966</v>
      </c>
      <c r="L529" t="s">
        <v>1965</v>
      </c>
      <c r="M529" t="s">
        <v>56</v>
      </c>
      <c r="N529">
        <v>1</v>
      </c>
      <c r="O529" t="s">
        <v>1964</v>
      </c>
      <c r="P529">
        <v>7005574913</v>
      </c>
      <c r="Q529">
        <v>60029311</v>
      </c>
      <c r="R529" s="7">
        <v>30682</v>
      </c>
      <c r="S529" s="8">
        <f t="shared" si="64"/>
        <v>1984</v>
      </c>
      <c r="T529" s="8">
        <v>1984</v>
      </c>
      <c r="U529" s="8">
        <f t="shared" si="65"/>
        <v>38</v>
      </c>
      <c r="V529" s="7">
        <v>30773</v>
      </c>
      <c r="W529" t="s">
        <v>380</v>
      </c>
      <c r="X529" s="2">
        <v>1.6519999999999999</v>
      </c>
      <c r="Y529" s="6">
        <f t="shared" si="70"/>
        <v>4.409919649769093E-2</v>
      </c>
      <c r="AA529" t="s">
        <v>379</v>
      </c>
      <c r="AB529">
        <v>17337</v>
      </c>
      <c r="AC529">
        <v>15582221</v>
      </c>
      <c r="AD529" t="s">
        <v>4</v>
      </c>
      <c r="AE529">
        <v>32</v>
      </c>
      <c r="AF529">
        <v>4</v>
      </c>
      <c r="AH529" t="s">
        <v>1963</v>
      </c>
      <c r="AI529" t="s">
        <v>1962</v>
      </c>
      <c r="AK529" t="s">
        <v>1961</v>
      </c>
      <c r="AL529">
        <v>27</v>
      </c>
      <c r="AM529" s="5">
        <f t="shared" si="66"/>
        <v>0.71052631578947367</v>
      </c>
      <c r="AN529" s="4">
        <f t="shared" si="71"/>
        <v>1.076147392335439E-3</v>
      </c>
      <c r="AO529" s="3"/>
      <c r="AP529">
        <v>0</v>
      </c>
      <c r="AR529" t="s">
        <v>0</v>
      </c>
      <c r="AT529" s="2" t="s">
        <v>45</v>
      </c>
      <c r="AU529" s="1">
        <f t="shared" si="67"/>
        <v>3.119228176608428</v>
      </c>
      <c r="AV529" s="1">
        <f t="shared" si="68"/>
        <v>2.2587671945013188</v>
      </c>
      <c r="AW529" s="1">
        <f t="shared" si="69"/>
        <v>1.3983062123942085</v>
      </c>
    </row>
    <row r="530" spans="1:49" x14ac:dyDescent="0.2">
      <c r="A530">
        <v>528</v>
      </c>
      <c r="B530" t="s">
        <v>1960</v>
      </c>
      <c r="C530" t="s">
        <v>1959</v>
      </c>
      <c r="F530" t="s">
        <v>1958</v>
      </c>
      <c r="G530" t="s">
        <v>13</v>
      </c>
      <c r="H530" t="s">
        <v>12</v>
      </c>
      <c r="I530" t="s">
        <v>1957</v>
      </c>
      <c r="J530" t="s">
        <v>1956</v>
      </c>
      <c r="K530" t="s">
        <v>1955</v>
      </c>
      <c r="L530" t="s">
        <v>1954</v>
      </c>
      <c r="M530" t="s">
        <v>180</v>
      </c>
      <c r="N530">
        <v>3</v>
      </c>
      <c r="O530" t="s">
        <v>1953</v>
      </c>
      <c r="P530" t="s">
        <v>1952</v>
      </c>
      <c r="Q530" t="s">
        <v>1951</v>
      </c>
      <c r="R530" s="7">
        <v>30682</v>
      </c>
      <c r="S530" s="8">
        <f t="shared" si="64"/>
        <v>1984</v>
      </c>
      <c r="T530" s="8">
        <v>1984</v>
      </c>
      <c r="U530" s="8">
        <f t="shared" si="65"/>
        <v>38</v>
      </c>
      <c r="V530" s="7">
        <v>30773</v>
      </c>
      <c r="W530" t="s">
        <v>601</v>
      </c>
      <c r="X530" s="2">
        <v>0.61499999999999999</v>
      </c>
      <c r="Y530" s="6">
        <f t="shared" si="70"/>
        <v>1.6417073756706976E-2</v>
      </c>
      <c r="AA530">
        <v>1959271</v>
      </c>
      <c r="AB530">
        <v>12141</v>
      </c>
      <c r="AC530">
        <v>15729559</v>
      </c>
      <c r="AD530" t="s">
        <v>4</v>
      </c>
      <c r="AE530">
        <v>5</v>
      </c>
      <c r="AF530">
        <v>4</v>
      </c>
      <c r="AH530" t="s">
        <v>1950</v>
      </c>
      <c r="AI530" t="s">
        <v>1949</v>
      </c>
      <c r="AJ530" t="s">
        <v>1948</v>
      </c>
      <c r="AK530" t="s">
        <v>1947</v>
      </c>
      <c r="AL530">
        <v>2</v>
      </c>
      <c r="AM530" s="5">
        <f t="shared" si="66"/>
        <v>5.2631578947368418E-2</v>
      </c>
      <c r="AN530" s="4">
        <f t="shared" si="71"/>
        <v>7.9714621654476962E-5</v>
      </c>
      <c r="AO530" s="3"/>
      <c r="AP530">
        <v>0</v>
      </c>
      <c r="AR530" t="s">
        <v>0</v>
      </c>
      <c r="AT530" s="2" t="s">
        <v>45</v>
      </c>
      <c r="AU530" s="1">
        <f t="shared" si="67"/>
        <v>1.1515866016191225</v>
      </c>
      <c r="AV530" s="1">
        <f t="shared" si="68"/>
        <v>0.82483941891807255</v>
      </c>
      <c r="AW530" s="1">
        <f t="shared" si="69"/>
        <v>0.49809223621702264</v>
      </c>
    </row>
    <row r="531" spans="1:49" x14ac:dyDescent="0.2">
      <c r="A531">
        <v>529</v>
      </c>
      <c r="B531" t="s">
        <v>1946</v>
      </c>
      <c r="F531" t="s">
        <v>1945</v>
      </c>
      <c r="G531" t="s">
        <v>13</v>
      </c>
      <c r="H531" t="s">
        <v>12</v>
      </c>
      <c r="I531" t="s">
        <v>1944</v>
      </c>
      <c r="N531">
        <v>3</v>
      </c>
      <c r="O531" t="s">
        <v>1943</v>
      </c>
      <c r="P531" t="s">
        <v>1942</v>
      </c>
      <c r="Q531" t="s">
        <v>8</v>
      </c>
      <c r="R531" s="7">
        <v>30682</v>
      </c>
      <c r="S531" s="8">
        <f t="shared" si="64"/>
        <v>1984</v>
      </c>
      <c r="T531" s="8">
        <v>1984</v>
      </c>
      <c r="U531" s="8">
        <f t="shared" si="65"/>
        <v>38</v>
      </c>
      <c r="V531" s="7" t="s">
        <v>1817</v>
      </c>
      <c r="W531" t="s">
        <v>364</v>
      </c>
      <c r="X531" s="2">
        <v>0.14099999999999999</v>
      </c>
      <c r="Y531" s="6">
        <f t="shared" si="70"/>
        <v>3.7639144710498915E-3</v>
      </c>
      <c r="AA531">
        <v>402508</v>
      </c>
      <c r="AB531">
        <v>20868</v>
      </c>
      <c r="AD531" t="s">
        <v>4</v>
      </c>
      <c r="AE531" t="s">
        <v>1941</v>
      </c>
      <c r="AF531">
        <v>4</v>
      </c>
      <c r="AH531" t="s">
        <v>1940</v>
      </c>
      <c r="AI531" t="s">
        <v>1939</v>
      </c>
      <c r="AK531" t="s">
        <v>1938</v>
      </c>
      <c r="AL531">
        <v>0</v>
      </c>
      <c r="AM531" s="5">
        <f t="shared" si="66"/>
        <v>0</v>
      </c>
      <c r="AN531" s="4">
        <f t="shared" si="71"/>
        <v>0</v>
      </c>
      <c r="AO531" s="3"/>
      <c r="AP531">
        <v>0</v>
      </c>
      <c r="AR531" t="s">
        <v>0</v>
      </c>
      <c r="AT531" s="2" t="s">
        <v>45</v>
      </c>
      <c r="AU531" s="1">
        <f t="shared" si="67"/>
        <v>0.26347401297349238</v>
      </c>
      <c r="AV531" s="1">
        <f t="shared" si="68"/>
        <v>0.18819572355249459</v>
      </c>
      <c r="AW531" s="1">
        <f t="shared" si="69"/>
        <v>0.11291743413149673</v>
      </c>
    </row>
    <row r="532" spans="1:49" x14ac:dyDescent="0.2">
      <c r="A532">
        <v>530</v>
      </c>
      <c r="B532" t="s">
        <v>1937</v>
      </c>
      <c r="C532" t="s">
        <v>1936</v>
      </c>
      <c r="F532" t="s">
        <v>1935</v>
      </c>
      <c r="G532" t="s">
        <v>13</v>
      </c>
      <c r="H532" t="s">
        <v>12</v>
      </c>
      <c r="I532" t="s">
        <v>1934</v>
      </c>
      <c r="J532" t="s">
        <v>1929</v>
      </c>
      <c r="K532" t="s">
        <v>1933</v>
      </c>
      <c r="L532" t="s">
        <v>1932</v>
      </c>
      <c r="M532" t="s">
        <v>206</v>
      </c>
      <c r="N532">
        <v>2</v>
      </c>
      <c r="O532" t="s">
        <v>1931</v>
      </c>
      <c r="P532" t="s">
        <v>1930</v>
      </c>
      <c r="Q532" t="s">
        <v>1929</v>
      </c>
      <c r="R532" s="7">
        <v>30682</v>
      </c>
      <c r="S532" s="8">
        <f t="shared" si="64"/>
        <v>1984</v>
      </c>
      <c r="T532" s="8">
        <v>1984</v>
      </c>
      <c r="U532" s="8">
        <f t="shared" si="65"/>
        <v>38</v>
      </c>
      <c r="V532" s="7">
        <v>30773</v>
      </c>
      <c r="W532" t="s">
        <v>380</v>
      </c>
      <c r="X532" s="2">
        <v>1.6519999999999999</v>
      </c>
      <c r="Y532" s="6">
        <f t="shared" si="70"/>
        <v>4.409919649769093E-2</v>
      </c>
      <c r="AA532" t="s">
        <v>379</v>
      </c>
      <c r="AB532">
        <v>17337</v>
      </c>
      <c r="AC532">
        <v>15582221</v>
      </c>
      <c r="AD532" t="s">
        <v>4</v>
      </c>
      <c r="AE532">
        <v>32</v>
      </c>
      <c r="AF532">
        <v>4</v>
      </c>
      <c r="AH532" t="s">
        <v>1928</v>
      </c>
      <c r="AI532" t="s">
        <v>1927</v>
      </c>
      <c r="AK532" t="s">
        <v>1926</v>
      </c>
      <c r="AL532">
        <v>3</v>
      </c>
      <c r="AM532" s="5">
        <f t="shared" si="66"/>
        <v>7.8947368421052627E-2</v>
      </c>
      <c r="AN532" s="4">
        <f t="shared" si="71"/>
        <v>1.1957193248171546E-4</v>
      </c>
      <c r="AO532" s="3"/>
      <c r="AP532">
        <v>0</v>
      </c>
      <c r="AR532" t="s">
        <v>0</v>
      </c>
      <c r="AT532" s="2" t="s">
        <v>45</v>
      </c>
      <c r="AU532" s="1">
        <f t="shared" si="67"/>
        <v>3.0905309128128167</v>
      </c>
      <c r="AV532" s="1">
        <f t="shared" si="68"/>
        <v>2.2109384215086325</v>
      </c>
      <c r="AW532" s="1">
        <f t="shared" si="69"/>
        <v>1.3313459302044479</v>
      </c>
    </row>
    <row r="533" spans="1:49" x14ac:dyDescent="0.2">
      <c r="A533">
        <v>531</v>
      </c>
      <c r="B533" t="s">
        <v>1925</v>
      </c>
      <c r="C533" t="s">
        <v>1924</v>
      </c>
      <c r="F533" t="s">
        <v>1923</v>
      </c>
      <c r="G533" t="s">
        <v>13</v>
      </c>
      <c r="H533" t="s">
        <v>12</v>
      </c>
      <c r="I533" t="s">
        <v>1922</v>
      </c>
      <c r="J533">
        <v>60030821</v>
      </c>
      <c r="K533" t="s">
        <v>1921</v>
      </c>
      <c r="L533" t="s">
        <v>1920</v>
      </c>
      <c r="M533" t="s">
        <v>56</v>
      </c>
      <c r="N533">
        <v>2</v>
      </c>
      <c r="O533" t="s">
        <v>1919</v>
      </c>
      <c r="P533" t="s">
        <v>1918</v>
      </c>
      <c r="Q533" t="s">
        <v>1917</v>
      </c>
      <c r="R533" s="7">
        <v>30682</v>
      </c>
      <c r="S533" s="8">
        <f t="shared" si="64"/>
        <v>1984</v>
      </c>
      <c r="T533" s="8">
        <v>1984</v>
      </c>
      <c r="U533" s="8">
        <f t="shared" si="65"/>
        <v>38</v>
      </c>
      <c r="V533" s="7">
        <v>30773</v>
      </c>
      <c r="W533" t="s">
        <v>380</v>
      </c>
      <c r="X533" s="2">
        <v>1.6519999999999999</v>
      </c>
      <c r="Y533" s="6">
        <f t="shared" si="70"/>
        <v>4.409919649769093E-2</v>
      </c>
      <c r="AA533" t="s">
        <v>379</v>
      </c>
      <c r="AB533">
        <v>17337</v>
      </c>
      <c r="AC533">
        <v>15582221</v>
      </c>
      <c r="AD533" t="s">
        <v>4</v>
      </c>
      <c r="AE533">
        <v>32</v>
      </c>
      <c r="AF533">
        <v>4</v>
      </c>
      <c r="AH533" t="s">
        <v>1916</v>
      </c>
      <c r="AI533" t="s">
        <v>1915</v>
      </c>
      <c r="AK533" t="s">
        <v>1914</v>
      </c>
      <c r="AL533">
        <v>1</v>
      </c>
      <c r="AM533" s="5">
        <f t="shared" si="66"/>
        <v>2.6315789473684209E-2</v>
      </c>
      <c r="AN533" s="4">
        <f t="shared" si="71"/>
        <v>3.9857310827238481E-5</v>
      </c>
      <c r="AO533" s="3"/>
      <c r="AP533">
        <v>0</v>
      </c>
      <c r="AR533" t="s">
        <v>0</v>
      </c>
      <c r="AT533" s="2" t="s">
        <v>45</v>
      </c>
      <c r="AU533" s="1">
        <f t="shared" si="67"/>
        <v>3.088139474163182</v>
      </c>
      <c r="AV533" s="1">
        <f t="shared" si="68"/>
        <v>2.2069526904259082</v>
      </c>
      <c r="AW533" s="1">
        <f t="shared" si="69"/>
        <v>1.3257659066886345</v>
      </c>
    </row>
    <row r="534" spans="1:49" x14ac:dyDescent="0.2">
      <c r="A534">
        <v>532</v>
      </c>
      <c r="B534" t="s">
        <v>1913</v>
      </c>
      <c r="C534" t="s">
        <v>1912</v>
      </c>
      <c r="F534" t="s">
        <v>1911</v>
      </c>
      <c r="G534" t="s">
        <v>13</v>
      </c>
      <c r="H534" t="s">
        <v>12</v>
      </c>
      <c r="I534" t="s">
        <v>646</v>
      </c>
      <c r="J534">
        <v>60030526</v>
      </c>
      <c r="K534" t="s">
        <v>645</v>
      </c>
      <c r="L534" t="s">
        <v>644</v>
      </c>
      <c r="M534" t="s">
        <v>643</v>
      </c>
      <c r="N534">
        <v>4</v>
      </c>
      <c r="O534" t="s">
        <v>1910</v>
      </c>
      <c r="P534" t="s">
        <v>1909</v>
      </c>
      <c r="Q534" t="s">
        <v>1908</v>
      </c>
      <c r="R534" s="7">
        <v>30682</v>
      </c>
      <c r="S534" s="8">
        <f t="shared" si="64"/>
        <v>1984</v>
      </c>
      <c r="T534" s="8">
        <v>1984</v>
      </c>
      <c r="U534" s="8">
        <f t="shared" si="65"/>
        <v>38</v>
      </c>
      <c r="V534" s="7">
        <v>30773</v>
      </c>
      <c r="W534" t="s">
        <v>380</v>
      </c>
      <c r="X534" s="2">
        <v>1.6519999999999999</v>
      </c>
      <c r="Y534" s="6">
        <f t="shared" si="70"/>
        <v>4.409919649769093E-2</v>
      </c>
      <c r="AA534" t="s">
        <v>379</v>
      </c>
      <c r="AB534">
        <v>17337</v>
      </c>
      <c r="AC534">
        <v>15582221</v>
      </c>
      <c r="AD534" t="s">
        <v>4</v>
      </c>
      <c r="AE534">
        <v>32</v>
      </c>
      <c r="AF534">
        <v>4</v>
      </c>
      <c r="AH534" t="s">
        <v>1907</v>
      </c>
      <c r="AI534" t="s">
        <v>1906</v>
      </c>
      <c r="AK534" t="s">
        <v>1905</v>
      </c>
      <c r="AL534">
        <v>88</v>
      </c>
      <c r="AM534" s="5">
        <f t="shared" si="66"/>
        <v>2.3157894736842106</v>
      </c>
      <c r="AN534" s="4">
        <f t="shared" si="71"/>
        <v>3.5074433527969868E-3</v>
      </c>
      <c r="AO534" s="3"/>
      <c r="AP534">
        <v>0</v>
      </c>
      <c r="AR534" t="s">
        <v>0</v>
      </c>
      <c r="AT534" s="2" t="s">
        <v>45</v>
      </c>
      <c r="AU534" s="1">
        <f t="shared" si="67"/>
        <v>3.1921670554222743</v>
      </c>
      <c r="AV534" s="1">
        <f t="shared" si="68"/>
        <v>2.380331992524396</v>
      </c>
      <c r="AW534" s="1">
        <f t="shared" si="69"/>
        <v>1.5684969296265168</v>
      </c>
    </row>
    <row r="535" spans="1:49" x14ac:dyDescent="0.2">
      <c r="A535">
        <v>533</v>
      </c>
      <c r="B535" t="s">
        <v>1904</v>
      </c>
      <c r="C535" t="s">
        <v>1903</v>
      </c>
      <c r="F535" t="s">
        <v>1902</v>
      </c>
      <c r="G535" t="s">
        <v>13</v>
      </c>
      <c r="H535" t="s">
        <v>12</v>
      </c>
      <c r="I535" t="s">
        <v>1901</v>
      </c>
      <c r="J535">
        <v>60025778</v>
      </c>
      <c r="K535" t="s">
        <v>258</v>
      </c>
      <c r="L535" t="s">
        <v>257</v>
      </c>
      <c r="M535" t="s">
        <v>56</v>
      </c>
      <c r="N535">
        <v>1</v>
      </c>
      <c r="O535" t="s">
        <v>1900</v>
      </c>
      <c r="P535">
        <v>7202900529</v>
      </c>
      <c r="Q535">
        <v>60025778</v>
      </c>
      <c r="R535" s="7">
        <v>30682</v>
      </c>
      <c r="S535" s="8">
        <f t="shared" si="64"/>
        <v>1984</v>
      </c>
      <c r="T535" s="8">
        <v>1984</v>
      </c>
      <c r="U535" s="8">
        <f t="shared" si="65"/>
        <v>38</v>
      </c>
      <c r="V535" s="7">
        <v>30773</v>
      </c>
      <c r="W535" t="s">
        <v>380</v>
      </c>
      <c r="X535" s="2">
        <v>1.6519999999999999</v>
      </c>
      <c r="Y535" s="6">
        <f t="shared" si="70"/>
        <v>4.409919649769093E-2</v>
      </c>
      <c r="AA535" t="s">
        <v>379</v>
      </c>
      <c r="AB535">
        <v>17337</v>
      </c>
      <c r="AC535">
        <v>15582221</v>
      </c>
      <c r="AD535" t="s">
        <v>4</v>
      </c>
      <c r="AE535">
        <v>32</v>
      </c>
      <c r="AF535">
        <v>4</v>
      </c>
      <c r="AH535" t="s">
        <v>1899</v>
      </c>
      <c r="AI535" t="s">
        <v>1898</v>
      </c>
      <c r="AK535" t="s">
        <v>1897</v>
      </c>
      <c r="AL535">
        <v>2</v>
      </c>
      <c r="AM535" s="5">
        <f t="shared" si="66"/>
        <v>5.2631578947368418E-2</v>
      </c>
      <c r="AN535" s="4">
        <f t="shared" si="71"/>
        <v>7.9714621654476962E-5</v>
      </c>
      <c r="AO535" s="3"/>
      <c r="AP535">
        <v>0</v>
      </c>
      <c r="AR535" t="s">
        <v>0</v>
      </c>
      <c r="AT535" s="2" t="s">
        <v>45</v>
      </c>
      <c r="AU535" s="1">
        <f t="shared" si="67"/>
        <v>3.0893351934879991</v>
      </c>
      <c r="AV535" s="1">
        <f t="shared" si="68"/>
        <v>2.2089455559672704</v>
      </c>
      <c r="AW535" s="1">
        <f t="shared" si="69"/>
        <v>1.3285559184465412</v>
      </c>
    </row>
    <row r="536" spans="1:49" x14ac:dyDescent="0.2">
      <c r="A536">
        <v>534</v>
      </c>
      <c r="B536" t="s">
        <v>1896</v>
      </c>
      <c r="C536" t="s">
        <v>1895</v>
      </c>
      <c r="F536" t="s">
        <v>1894</v>
      </c>
      <c r="G536" t="s">
        <v>13</v>
      </c>
      <c r="H536" t="s">
        <v>12</v>
      </c>
      <c r="I536" t="s">
        <v>306</v>
      </c>
      <c r="J536">
        <v>60001777</v>
      </c>
      <c r="K536" t="s">
        <v>1893</v>
      </c>
      <c r="L536" t="s">
        <v>1892</v>
      </c>
      <c r="M536" t="s">
        <v>56</v>
      </c>
      <c r="N536">
        <v>2</v>
      </c>
      <c r="O536" t="s">
        <v>1891</v>
      </c>
      <c r="P536" t="s">
        <v>1890</v>
      </c>
      <c r="Q536" t="s">
        <v>1889</v>
      </c>
      <c r="R536" s="7">
        <v>30682</v>
      </c>
      <c r="S536" s="8">
        <f t="shared" si="64"/>
        <v>1984</v>
      </c>
      <c r="T536" s="8">
        <v>1984</v>
      </c>
      <c r="U536" s="8">
        <f t="shared" si="65"/>
        <v>38</v>
      </c>
      <c r="V536" s="7">
        <v>30773</v>
      </c>
      <c r="W536" t="s">
        <v>380</v>
      </c>
      <c r="X536" s="2">
        <v>1.6519999999999999</v>
      </c>
      <c r="Y536" s="6">
        <f t="shared" si="70"/>
        <v>4.409919649769093E-2</v>
      </c>
      <c r="AA536" t="s">
        <v>379</v>
      </c>
      <c r="AB536">
        <v>17337</v>
      </c>
      <c r="AC536">
        <v>15582221</v>
      </c>
      <c r="AD536" t="s">
        <v>4</v>
      </c>
      <c r="AE536">
        <v>32</v>
      </c>
      <c r="AF536">
        <v>4</v>
      </c>
      <c r="AH536" t="s">
        <v>1888</v>
      </c>
      <c r="AI536" t="s">
        <v>1887</v>
      </c>
      <c r="AK536" t="s">
        <v>1886</v>
      </c>
      <c r="AL536">
        <v>68</v>
      </c>
      <c r="AM536" s="5">
        <f t="shared" si="66"/>
        <v>1.7894736842105263</v>
      </c>
      <c r="AN536" s="4">
        <f t="shared" si="71"/>
        <v>2.7102971362522169E-3</v>
      </c>
      <c r="AO536" s="3"/>
      <c r="AP536">
        <v>0</v>
      </c>
      <c r="AR536" t="s">
        <v>0</v>
      </c>
      <c r="AT536" s="2" t="s">
        <v>45</v>
      </c>
      <c r="AU536" s="1">
        <f t="shared" si="67"/>
        <v>3.1682526689259318</v>
      </c>
      <c r="AV536" s="1">
        <f t="shared" si="68"/>
        <v>2.3404746816971573</v>
      </c>
      <c r="AW536" s="1">
        <f t="shared" si="69"/>
        <v>1.5126966944683831</v>
      </c>
    </row>
    <row r="537" spans="1:49" x14ac:dyDescent="0.2">
      <c r="A537">
        <v>535</v>
      </c>
      <c r="B537" t="s">
        <v>1885</v>
      </c>
      <c r="C537" t="s">
        <v>1884</v>
      </c>
      <c r="F537" t="s">
        <v>1883</v>
      </c>
      <c r="G537" t="s">
        <v>13</v>
      </c>
      <c r="H537" t="s">
        <v>12</v>
      </c>
      <c r="I537" t="s">
        <v>1882</v>
      </c>
      <c r="N537">
        <v>2</v>
      </c>
      <c r="O537" t="s">
        <v>1881</v>
      </c>
      <c r="P537" t="s">
        <v>1880</v>
      </c>
      <c r="Q537" t="s">
        <v>266</v>
      </c>
      <c r="R537" s="7">
        <v>30682</v>
      </c>
      <c r="S537" s="8">
        <f t="shared" si="64"/>
        <v>1984</v>
      </c>
      <c r="T537" s="8">
        <v>1984</v>
      </c>
      <c r="U537" s="8">
        <f t="shared" si="65"/>
        <v>38</v>
      </c>
      <c r="V537" s="7" t="s">
        <v>1817</v>
      </c>
      <c r="W537" s="11" t="s">
        <v>1146</v>
      </c>
      <c r="X537" s="2">
        <v>2.383</v>
      </c>
      <c r="Y537" s="6">
        <f t="shared" si="70"/>
        <v>6.3612824003630442E-2</v>
      </c>
      <c r="AA537">
        <v>1437097</v>
      </c>
      <c r="AB537">
        <v>101236</v>
      </c>
      <c r="AD537" t="s">
        <v>4</v>
      </c>
      <c r="AE537">
        <v>131</v>
      </c>
      <c r="AF537">
        <v>2</v>
      </c>
      <c r="AH537" t="s">
        <v>1879</v>
      </c>
      <c r="AI537" t="s">
        <v>1878</v>
      </c>
      <c r="AK537" t="s">
        <v>1877</v>
      </c>
      <c r="AL537">
        <v>1</v>
      </c>
      <c r="AM537" s="5">
        <f t="shared" si="66"/>
        <v>2.6315789473684209E-2</v>
      </c>
      <c r="AN537" s="4">
        <f t="shared" si="71"/>
        <v>3.9857310827238481E-5</v>
      </c>
      <c r="AO537" s="3"/>
      <c r="AP537">
        <v>0</v>
      </c>
      <c r="AR537" t="s">
        <v>0</v>
      </c>
      <c r="AT537" s="2" t="s">
        <v>45</v>
      </c>
      <c r="AU537" s="1">
        <f t="shared" si="67"/>
        <v>4.454093399578948</v>
      </c>
      <c r="AV537" s="1">
        <f t="shared" si="68"/>
        <v>3.1826340657228842</v>
      </c>
      <c r="AW537" s="1">
        <f t="shared" si="69"/>
        <v>1.9111747318668197</v>
      </c>
    </row>
    <row r="538" spans="1:49" x14ac:dyDescent="0.2">
      <c r="A538">
        <v>536</v>
      </c>
      <c r="B538" t="s">
        <v>1876</v>
      </c>
      <c r="C538" t="s">
        <v>1875</v>
      </c>
      <c r="F538" t="s">
        <v>1874</v>
      </c>
      <c r="G538" t="s">
        <v>13</v>
      </c>
      <c r="H538" t="s">
        <v>12</v>
      </c>
      <c r="I538" t="s">
        <v>1873</v>
      </c>
      <c r="N538">
        <v>1</v>
      </c>
      <c r="O538" t="s">
        <v>1872</v>
      </c>
      <c r="P538">
        <v>57195975290</v>
      </c>
      <c r="R538" s="7">
        <v>30682</v>
      </c>
      <c r="S538" s="8">
        <f t="shared" si="64"/>
        <v>1984</v>
      </c>
      <c r="T538" s="8">
        <v>1984</v>
      </c>
      <c r="U538" s="8">
        <f t="shared" si="65"/>
        <v>38</v>
      </c>
      <c r="V538" s="7" t="s">
        <v>1817</v>
      </c>
      <c r="W538" s="11" t="s">
        <v>1146</v>
      </c>
      <c r="X538" s="2">
        <v>2.383</v>
      </c>
      <c r="Y538" s="6">
        <f t="shared" si="70"/>
        <v>6.3612824003630442E-2</v>
      </c>
      <c r="AA538">
        <v>1437097</v>
      </c>
      <c r="AB538">
        <v>101236</v>
      </c>
      <c r="AD538" t="s">
        <v>4</v>
      </c>
      <c r="AE538">
        <v>131</v>
      </c>
      <c r="AF538">
        <v>2</v>
      </c>
      <c r="AH538" t="s">
        <v>1871</v>
      </c>
      <c r="AI538" t="s">
        <v>1870</v>
      </c>
      <c r="AK538" t="s">
        <v>1869</v>
      </c>
      <c r="AL538">
        <v>1</v>
      </c>
      <c r="AM538" s="5">
        <f t="shared" si="66"/>
        <v>2.6315789473684209E-2</v>
      </c>
      <c r="AN538" s="4">
        <f t="shared" si="71"/>
        <v>3.9857310827238481E-5</v>
      </c>
      <c r="AO538" s="3"/>
      <c r="AP538">
        <v>0</v>
      </c>
      <c r="AR538" t="s">
        <v>0</v>
      </c>
      <c r="AT538" s="2" t="s">
        <v>45</v>
      </c>
      <c r="AU538" s="1">
        <f t="shared" si="67"/>
        <v>4.454093399578948</v>
      </c>
      <c r="AV538" s="1">
        <f t="shared" si="68"/>
        <v>3.1826340657228842</v>
      </c>
      <c r="AW538" s="1">
        <f t="shared" si="69"/>
        <v>1.9111747318668197</v>
      </c>
    </row>
    <row r="539" spans="1:49" x14ac:dyDescent="0.2">
      <c r="A539">
        <v>537</v>
      </c>
      <c r="B539" t="s">
        <v>1868</v>
      </c>
      <c r="C539" t="s">
        <v>1867</v>
      </c>
      <c r="F539" t="s">
        <v>1866</v>
      </c>
      <c r="G539" t="s">
        <v>13</v>
      </c>
      <c r="H539" t="s">
        <v>12</v>
      </c>
      <c r="I539" t="s">
        <v>1865</v>
      </c>
      <c r="N539">
        <v>3</v>
      </c>
      <c r="O539" t="s">
        <v>1864</v>
      </c>
      <c r="P539" t="s">
        <v>1863</v>
      </c>
      <c r="Q539" t="s">
        <v>8</v>
      </c>
      <c r="R539" s="7">
        <v>30682</v>
      </c>
      <c r="S539" s="8">
        <f t="shared" si="64"/>
        <v>1984</v>
      </c>
      <c r="T539" s="8">
        <v>1984</v>
      </c>
      <c r="U539" s="8">
        <f t="shared" si="65"/>
        <v>38</v>
      </c>
      <c r="V539" s="7" t="s">
        <v>1817</v>
      </c>
      <c r="W539" s="11" t="s">
        <v>1146</v>
      </c>
      <c r="X539" s="2">
        <v>2.383</v>
      </c>
      <c r="Y539" s="6">
        <f t="shared" si="70"/>
        <v>6.3612824003630442E-2</v>
      </c>
      <c r="AA539">
        <v>1437097</v>
      </c>
      <c r="AB539">
        <v>101236</v>
      </c>
      <c r="AD539" t="s">
        <v>4</v>
      </c>
      <c r="AE539">
        <v>131</v>
      </c>
      <c r="AF539">
        <v>2</v>
      </c>
      <c r="AH539" t="s">
        <v>586</v>
      </c>
      <c r="AI539" t="s">
        <v>1862</v>
      </c>
      <c r="AK539" t="s">
        <v>1861</v>
      </c>
      <c r="AL539">
        <v>1</v>
      </c>
      <c r="AM539" s="5">
        <f t="shared" si="66"/>
        <v>2.6315789473684209E-2</v>
      </c>
      <c r="AN539" s="4">
        <f t="shared" si="71"/>
        <v>3.9857310827238481E-5</v>
      </c>
      <c r="AO539" s="3"/>
      <c r="AP539">
        <v>0</v>
      </c>
      <c r="AR539" t="s">
        <v>0</v>
      </c>
      <c r="AT539" s="2" t="s">
        <v>45</v>
      </c>
      <c r="AU539" s="1">
        <f t="shared" si="67"/>
        <v>4.454093399578948</v>
      </c>
      <c r="AV539" s="1">
        <f t="shared" si="68"/>
        <v>3.1826340657228842</v>
      </c>
      <c r="AW539" s="1">
        <f t="shared" si="69"/>
        <v>1.9111747318668197</v>
      </c>
    </row>
    <row r="540" spans="1:49" x14ac:dyDescent="0.2">
      <c r="A540">
        <v>538</v>
      </c>
      <c r="B540" t="s">
        <v>1860</v>
      </c>
      <c r="C540" t="s">
        <v>1859</v>
      </c>
      <c r="F540" t="s">
        <v>1858</v>
      </c>
      <c r="G540" t="s">
        <v>13</v>
      </c>
      <c r="H540" t="s">
        <v>12</v>
      </c>
      <c r="I540" t="s">
        <v>1857</v>
      </c>
      <c r="J540">
        <v>60004176</v>
      </c>
      <c r="K540" t="s">
        <v>1856</v>
      </c>
      <c r="L540" t="s">
        <v>1855</v>
      </c>
      <c r="M540" t="s">
        <v>643</v>
      </c>
      <c r="N540">
        <v>2</v>
      </c>
      <c r="O540" t="s">
        <v>1854</v>
      </c>
      <c r="P540" t="s">
        <v>1853</v>
      </c>
      <c r="Q540" t="s">
        <v>1852</v>
      </c>
      <c r="R540" s="7">
        <v>30682</v>
      </c>
      <c r="S540" s="8">
        <f t="shared" si="64"/>
        <v>1984</v>
      </c>
      <c r="T540" s="8">
        <v>1984</v>
      </c>
      <c r="U540" s="8">
        <f t="shared" si="65"/>
        <v>38</v>
      </c>
      <c r="V540" s="7">
        <v>1984</v>
      </c>
      <c r="W540" t="s">
        <v>756</v>
      </c>
      <c r="X540" s="2">
        <v>0.111</v>
      </c>
      <c r="Y540" s="6">
        <f t="shared" si="70"/>
        <v>2.9630816048690639E-3</v>
      </c>
      <c r="AA540">
        <v>87566621</v>
      </c>
      <c r="AB540">
        <v>24890</v>
      </c>
      <c r="AC540">
        <v>15206424</v>
      </c>
      <c r="AD540" t="s">
        <v>4</v>
      </c>
      <c r="AE540">
        <v>67</v>
      </c>
      <c r="AF540">
        <v>4</v>
      </c>
      <c r="AH540" t="s">
        <v>1851</v>
      </c>
      <c r="AI540" t="s">
        <v>1850</v>
      </c>
      <c r="AK540" t="s">
        <v>1849</v>
      </c>
      <c r="AL540">
        <v>1</v>
      </c>
      <c r="AM540" s="5">
        <f t="shared" si="66"/>
        <v>2.6315789473684209E-2</v>
      </c>
      <c r="AN540" s="4">
        <f t="shared" si="71"/>
        <v>3.9857310827238481E-5</v>
      </c>
      <c r="AO540" s="3"/>
      <c r="AP540">
        <v>0</v>
      </c>
      <c r="AR540" t="s">
        <v>0</v>
      </c>
      <c r="AT540" s="2" t="s">
        <v>45</v>
      </c>
      <c r="AU540" s="1">
        <f t="shared" si="67"/>
        <v>0.2086114316656516</v>
      </c>
      <c r="AV540" s="1">
        <f t="shared" si="68"/>
        <v>0.15014694578481511</v>
      </c>
      <c r="AW540" s="1">
        <f t="shared" si="69"/>
        <v>9.1682459903978594E-2</v>
      </c>
    </row>
    <row r="541" spans="1:49" x14ac:dyDescent="0.2">
      <c r="A541">
        <v>539</v>
      </c>
      <c r="B541" t="s">
        <v>1848</v>
      </c>
      <c r="F541" t="s">
        <v>1847</v>
      </c>
      <c r="G541" t="s">
        <v>13</v>
      </c>
      <c r="H541" t="s">
        <v>12</v>
      </c>
      <c r="I541" t="s">
        <v>1846</v>
      </c>
      <c r="N541">
        <v>1</v>
      </c>
      <c r="O541" t="s">
        <v>1845</v>
      </c>
      <c r="P541">
        <v>6603385317</v>
      </c>
      <c r="R541" s="7">
        <v>30682</v>
      </c>
      <c r="S541" s="8">
        <f t="shared" si="64"/>
        <v>1984</v>
      </c>
      <c r="T541" s="8">
        <v>1984</v>
      </c>
      <c r="U541" s="8">
        <f t="shared" si="65"/>
        <v>38</v>
      </c>
      <c r="V541" s="7" t="s">
        <v>1817</v>
      </c>
      <c r="W541" t="s">
        <v>683</v>
      </c>
      <c r="X541" s="2">
        <v>0.10100000000000001</v>
      </c>
      <c r="Y541" s="6">
        <f t="shared" si="70"/>
        <v>2.6961373161421215E-3</v>
      </c>
      <c r="AA541">
        <v>7452883</v>
      </c>
      <c r="AB541">
        <v>18563</v>
      </c>
      <c r="AD541" t="s">
        <v>4</v>
      </c>
      <c r="AE541">
        <v>23</v>
      </c>
      <c r="AF541">
        <v>4</v>
      </c>
      <c r="AH541" t="s">
        <v>1844</v>
      </c>
      <c r="AI541" t="s">
        <v>1843</v>
      </c>
      <c r="AK541" t="s">
        <v>1842</v>
      </c>
      <c r="AL541">
        <v>0</v>
      </c>
      <c r="AM541" s="5">
        <f t="shared" si="66"/>
        <v>0</v>
      </c>
      <c r="AN541" s="4">
        <f t="shared" si="71"/>
        <v>0</v>
      </c>
      <c r="AO541" s="3"/>
      <c r="AP541">
        <v>0</v>
      </c>
      <c r="AR541" t="s">
        <v>0</v>
      </c>
      <c r="AT541" s="2" t="s">
        <v>45</v>
      </c>
      <c r="AU541" s="1">
        <f t="shared" si="67"/>
        <v>0.18872961212994849</v>
      </c>
      <c r="AV541" s="1">
        <f t="shared" si="68"/>
        <v>0.13480686580710607</v>
      </c>
      <c r="AW541" s="1">
        <f t="shared" si="69"/>
        <v>8.0884119484263647E-2</v>
      </c>
    </row>
    <row r="542" spans="1:49" x14ac:dyDescent="0.2">
      <c r="A542">
        <v>540</v>
      </c>
      <c r="B542" t="s">
        <v>1841</v>
      </c>
      <c r="C542" t="s">
        <v>1840</v>
      </c>
      <c r="F542" t="s">
        <v>1839</v>
      </c>
      <c r="G542" t="s">
        <v>13</v>
      </c>
      <c r="H542" t="s">
        <v>12</v>
      </c>
      <c r="I542" t="s">
        <v>1838</v>
      </c>
      <c r="N542">
        <v>1</v>
      </c>
      <c r="O542" t="s">
        <v>1837</v>
      </c>
      <c r="P542">
        <v>7003989752</v>
      </c>
      <c r="R542" s="7">
        <v>30682</v>
      </c>
      <c r="S542" s="8">
        <f t="shared" si="64"/>
        <v>1984</v>
      </c>
      <c r="T542" s="8">
        <v>1984</v>
      </c>
      <c r="U542" s="8">
        <f t="shared" si="65"/>
        <v>38</v>
      </c>
      <c r="V542" s="7">
        <v>30773</v>
      </c>
      <c r="W542" t="s">
        <v>1171</v>
      </c>
      <c r="X542" s="2" t="s">
        <v>45</v>
      </c>
      <c r="Y542" s="6" t="e">
        <f t="shared" si="70"/>
        <v>#VALUE!</v>
      </c>
      <c r="AA542" t="s">
        <v>1170</v>
      </c>
      <c r="AB542">
        <v>58005</v>
      </c>
      <c r="AC542">
        <v>15387305</v>
      </c>
      <c r="AD542" t="s">
        <v>4</v>
      </c>
      <c r="AE542">
        <v>63</v>
      </c>
      <c r="AF542">
        <v>4</v>
      </c>
      <c r="AH542" t="s">
        <v>1836</v>
      </c>
      <c r="AI542" t="s">
        <v>1835</v>
      </c>
      <c r="AK542" t="s">
        <v>1834</v>
      </c>
      <c r="AL542">
        <v>2</v>
      </c>
      <c r="AM542" s="5">
        <f t="shared" si="66"/>
        <v>5.2631578947368418E-2</v>
      </c>
      <c r="AN542" s="4">
        <f t="shared" si="71"/>
        <v>7.9714621654476962E-5</v>
      </c>
      <c r="AO542" s="3"/>
      <c r="AP542">
        <v>0</v>
      </c>
      <c r="AR542" t="s">
        <v>0</v>
      </c>
      <c r="AT542" s="2" t="s">
        <v>45</v>
      </c>
      <c r="AU542" s="1" t="e">
        <f t="shared" si="67"/>
        <v>#VALUE!</v>
      </c>
      <c r="AV542" s="1" t="e">
        <f t="shared" si="68"/>
        <v>#VALUE!</v>
      </c>
      <c r="AW542" s="1" t="e">
        <f t="shared" si="69"/>
        <v>#VALUE!</v>
      </c>
    </row>
    <row r="543" spans="1:49" x14ac:dyDescent="0.2">
      <c r="A543">
        <v>541</v>
      </c>
      <c r="B543" t="s">
        <v>1833</v>
      </c>
      <c r="C543" t="s">
        <v>1832</v>
      </c>
      <c r="F543" t="s">
        <v>1831</v>
      </c>
      <c r="G543" t="s">
        <v>13</v>
      </c>
      <c r="H543" t="s">
        <v>12</v>
      </c>
      <c r="I543" t="s">
        <v>1830</v>
      </c>
      <c r="J543">
        <v>60032139</v>
      </c>
      <c r="K543" t="s">
        <v>1829</v>
      </c>
      <c r="L543" t="s">
        <v>1828</v>
      </c>
      <c r="M543" t="s">
        <v>167</v>
      </c>
      <c r="N543">
        <v>1</v>
      </c>
      <c r="O543" t="s">
        <v>1827</v>
      </c>
      <c r="P543">
        <v>7006568034</v>
      </c>
      <c r="Q543">
        <v>60032139</v>
      </c>
      <c r="R543" s="7">
        <v>30682</v>
      </c>
      <c r="S543" s="8">
        <f t="shared" si="64"/>
        <v>1984</v>
      </c>
      <c r="T543" s="8">
        <v>1984</v>
      </c>
      <c r="U543" s="8">
        <f t="shared" si="65"/>
        <v>38</v>
      </c>
      <c r="V543" s="7">
        <v>30773</v>
      </c>
      <c r="W543" s="11" t="s">
        <v>1313</v>
      </c>
      <c r="X543" s="2">
        <v>2.383</v>
      </c>
      <c r="Y543" s="6">
        <f t="shared" si="70"/>
        <v>6.3612824003630442E-2</v>
      </c>
      <c r="AA543">
        <v>1437070</v>
      </c>
      <c r="AB543">
        <v>39742</v>
      </c>
      <c r="AD543" t="s">
        <v>4</v>
      </c>
      <c r="AE543">
        <v>131</v>
      </c>
      <c r="AF543">
        <v>2</v>
      </c>
      <c r="AH543" t="s">
        <v>1826</v>
      </c>
      <c r="AI543" t="s">
        <v>1825</v>
      </c>
      <c r="AJ543" t="s">
        <v>1824</v>
      </c>
      <c r="AK543" t="s">
        <v>1823</v>
      </c>
      <c r="AL543">
        <v>1</v>
      </c>
      <c r="AM543" s="5">
        <f t="shared" si="66"/>
        <v>2.6315789473684209E-2</v>
      </c>
      <c r="AN543" s="4">
        <f t="shared" si="71"/>
        <v>3.9857310827238481E-5</v>
      </c>
      <c r="AO543" s="3"/>
      <c r="AP543">
        <v>0</v>
      </c>
      <c r="AR543" t="s">
        <v>0</v>
      </c>
      <c r="AT543" s="2" t="s">
        <v>45</v>
      </c>
      <c r="AU543" s="1">
        <f t="shared" si="67"/>
        <v>4.454093399578948</v>
      </c>
      <c r="AV543" s="1">
        <f t="shared" si="68"/>
        <v>3.1826340657228842</v>
      </c>
      <c r="AW543" s="1">
        <f t="shared" si="69"/>
        <v>1.9111747318668197</v>
      </c>
    </row>
    <row r="544" spans="1:49" x14ac:dyDescent="0.2">
      <c r="A544">
        <v>542</v>
      </c>
      <c r="B544" t="s">
        <v>1822</v>
      </c>
      <c r="F544" t="s">
        <v>1821</v>
      </c>
      <c r="G544" t="s">
        <v>13</v>
      </c>
      <c r="H544" t="s">
        <v>12</v>
      </c>
      <c r="I544" t="s">
        <v>1820</v>
      </c>
      <c r="N544">
        <v>2</v>
      </c>
      <c r="O544" t="s">
        <v>1819</v>
      </c>
      <c r="P544" t="s">
        <v>1818</v>
      </c>
      <c r="Q544" t="s">
        <v>266</v>
      </c>
      <c r="R544" s="7">
        <v>30682</v>
      </c>
      <c r="S544" s="8">
        <f t="shared" si="64"/>
        <v>1984</v>
      </c>
      <c r="T544" s="8">
        <v>1984</v>
      </c>
      <c r="U544" s="8">
        <f t="shared" si="65"/>
        <v>38</v>
      </c>
      <c r="V544" s="7" t="s">
        <v>1817</v>
      </c>
      <c r="W544" t="s">
        <v>1816</v>
      </c>
      <c r="X544" s="2">
        <v>0.11600000000000001</v>
      </c>
      <c r="Y544" s="6">
        <f t="shared" si="70"/>
        <v>3.0965537492325355E-3</v>
      </c>
      <c r="AA544">
        <v>7311230</v>
      </c>
      <c r="AB544">
        <v>12865</v>
      </c>
      <c r="AD544" t="s">
        <v>4</v>
      </c>
      <c r="AE544">
        <v>18</v>
      </c>
      <c r="AF544">
        <v>4</v>
      </c>
      <c r="AH544" t="s">
        <v>1815</v>
      </c>
      <c r="AI544" t="s">
        <v>1814</v>
      </c>
      <c r="AK544" t="s">
        <v>1813</v>
      </c>
      <c r="AL544">
        <v>1</v>
      </c>
      <c r="AM544" s="5">
        <f t="shared" si="66"/>
        <v>2.6315789473684209E-2</v>
      </c>
      <c r="AN544" s="4">
        <f t="shared" si="71"/>
        <v>3.9857310827238481E-5</v>
      </c>
      <c r="AO544" s="3"/>
      <c r="AP544">
        <v>0</v>
      </c>
      <c r="AR544" t="s">
        <v>0</v>
      </c>
      <c r="AT544" s="2" t="s">
        <v>45</v>
      </c>
      <c r="AU544" s="1">
        <f t="shared" si="67"/>
        <v>0.21795448177109467</v>
      </c>
      <c r="AV544" s="1">
        <f t="shared" si="68"/>
        <v>0.15682055300298869</v>
      </c>
      <c r="AW544" s="1">
        <f t="shared" si="69"/>
        <v>9.568662423488275E-2</v>
      </c>
    </row>
    <row r="545" spans="1:49" x14ac:dyDescent="0.2">
      <c r="A545">
        <v>543</v>
      </c>
      <c r="B545" t="s">
        <v>1812</v>
      </c>
      <c r="F545" t="s">
        <v>1811</v>
      </c>
      <c r="G545" t="s">
        <v>13</v>
      </c>
      <c r="H545" t="s">
        <v>12</v>
      </c>
      <c r="I545" t="s">
        <v>1810</v>
      </c>
      <c r="N545">
        <v>1</v>
      </c>
      <c r="O545" t="s">
        <v>1809</v>
      </c>
      <c r="P545">
        <v>6507670248</v>
      </c>
      <c r="R545" s="7">
        <v>30682</v>
      </c>
      <c r="S545" s="8">
        <f t="shared" si="64"/>
        <v>1984</v>
      </c>
      <c r="T545" s="8">
        <v>1984</v>
      </c>
      <c r="U545" s="8">
        <f t="shared" si="65"/>
        <v>38</v>
      </c>
      <c r="V545" s="7" t="s">
        <v>1712</v>
      </c>
      <c r="W545" t="s">
        <v>1711</v>
      </c>
      <c r="X545" s="2" t="s">
        <v>45</v>
      </c>
      <c r="Y545" s="6" t="e">
        <f t="shared" si="70"/>
        <v>#VALUE!</v>
      </c>
      <c r="AA545">
        <v>959669</v>
      </c>
      <c r="AB545">
        <v>94658</v>
      </c>
      <c r="AD545" t="s">
        <v>4</v>
      </c>
      <c r="AE545">
        <v>14</v>
      </c>
      <c r="AF545">
        <v>1</v>
      </c>
      <c r="AH545" t="s">
        <v>1808</v>
      </c>
      <c r="AI545" t="s">
        <v>1807</v>
      </c>
      <c r="AK545" t="s">
        <v>1806</v>
      </c>
      <c r="AL545">
        <v>1</v>
      </c>
      <c r="AM545" s="5">
        <f t="shared" si="66"/>
        <v>2.6315789473684209E-2</v>
      </c>
      <c r="AN545" s="4">
        <f t="shared" si="71"/>
        <v>3.9857310827238481E-5</v>
      </c>
      <c r="AO545" s="3"/>
      <c r="AP545">
        <v>0</v>
      </c>
      <c r="AR545" t="s">
        <v>0</v>
      </c>
      <c r="AT545" s="2" t="s">
        <v>45</v>
      </c>
      <c r="AU545" s="1" t="e">
        <f t="shared" si="67"/>
        <v>#VALUE!</v>
      </c>
      <c r="AV545" s="1" t="e">
        <f t="shared" si="68"/>
        <v>#VALUE!</v>
      </c>
      <c r="AW545" s="1" t="e">
        <f t="shared" si="69"/>
        <v>#VALUE!</v>
      </c>
    </row>
    <row r="546" spans="1:49" x14ac:dyDescent="0.2">
      <c r="A546">
        <v>544</v>
      </c>
      <c r="B546" t="s">
        <v>1805</v>
      </c>
      <c r="C546" t="s">
        <v>1804</v>
      </c>
      <c r="F546" t="s">
        <v>1803</v>
      </c>
      <c r="G546" t="s">
        <v>13</v>
      </c>
      <c r="H546" t="s">
        <v>12</v>
      </c>
      <c r="I546" t="s">
        <v>1802</v>
      </c>
      <c r="J546">
        <v>60009037</v>
      </c>
      <c r="K546" t="s">
        <v>592</v>
      </c>
      <c r="L546" t="s">
        <v>591</v>
      </c>
      <c r="M546" t="s">
        <v>56</v>
      </c>
      <c r="N546">
        <v>1</v>
      </c>
      <c r="O546" t="s">
        <v>1801</v>
      </c>
      <c r="P546">
        <v>7102110120</v>
      </c>
      <c r="Q546">
        <v>60009037</v>
      </c>
      <c r="R546" s="7">
        <v>30682</v>
      </c>
      <c r="S546" s="8">
        <f t="shared" si="64"/>
        <v>1984</v>
      </c>
      <c r="T546" s="8">
        <v>1984</v>
      </c>
      <c r="U546" s="8">
        <f t="shared" si="65"/>
        <v>38</v>
      </c>
      <c r="V546" s="7">
        <v>30742</v>
      </c>
      <c r="W546" t="s">
        <v>380</v>
      </c>
      <c r="X546" s="2">
        <v>1.6519999999999999</v>
      </c>
      <c r="Y546" s="6">
        <f t="shared" si="70"/>
        <v>4.409919649769093E-2</v>
      </c>
      <c r="AA546" t="s">
        <v>379</v>
      </c>
      <c r="AB546">
        <v>17337</v>
      </c>
      <c r="AC546">
        <v>15582221</v>
      </c>
      <c r="AD546" t="s">
        <v>4</v>
      </c>
      <c r="AE546">
        <v>32</v>
      </c>
      <c r="AF546">
        <v>3</v>
      </c>
      <c r="AH546" t="s">
        <v>1800</v>
      </c>
      <c r="AI546" t="s">
        <v>1799</v>
      </c>
      <c r="AK546" t="s">
        <v>1798</v>
      </c>
      <c r="AL546">
        <v>47</v>
      </c>
      <c r="AM546" s="5">
        <f t="shared" si="66"/>
        <v>1.236842105263158</v>
      </c>
      <c r="AN546" s="4">
        <f t="shared" si="71"/>
        <v>1.8732936088802089E-3</v>
      </c>
      <c r="AO546" s="3"/>
      <c r="AP546">
        <v>0</v>
      </c>
      <c r="AR546" t="s">
        <v>0</v>
      </c>
      <c r="AT546" s="2" t="s">
        <v>45</v>
      </c>
      <c r="AU546" s="1">
        <f t="shared" si="67"/>
        <v>3.1431425631047714</v>
      </c>
      <c r="AV546" s="1">
        <f t="shared" si="68"/>
        <v>2.298624505328557</v>
      </c>
      <c r="AW546" s="1">
        <f t="shared" si="69"/>
        <v>1.4541064475523424</v>
      </c>
    </row>
    <row r="547" spans="1:49" x14ac:dyDescent="0.2">
      <c r="A547">
        <v>545</v>
      </c>
      <c r="B547" t="s">
        <v>1797</v>
      </c>
      <c r="C547" t="s">
        <v>1796</v>
      </c>
      <c r="F547" t="s">
        <v>1795</v>
      </c>
      <c r="G547" t="s">
        <v>13</v>
      </c>
      <c r="H547" t="s">
        <v>12</v>
      </c>
      <c r="I547" t="s">
        <v>1794</v>
      </c>
      <c r="J547">
        <v>60012708</v>
      </c>
      <c r="K547" t="s">
        <v>1793</v>
      </c>
      <c r="L547" t="s">
        <v>1792</v>
      </c>
      <c r="M547" t="s">
        <v>56</v>
      </c>
      <c r="N547">
        <v>1</v>
      </c>
      <c r="O547" t="s">
        <v>1791</v>
      </c>
      <c r="P547">
        <v>6701489034</v>
      </c>
      <c r="Q547">
        <v>60012708</v>
      </c>
      <c r="R547" s="7">
        <v>30682</v>
      </c>
      <c r="S547" s="8">
        <f t="shared" si="64"/>
        <v>1984</v>
      </c>
      <c r="T547" s="8">
        <v>1984</v>
      </c>
      <c r="U547" s="8">
        <f t="shared" si="65"/>
        <v>38</v>
      </c>
      <c r="V547" s="7">
        <v>30742</v>
      </c>
      <c r="W547" t="s">
        <v>380</v>
      </c>
      <c r="X547" s="2">
        <v>1.6519999999999999</v>
      </c>
      <c r="Y547" s="6">
        <f t="shared" si="70"/>
        <v>4.409919649769093E-2</v>
      </c>
      <c r="AA547" t="s">
        <v>379</v>
      </c>
      <c r="AB547">
        <v>17337</v>
      </c>
      <c r="AC547">
        <v>15582221</v>
      </c>
      <c r="AD547" t="s">
        <v>4</v>
      </c>
      <c r="AE547">
        <v>32</v>
      </c>
      <c r="AF547">
        <v>3</v>
      </c>
      <c r="AH547" t="s">
        <v>1790</v>
      </c>
      <c r="AI547" t="s">
        <v>1789</v>
      </c>
      <c r="AK547" t="s">
        <v>1788</v>
      </c>
      <c r="AL547">
        <v>11</v>
      </c>
      <c r="AM547" s="5">
        <f t="shared" si="66"/>
        <v>0.28947368421052633</v>
      </c>
      <c r="AN547" s="4">
        <f t="shared" si="71"/>
        <v>4.3843041909962335E-4</v>
      </c>
      <c r="AO547" s="3"/>
      <c r="AP547">
        <v>0</v>
      </c>
      <c r="AR547" t="s">
        <v>0</v>
      </c>
      <c r="AT547" s="2" t="s">
        <v>45</v>
      </c>
      <c r="AU547" s="1">
        <f t="shared" si="67"/>
        <v>3.1000966674113539</v>
      </c>
      <c r="AV547" s="1">
        <f t="shared" si="68"/>
        <v>2.2268813458395278</v>
      </c>
      <c r="AW547" s="1">
        <f t="shared" si="69"/>
        <v>1.3536660242677014</v>
      </c>
    </row>
    <row r="548" spans="1:49" x14ac:dyDescent="0.2">
      <c r="A548">
        <v>546</v>
      </c>
      <c r="B548" t="s">
        <v>1787</v>
      </c>
      <c r="C548" t="s">
        <v>1786</v>
      </c>
      <c r="F548" t="s">
        <v>1785</v>
      </c>
      <c r="G548" t="s">
        <v>13</v>
      </c>
      <c r="H548" t="s">
        <v>12</v>
      </c>
      <c r="I548" t="s">
        <v>1784</v>
      </c>
      <c r="J548">
        <v>60000745</v>
      </c>
      <c r="K548" t="s">
        <v>1783</v>
      </c>
      <c r="L548" t="s">
        <v>1782</v>
      </c>
      <c r="M548" t="s">
        <v>56</v>
      </c>
      <c r="N548">
        <v>3</v>
      </c>
      <c r="O548" t="s">
        <v>1781</v>
      </c>
      <c r="P548" t="s">
        <v>1780</v>
      </c>
      <c r="Q548" t="s">
        <v>1779</v>
      </c>
      <c r="R548" s="7">
        <v>30682</v>
      </c>
      <c r="S548" s="8">
        <f t="shared" si="64"/>
        <v>1984</v>
      </c>
      <c r="T548" s="8">
        <v>1984</v>
      </c>
      <c r="U548" s="8">
        <f t="shared" si="65"/>
        <v>38</v>
      </c>
      <c r="V548" s="7">
        <v>30742</v>
      </c>
      <c r="W548" t="s">
        <v>380</v>
      </c>
      <c r="X548" s="2">
        <v>1.6519999999999999</v>
      </c>
      <c r="Y548" s="6">
        <f t="shared" si="70"/>
        <v>4.409919649769093E-2</v>
      </c>
      <c r="AA548" t="s">
        <v>379</v>
      </c>
      <c r="AB548">
        <v>17337</v>
      </c>
      <c r="AC548">
        <v>15582221</v>
      </c>
      <c r="AD548" t="s">
        <v>4</v>
      </c>
      <c r="AE548">
        <v>32</v>
      </c>
      <c r="AF548">
        <v>3</v>
      </c>
      <c r="AH548" t="s">
        <v>1778</v>
      </c>
      <c r="AI548" t="s">
        <v>1777</v>
      </c>
      <c r="AK548" t="s">
        <v>1776</v>
      </c>
      <c r="AL548">
        <v>5</v>
      </c>
      <c r="AM548" s="5">
        <f t="shared" si="66"/>
        <v>0.13157894736842105</v>
      </c>
      <c r="AN548" s="4">
        <f t="shared" si="71"/>
        <v>1.9928655413619243E-4</v>
      </c>
      <c r="AO548" s="3"/>
      <c r="AP548">
        <v>0</v>
      </c>
      <c r="AR548" t="s">
        <v>0</v>
      </c>
      <c r="AT548" s="2" t="s">
        <v>45</v>
      </c>
      <c r="AU548" s="1">
        <f t="shared" si="67"/>
        <v>3.0929223514624509</v>
      </c>
      <c r="AV548" s="1">
        <f t="shared" si="68"/>
        <v>2.2149241525913563</v>
      </c>
      <c r="AW548" s="1">
        <f t="shared" si="69"/>
        <v>1.3369259537202611</v>
      </c>
    </row>
    <row r="549" spans="1:49" x14ac:dyDescent="0.2">
      <c r="A549">
        <v>547</v>
      </c>
      <c r="B549" t="s">
        <v>1775</v>
      </c>
      <c r="C549" t="s">
        <v>1774</v>
      </c>
      <c r="F549" t="s">
        <v>1773</v>
      </c>
      <c r="G549" t="s">
        <v>13</v>
      </c>
      <c r="H549" t="s">
        <v>12</v>
      </c>
      <c r="I549" t="s">
        <v>1772</v>
      </c>
      <c r="J549">
        <v>60031004</v>
      </c>
      <c r="K549" t="s">
        <v>1771</v>
      </c>
      <c r="L549" t="s">
        <v>1770</v>
      </c>
      <c r="M549" t="s">
        <v>85</v>
      </c>
      <c r="N549">
        <v>2</v>
      </c>
      <c r="O549" t="s">
        <v>1769</v>
      </c>
      <c r="P549" t="s">
        <v>1768</v>
      </c>
      <c r="Q549" t="s">
        <v>1767</v>
      </c>
      <c r="R549" s="7">
        <v>30682</v>
      </c>
      <c r="S549" s="8">
        <f t="shared" si="64"/>
        <v>1984</v>
      </c>
      <c r="T549" s="8">
        <v>1984</v>
      </c>
      <c r="U549" s="8">
        <f t="shared" si="65"/>
        <v>38</v>
      </c>
      <c r="V549" s="7">
        <v>30742</v>
      </c>
      <c r="W549" t="s">
        <v>380</v>
      </c>
      <c r="X549" s="2">
        <v>1.6519999999999999</v>
      </c>
      <c r="Y549" s="6">
        <f t="shared" si="70"/>
        <v>4.409919649769093E-2</v>
      </c>
      <c r="AA549" t="s">
        <v>379</v>
      </c>
      <c r="AB549">
        <v>17337</v>
      </c>
      <c r="AC549">
        <v>15582221</v>
      </c>
      <c r="AD549" t="s">
        <v>4</v>
      </c>
      <c r="AE549">
        <v>32</v>
      </c>
      <c r="AF549">
        <v>3</v>
      </c>
      <c r="AH549" t="s">
        <v>1766</v>
      </c>
      <c r="AI549" t="s">
        <v>1765</v>
      </c>
      <c r="AK549" t="s">
        <v>1764</v>
      </c>
      <c r="AL549">
        <v>0</v>
      </c>
      <c r="AM549" s="5">
        <f t="shared" si="66"/>
        <v>0</v>
      </c>
      <c r="AN549" s="4">
        <f t="shared" si="71"/>
        <v>0</v>
      </c>
      <c r="AO549" s="3"/>
      <c r="AP549">
        <v>0</v>
      </c>
      <c r="AR549" t="s">
        <v>0</v>
      </c>
      <c r="AT549" s="2" t="s">
        <v>45</v>
      </c>
      <c r="AU549" s="1">
        <f t="shared" si="67"/>
        <v>3.0869437548383649</v>
      </c>
      <c r="AV549" s="1">
        <f t="shared" si="68"/>
        <v>2.2049598248845466</v>
      </c>
      <c r="AW549" s="1">
        <f t="shared" si="69"/>
        <v>1.3229758949307278</v>
      </c>
    </row>
    <row r="550" spans="1:49" x14ac:dyDescent="0.2">
      <c r="A550">
        <v>548</v>
      </c>
      <c r="B550" t="s">
        <v>1763</v>
      </c>
      <c r="C550" t="s">
        <v>1762</v>
      </c>
      <c r="F550" t="s">
        <v>1761</v>
      </c>
      <c r="G550" t="s">
        <v>13</v>
      </c>
      <c r="H550" t="s">
        <v>12</v>
      </c>
      <c r="I550" t="s">
        <v>1760</v>
      </c>
      <c r="J550">
        <v>60005304</v>
      </c>
      <c r="K550" t="s">
        <v>443</v>
      </c>
      <c r="L550" t="s">
        <v>442</v>
      </c>
      <c r="M550" t="s">
        <v>56</v>
      </c>
      <c r="N550">
        <v>3</v>
      </c>
      <c r="O550" t="s">
        <v>1759</v>
      </c>
      <c r="P550" t="s">
        <v>1758</v>
      </c>
      <c r="Q550" t="s">
        <v>1757</v>
      </c>
      <c r="R550" s="7">
        <v>30682</v>
      </c>
      <c r="S550" s="8">
        <f t="shared" si="64"/>
        <v>1984</v>
      </c>
      <c r="T550" s="8">
        <v>1984</v>
      </c>
      <c r="U550" s="8">
        <f t="shared" si="65"/>
        <v>38</v>
      </c>
      <c r="V550" s="7">
        <v>30742</v>
      </c>
      <c r="W550" t="s">
        <v>380</v>
      </c>
      <c r="X550" s="2">
        <v>1.6519999999999999</v>
      </c>
      <c r="Y550" s="6">
        <f t="shared" si="70"/>
        <v>4.409919649769093E-2</v>
      </c>
      <c r="AA550" t="s">
        <v>379</v>
      </c>
      <c r="AB550">
        <v>17337</v>
      </c>
      <c r="AC550">
        <v>15582221</v>
      </c>
      <c r="AD550" t="s">
        <v>4</v>
      </c>
      <c r="AE550">
        <v>32</v>
      </c>
      <c r="AF550">
        <v>3</v>
      </c>
      <c r="AH550" t="s">
        <v>1756</v>
      </c>
      <c r="AI550" t="s">
        <v>1755</v>
      </c>
      <c r="AK550" t="s">
        <v>1754</v>
      </c>
      <c r="AL550">
        <v>2</v>
      </c>
      <c r="AM550" s="5">
        <f t="shared" si="66"/>
        <v>5.2631578947368418E-2</v>
      </c>
      <c r="AN550" s="4">
        <f t="shared" si="71"/>
        <v>7.9714621654476962E-5</v>
      </c>
      <c r="AO550" s="3"/>
      <c r="AP550">
        <v>0</v>
      </c>
      <c r="AR550" t="s">
        <v>0</v>
      </c>
      <c r="AT550" s="2" t="s">
        <v>45</v>
      </c>
      <c r="AU550" s="1">
        <f t="shared" si="67"/>
        <v>3.0893351934879991</v>
      </c>
      <c r="AV550" s="1">
        <f t="shared" si="68"/>
        <v>2.2089455559672704</v>
      </c>
      <c r="AW550" s="1">
        <f t="shared" si="69"/>
        <v>1.3285559184465412</v>
      </c>
    </row>
    <row r="551" spans="1:49" x14ac:dyDescent="0.2">
      <c r="A551">
        <v>549</v>
      </c>
      <c r="B551" t="s">
        <v>1753</v>
      </c>
      <c r="F551" t="s">
        <v>1752</v>
      </c>
      <c r="G551" t="s">
        <v>13</v>
      </c>
      <c r="H551" t="s">
        <v>12</v>
      </c>
      <c r="I551" t="s">
        <v>1751</v>
      </c>
      <c r="N551">
        <v>1</v>
      </c>
      <c r="O551" t="s">
        <v>1750</v>
      </c>
      <c r="P551">
        <v>6602689304</v>
      </c>
      <c r="R551" s="7">
        <v>30682</v>
      </c>
      <c r="S551" s="8">
        <f t="shared" si="64"/>
        <v>1984</v>
      </c>
      <c r="T551" s="8">
        <v>1984</v>
      </c>
      <c r="U551" s="8">
        <f t="shared" si="65"/>
        <v>38</v>
      </c>
      <c r="V551" s="7" t="s">
        <v>1466</v>
      </c>
      <c r="W551" t="s">
        <v>1032</v>
      </c>
      <c r="X551" s="2" t="s">
        <v>45</v>
      </c>
      <c r="Y551" s="6" t="e">
        <f t="shared" si="70"/>
        <v>#VALUE!</v>
      </c>
      <c r="AA551">
        <v>262897</v>
      </c>
      <c r="AB551">
        <v>18580</v>
      </c>
      <c r="AD551" t="s">
        <v>4</v>
      </c>
      <c r="AE551">
        <v>27</v>
      </c>
      <c r="AF551">
        <v>3</v>
      </c>
      <c r="AI551" t="s">
        <v>1749</v>
      </c>
      <c r="AK551" t="s">
        <v>1748</v>
      </c>
      <c r="AL551">
        <v>2</v>
      </c>
      <c r="AM551" s="5">
        <f t="shared" si="66"/>
        <v>5.2631578947368418E-2</v>
      </c>
      <c r="AN551" s="4">
        <f t="shared" si="71"/>
        <v>7.9714621654476962E-5</v>
      </c>
      <c r="AO551" s="3"/>
      <c r="AP551">
        <v>0</v>
      </c>
      <c r="AR551" t="s">
        <v>0</v>
      </c>
      <c r="AT551" s="2">
        <v>0.30599999999999999</v>
      </c>
      <c r="AU551" s="1" t="e">
        <f t="shared" si="67"/>
        <v>#VALUE!</v>
      </c>
      <c r="AV551" s="1" t="e">
        <f t="shared" si="68"/>
        <v>#VALUE!</v>
      </c>
      <c r="AW551" s="1" t="e">
        <f t="shared" si="69"/>
        <v>#VALUE!</v>
      </c>
    </row>
    <row r="552" spans="1:49" x14ac:dyDescent="0.2">
      <c r="A552">
        <v>550</v>
      </c>
      <c r="B552" t="s">
        <v>1747</v>
      </c>
      <c r="F552" t="s">
        <v>1746</v>
      </c>
      <c r="G552" t="s">
        <v>13</v>
      </c>
      <c r="H552" t="s">
        <v>12</v>
      </c>
      <c r="I552" t="s">
        <v>1745</v>
      </c>
      <c r="N552">
        <v>1</v>
      </c>
      <c r="O552" t="s">
        <v>1744</v>
      </c>
      <c r="P552">
        <v>6603295896</v>
      </c>
      <c r="R552" s="7">
        <v>30682</v>
      </c>
      <c r="S552" s="8">
        <f t="shared" si="64"/>
        <v>1984</v>
      </c>
      <c r="T552" s="8">
        <v>1984</v>
      </c>
      <c r="U552" s="8">
        <f t="shared" si="65"/>
        <v>38</v>
      </c>
      <c r="V552" s="7" t="s">
        <v>1466</v>
      </c>
      <c r="W552" t="s">
        <v>1055</v>
      </c>
      <c r="X552" s="2" t="s">
        <v>45</v>
      </c>
      <c r="Y552" s="6" t="e">
        <f t="shared" si="70"/>
        <v>#VALUE!</v>
      </c>
      <c r="AA552">
        <v>337889</v>
      </c>
      <c r="AB552">
        <v>40920</v>
      </c>
      <c r="AD552" t="s">
        <v>4</v>
      </c>
      <c r="AE552">
        <v>29</v>
      </c>
      <c r="AF552">
        <v>3</v>
      </c>
      <c r="AH552" t="s">
        <v>1743</v>
      </c>
      <c r="AI552" t="s">
        <v>1742</v>
      </c>
      <c r="AK552" t="s">
        <v>1741</v>
      </c>
      <c r="AL552">
        <v>0</v>
      </c>
      <c r="AM552" s="5">
        <f t="shared" si="66"/>
        <v>0</v>
      </c>
      <c r="AN552" s="4">
        <f t="shared" si="71"/>
        <v>0</v>
      </c>
      <c r="AO552" s="3"/>
      <c r="AP552">
        <v>0</v>
      </c>
      <c r="AR552" t="s">
        <v>0</v>
      </c>
      <c r="AT552" s="2" t="s">
        <v>45</v>
      </c>
      <c r="AU552" s="1" t="e">
        <f t="shared" si="67"/>
        <v>#VALUE!</v>
      </c>
      <c r="AV552" s="1" t="e">
        <f t="shared" si="68"/>
        <v>#VALUE!</v>
      </c>
      <c r="AW552" s="1" t="e">
        <f t="shared" si="69"/>
        <v>#VALUE!</v>
      </c>
    </row>
    <row r="553" spans="1:49" x14ac:dyDescent="0.2">
      <c r="A553">
        <v>551</v>
      </c>
      <c r="B553" t="s">
        <v>1740</v>
      </c>
      <c r="C553" t="s">
        <v>1739</v>
      </c>
      <c r="F553" t="s">
        <v>1738</v>
      </c>
      <c r="G553" t="s">
        <v>13</v>
      </c>
      <c r="H553" t="s">
        <v>12</v>
      </c>
      <c r="I553" t="s">
        <v>1737</v>
      </c>
      <c r="J553">
        <v>60021032</v>
      </c>
      <c r="K553" t="s">
        <v>1736</v>
      </c>
      <c r="L553" t="s">
        <v>1735</v>
      </c>
      <c r="M553" t="s">
        <v>56</v>
      </c>
      <c r="N553">
        <v>1</v>
      </c>
      <c r="O553" t="s">
        <v>1734</v>
      </c>
      <c r="P553">
        <v>7406739047</v>
      </c>
      <c r="Q553">
        <v>60021032</v>
      </c>
      <c r="R553" s="7">
        <v>30682</v>
      </c>
      <c r="S553" s="8">
        <f t="shared" si="64"/>
        <v>1984</v>
      </c>
      <c r="T553" s="8">
        <v>1984</v>
      </c>
      <c r="U553" s="8">
        <f t="shared" si="65"/>
        <v>38</v>
      </c>
      <c r="V553" s="7">
        <v>30742</v>
      </c>
      <c r="W553" t="s">
        <v>380</v>
      </c>
      <c r="X553" s="2">
        <v>1.6519999999999999</v>
      </c>
      <c r="Y553" s="6">
        <f t="shared" si="70"/>
        <v>4.409919649769093E-2</v>
      </c>
      <c r="AA553" t="s">
        <v>379</v>
      </c>
      <c r="AB553">
        <v>17337</v>
      </c>
      <c r="AC553">
        <v>15582221</v>
      </c>
      <c r="AD553" t="s">
        <v>4</v>
      </c>
      <c r="AE553">
        <v>32</v>
      </c>
      <c r="AF553">
        <v>3</v>
      </c>
      <c r="AH553" t="s">
        <v>1733</v>
      </c>
      <c r="AI553" t="s">
        <v>1732</v>
      </c>
      <c r="AK553" t="s">
        <v>1731</v>
      </c>
      <c r="AL553">
        <v>105</v>
      </c>
      <c r="AM553" s="5">
        <f t="shared" si="66"/>
        <v>2.763157894736842</v>
      </c>
      <c r="AN553" s="4">
        <f t="shared" si="71"/>
        <v>4.1850176368600413E-3</v>
      </c>
      <c r="AO553" s="3"/>
      <c r="AP553">
        <v>0</v>
      </c>
      <c r="AR553" t="s">
        <v>0</v>
      </c>
      <c r="AT553" s="2" t="s">
        <v>45</v>
      </c>
      <c r="AU553" s="1">
        <f t="shared" si="67"/>
        <v>3.2124942839441664</v>
      </c>
      <c r="AV553" s="1">
        <f t="shared" si="68"/>
        <v>2.4142107067275487</v>
      </c>
      <c r="AW553" s="1">
        <f t="shared" si="69"/>
        <v>1.6159271295109308</v>
      </c>
    </row>
    <row r="554" spans="1:49" x14ac:dyDescent="0.2">
      <c r="A554">
        <v>552</v>
      </c>
      <c r="B554" t="s">
        <v>1730</v>
      </c>
      <c r="F554" t="s">
        <v>1729</v>
      </c>
      <c r="G554" t="s">
        <v>13</v>
      </c>
      <c r="H554" t="s">
        <v>12</v>
      </c>
      <c r="I554" t="s">
        <v>1728</v>
      </c>
      <c r="N554">
        <v>2</v>
      </c>
      <c r="O554" t="s">
        <v>1727</v>
      </c>
      <c r="P554" t="s">
        <v>1726</v>
      </c>
      <c r="Q554" t="s">
        <v>266</v>
      </c>
      <c r="R554" s="7">
        <v>30682</v>
      </c>
      <c r="S554" s="8">
        <f t="shared" si="64"/>
        <v>1984</v>
      </c>
      <c r="T554" s="8">
        <v>1984</v>
      </c>
      <c r="U554" s="8">
        <f t="shared" si="65"/>
        <v>38</v>
      </c>
      <c r="V554" s="7" t="s">
        <v>1466</v>
      </c>
      <c r="W554" t="s">
        <v>1055</v>
      </c>
      <c r="X554" s="2" t="s">
        <v>45</v>
      </c>
      <c r="Y554" s="6" t="e">
        <f t="shared" si="70"/>
        <v>#VALUE!</v>
      </c>
      <c r="AA554">
        <v>337889</v>
      </c>
      <c r="AB554">
        <v>40920</v>
      </c>
      <c r="AD554" t="s">
        <v>4</v>
      </c>
      <c r="AE554">
        <v>29</v>
      </c>
      <c r="AF554">
        <v>3</v>
      </c>
      <c r="AH554" t="s">
        <v>1725</v>
      </c>
      <c r="AI554" t="s">
        <v>1724</v>
      </c>
      <c r="AK554" t="s">
        <v>1723</v>
      </c>
      <c r="AL554">
        <v>0</v>
      </c>
      <c r="AM554" s="5">
        <f t="shared" si="66"/>
        <v>0</v>
      </c>
      <c r="AN554" s="4">
        <f t="shared" si="71"/>
        <v>0</v>
      </c>
      <c r="AO554" s="3"/>
      <c r="AP554">
        <v>0</v>
      </c>
      <c r="AR554" t="s">
        <v>0</v>
      </c>
      <c r="AT554" s="2" t="s">
        <v>45</v>
      </c>
      <c r="AU554" s="1" t="e">
        <f t="shared" si="67"/>
        <v>#VALUE!</v>
      </c>
      <c r="AV554" s="1" t="e">
        <f t="shared" si="68"/>
        <v>#VALUE!</v>
      </c>
      <c r="AW554" s="1" t="e">
        <f t="shared" si="69"/>
        <v>#VALUE!</v>
      </c>
    </row>
    <row r="555" spans="1:49" x14ac:dyDescent="0.2">
      <c r="A555">
        <v>553</v>
      </c>
      <c r="B555" t="s">
        <v>1722</v>
      </c>
      <c r="F555" t="s">
        <v>1721</v>
      </c>
      <c r="G555" t="s">
        <v>13</v>
      </c>
      <c r="H555" t="s">
        <v>12</v>
      </c>
      <c r="I555" t="s">
        <v>1720</v>
      </c>
      <c r="N555">
        <v>1</v>
      </c>
      <c r="O555" t="s">
        <v>1719</v>
      </c>
      <c r="P555">
        <v>7202191561</v>
      </c>
      <c r="R555" s="7">
        <v>30682</v>
      </c>
      <c r="S555" s="8">
        <f t="shared" si="64"/>
        <v>1984</v>
      </c>
      <c r="T555" s="8">
        <v>1984</v>
      </c>
      <c r="U555" s="8">
        <f t="shared" si="65"/>
        <v>38</v>
      </c>
      <c r="V555" s="7" t="s">
        <v>1466</v>
      </c>
      <c r="W555" t="s">
        <v>1032</v>
      </c>
      <c r="X555" s="2" t="s">
        <v>45</v>
      </c>
      <c r="Y555" s="6" t="e">
        <f t="shared" si="70"/>
        <v>#VALUE!</v>
      </c>
      <c r="AA555">
        <v>262897</v>
      </c>
      <c r="AB555">
        <v>18580</v>
      </c>
      <c r="AD555" t="s">
        <v>4</v>
      </c>
      <c r="AE555">
        <v>27</v>
      </c>
      <c r="AF555">
        <v>3</v>
      </c>
      <c r="AI555" t="s">
        <v>1718</v>
      </c>
      <c r="AK555" t="s">
        <v>1717</v>
      </c>
      <c r="AL555">
        <v>0</v>
      </c>
      <c r="AM555" s="5">
        <f t="shared" si="66"/>
        <v>0</v>
      </c>
      <c r="AN555" s="4">
        <f t="shared" si="71"/>
        <v>0</v>
      </c>
      <c r="AO555" s="3"/>
      <c r="AP555">
        <v>0</v>
      </c>
      <c r="AR555" t="s">
        <v>0</v>
      </c>
      <c r="AT555" s="2">
        <v>0.30599999999999999</v>
      </c>
      <c r="AU555" s="1" t="e">
        <f t="shared" si="67"/>
        <v>#VALUE!</v>
      </c>
      <c r="AV555" s="1" t="e">
        <f t="shared" si="68"/>
        <v>#VALUE!</v>
      </c>
      <c r="AW555" s="1" t="e">
        <f t="shared" si="69"/>
        <v>#VALUE!</v>
      </c>
    </row>
    <row r="556" spans="1:49" x14ac:dyDescent="0.2">
      <c r="A556">
        <v>554</v>
      </c>
      <c r="B556" t="s">
        <v>1716</v>
      </c>
      <c r="F556" t="s">
        <v>1715</v>
      </c>
      <c r="G556" t="s">
        <v>13</v>
      </c>
      <c r="H556" t="s">
        <v>12</v>
      </c>
      <c r="I556" t="s">
        <v>1714</v>
      </c>
      <c r="N556">
        <v>1</v>
      </c>
      <c r="O556" t="s">
        <v>1713</v>
      </c>
      <c r="P556">
        <v>6601953916</v>
      </c>
      <c r="R556" s="7">
        <v>30682</v>
      </c>
      <c r="S556" s="8">
        <f t="shared" si="64"/>
        <v>1984</v>
      </c>
      <c r="T556" s="8">
        <v>1984</v>
      </c>
      <c r="U556" s="8">
        <f t="shared" si="65"/>
        <v>38</v>
      </c>
      <c r="V556" s="7" t="s">
        <v>1712</v>
      </c>
      <c r="W556" t="s">
        <v>1711</v>
      </c>
      <c r="X556" s="2" t="s">
        <v>45</v>
      </c>
      <c r="Y556" s="6" t="e">
        <f t="shared" si="70"/>
        <v>#VALUE!</v>
      </c>
      <c r="AA556">
        <v>959669</v>
      </c>
      <c r="AB556">
        <v>94658</v>
      </c>
      <c r="AD556" t="s">
        <v>4</v>
      </c>
      <c r="AE556">
        <v>14</v>
      </c>
      <c r="AF556">
        <v>1</v>
      </c>
      <c r="AH556" t="s">
        <v>1710</v>
      </c>
      <c r="AI556" t="s">
        <v>1709</v>
      </c>
      <c r="AK556" t="s">
        <v>1708</v>
      </c>
      <c r="AL556">
        <v>0</v>
      </c>
      <c r="AM556" s="5">
        <f t="shared" si="66"/>
        <v>0</v>
      </c>
      <c r="AN556" s="4">
        <f t="shared" si="71"/>
        <v>0</v>
      </c>
      <c r="AO556" s="3"/>
      <c r="AP556">
        <v>0</v>
      </c>
      <c r="AR556" t="s">
        <v>0</v>
      </c>
      <c r="AT556" s="2" t="s">
        <v>45</v>
      </c>
      <c r="AU556" s="1" t="e">
        <f t="shared" si="67"/>
        <v>#VALUE!</v>
      </c>
      <c r="AV556" s="1" t="e">
        <f t="shared" si="68"/>
        <v>#VALUE!</v>
      </c>
      <c r="AW556" s="1" t="e">
        <f t="shared" si="69"/>
        <v>#VALUE!</v>
      </c>
    </row>
    <row r="557" spans="1:49" x14ac:dyDescent="0.2">
      <c r="A557">
        <v>555</v>
      </c>
      <c r="B557" t="s">
        <v>1707</v>
      </c>
      <c r="C557" t="s">
        <v>1706</v>
      </c>
      <c r="F557" t="s">
        <v>1705</v>
      </c>
      <c r="G557" t="s">
        <v>13</v>
      </c>
      <c r="H557" t="s">
        <v>12</v>
      </c>
      <c r="I557" t="s">
        <v>1704</v>
      </c>
      <c r="J557" t="s">
        <v>1703</v>
      </c>
      <c r="K557" t="s">
        <v>1702</v>
      </c>
      <c r="L557" t="s">
        <v>1701</v>
      </c>
      <c r="M557" t="s">
        <v>1700</v>
      </c>
      <c r="N557">
        <v>4</v>
      </c>
      <c r="O557" t="s">
        <v>1699</v>
      </c>
      <c r="P557" t="s">
        <v>1698</v>
      </c>
      <c r="Q557" t="s">
        <v>1697</v>
      </c>
      <c r="R557" s="7">
        <v>30682</v>
      </c>
      <c r="S557" s="8">
        <f t="shared" si="64"/>
        <v>1984</v>
      </c>
      <c r="T557" s="8">
        <v>1984</v>
      </c>
      <c r="U557" s="8">
        <f t="shared" si="65"/>
        <v>38</v>
      </c>
      <c r="V557" s="7">
        <v>30742</v>
      </c>
      <c r="W557" t="s">
        <v>380</v>
      </c>
      <c r="X557" s="2">
        <v>1.6519999999999999</v>
      </c>
      <c r="Y557" s="6">
        <f t="shared" si="70"/>
        <v>4.409919649769093E-2</v>
      </c>
      <c r="AA557" t="s">
        <v>379</v>
      </c>
      <c r="AB557">
        <v>17337</v>
      </c>
      <c r="AC557">
        <v>15582221</v>
      </c>
      <c r="AD557" t="s">
        <v>4</v>
      </c>
      <c r="AE557">
        <v>32</v>
      </c>
      <c r="AF557">
        <v>3</v>
      </c>
      <c r="AH557" t="s">
        <v>1696</v>
      </c>
      <c r="AI557" t="s">
        <v>1695</v>
      </c>
      <c r="AK557" t="s">
        <v>1694</v>
      </c>
      <c r="AL557">
        <v>5</v>
      </c>
      <c r="AM557" s="5">
        <f t="shared" si="66"/>
        <v>0.13157894736842105</v>
      </c>
      <c r="AN557" s="4">
        <f t="shared" si="71"/>
        <v>1.9928655413619243E-4</v>
      </c>
      <c r="AO557" s="3"/>
      <c r="AP557">
        <v>0</v>
      </c>
      <c r="AR557" t="s">
        <v>0</v>
      </c>
      <c r="AT557" s="2" t="s">
        <v>45</v>
      </c>
      <c r="AU557" s="1">
        <f t="shared" si="67"/>
        <v>3.0929223514624509</v>
      </c>
      <c r="AV557" s="1">
        <f t="shared" si="68"/>
        <v>2.2149241525913563</v>
      </c>
      <c r="AW557" s="1">
        <f t="shared" si="69"/>
        <v>1.3369259537202611</v>
      </c>
    </row>
    <row r="558" spans="1:49" x14ac:dyDescent="0.2">
      <c r="A558">
        <v>556</v>
      </c>
      <c r="B558" t="s">
        <v>1693</v>
      </c>
      <c r="C558" t="s">
        <v>1692</v>
      </c>
      <c r="F558" t="s">
        <v>1691</v>
      </c>
      <c r="G558" t="s">
        <v>13</v>
      </c>
      <c r="H558" t="s">
        <v>12</v>
      </c>
      <c r="I558" t="s">
        <v>1690</v>
      </c>
      <c r="J558">
        <v>60010365</v>
      </c>
      <c r="K558" t="s">
        <v>1689</v>
      </c>
      <c r="L558" t="s">
        <v>1688</v>
      </c>
      <c r="M558" t="s">
        <v>38</v>
      </c>
      <c r="N558">
        <v>4</v>
      </c>
      <c r="O558" t="s">
        <v>1687</v>
      </c>
      <c r="P558" t="s">
        <v>1686</v>
      </c>
      <c r="Q558" t="s">
        <v>1685</v>
      </c>
      <c r="R558" s="7">
        <v>30682</v>
      </c>
      <c r="S558" s="8">
        <f t="shared" si="64"/>
        <v>1984</v>
      </c>
      <c r="T558" s="8">
        <v>1984</v>
      </c>
      <c r="U558" s="8">
        <f t="shared" si="65"/>
        <v>38</v>
      </c>
      <c r="V558" s="7">
        <v>30742</v>
      </c>
      <c r="W558" t="s">
        <v>380</v>
      </c>
      <c r="X558" s="2">
        <v>1.6519999999999999</v>
      </c>
      <c r="Y558" s="6">
        <f t="shared" si="70"/>
        <v>4.409919649769093E-2</v>
      </c>
      <c r="AA558" t="s">
        <v>379</v>
      </c>
      <c r="AB558">
        <v>17337</v>
      </c>
      <c r="AC558">
        <v>15582221</v>
      </c>
      <c r="AD558" t="s">
        <v>4</v>
      </c>
      <c r="AE558">
        <v>32</v>
      </c>
      <c r="AF558">
        <v>3</v>
      </c>
      <c r="AH558" t="s">
        <v>1684</v>
      </c>
      <c r="AI558" t="s">
        <v>1683</v>
      </c>
      <c r="AK558" t="s">
        <v>1682</v>
      </c>
      <c r="AL558">
        <v>5</v>
      </c>
      <c r="AM558" s="5">
        <f t="shared" si="66"/>
        <v>0.13157894736842105</v>
      </c>
      <c r="AN558" s="4">
        <f t="shared" si="71"/>
        <v>1.9928655413619243E-4</v>
      </c>
      <c r="AO558" s="3"/>
      <c r="AP558">
        <v>0</v>
      </c>
      <c r="AR558" t="s">
        <v>0</v>
      </c>
      <c r="AT558" s="2" t="s">
        <v>45</v>
      </c>
      <c r="AU558" s="1">
        <f t="shared" si="67"/>
        <v>3.0929223514624509</v>
      </c>
      <c r="AV558" s="1">
        <f t="shared" si="68"/>
        <v>2.2149241525913563</v>
      </c>
      <c r="AW558" s="1">
        <f t="shared" si="69"/>
        <v>1.3369259537202611</v>
      </c>
    </row>
    <row r="559" spans="1:49" x14ac:dyDescent="0.2">
      <c r="A559">
        <v>557</v>
      </c>
      <c r="B559" t="s">
        <v>1681</v>
      </c>
      <c r="C559" t="s">
        <v>1680</v>
      </c>
      <c r="E559">
        <v>6564154</v>
      </c>
      <c r="F559" t="s">
        <v>1679</v>
      </c>
      <c r="G559" t="s">
        <v>13</v>
      </c>
      <c r="H559" t="s">
        <v>12</v>
      </c>
      <c r="I559" t="s">
        <v>1678</v>
      </c>
      <c r="N559">
        <v>3</v>
      </c>
      <c r="O559" t="s">
        <v>1677</v>
      </c>
      <c r="P559" t="s">
        <v>1676</v>
      </c>
      <c r="Q559" t="s">
        <v>8</v>
      </c>
      <c r="R559" s="7">
        <v>30682</v>
      </c>
      <c r="S559" s="8">
        <f t="shared" si="64"/>
        <v>1984</v>
      </c>
      <c r="T559" s="8">
        <v>1984</v>
      </c>
      <c r="U559" s="8">
        <f t="shared" si="65"/>
        <v>38</v>
      </c>
      <c r="V559" s="7" t="s">
        <v>1466</v>
      </c>
      <c r="W559" t="s">
        <v>1465</v>
      </c>
      <c r="X559" s="2" t="s">
        <v>45</v>
      </c>
      <c r="Y559" s="6" t="e">
        <f t="shared" si="70"/>
        <v>#VALUE!</v>
      </c>
      <c r="AA559">
        <v>222739</v>
      </c>
      <c r="AB559">
        <v>33110</v>
      </c>
      <c r="AD559" t="s">
        <v>4</v>
      </c>
      <c r="AE559">
        <v>19</v>
      </c>
      <c r="AF559">
        <v>1</v>
      </c>
      <c r="AH559" s="10">
        <v>41275</v>
      </c>
      <c r="AI559" t="s">
        <v>1675</v>
      </c>
      <c r="AK559" t="s">
        <v>1674</v>
      </c>
      <c r="AL559">
        <v>1</v>
      </c>
      <c r="AM559" s="5">
        <f t="shared" si="66"/>
        <v>2.6315789473684209E-2</v>
      </c>
      <c r="AN559" s="4">
        <f t="shared" si="71"/>
        <v>3.9857310827238481E-5</v>
      </c>
      <c r="AO559" s="3"/>
      <c r="AP559">
        <v>0</v>
      </c>
      <c r="AR559" t="s">
        <v>0</v>
      </c>
      <c r="AT559" s="2" t="s">
        <v>45</v>
      </c>
      <c r="AU559" s="1" t="e">
        <f t="shared" si="67"/>
        <v>#VALUE!</v>
      </c>
      <c r="AV559" s="1" t="e">
        <f t="shared" si="68"/>
        <v>#VALUE!</v>
      </c>
      <c r="AW559" s="1" t="e">
        <f t="shared" si="69"/>
        <v>#VALUE!</v>
      </c>
    </row>
    <row r="560" spans="1:49" x14ac:dyDescent="0.2">
      <c r="A560">
        <v>558</v>
      </c>
      <c r="B560" t="s">
        <v>1673</v>
      </c>
      <c r="F560" t="s">
        <v>1672</v>
      </c>
      <c r="G560" t="s">
        <v>13</v>
      </c>
      <c r="H560" t="s">
        <v>12</v>
      </c>
      <c r="I560" t="s">
        <v>1671</v>
      </c>
      <c r="N560">
        <v>4</v>
      </c>
      <c r="O560" t="s">
        <v>1670</v>
      </c>
      <c r="P560" t="s">
        <v>1669</v>
      </c>
      <c r="Q560" t="s">
        <v>525</v>
      </c>
      <c r="R560" s="7">
        <v>30682</v>
      </c>
      <c r="S560" s="8">
        <f t="shared" ref="S560:S623" si="72">YEAR(R560)</f>
        <v>1984</v>
      </c>
      <c r="T560" s="8">
        <v>1984</v>
      </c>
      <c r="U560" s="8">
        <f t="shared" ref="U560:U623" si="73">2022-T560</f>
        <v>38</v>
      </c>
      <c r="V560" s="7" t="s">
        <v>1466</v>
      </c>
      <c r="W560" t="s">
        <v>1668</v>
      </c>
      <c r="X560" s="2" t="s">
        <v>45</v>
      </c>
      <c r="Y560" s="6" t="e">
        <f t="shared" si="70"/>
        <v>#VALUE!</v>
      </c>
      <c r="AA560" t="s">
        <v>1667</v>
      </c>
      <c r="AB560">
        <v>30906</v>
      </c>
      <c r="AD560" t="s">
        <v>4</v>
      </c>
      <c r="AE560" t="s">
        <v>1666</v>
      </c>
      <c r="AF560">
        <v>3</v>
      </c>
      <c r="AH560" t="s">
        <v>1324</v>
      </c>
      <c r="AI560" t="s">
        <v>1665</v>
      </c>
      <c r="AK560" t="s">
        <v>1664</v>
      </c>
      <c r="AL560">
        <v>1</v>
      </c>
      <c r="AM560" s="5">
        <f t="shared" ref="AM560:AM623" si="74">AL560/U560</f>
        <v>2.6315789473684209E-2</v>
      </c>
      <c r="AN560" s="4">
        <f t="shared" si="71"/>
        <v>3.9857310827238481E-5</v>
      </c>
      <c r="AO560" s="3"/>
      <c r="AP560">
        <v>0</v>
      </c>
      <c r="AR560" t="s">
        <v>0</v>
      </c>
      <c r="AT560" s="2" t="s">
        <v>45</v>
      </c>
      <c r="AU560" s="1" t="e">
        <f t="shared" ref="AU560:AU623" si="75">(Y560*0.7+AN560*0.3)*100</f>
        <v>#VALUE!</v>
      </c>
      <c r="AV560" s="1" t="e">
        <f t="shared" ref="AV560:AV623" si="76">(Y560*0.5+AN560*0.5)*100</f>
        <v>#VALUE!</v>
      </c>
      <c r="AW560" s="1" t="e">
        <f t="shared" ref="AW560:AW623" si="77">(Y560*0.3+AN560*0.7)*100</f>
        <v>#VALUE!</v>
      </c>
    </row>
    <row r="561" spans="1:49" x14ac:dyDescent="0.2">
      <c r="A561">
        <v>559</v>
      </c>
      <c r="B561" t="s">
        <v>1663</v>
      </c>
      <c r="F561" t="s">
        <v>1662</v>
      </c>
      <c r="G561" t="s">
        <v>13</v>
      </c>
      <c r="H561" t="s">
        <v>12</v>
      </c>
      <c r="I561" t="s">
        <v>1661</v>
      </c>
      <c r="N561">
        <v>2</v>
      </c>
      <c r="O561" t="s">
        <v>1660</v>
      </c>
      <c r="P561" t="s">
        <v>1659</v>
      </c>
      <c r="Q561" t="s">
        <v>266</v>
      </c>
      <c r="R561" s="7">
        <v>30682</v>
      </c>
      <c r="S561" s="8">
        <f t="shared" si="72"/>
        <v>1984</v>
      </c>
      <c r="T561" s="8">
        <v>1984</v>
      </c>
      <c r="U561" s="8">
        <f t="shared" si="73"/>
        <v>38</v>
      </c>
      <c r="V561" s="7" t="s">
        <v>1466</v>
      </c>
      <c r="W561" t="s">
        <v>1559</v>
      </c>
      <c r="X561" s="2">
        <v>0.14099999999999999</v>
      </c>
      <c r="Y561" s="6">
        <f t="shared" si="70"/>
        <v>3.7639144710498915E-3</v>
      </c>
      <c r="AA561">
        <v>7252986</v>
      </c>
      <c r="AB561">
        <v>18037</v>
      </c>
      <c r="AD561" t="s">
        <v>4</v>
      </c>
      <c r="AE561">
        <v>4</v>
      </c>
      <c r="AF561">
        <v>1</v>
      </c>
      <c r="AH561" s="10">
        <v>43617</v>
      </c>
      <c r="AI561" t="s">
        <v>1658</v>
      </c>
      <c r="AK561" t="s">
        <v>1657</v>
      </c>
      <c r="AL561">
        <v>15</v>
      </c>
      <c r="AM561" s="5">
        <f t="shared" si="74"/>
        <v>0.39473684210526316</v>
      </c>
      <c r="AN561" s="4">
        <f t="shared" si="71"/>
        <v>5.9785966240857727E-4</v>
      </c>
      <c r="AO561" s="3"/>
      <c r="AP561">
        <v>0</v>
      </c>
      <c r="AR561" t="s">
        <v>0</v>
      </c>
      <c r="AT561" s="2" t="s">
        <v>45</v>
      </c>
      <c r="AU561" s="1">
        <f t="shared" si="75"/>
        <v>0.28140980284574968</v>
      </c>
      <c r="AV561" s="1">
        <f t="shared" si="76"/>
        <v>0.21808870667292343</v>
      </c>
      <c r="AW561" s="1">
        <f t="shared" si="77"/>
        <v>0.15476761050009716</v>
      </c>
    </row>
    <row r="562" spans="1:49" x14ac:dyDescent="0.2">
      <c r="A562">
        <v>560</v>
      </c>
      <c r="B562" t="s">
        <v>1656</v>
      </c>
      <c r="C562" t="s">
        <v>1655</v>
      </c>
      <c r="F562" t="s">
        <v>1654</v>
      </c>
      <c r="G562" t="s">
        <v>13</v>
      </c>
      <c r="H562" t="s">
        <v>12</v>
      </c>
      <c r="I562" t="s">
        <v>1653</v>
      </c>
      <c r="J562" t="s">
        <v>1652</v>
      </c>
      <c r="K562" t="s">
        <v>1651</v>
      </c>
      <c r="L562" t="s">
        <v>1650</v>
      </c>
      <c r="M562" t="s">
        <v>1649</v>
      </c>
      <c r="N562">
        <v>3</v>
      </c>
      <c r="O562" t="s">
        <v>1648</v>
      </c>
      <c r="P562" t="s">
        <v>1647</v>
      </c>
      <c r="Q562" t="s">
        <v>1646</v>
      </c>
      <c r="R562" s="7">
        <v>30682</v>
      </c>
      <c r="S562" s="8">
        <f t="shared" si="72"/>
        <v>1984</v>
      </c>
      <c r="T562" s="8">
        <v>1984</v>
      </c>
      <c r="U562" s="8">
        <f t="shared" si="73"/>
        <v>38</v>
      </c>
      <c r="V562" s="7">
        <v>1984</v>
      </c>
      <c r="W562" t="s">
        <v>1645</v>
      </c>
      <c r="X562" s="2">
        <v>0.46</v>
      </c>
      <c r="Y562" s="6">
        <f t="shared" si="70"/>
        <v>1.2279437281439364E-2</v>
      </c>
      <c r="AA562">
        <v>933813</v>
      </c>
      <c r="AB562">
        <v>28031</v>
      </c>
      <c r="AC562">
        <v>19399375</v>
      </c>
      <c r="AD562" t="s">
        <v>4</v>
      </c>
      <c r="AE562">
        <v>12</v>
      </c>
      <c r="AF562">
        <v>1</v>
      </c>
      <c r="AH562" s="10">
        <v>41974</v>
      </c>
      <c r="AI562" t="s">
        <v>1644</v>
      </c>
      <c r="AK562" t="s">
        <v>1643</v>
      </c>
      <c r="AL562">
        <v>0</v>
      </c>
      <c r="AM562" s="5">
        <f t="shared" si="74"/>
        <v>0</v>
      </c>
      <c r="AN562" s="4">
        <f t="shared" si="71"/>
        <v>0</v>
      </c>
      <c r="AO562" s="3"/>
      <c r="AP562">
        <v>0</v>
      </c>
      <c r="AR562" t="s">
        <v>0</v>
      </c>
      <c r="AT562" s="2">
        <v>1.222</v>
      </c>
      <c r="AU562" s="1">
        <f t="shared" si="75"/>
        <v>0.85956060970075532</v>
      </c>
      <c r="AV562" s="1">
        <f t="shared" si="76"/>
        <v>0.61397186407196824</v>
      </c>
      <c r="AW562" s="1">
        <f t="shared" si="77"/>
        <v>0.36838311844318089</v>
      </c>
    </row>
    <row r="563" spans="1:49" x14ac:dyDescent="0.2">
      <c r="A563">
        <v>561</v>
      </c>
      <c r="B563" t="s">
        <v>1642</v>
      </c>
      <c r="F563" t="s">
        <v>1641</v>
      </c>
      <c r="G563" t="s">
        <v>13</v>
      </c>
      <c r="H563" t="s">
        <v>12</v>
      </c>
      <c r="I563" t="s">
        <v>1640</v>
      </c>
      <c r="N563">
        <v>1</v>
      </c>
      <c r="O563" t="s">
        <v>1639</v>
      </c>
      <c r="P563">
        <v>7202466979</v>
      </c>
      <c r="R563" s="7">
        <v>30682</v>
      </c>
      <c r="S563" s="8">
        <f t="shared" si="72"/>
        <v>1984</v>
      </c>
      <c r="T563" s="8">
        <v>1984</v>
      </c>
      <c r="U563" s="8">
        <f t="shared" si="73"/>
        <v>38</v>
      </c>
      <c r="V563" s="7" t="s">
        <v>1466</v>
      </c>
      <c r="W563" t="s">
        <v>683</v>
      </c>
      <c r="X563" s="2">
        <v>0.10100000000000001</v>
      </c>
      <c r="Y563" s="6">
        <f t="shared" si="70"/>
        <v>2.6961373161421215E-3</v>
      </c>
      <c r="AA563">
        <v>7452883</v>
      </c>
      <c r="AB563">
        <v>18563</v>
      </c>
      <c r="AD563" t="s">
        <v>4</v>
      </c>
      <c r="AE563">
        <v>23</v>
      </c>
      <c r="AF563">
        <v>3</v>
      </c>
      <c r="AI563" t="s">
        <v>1638</v>
      </c>
      <c r="AK563" t="s">
        <v>1637</v>
      </c>
      <c r="AL563">
        <v>0</v>
      </c>
      <c r="AM563" s="5">
        <f t="shared" si="74"/>
        <v>0</v>
      </c>
      <c r="AN563" s="4">
        <f t="shared" si="71"/>
        <v>0</v>
      </c>
      <c r="AO563" s="3"/>
      <c r="AP563">
        <v>0</v>
      </c>
      <c r="AR563" t="s">
        <v>0</v>
      </c>
      <c r="AT563" s="2" t="s">
        <v>45</v>
      </c>
      <c r="AU563" s="1">
        <f t="shared" si="75"/>
        <v>0.18872961212994849</v>
      </c>
      <c r="AV563" s="1">
        <f t="shared" si="76"/>
        <v>0.13480686580710607</v>
      </c>
      <c r="AW563" s="1">
        <f t="shared" si="77"/>
        <v>8.0884119484263647E-2</v>
      </c>
    </row>
    <row r="564" spans="1:49" x14ac:dyDescent="0.2">
      <c r="A564">
        <v>562</v>
      </c>
      <c r="B564" t="s">
        <v>1636</v>
      </c>
      <c r="F564" t="s">
        <v>1635</v>
      </c>
      <c r="G564" t="s">
        <v>13</v>
      </c>
      <c r="H564" t="s">
        <v>12</v>
      </c>
      <c r="I564" t="s">
        <v>1634</v>
      </c>
      <c r="N564">
        <v>1</v>
      </c>
      <c r="O564" t="s">
        <v>1633</v>
      </c>
      <c r="P564">
        <v>6603760531</v>
      </c>
      <c r="R564" s="7">
        <v>30682</v>
      </c>
      <c r="S564" s="8">
        <f t="shared" si="72"/>
        <v>1984</v>
      </c>
      <c r="T564" s="8">
        <v>1984</v>
      </c>
      <c r="U564" s="8">
        <f t="shared" si="73"/>
        <v>38</v>
      </c>
      <c r="V564" s="7" t="s">
        <v>1466</v>
      </c>
      <c r="W564" t="s">
        <v>683</v>
      </c>
      <c r="X564" s="2">
        <v>0.10100000000000001</v>
      </c>
      <c r="Y564" s="6">
        <f t="shared" si="70"/>
        <v>2.6961373161421215E-3</v>
      </c>
      <c r="AA564">
        <v>7452883</v>
      </c>
      <c r="AB564">
        <v>18563</v>
      </c>
      <c r="AD564" t="s">
        <v>4</v>
      </c>
      <c r="AE564">
        <v>23</v>
      </c>
      <c r="AF564">
        <v>3</v>
      </c>
      <c r="AI564" t="s">
        <v>1632</v>
      </c>
      <c r="AK564" t="s">
        <v>1631</v>
      </c>
      <c r="AL564">
        <v>0</v>
      </c>
      <c r="AM564" s="5">
        <f t="shared" si="74"/>
        <v>0</v>
      </c>
      <c r="AN564" s="4">
        <f t="shared" si="71"/>
        <v>0</v>
      </c>
      <c r="AO564" s="3"/>
      <c r="AP564">
        <v>0</v>
      </c>
      <c r="AR564" t="s">
        <v>0</v>
      </c>
      <c r="AT564" s="2" t="s">
        <v>45</v>
      </c>
      <c r="AU564" s="1">
        <f t="shared" si="75"/>
        <v>0.18872961212994849</v>
      </c>
      <c r="AV564" s="1">
        <f t="shared" si="76"/>
        <v>0.13480686580710607</v>
      </c>
      <c r="AW564" s="1">
        <f t="shared" si="77"/>
        <v>8.0884119484263647E-2</v>
      </c>
    </row>
    <row r="565" spans="1:49" x14ac:dyDescent="0.2">
      <c r="A565">
        <v>563</v>
      </c>
      <c r="B565" t="s">
        <v>1630</v>
      </c>
      <c r="F565" t="s">
        <v>1629</v>
      </c>
      <c r="G565" t="s">
        <v>13</v>
      </c>
      <c r="H565" t="s">
        <v>12</v>
      </c>
      <c r="I565" t="s">
        <v>1628</v>
      </c>
      <c r="N565">
        <v>1</v>
      </c>
      <c r="O565" t="s">
        <v>1627</v>
      </c>
      <c r="P565">
        <v>7801617623</v>
      </c>
      <c r="R565" s="7">
        <v>30682</v>
      </c>
      <c r="S565" s="8">
        <f t="shared" si="72"/>
        <v>1984</v>
      </c>
      <c r="T565" s="8">
        <v>1984</v>
      </c>
      <c r="U565" s="8">
        <f t="shared" si="73"/>
        <v>38</v>
      </c>
      <c r="V565" s="7" t="s">
        <v>1466</v>
      </c>
      <c r="W565" t="s">
        <v>1495</v>
      </c>
      <c r="X565" s="2" t="s">
        <v>45</v>
      </c>
      <c r="Y565" s="6" t="e">
        <f t="shared" si="70"/>
        <v>#VALUE!</v>
      </c>
      <c r="AA565">
        <v>3084213</v>
      </c>
      <c r="AB565">
        <v>39048</v>
      </c>
      <c r="AD565" t="s">
        <v>4</v>
      </c>
      <c r="AE565">
        <v>12</v>
      </c>
      <c r="AF565">
        <v>6</v>
      </c>
      <c r="AH565" t="s">
        <v>1626</v>
      </c>
      <c r="AI565" t="s">
        <v>1625</v>
      </c>
      <c r="AK565" t="s">
        <v>1624</v>
      </c>
      <c r="AL565">
        <v>0</v>
      </c>
      <c r="AM565" s="5">
        <f t="shared" si="74"/>
        <v>0</v>
      </c>
      <c r="AN565" s="4">
        <f t="shared" si="71"/>
        <v>0</v>
      </c>
      <c r="AO565" s="3"/>
      <c r="AP565">
        <v>0</v>
      </c>
      <c r="AR565" t="s">
        <v>0</v>
      </c>
      <c r="AT565" s="2" t="s">
        <v>45</v>
      </c>
      <c r="AU565" s="1" t="e">
        <f t="shared" si="75"/>
        <v>#VALUE!</v>
      </c>
      <c r="AV565" s="1" t="e">
        <f t="shared" si="76"/>
        <v>#VALUE!</v>
      </c>
      <c r="AW565" s="1" t="e">
        <f t="shared" si="77"/>
        <v>#VALUE!</v>
      </c>
    </row>
    <row r="566" spans="1:49" x14ac:dyDescent="0.2">
      <c r="A566">
        <v>564</v>
      </c>
      <c r="B566" t="s">
        <v>1623</v>
      </c>
      <c r="F566" t="s">
        <v>1622</v>
      </c>
      <c r="G566" t="s">
        <v>13</v>
      </c>
      <c r="H566" t="s">
        <v>12</v>
      </c>
      <c r="I566" t="s">
        <v>1621</v>
      </c>
      <c r="N566">
        <v>1</v>
      </c>
      <c r="O566" t="s">
        <v>1620</v>
      </c>
      <c r="P566">
        <v>35611246200</v>
      </c>
      <c r="R566" s="7">
        <v>30682</v>
      </c>
      <c r="S566" s="8">
        <f t="shared" si="72"/>
        <v>1984</v>
      </c>
      <c r="T566" s="8">
        <v>1984</v>
      </c>
      <c r="U566" s="8">
        <f t="shared" si="73"/>
        <v>38</v>
      </c>
      <c r="V566" s="7" t="s">
        <v>1436</v>
      </c>
      <c r="W566" t="s">
        <v>1619</v>
      </c>
      <c r="X566" s="2">
        <v>0.54700000000000004</v>
      </c>
      <c r="Y566" s="6">
        <f t="shared" si="70"/>
        <v>1.4601852593363766E-2</v>
      </c>
      <c r="AA566">
        <v>11096</v>
      </c>
      <c r="AB566">
        <v>31211</v>
      </c>
      <c r="AD566" t="s">
        <v>4</v>
      </c>
      <c r="AE566">
        <v>38</v>
      </c>
      <c r="AF566">
        <v>2</v>
      </c>
      <c r="AH566" t="s">
        <v>1618</v>
      </c>
      <c r="AI566" t="s">
        <v>1617</v>
      </c>
      <c r="AK566" t="s">
        <v>1616</v>
      </c>
      <c r="AL566">
        <v>2</v>
      </c>
      <c r="AM566" s="5">
        <f t="shared" si="74"/>
        <v>5.2631578947368418E-2</v>
      </c>
      <c r="AN566" s="4">
        <f t="shared" si="71"/>
        <v>7.9714621654476962E-5</v>
      </c>
      <c r="AO566" s="3"/>
      <c r="AP566">
        <v>0</v>
      </c>
      <c r="AR566" t="s">
        <v>0</v>
      </c>
      <c r="AT566" s="2" t="s">
        <v>45</v>
      </c>
      <c r="AU566" s="1">
        <f t="shared" si="75"/>
        <v>1.0245211201850979</v>
      </c>
      <c r="AV566" s="1">
        <f t="shared" si="76"/>
        <v>0.73407836075091215</v>
      </c>
      <c r="AW566" s="1">
        <f t="shared" si="77"/>
        <v>0.44363560131672641</v>
      </c>
    </row>
    <row r="567" spans="1:49" x14ac:dyDescent="0.2">
      <c r="A567">
        <v>565</v>
      </c>
      <c r="B567" t="s">
        <v>1615</v>
      </c>
      <c r="F567" t="s">
        <v>1614</v>
      </c>
      <c r="G567" t="s">
        <v>13</v>
      </c>
      <c r="H567" t="s">
        <v>12</v>
      </c>
      <c r="I567" t="s">
        <v>1613</v>
      </c>
      <c r="N567">
        <v>2</v>
      </c>
      <c r="O567" t="s">
        <v>1612</v>
      </c>
      <c r="P567" t="s">
        <v>1611</v>
      </c>
      <c r="Q567" t="s">
        <v>266</v>
      </c>
      <c r="R567" s="7">
        <v>30682</v>
      </c>
      <c r="S567" s="8">
        <f t="shared" si="72"/>
        <v>1984</v>
      </c>
      <c r="T567" s="8">
        <v>1984</v>
      </c>
      <c r="U567" s="8">
        <f t="shared" si="73"/>
        <v>38</v>
      </c>
      <c r="V567" s="7" t="s">
        <v>1466</v>
      </c>
      <c r="W567" t="s">
        <v>683</v>
      </c>
      <c r="X567" s="2">
        <v>0.10100000000000001</v>
      </c>
      <c r="Y567" s="6">
        <f t="shared" si="70"/>
        <v>2.6961373161421215E-3</v>
      </c>
      <c r="AA567">
        <v>7452883</v>
      </c>
      <c r="AB567">
        <v>18563</v>
      </c>
      <c r="AD567" t="s">
        <v>4</v>
      </c>
      <c r="AE567">
        <v>23</v>
      </c>
      <c r="AF567">
        <v>3</v>
      </c>
      <c r="AI567" t="s">
        <v>1610</v>
      </c>
      <c r="AK567" t="s">
        <v>1609</v>
      </c>
      <c r="AL567">
        <v>1</v>
      </c>
      <c r="AM567" s="5">
        <f t="shared" si="74"/>
        <v>2.6315789473684209E-2</v>
      </c>
      <c r="AN567" s="4">
        <f t="shared" si="71"/>
        <v>3.9857310827238481E-5</v>
      </c>
      <c r="AO567" s="3"/>
      <c r="AP567">
        <v>0</v>
      </c>
      <c r="AR567" t="s">
        <v>0</v>
      </c>
      <c r="AT567" s="2" t="s">
        <v>45</v>
      </c>
      <c r="AU567" s="1">
        <f t="shared" si="75"/>
        <v>0.18992533145476564</v>
      </c>
      <c r="AV567" s="1">
        <f t="shared" si="76"/>
        <v>0.13679973134846798</v>
      </c>
      <c r="AW567" s="1">
        <f t="shared" si="77"/>
        <v>8.3674131242170324E-2</v>
      </c>
    </row>
    <row r="568" spans="1:49" x14ac:dyDescent="0.2">
      <c r="A568">
        <v>566</v>
      </c>
      <c r="B568" t="s">
        <v>1608</v>
      </c>
      <c r="F568" t="s">
        <v>1607</v>
      </c>
      <c r="G568" t="s">
        <v>13</v>
      </c>
      <c r="H568" t="s">
        <v>12</v>
      </c>
      <c r="I568" t="s">
        <v>1606</v>
      </c>
      <c r="N568">
        <v>1</v>
      </c>
      <c r="O568" t="s">
        <v>1605</v>
      </c>
      <c r="P568">
        <v>55297871800</v>
      </c>
      <c r="R568" s="7">
        <v>30682</v>
      </c>
      <c r="S568" s="8">
        <f t="shared" si="72"/>
        <v>1984</v>
      </c>
      <c r="T568" s="8">
        <v>1984</v>
      </c>
      <c r="U568" s="8">
        <f t="shared" si="73"/>
        <v>38</v>
      </c>
      <c r="V568" s="7" t="s">
        <v>1466</v>
      </c>
      <c r="W568" t="s">
        <v>1604</v>
      </c>
      <c r="X568" s="2" t="s">
        <v>45</v>
      </c>
      <c r="Y568" s="6" t="e">
        <f t="shared" si="70"/>
        <v>#VALUE!</v>
      </c>
      <c r="AA568">
        <v>330752</v>
      </c>
      <c r="AB568">
        <v>36225</v>
      </c>
      <c r="AD568" t="s">
        <v>4</v>
      </c>
      <c r="AE568">
        <v>65</v>
      </c>
      <c r="AF568">
        <v>3</v>
      </c>
      <c r="AH568" t="s">
        <v>1603</v>
      </c>
      <c r="AI568" t="s">
        <v>1602</v>
      </c>
      <c r="AK568" t="s">
        <v>1601</v>
      </c>
      <c r="AL568">
        <v>0</v>
      </c>
      <c r="AM568" s="5">
        <f t="shared" si="74"/>
        <v>0</v>
      </c>
      <c r="AN568" s="4">
        <f t="shared" si="71"/>
        <v>0</v>
      </c>
      <c r="AO568" s="3"/>
      <c r="AP568">
        <v>0</v>
      </c>
      <c r="AR568" t="s">
        <v>0</v>
      </c>
      <c r="AT568" s="2" t="s">
        <v>45</v>
      </c>
      <c r="AU568" s="1" t="e">
        <f t="shared" si="75"/>
        <v>#VALUE!</v>
      </c>
      <c r="AV568" s="1" t="e">
        <f t="shared" si="76"/>
        <v>#VALUE!</v>
      </c>
      <c r="AW568" s="1" t="e">
        <f t="shared" si="77"/>
        <v>#VALUE!</v>
      </c>
    </row>
    <row r="569" spans="1:49" x14ac:dyDescent="0.2">
      <c r="A569">
        <v>567</v>
      </c>
      <c r="B569" t="s">
        <v>1600</v>
      </c>
      <c r="C569" t="s">
        <v>1599</v>
      </c>
      <c r="F569" t="s">
        <v>1598</v>
      </c>
      <c r="G569" t="s">
        <v>13</v>
      </c>
      <c r="H569" t="s">
        <v>12</v>
      </c>
      <c r="I569" t="s">
        <v>1597</v>
      </c>
      <c r="J569">
        <v>60032121</v>
      </c>
      <c r="K569" t="s">
        <v>1596</v>
      </c>
      <c r="L569" t="s">
        <v>1595</v>
      </c>
      <c r="M569" t="s">
        <v>56</v>
      </c>
      <c r="N569">
        <v>2</v>
      </c>
      <c r="O569" t="s">
        <v>1594</v>
      </c>
      <c r="P569" t="s">
        <v>1593</v>
      </c>
      <c r="Q569" t="s">
        <v>1592</v>
      </c>
      <c r="R569" s="7">
        <v>30682</v>
      </c>
      <c r="S569" s="8">
        <f t="shared" si="72"/>
        <v>1984</v>
      </c>
      <c r="T569" s="8">
        <v>1984</v>
      </c>
      <c r="U569" s="8">
        <f t="shared" si="73"/>
        <v>38</v>
      </c>
      <c r="V569" s="7">
        <v>30742</v>
      </c>
      <c r="W569" t="s">
        <v>415</v>
      </c>
      <c r="X569" s="2">
        <v>2.141</v>
      </c>
      <c r="Y569" s="6">
        <f t="shared" si="70"/>
        <v>5.7152772216438434E-2</v>
      </c>
      <c r="AA569">
        <v>1962892</v>
      </c>
      <c r="AB569">
        <v>17360</v>
      </c>
      <c r="AC569">
        <v>15580644</v>
      </c>
      <c r="AD569" t="s">
        <v>4</v>
      </c>
      <c r="AE569" t="s">
        <v>414</v>
      </c>
      <c r="AF569">
        <v>2</v>
      </c>
      <c r="AH569" t="s">
        <v>1591</v>
      </c>
      <c r="AI569" t="s">
        <v>1590</v>
      </c>
      <c r="AK569" t="s">
        <v>1589</v>
      </c>
      <c r="AL569">
        <v>61</v>
      </c>
      <c r="AM569" s="5">
        <f t="shared" si="74"/>
        <v>1.6052631578947369</v>
      </c>
      <c r="AN569" s="4">
        <f t="shared" si="71"/>
        <v>2.431295960461548E-3</v>
      </c>
      <c r="AO569" s="3"/>
      <c r="AP569">
        <v>0</v>
      </c>
      <c r="AR569" t="s">
        <v>0</v>
      </c>
      <c r="AT569" s="2" t="s">
        <v>45</v>
      </c>
      <c r="AU569" s="1">
        <f t="shared" si="75"/>
        <v>4.0736329339645359</v>
      </c>
      <c r="AV569" s="1">
        <f t="shared" si="76"/>
        <v>2.9792034088449992</v>
      </c>
      <c r="AW569" s="1">
        <f t="shared" si="77"/>
        <v>1.8847738837254613</v>
      </c>
    </row>
    <row r="570" spans="1:49" x14ac:dyDescent="0.2">
      <c r="A570">
        <v>568</v>
      </c>
      <c r="B570" t="s">
        <v>1588</v>
      </c>
      <c r="F570" t="s">
        <v>1587</v>
      </c>
      <c r="G570" t="s">
        <v>13</v>
      </c>
      <c r="H570" t="s">
        <v>12</v>
      </c>
      <c r="I570" t="s">
        <v>1586</v>
      </c>
      <c r="N570">
        <v>5</v>
      </c>
      <c r="O570" t="s">
        <v>1585</v>
      </c>
      <c r="P570" t="s">
        <v>1584</v>
      </c>
      <c r="Q570" t="s">
        <v>498</v>
      </c>
      <c r="R570" s="7">
        <v>30682</v>
      </c>
      <c r="S570" s="8">
        <f t="shared" si="72"/>
        <v>1984</v>
      </c>
      <c r="T570" s="8">
        <v>1984</v>
      </c>
      <c r="U570" s="8">
        <f t="shared" si="73"/>
        <v>38</v>
      </c>
      <c r="V570" s="7" t="s">
        <v>1466</v>
      </c>
      <c r="W570" t="s">
        <v>1583</v>
      </c>
      <c r="X570" s="2" t="s">
        <v>45</v>
      </c>
      <c r="Y570" s="6" t="e">
        <f t="shared" si="70"/>
        <v>#VALUE!</v>
      </c>
      <c r="AA570">
        <v>338001</v>
      </c>
      <c r="AB570">
        <v>32587</v>
      </c>
      <c r="AD570" t="s">
        <v>4</v>
      </c>
      <c r="AE570">
        <v>31</v>
      </c>
      <c r="AF570">
        <v>132</v>
      </c>
      <c r="AH570" t="s">
        <v>1582</v>
      </c>
      <c r="AI570" t="s">
        <v>1581</v>
      </c>
      <c r="AK570" t="s">
        <v>1580</v>
      </c>
      <c r="AL570">
        <v>2</v>
      </c>
      <c r="AM570" s="5">
        <f t="shared" si="74"/>
        <v>5.2631578947368418E-2</v>
      </c>
      <c r="AN570" s="4">
        <f t="shared" si="71"/>
        <v>7.9714621654476962E-5</v>
      </c>
      <c r="AO570" s="3"/>
      <c r="AP570">
        <v>0</v>
      </c>
      <c r="AR570" t="s">
        <v>0</v>
      </c>
      <c r="AT570" s="2" t="s">
        <v>45</v>
      </c>
      <c r="AU570" s="1" t="e">
        <f t="shared" si="75"/>
        <v>#VALUE!</v>
      </c>
      <c r="AV570" s="1" t="e">
        <f t="shared" si="76"/>
        <v>#VALUE!</v>
      </c>
      <c r="AW570" s="1" t="e">
        <f t="shared" si="77"/>
        <v>#VALUE!</v>
      </c>
    </row>
    <row r="571" spans="1:49" x14ac:dyDescent="0.2">
      <c r="A571">
        <v>569</v>
      </c>
      <c r="B571" t="s">
        <v>1579</v>
      </c>
      <c r="F571" t="s">
        <v>1578</v>
      </c>
      <c r="G571" t="s">
        <v>13</v>
      </c>
      <c r="H571" t="s">
        <v>12</v>
      </c>
      <c r="I571" t="s">
        <v>1577</v>
      </c>
      <c r="N571">
        <v>2</v>
      </c>
      <c r="O571" t="s">
        <v>1576</v>
      </c>
      <c r="P571" t="s">
        <v>1575</v>
      </c>
      <c r="Q571" t="s">
        <v>266</v>
      </c>
      <c r="R571" s="7">
        <v>30682</v>
      </c>
      <c r="S571" s="8">
        <f t="shared" si="72"/>
        <v>1984</v>
      </c>
      <c r="T571" s="8">
        <v>1984</v>
      </c>
      <c r="U571" s="8">
        <f t="shared" si="73"/>
        <v>38</v>
      </c>
      <c r="V571" s="7" t="s">
        <v>1466</v>
      </c>
      <c r="W571" t="s">
        <v>683</v>
      </c>
      <c r="X571" s="2">
        <v>0.10100000000000001</v>
      </c>
      <c r="Y571" s="6">
        <f t="shared" si="70"/>
        <v>2.6961373161421215E-3</v>
      </c>
      <c r="AA571">
        <v>7452883</v>
      </c>
      <c r="AB571">
        <v>18563</v>
      </c>
      <c r="AD571" t="s">
        <v>4</v>
      </c>
      <c r="AE571">
        <v>23</v>
      </c>
      <c r="AF571">
        <v>3</v>
      </c>
      <c r="AH571" t="s">
        <v>1574</v>
      </c>
      <c r="AI571" t="s">
        <v>1573</v>
      </c>
      <c r="AK571" t="s">
        <v>1572</v>
      </c>
      <c r="AL571">
        <v>0</v>
      </c>
      <c r="AM571" s="5">
        <f t="shared" si="74"/>
        <v>0</v>
      </c>
      <c r="AN571" s="4">
        <f t="shared" si="71"/>
        <v>0</v>
      </c>
      <c r="AO571" s="3"/>
      <c r="AP571">
        <v>0</v>
      </c>
      <c r="AR571" t="s">
        <v>0</v>
      </c>
      <c r="AT571" s="2" t="s">
        <v>45</v>
      </c>
      <c r="AU571" s="1">
        <f t="shared" si="75"/>
        <v>0.18872961212994849</v>
      </c>
      <c r="AV571" s="1">
        <f t="shared" si="76"/>
        <v>0.13480686580710607</v>
      </c>
      <c r="AW571" s="1">
        <f t="shared" si="77"/>
        <v>8.0884119484263647E-2</v>
      </c>
    </row>
    <row r="572" spans="1:49" x14ac:dyDescent="0.2">
      <c r="A572">
        <v>570</v>
      </c>
      <c r="B572" t="s">
        <v>1571</v>
      </c>
      <c r="C572" t="s">
        <v>1570</v>
      </c>
      <c r="F572" t="s">
        <v>1569</v>
      </c>
      <c r="G572" t="s">
        <v>13</v>
      </c>
      <c r="H572" t="s">
        <v>12</v>
      </c>
      <c r="I572" t="s">
        <v>1568</v>
      </c>
      <c r="N572">
        <v>1</v>
      </c>
      <c r="O572" t="s">
        <v>1567</v>
      </c>
      <c r="P572">
        <v>57215954611</v>
      </c>
      <c r="R572" s="7">
        <v>30682</v>
      </c>
      <c r="S572" s="8">
        <f t="shared" si="72"/>
        <v>1984</v>
      </c>
      <c r="T572" s="8">
        <v>1984</v>
      </c>
      <c r="U572" s="8">
        <f t="shared" si="73"/>
        <v>38</v>
      </c>
      <c r="V572" s="7" t="s">
        <v>1466</v>
      </c>
      <c r="W572" t="s">
        <v>844</v>
      </c>
      <c r="X572" s="2">
        <v>0.218</v>
      </c>
      <c r="Y572" s="6">
        <f t="shared" si="70"/>
        <v>5.8193854942473512E-3</v>
      </c>
      <c r="AA572">
        <v>3772063</v>
      </c>
      <c r="AB572">
        <v>130012</v>
      </c>
      <c r="AD572" t="s">
        <v>4</v>
      </c>
      <c r="AE572">
        <v>30</v>
      </c>
      <c r="AF572">
        <v>2</v>
      </c>
      <c r="AH572" t="s">
        <v>1566</v>
      </c>
      <c r="AI572" t="s">
        <v>1565</v>
      </c>
      <c r="AK572" t="s">
        <v>1564</v>
      </c>
      <c r="AL572">
        <v>0</v>
      </c>
      <c r="AM572" s="5">
        <f t="shared" si="74"/>
        <v>0</v>
      </c>
      <c r="AN572" s="4">
        <f t="shared" si="71"/>
        <v>0</v>
      </c>
      <c r="AO572" s="3"/>
      <c r="AP572">
        <v>0</v>
      </c>
      <c r="AR572" t="s">
        <v>0</v>
      </c>
      <c r="AT572" s="2">
        <v>2.3330000000000002</v>
      </c>
      <c r="AU572" s="1">
        <f t="shared" si="75"/>
        <v>0.40735698459731456</v>
      </c>
      <c r="AV572" s="1">
        <f t="shared" si="76"/>
        <v>0.29096927471236755</v>
      </c>
      <c r="AW572" s="1">
        <f t="shared" si="77"/>
        <v>0.17458156482742054</v>
      </c>
    </row>
    <row r="573" spans="1:49" x14ac:dyDescent="0.2">
      <c r="A573">
        <v>571</v>
      </c>
      <c r="B573" t="s">
        <v>1563</v>
      </c>
      <c r="F573" t="s">
        <v>1562</v>
      </c>
      <c r="G573" t="s">
        <v>13</v>
      </c>
      <c r="H573" t="s">
        <v>12</v>
      </c>
      <c r="I573" t="s">
        <v>1561</v>
      </c>
      <c r="N573">
        <v>1</v>
      </c>
      <c r="O573" t="s">
        <v>1560</v>
      </c>
      <c r="P573">
        <v>6506262742</v>
      </c>
      <c r="R573" s="7">
        <v>30682</v>
      </c>
      <c r="S573" s="8">
        <f t="shared" si="72"/>
        <v>1984</v>
      </c>
      <c r="T573" s="8">
        <v>1984</v>
      </c>
      <c r="U573" s="8">
        <f t="shared" si="73"/>
        <v>38</v>
      </c>
      <c r="V573" s="7" t="s">
        <v>1466</v>
      </c>
      <c r="W573" t="s">
        <v>1559</v>
      </c>
      <c r="X573" s="2">
        <v>0.14099999999999999</v>
      </c>
      <c r="Y573" s="6">
        <f t="shared" si="70"/>
        <v>3.7639144710498915E-3</v>
      </c>
      <c r="AA573">
        <v>7252986</v>
      </c>
      <c r="AB573">
        <v>18037</v>
      </c>
      <c r="AD573" t="s">
        <v>4</v>
      </c>
      <c r="AE573">
        <v>4</v>
      </c>
      <c r="AF573">
        <v>1</v>
      </c>
      <c r="AH573" t="s">
        <v>1558</v>
      </c>
      <c r="AI573" t="s">
        <v>1557</v>
      </c>
      <c r="AK573" t="s">
        <v>1556</v>
      </c>
      <c r="AL573">
        <v>0</v>
      </c>
      <c r="AM573" s="5">
        <f t="shared" si="74"/>
        <v>0</v>
      </c>
      <c r="AN573" s="4">
        <f t="shared" si="71"/>
        <v>0</v>
      </c>
      <c r="AO573" s="3"/>
      <c r="AP573">
        <v>0</v>
      </c>
      <c r="AR573" t="s">
        <v>0</v>
      </c>
      <c r="AT573" s="2" t="s">
        <v>45</v>
      </c>
      <c r="AU573" s="1">
        <f t="shared" si="75"/>
        <v>0.26347401297349238</v>
      </c>
      <c r="AV573" s="1">
        <f t="shared" si="76"/>
        <v>0.18819572355249459</v>
      </c>
      <c r="AW573" s="1">
        <f t="shared" si="77"/>
        <v>0.11291743413149673</v>
      </c>
    </row>
    <row r="574" spans="1:49" x14ac:dyDescent="0.2">
      <c r="A574">
        <v>572</v>
      </c>
      <c r="B574" t="s">
        <v>1555</v>
      </c>
      <c r="C574" t="s">
        <v>1554</v>
      </c>
      <c r="F574" t="s">
        <v>1553</v>
      </c>
      <c r="G574" t="s">
        <v>13</v>
      </c>
      <c r="H574" t="s">
        <v>12</v>
      </c>
      <c r="I574" t="s">
        <v>1552</v>
      </c>
      <c r="J574" t="s">
        <v>1547</v>
      </c>
      <c r="K574" t="s">
        <v>1551</v>
      </c>
      <c r="L574" t="s">
        <v>1550</v>
      </c>
      <c r="M574" t="s">
        <v>206</v>
      </c>
      <c r="N574">
        <v>2</v>
      </c>
      <c r="O574" t="s">
        <v>1549</v>
      </c>
      <c r="P574" t="s">
        <v>1548</v>
      </c>
      <c r="Q574" t="s">
        <v>1547</v>
      </c>
      <c r="R574" s="7">
        <v>30682</v>
      </c>
      <c r="S574" s="8">
        <f t="shared" si="72"/>
        <v>1984</v>
      </c>
      <c r="T574" s="8">
        <v>1984</v>
      </c>
      <c r="U574" s="8">
        <f t="shared" si="73"/>
        <v>38</v>
      </c>
      <c r="V574" s="7">
        <v>1984</v>
      </c>
      <c r="W574" t="s">
        <v>860</v>
      </c>
      <c r="X574" s="2" t="s">
        <v>45</v>
      </c>
      <c r="Y574" s="6" t="e">
        <f t="shared" si="70"/>
        <v>#VALUE!</v>
      </c>
      <c r="AA574">
        <v>189537</v>
      </c>
      <c r="AB574">
        <v>31901</v>
      </c>
      <c r="AD574" t="s">
        <v>4</v>
      </c>
      <c r="AE574">
        <v>31</v>
      </c>
      <c r="AF574">
        <v>2</v>
      </c>
      <c r="AH574" t="s">
        <v>1546</v>
      </c>
      <c r="AI574" t="s">
        <v>1545</v>
      </c>
      <c r="AK574" t="s">
        <v>1544</v>
      </c>
      <c r="AL574">
        <v>19</v>
      </c>
      <c r="AM574" s="5">
        <f t="shared" si="74"/>
        <v>0.5</v>
      </c>
      <c r="AN574" s="4">
        <f t="shared" si="71"/>
        <v>7.572889057175312E-4</v>
      </c>
      <c r="AO574" s="3"/>
      <c r="AP574">
        <v>0</v>
      </c>
      <c r="AR574" t="s">
        <v>0</v>
      </c>
      <c r="AT574" s="2" t="s">
        <v>45</v>
      </c>
      <c r="AU574" s="1" t="e">
        <f t="shared" si="75"/>
        <v>#VALUE!</v>
      </c>
      <c r="AV574" s="1" t="e">
        <f t="shared" si="76"/>
        <v>#VALUE!</v>
      </c>
      <c r="AW574" s="1" t="e">
        <f t="shared" si="77"/>
        <v>#VALUE!</v>
      </c>
    </row>
    <row r="575" spans="1:49" x14ac:dyDescent="0.2">
      <c r="A575">
        <v>573</v>
      </c>
      <c r="B575" t="s">
        <v>1543</v>
      </c>
      <c r="F575" t="s">
        <v>1542</v>
      </c>
      <c r="G575" t="s">
        <v>13</v>
      </c>
      <c r="H575" t="s">
        <v>12</v>
      </c>
      <c r="I575" t="s">
        <v>1541</v>
      </c>
      <c r="N575">
        <v>2</v>
      </c>
      <c r="O575" t="s">
        <v>1540</v>
      </c>
      <c r="P575" t="s">
        <v>1539</v>
      </c>
      <c r="Q575" t="s">
        <v>266</v>
      </c>
      <c r="R575" s="7">
        <v>30682</v>
      </c>
      <c r="S575" s="8">
        <f t="shared" si="72"/>
        <v>1984</v>
      </c>
      <c r="T575" s="8">
        <v>1984</v>
      </c>
      <c r="U575" s="8">
        <f t="shared" si="73"/>
        <v>38</v>
      </c>
      <c r="V575" s="7" t="s">
        <v>1466</v>
      </c>
      <c r="W575" t="s">
        <v>683</v>
      </c>
      <c r="X575" s="2">
        <v>0.10100000000000001</v>
      </c>
      <c r="Y575" s="6">
        <f t="shared" si="70"/>
        <v>2.6961373161421215E-3</v>
      </c>
      <c r="AA575">
        <v>7452883</v>
      </c>
      <c r="AB575">
        <v>18563</v>
      </c>
      <c r="AD575" t="s">
        <v>4</v>
      </c>
      <c r="AE575">
        <v>23</v>
      </c>
      <c r="AF575">
        <v>3</v>
      </c>
      <c r="AI575" t="s">
        <v>1538</v>
      </c>
      <c r="AK575" t="s">
        <v>1537</v>
      </c>
      <c r="AL575">
        <v>0</v>
      </c>
      <c r="AM575" s="5">
        <f t="shared" si="74"/>
        <v>0</v>
      </c>
      <c r="AN575" s="4">
        <f t="shared" si="71"/>
        <v>0</v>
      </c>
      <c r="AO575" s="3"/>
      <c r="AP575">
        <v>0</v>
      </c>
      <c r="AR575" t="s">
        <v>0</v>
      </c>
      <c r="AT575" s="2" t="s">
        <v>45</v>
      </c>
      <c r="AU575" s="1">
        <f t="shared" si="75"/>
        <v>0.18872961212994849</v>
      </c>
      <c r="AV575" s="1">
        <f t="shared" si="76"/>
        <v>0.13480686580710607</v>
      </c>
      <c r="AW575" s="1">
        <f t="shared" si="77"/>
        <v>8.0884119484263647E-2</v>
      </c>
    </row>
    <row r="576" spans="1:49" x14ac:dyDescent="0.2">
      <c r="A576">
        <v>574</v>
      </c>
      <c r="B576" t="s">
        <v>1536</v>
      </c>
      <c r="F576" t="s">
        <v>1535</v>
      </c>
      <c r="G576" t="s">
        <v>13</v>
      </c>
      <c r="H576" t="s">
        <v>12</v>
      </c>
      <c r="I576" t="s">
        <v>1534</v>
      </c>
      <c r="N576">
        <v>3</v>
      </c>
      <c r="O576" t="s">
        <v>1533</v>
      </c>
      <c r="P576" t="s">
        <v>1532</v>
      </c>
      <c r="Q576" t="s">
        <v>8</v>
      </c>
      <c r="R576" s="7">
        <v>30682</v>
      </c>
      <c r="S576" s="8">
        <f t="shared" si="72"/>
        <v>1984</v>
      </c>
      <c r="T576" s="8">
        <v>1984</v>
      </c>
      <c r="U576" s="8">
        <f t="shared" si="73"/>
        <v>38</v>
      </c>
      <c r="V576" s="7" t="s">
        <v>1466</v>
      </c>
      <c r="W576" t="s">
        <v>683</v>
      </c>
      <c r="X576" s="2">
        <v>0.10100000000000001</v>
      </c>
      <c r="Y576" s="6">
        <f t="shared" si="70"/>
        <v>2.6961373161421215E-3</v>
      </c>
      <c r="AA576">
        <v>7452883</v>
      </c>
      <c r="AB576">
        <v>18563</v>
      </c>
      <c r="AD576" t="s">
        <v>4</v>
      </c>
      <c r="AE576">
        <v>23</v>
      </c>
      <c r="AF576">
        <v>3</v>
      </c>
      <c r="AI576" t="s">
        <v>1531</v>
      </c>
      <c r="AK576" t="s">
        <v>1530</v>
      </c>
      <c r="AL576">
        <v>0</v>
      </c>
      <c r="AM576" s="5">
        <f t="shared" si="74"/>
        <v>0</v>
      </c>
      <c r="AN576" s="4">
        <f t="shared" si="71"/>
        <v>0</v>
      </c>
      <c r="AO576" s="3"/>
      <c r="AP576">
        <v>0</v>
      </c>
      <c r="AR576" t="s">
        <v>0</v>
      </c>
      <c r="AT576" s="2" t="s">
        <v>45</v>
      </c>
      <c r="AU576" s="1">
        <f t="shared" si="75"/>
        <v>0.18872961212994849</v>
      </c>
      <c r="AV576" s="1">
        <f t="shared" si="76"/>
        <v>0.13480686580710607</v>
      </c>
      <c r="AW576" s="1">
        <f t="shared" si="77"/>
        <v>8.0884119484263647E-2</v>
      </c>
    </row>
    <row r="577" spans="1:49" x14ac:dyDescent="0.2">
      <c r="A577">
        <v>575</v>
      </c>
      <c r="B577" t="s">
        <v>1529</v>
      </c>
      <c r="C577" t="s">
        <v>1528</v>
      </c>
      <c r="F577" t="s">
        <v>1527</v>
      </c>
      <c r="G577" t="s">
        <v>13</v>
      </c>
      <c r="H577" t="s">
        <v>12</v>
      </c>
      <c r="I577" t="s">
        <v>1526</v>
      </c>
      <c r="J577">
        <v>60016849</v>
      </c>
      <c r="K577" t="s">
        <v>913</v>
      </c>
      <c r="L577" t="s">
        <v>912</v>
      </c>
      <c r="M577" t="s">
        <v>38</v>
      </c>
      <c r="N577">
        <v>2</v>
      </c>
      <c r="O577" t="s">
        <v>1525</v>
      </c>
      <c r="P577" t="s">
        <v>1524</v>
      </c>
      <c r="Q577" t="s">
        <v>909</v>
      </c>
      <c r="R577" s="7">
        <v>30682</v>
      </c>
      <c r="S577" s="8">
        <f t="shared" si="72"/>
        <v>1984</v>
      </c>
      <c r="T577" s="8">
        <v>1984</v>
      </c>
      <c r="U577" s="8">
        <f t="shared" si="73"/>
        <v>38</v>
      </c>
      <c r="V577" s="7">
        <v>30742</v>
      </c>
      <c r="W577" t="s">
        <v>1523</v>
      </c>
      <c r="X577" s="2">
        <v>0.78200000000000003</v>
      </c>
      <c r="Y577" s="6">
        <f t="shared" si="70"/>
        <v>2.0875043378446919E-2</v>
      </c>
      <c r="AA577">
        <v>189316</v>
      </c>
      <c r="AB577">
        <v>19901</v>
      </c>
      <c r="AC577">
        <v>15579611</v>
      </c>
      <c r="AD577" t="s">
        <v>4</v>
      </c>
      <c r="AE577" t="s">
        <v>1522</v>
      </c>
      <c r="AF577">
        <v>1</v>
      </c>
      <c r="AH577" t="s">
        <v>1521</v>
      </c>
      <c r="AI577" t="s">
        <v>1520</v>
      </c>
      <c r="AK577" t="s">
        <v>1519</v>
      </c>
      <c r="AL577">
        <v>20</v>
      </c>
      <c r="AM577" s="5">
        <f t="shared" si="74"/>
        <v>0.52631578947368418</v>
      </c>
      <c r="AN577" s="4">
        <f t="shared" si="71"/>
        <v>7.9714621654476973E-4</v>
      </c>
      <c r="AO577" s="3"/>
      <c r="AP577">
        <v>0</v>
      </c>
      <c r="AR577" t="s">
        <v>0</v>
      </c>
      <c r="AT577" s="2">
        <v>3.863</v>
      </c>
      <c r="AU577" s="1">
        <f t="shared" si="75"/>
        <v>1.4851674229876273</v>
      </c>
      <c r="AV577" s="1">
        <f t="shared" si="76"/>
        <v>1.0836094797495845</v>
      </c>
      <c r="AW577" s="1">
        <f t="shared" si="77"/>
        <v>0.68205153651154149</v>
      </c>
    </row>
    <row r="578" spans="1:49" x14ac:dyDescent="0.2">
      <c r="A578">
        <v>576</v>
      </c>
      <c r="B578" t="s">
        <v>1518</v>
      </c>
      <c r="C578" t="s">
        <v>1517</v>
      </c>
      <c r="F578" t="s">
        <v>1516</v>
      </c>
      <c r="G578" t="s">
        <v>13</v>
      </c>
      <c r="H578" t="s">
        <v>12</v>
      </c>
      <c r="I578" t="s">
        <v>1515</v>
      </c>
      <c r="J578">
        <v>100331444</v>
      </c>
      <c r="K578" t="s">
        <v>1514</v>
      </c>
      <c r="L578" t="s">
        <v>1513</v>
      </c>
      <c r="M578" t="s">
        <v>56</v>
      </c>
      <c r="N578">
        <v>1</v>
      </c>
      <c r="O578" t="s">
        <v>1512</v>
      </c>
      <c r="P578">
        <v>6701744626</v>
      </c>
      <c r="Q578">
        <v>100331444</v>
      </c>
      <c r="R578" s="7">
        <v>30682</v>
      </c>
      <c r="S578" s="8">
        <f t="shared" si="72"/>
        <v>1984</v>
      </c>
      <c r="T578" s="8">
        <v>1984</v>
      </c>
      <c r="U578" s="8">
        <f t="shared" si="73"/>
        <v>38</v>
      </c>
      <c r="V578" s="7">
        <v>30742</v>
      </c>
      <c r="W578" t="s">
        <v>1446</v>
      </c>
      <c r="X578" s="2">
        <v>1.137</v>
      </c>
      <c r="Y578" s="6">
        <f t="shared" ref="Y578:Y641" si="78">(X578-$Z$4)/($Z$3-$Z$4)</f>
        <v>3.0351565628253384E-2</v>
      </c>
      <c r="AA578">
        <v>189251</v>
      </c>
      <c r="AB578">
        <v>17336</v>
      </c>
      <c r="AD578" t="s">
        <v>4</v>
      </c>
      <c r="AE578" t="s">
        <v>1445</v>
      </c>
      <c r="AF578">
        <v>2</v>
      </c>
      <c r="AH578" t="s">
        <v>1511</v>
      </c>
      <c r="AI578" t="s">
        <v>1510</v>
      </c>
      <c r="AK578" t="s">
        <v>1509</v>
      </c>
      <c r="AL578">
        <v>2</v>
      </c>
      <c r="AM578" s="5">
        <f t="shared" si="74"/>
        <v>5.2631578947368418E-2</v>
      </c>
      <c r="AN578" s="4">
        <f t="shared" ref="AN578:AN641" si="79">(AM578-$AO$4)/($AO$3-$AO$4)</f>
        <v>7.9714621654476962E-5</v>
      </c>
      <c r="AO578" s="3"/>
      <c r="AP578">
        <v>0</v>
      </c>
      <c r="AR578" t="s">
        <v>0</v>
      </c>
      <c r="AT578" s="2" t="s">
        <v>45</v>
      </c>
      <c r="AU578" s="1">
        <f t="shared" si="75"/>
        <v>2.1270010326273709</v>
      </c>
      <c r="AV578" s="1">
        <f t="shared" si="76"/>
        <v>1.5215640124953931</v>
      </c>
      <c r="AW578" s="1">
        <f t="shared" si="77"/>
        <v>0.91612699236341499</v>
      </c>
    </row>
    <row r="579" spans="1:49" x14ac:dyDescent="0.2">
      <c r="A579">
        <v>577</v>
      </c>
      <c r="B579" t="s">
        <v>1508</v>
      </c>
      <c r="F579" t="s">
        <v>1507</v>
      </c>
      <c r="G579" t="s">
        <v>13</v>
      </c>
      <c r="H579" t="s">
        <v>12</v>
      </c>
      <c r="I579" t="s">
        <v>1506</v>
      </c>
      <c r="N579">
        <v>2</v>
      </c>
      <c r="O579" t="s">
        <v>1505</v>
      </c>
      <c r="P579" t="s">
        <v>1504</v>
      </c>
      <c r="Q579" t="s">
        <v>266</v>
      </c>
      <c r="R579" s="7">
        <v>30682</v>
      </c>
      <c r="S579" s="8">
        <f t="shared" si="72"/>
        <v>1984</v>
      </c>
      <c r="T579" s="8">
        <v>1984</v>
      </c>
      <c r="U579" s="8">
        <f t="shared" si="73"/>
        <v>38</v>
      </c>
      <c r="V579" s="7" t="s">
        <v>1436</v>
      </c>
      <c r="W579" t="s">
        <v>1503</v>
      </c>
      <c r="X579" s="2">
        <v>0.125</v>
      </c>
      <c r="Y579" s="6">
        <f t="shared" si="78"/>
        <v>3.3368036090867838E-3</v>
      </c>
      <c r="AA579">
        <v>26557</v>
      </c>
      <c r="AB579">
        <v>40401</v>
      </c>
      <c r="AD579" t="s">
        <v>4</v>
      </c>
      <c r="AE579">
        <v>53</v>
      </c>
      <c r="AF579">
        <v>2</v>
      </c>
      <c r="AH579" t="s">
        <v>1502</v>
      </c>
      <c r="AI579" t="s">
        <v>1501</v>
      </c>
      <c r="AK579" t="s">
        <v>1500</v>
      </c>
      <c r="AL579">
        <v>0</v>
      </c>
      <c r="AM579" s="5">
        <f t="shared" si="74"/>
        <v>0</v>
      </c>
      <c r="AN579" s="4">
        <f t="shared" si="79"/>
        <v>0</v>
      </c>
      <c r="AO579" s="3"/>
      <c r="AP579">
        <v>0</v>
      </c>
      <c r="AR579" t="s">
        <v>0</v>
      </c>
      <c r="AT579" s="2" t="s">
        <v>45</v>
      </c>
      <c r="AU579" s="1">
        <f t="shared" si="75"/>
        <v>0.23357625263607484</v>
      </c>
      <c r="AV579" s="1">
        <f t="shared" si="76"/>
        <v>0.16684018045433918</v>
      </c>
      <c r="AW579" s="1">
        <f t="shared" si="77"/>
        <v>0.10010410827260351</v>
      </c>
    </row>
    <row r="580" spans="1:49" x14ac:dyDescent="0.2">
      <c r="A580">
        <v>578</v>
      </c>
      <c r="B580" t="s">
        <v>1499</v>
      </c>
      <c r="F580" t="s">
        <v>1498</v>
      </c>
      <c r="G580" t="s">
        <v>13</v>
      </c>
      <c r="H580" t="s">
        <v>12</v>
      </c>
      <c r="I580" t="s">
        <v>1497</v>
      </c>
      <c r="N580">
        <v>1</v>
      </c>
      <c r="O580" t="s">
        <v>1496</v>
      </c>
      <c r="P580">
        <v>7402483603</v>
      </c>
      <c r="R580" s="7">
        <v>30682</v>
      </c>
      <c r="S580" s="8">
        <f t="shared" si="72"/>
        <v>1984</v>
      </c>
      <c r="T580" s="8">
        <v>1984</v>
      </c>
      <c r="U580" s="8">
        <f t="shared" si="73"/>
        <v>38</v>
      </c>
      <c r="V580" s="7" t="s">
        <v>1466</v>
      </c>
      <c r="W580" t="s">
        <v>1495</v>
      </c>
      <c r="X580" s="2" t="s">
        <v>45</v>
      </c>
      <c r="Y580" s="6" t="e">
        <f t="shared" si="78"/>
        <v>#VALUE!</v>
      </c>
      <c r="AA580">
        <v>3084213</v>
      </c>
      <c r="AB580">
        <v>39048</v>
      </c>
      <c r="AD580" t="s">
        <v>4</v>
      </c>
      <c r="AE580">
        <v>12</v>
      </c>
      <c r="AF580">
        <v>6</v>
      </c>
      <c r="AH580" t="s">
        <v>1494</v>
      </c>
      <c r="AI580" t="s">
        <v>1493</v>
      </c>
      <c r="AK580" t="s">
        <v>1492</v>
      </c>
      <c r="AL580">
        <v>0</v>
      </c>
      <c r="AM580" s="5">
        <f t="shared" si="74"/>
        <v>0</v>
      </c>
      <c r="AN580" s="4">
        <f t="shared" si="79"/>
        <v>0</v>
      </c>
      <c r="AO580" s="3"/>
      <c r="AP580">
        <v>0</v>
      </c>
      <c r="AR580" t="s">
        <v>0</v>
      </c>
      <c r="AT580" s="2" t="s">
        <v>45</v>
      </c>
      <c r="AU580" s="1" t="e">
        <f t="shared" si="75"/>
        <v>#VALUE!</v>
      </c>
      <c r="AV580" s="1" t="e">
        <f t="shared" si="76"/>
        <v>#VALUE!</v>
      </c>
      <c r="AW580" s="1" t="e">
        <f t="shared" si="77"/>
        <v>#VALUE!</v>
      </c>
    </row>
    <row r="581" spans="1:49" x14ac:dyDescent="0.2">
      <c r="A581">
        <v>579</v>
      </c>
      <c r="B581" t="s">
        <v>1491</v>
      </c>
      <c r="C581" t="s">
        <v>1490</v>
      </c>
      <c r="F581" t="s">
        <v>1489</v>
      </c>
      <c r="G581" t="s">
        <v>13</v>
      </c>
      <c r="H581" t="s">
        <v>12</v>
      </c>
      <c r="I581" t="s">
        <v>1488</v>
      </c>
      <c r="J581">
        <v>101623791</v>
      </c>
      <c r="K581" t="s">
        <v>1487</v>
      </c>
      <c r="L581" t="s">
        <v>1486</v>
      </c>
      <c r="M581" t="s">
        <v>56</v>
      </c>
      <c r="N581">
        <v>1</v>
      </c>
      <c r="O581" t="s">
        <v>1485</v>
      </c>
      <c r="P581">
        <v>7102236141</v>
      </c>
      <c r="Q581">
        <v>101623791</v>
      </c>
      <c r="R581" s="7">
        <v>30682</v>
      </c>
      <c r="S581" s="8">
        <f t="shared" si="72"/>
        <v>1984</v>
      </c>
      <c r="T581" s="8">
        <v>1984</v>
      </c>
      <c r="U581" s="8">
        <f t="shared" si="73"/>
        <v>38</v>
      </c>
      <c r="V581" s="7">
        <v>30682</v>
      </c>
      <c r="W581" t="s">
        <v>1484</v>
      </c>
      <c r="X581" s="2">
        <v>0.80300000000000005</v>
      </c>
      <c r="Y581" s="6">
        <f t="shared" si="78"/>
        <v>2.1435626384773501E-2</v>
      </c>
      <c r="AA581">
        <v>10847529</v>
      </c>
      <c r="AB581">
        <v>12320</v>
      </c>
      <c r="AC581">
        <v>15208532</v>
      </c>
      <c r="AD581" t="s">
        <v>4</v>
      </c>
      <c r="AE581">
        <v>1</v>
      </c>
      <c r="AF581">
        <v>3</v>
      </c>
      <c r="AH581" t="s">
        <v>1483</v>
      </c>
      <c r="AI581" t="s">
        <v>1482</v>
      </c>
      <c r="AK581" t="s">
        <v>1481</v>
      </c>
      <c r="AL581">
        <v>49</v>
      </c>
      <c r="AM581" s="5">
        <f t="shared" si="74"/>
        <v>1.2894736842105263</v>
      </c>
      <c r="AN581" s="4">
        <f t="shared" si="79"/>
        <v>1.9530082305346857E-3</v>
      </c>
      <c r="AO581" s="3"/>
      <c r="AP581">
        <v>0</v>
      </c>
      <c r="AR581" t="s">
        <v>0</v>
      </c>
      <c r="AT581" s="2" t="s">
        <v>45</v>
      </c>
      <c r="AU581" s="1">
        <f t="shared" si="75"/>
        <v>1.5590840938501855</v>
      </c>
      <c r="AV581" s="1">
        <f t="shared" si="76"/>
        <v>1.1694317307654092</v>
      </c>
      <c r="AW581" s="1">
        <f t="shared" si="77"/>
        <v>0.77977936768063294</v>
      </c>
    </row>
    <row r="582" spans="1:49" x14ac:dyDescent="0.2">
      <c r="A582">
        <v>580</v>
      </c>
      <c r="B582" t="s">
        <v>1480</v>
      </c>
      <c r="C582" t="s">
        <v>1479</v>
      </c>
      <c r="F582" t="s">
        <v>1478</v>
      </c>
      <c r="G582" t="s">
        <v>13</v>
      </c>
      <c r="H582" t="s">
        <v>12</v>
      </c>
      <c r="I582" t="s">
        <v>1477</v>
      </c>
      <c r="J582">
        <v>60025141</v>
      </c>
      <c r="K582" t="s">
        <v>1476</v>
      </c>
      <c r="L582" t="s">
        <v>644</v>
      </c>
      <c r="M582" t="s">
        <v>643</v>
      </c>
      <c r="N582">
        <v>1</v>
      </c>
      <c r="O582" t="s">
        <v>1475</v>
      </c>
      <c r="P582">
        <v>14320555700</v>
      </c>
      <c r="Q582">
        <v>60025141</v>
      </c>
      <c r="R582" s="7">
        <v>30682</v>
      </c>
      <c r="S582" s="8">
        <f t="shared" si="72"/>
        <v>1984</v>
      </c>
      <c r="T582" s="8">
        <v>1984</v>
      </c>
      <c r="U582" s="8">
        <f t="shared" si="73"/>
        <v>38</v>
      </c>
      <c r="V582" s="7">
        <v>1984</v>
      </c>
      <c r="W582" t="s">
        <v>1474</v>
      </c>
      <c r="X582" s="2">
        <v>0.82</v>
      </c>
      <c r="Y582" s="6">
        <f t="shared" si="78"/>
        <v>2.1889431675609299E-2</v>
      </c>
      <c r="AA582">
        <v>189456</v>
      </c>
      <c r="AB582">
        <v>15361</v>
      </c>
      <c r="AC582">
        <v>15579662</v>
      </c>
      <c r="AD582" t="s">
        <v>4</v>
      </c>
      <c r="AE582">
        <v>33</v>
      </c>
      <c r="AF582">
        <v>1</v>
      </c>
      <c r="AH582" t="s">
        <v>788</v>
      </c>
      <c r="AI582" t="s">
        <v>1473</v>
      </c>
      <c r="AK582" t="s">
        <v>1472</v>
      </c>
      <c r="AL582">
        <v>0</v>
      </c>
      <c r="AM582" s="5">
        <f t="shared" si="74"/>
        <v>0</v>
      </c>
      <c r="AN582" s="4">
        <f t="shared" si="79"/>
        <v>0</v>
      </c>
      <c r="AO582" s="3"/>
      <c r="AP582">
        <v>0</v>
      </c>
      <c r="AR582" t="s">
        <v>0</v>
      </c>
      <c r="AT582" s="2" t="s">
        <v>45</v>
      </c>
      <c r="AU582" s="1">
        <f t="shared" si="75"/>
        <v>1.5322602172926507</v>
      </c>
      <c r="AV582" s="1">
        <f t="shared" si="76"/>
        <v>1.0944715837804648</v>
      </c>
      <c r="AW582" s="1">
        <f t="shared" si="77"/>
        <v>0.65668295026827894</v>
      </c>
    </row>
    <row r="583" spans="1:49" x14ac:dyDescent="0.2">
      <c r="A583">
        <v>581</v>
      </c>
      <c r="B583" t="s">
        <v>1471</v>
      </c>
      <c r="C583" t="s">
        <v>1470</v>
      </c>
      <c r="F583" t="s">
        <v>1469</v>
      </c>
      <c r="G583" t="s">
        <v>13</v>
      </c>
      <c r="H583" t="s">
        <v>12</v>
      </c>
      <c r="I583" t="s">
        <v>1468</v>
      </c>
      <c r="N583">
        <v>1</v>
      </c>
      <c r="O583" t="s">
        <v>1467</v>
      </c>
      <c r="P583">
        <v>6603673709</v>
      </c>
      <c r="R583" s="7">
        <v>30682</v>
      </c>
      <c r="S583" s="8">
        <f t="shared" si="72"/>
        <v>1984</v>
      </c>
      <c r="T583" s="8">
        <v>1984</v>
      </c>
      <c r="U583" s="8">
        <f t="shared" si="73"/>
        <v>38</v>
      </c>
      <c r="V583" s="7" t="s">
        <v>1466</v>
      </c>
      <c r="W583" t="s">
        <v>1465</v>
      </c>
      <c r="X583" s="2" t="s">
        <v>45</v>
      </c>
      <c r="Y583" s="6" t="e">
        <f t="shared" si="78"/>
        <v>#VALUE!</v>
      </c>
      <c r="AA583">
        <v>222739</v>
      </c>
      <c r="AB583">
        <v>33110</v>
      </c>
      <c r="AD583" t="s">
        <v>4</v>
      </c>
      <c r="AE583">
        <v>19</v>
      </c>
      <c r="AF583">
        <v>1</v>
      </c>
      <c r="AH583" t="s">
        <v>1464</v>
      </c>
      <c r="AI583" t="s">
        <v>1463</v>
      </c>
      <c r="AK583" t="s">
        <v>1462</v>
      </c>
      <c r="AL583">
        <v>0</v>
      </c>
      <c r="AM583" s="5">
        <f t="shared" si="74"/>
        <v>0</v>
      </c>
      <c r="AN583" s="4">
        <f t="shared" si="79"/>
        <v>0</v>
      </c>
      <c r="AO583" s="3"/>
      <c r="AP583">
        <v>0</v>
      </c>
      <c r="AR583" t="s">
        <v>0</v>
      </c>
      <c r="AT583" s="2" t="s">
        <v>45</v>
      </c>
      <c r="AU583" s="1" t="e">
        <f t="shared" si="75"/>
        <v>#VALUE!</v>
      </c>
      <c r="AV583" s="1" t="e">
        <f t="shared" si="76"/>
        <v>#VALUE!</v>
      </c>
      <c r="AW583" s="1" t="e">
        <f t="shared" si="77"/>
        <v>#VALUE!</v>
      </c>
    </row>
    <row r="584" spans="1:49" x14ac:dyDescent="0.2">
      <c r="A584">
        <v>582</v>
      </c>
      <c r="B584" t="s">
        <v>1461</v>
      </c>
      <c r="C584" t="s">
        <v>1460</v>
      </c>
      <c r="F584" t="s">
        <v>1459</v>
      </c>
      <c r="G584" t="s">
        <v>13</v>
      </c>
      <c r="H584" t="s">
        <v>12</v>
      </c>
      <c r="I584" t="s">
        <v>1458</v>
      </c>
      <c r="J584">
        <v>100333049</v>
      </c>
      <c r="K584" t="s">
        <v>655</v>
      </c>
      <c r="L584" t="s">
        <v>654</v>
      </c>
      <c r="M584" t="s">
        <v>56</v>
      </c>
      <c r="N584">
        <v>1</v>
      </c>
      <c r="O584" t="s">
        <v>1457</v>
      </c>
      <c r="P584">
        <v>57197267887</v>
      </c>
      <c r="Q584">
        <v>100333049</v>
      </c>
      <c r="R584" s="7">
        <v>30682</v>
      </c>
      <c r="S584" s="8">
        <f t="shared" si="72"/>
        <v>1984</v>
      </c>
      <c r="T584" s="8">
        <v>1984</v>
      </c>
      <c r="U584" s="8">
        <f t="shared" si="73"/>
        <v>38</v>
      </c>
      <c r="V584" s="7">
        <v>30742</v>
      </c>
      <c r="W584" t="s">
        <v>1446</v>
      </c>
      <c r="X584" s="2">
        <v>1.137</v>
      </c>
      <c r="Y584" s="6">
        <f t="shared" si="78"/>
        <v>3.0351565628253384E-2</v>
      </c>
      <c r="AA584">
        <v>189251</v>
      </c>
      <c r="AB584">
        <v>17336</v>
      </c>
      <c r="AD584" t="s">
        <v>4</v>
      </c>
      <c r="AE584" t="s">
        <v>1445</v>
      </c>
      <c r="AF584">
        <v>2</v>
      </c>
      <c r="AH584" t="s">
        <v>1456</v>
      </c>
      <c r="AI584" t="s">
        <v>1455</v>
      </c>
      <c r="AK584" t="s">
        <v>1454</v>
      </c>
      <c r="AL584">
        <v>1</v>
      </c>
      <c r="AM584" s="5">
        <f t="shared" si="74"/>
        <v>2.6315789473684209E-2</v>
      </c>
      <c r="AN584" s="4">
        <f t="shared" si="79"/>
        <v>3.9857310827238481E-5</v>
      </c>
      <c r="AO584" s="3"/>
      <c r="AP584">
        <v>0</v>
      </c>
      <c r="AR584" t="s">
        <v>0</v>
      </c>
      <c r="AT584" s="2" t="s">
        <v>45</v>
      </c>
      <c r="AU584" s="1">
        <f t="shared" si="75"/>
        <v>2.1258053133025538</v>
      </c>
      <c r="AV584" s="1">
        <f t="shared" si="76"/>
        <v>1.5195711469540312</v>
      </c>
      <c r="AW584" s="1">
        <f t="shared" si="77"/>
        <v>0.91333698060550828</v>
      </c>
    </row>
    <row r="585" spans="1:49" x14ac:dyDescent="0.2">
      <c r="A585">
        <v>583</v>
      </c>
      <c r="B585" t="s">
        <v>1453</v>
      </c>
      <c r="C585" t="s">
        <v>1452</v>
      </c>
      <c r="F585" t="s">
        <v>1451</v>
      </c>
      <c r="G585" t="s">
        <v>13</v>
      </c>
      <c r="H585" t="s">
        <v>12</v>
      </c>
      <c r="I585" t="s">
        <v>1450</v>
      </c>
      <c r="J585">
        <v>60013959</v>
      </c>
      <c r="K585" t="s">
        <v>1449</v>
      </c>
      <c r="L585" t="s">
        <v>1448</v>
      </c>
      <c r="M585" t="s">
        <v>56</v>
      </c>
      <c r="N585">
        <v>1</v>
      </c>
      <c r="O585" t="s">
        <v>1447</v>
      </c>
      <c r="P585">
        <v>7006828788</v>
      </c>
      <c r="Q585">
        <v>60013959</v>
      </c>
      <c r="R585" s="7">
        <v>30682</v>
      </c>
      <c r="S585" s="8">
        <f t="shared" si="72"/>
        <v>1984</v>
      </c>
      <c r="T585" s="8">
        <v>1984</v>
      </c>
      <c r="U585" s="8">
        <f t="shared" si="73"/>
        <v>38</v>
      </c>
      <c r="V585" s="7">
        <v>30742</v>
      </c>
      <c r="W585" t="s">
        <v>1446</v>
      </c>
      <c r="X585" s="2">
        <v>1.137</v>
      </c>
      <c r="Y585" s="6">
        <f t="shared" si="78"/>
        <v>3.0351565628253384E-2</v>
      </c>
      <c r="AA585">
        <v>189251</v>
      </c>
      <c r="AB585">
        <v>17336</v>
      </c>
      <c r="AD585" t="s">
        <v>4</v>
      </c>
      <c r="AE585" t="s">
        <v>1445</v>
      </c>
      <c r="AF585">
        <v>2</v>
      </c>
      <c r="AH585" t="s">
        <v>1444</v>
      </c>
      <c r="AI585" t="s">
        <v>1443</v>
      </c>
      <c r="AK585" t="s">
        <v>1442</v>
      </c>
      <c r="AL585">
        <v>23</v>
      </c>
      <c r="AM585" s="5">
        <f t="shared" si="74"/>
        <v>0.60526315789473684</v>
      </c>
      <c r="AN585" s="4">
        <f t="shared" si="79"/>
        <v>9.1671814902648512E-4</v>
      </c>
      <c r="AO585" s="3"/>
      <c r="AP585">
        <v>0</v>
      </c>
      <c r="AR585" t="s">
        <v>0</v>
      </c>
      <c r="AT585" s="2" t="s">
        <v>45</v>
      </c>
      <c r="AU585" s="1">
        <f t="shared" si="75"/>
        <v>2.152111138448531</v>
      </c>
      <c r="AV585" s="1">
        <f t="shared" si="76"/>
        <v>1.5634141888639934</v>
      </c>
      <c r="AW585" s="1">
        <f t="shared" si="77"/>
        <v>0.97471723927945553</v>
      </c>
    </row>
    <row r="586" spans="1:49" x14ac:dyDescent="0.2">
      <c r="A586">
        <v>584</v>
      </c>
      <c r="B586" t="s">
        <v>1441</v>
      </c>
      <c r="F586" t="s">
        <v>1440</v>
      </c>
      <c r="G586" t="s">
        <v>13</v>
      </c>
      <c r="H586" t="s">
        <v>12</v>
      </c>
      <c r="I586" t="s">
        <v>1439</v>
      </c>
      <c r="N586">
        <v>2</v>
      </c>
      <c r="O586" t="s">
        <v>1438</v>
      </c>
      <c r="P586" t="s">
        <v>1437</v>
      </c>
      <c r="Q586" t="s">
        <v>266</v>
      </c>
      <c r="R586" s="7">
        <v>30682</v>
      </c>
      <c r="S586" s="8">
        <f t="shared" si="72"/>
        <v>1984</v>
      </c>
      <c r="T586" s="8">
        <v>1984</v>
      </c>
      <c r="U586" s="8">
        <f t="shared" si="73"/>
        <v>38</v>
      </c>
      <c r="V586" s="7" t="s">
        <v>1436</v>
      </c>
      <c r="W586" t="s">
        <v>1435</v>
      </c>
      <c r="X586" s="2" t="s">
        <v>45</v>
      </c>
      <c r="Y586" s="6" t="e">
        <f t="shared" si="78"/>
        <v>#VALUE!</v>
      </c>
      <c r="AA586" t="s">
        <v>1434</v>
      </c>
      <c r="AB586">
        <v>39896</v>
      </c>
      <c r="AD586" t="s">
        <v>4</v>
      </c>
      <c r="AE586">
        <v>6</v>
      </c>
      <c r="AF586">
        <v>2</v>
      </c>
      <c r="AH586" t="s">
        <v>1433</v>
      </c>
      <c r="AI586" t="s">
        <v>1432</v>
      </c>
      <c r="AK586" t="s">
        <v>1431</v>
      </c>
      <c r="AL586">
        <v>0</v>
      </c>
      <c r="AM586" s="5">
        <f t="shared" si="74"/>
        <v>0</v>
      </c>
      <c r="AN586" s="4">
        <f t="shared" si="79"/>
        <v>0</v>
      </c>
      <c r="AO586" s="3"/>
      <c r="AP586">
        <v>0</v>
      </c>
      <c r="AR586" t="s">
        <v>0</v>
      </c>
      <c r="AT586" s="2" t="s">
        <v>45</v>
      </c>
      <c r="AU586" s="1" t="e">
        <f t="shared" si="75"/>
        <v>#VALUE!</v>
      </c>
      <c r="AV586" s="1" t="e">
        <f t="shared" si="76"/>
        <v>#VALUE!</v>
      </c>
      <c r="AW586" s="1" t="e">
        <f t="shared" si="77"/>
        <v>#VALUE!</v>
      </c>
    </row>
    <row r="587" spans="1:49" x14ac:dyDescent="0.2">
      <c r="A587">
        <v>585</v>
      </c>
      <c r="B587" t="s">
        <v>1430</v>
      </c>
      <c r="F587" t="s">
        <v>1429</v>
      </c>
      <c r="G587" t="s">
        <v>13</v>
      </c>
      <c r="H587" t="s">
        <v>12</v>
      </c>
      <c r="I587" t="s">
        <v>1428</v>
      </c>
      <c r="N587">
        <v>2</v>
      </c>
      <c r="O587" t="s">
        <v>1427</v>
      </c>
      <c r="P587" t="s">
        <v>1426</v>
      </c>
      <c r="Q587" t="s">
        <v>266</v>
      </c>
      <c r="R587" s="7">
        <v>30682</v>
      </c>
      <c r="S587" s="8">
        <f t="shared" si="72"/>
        <v>1984</v>
      </c>
      <c r="T587" s="8">
        <v>1984</v>
      </c>
      <c r="U587" s="8">
        <f t="shared" si="73"/>
        <v>38</v>
      </c>
      <c r="V587" s="7" t="s">
        <v>1147</v>
      </c>
      <c r="W587" t="s">
        <v>1055</v>
      </c>
      <c r="X587" s="2" t="s">
        <v>45</v>
      </c>
      <c r="Y587" s="6" t="e">
        <f t="shared" si="78"/>
        <v>#VALUE!</v>
      </c>
      <c r="AA587">
        <v>337889</v>
      </c>
      <c r="AB587">
        <v>40920</v>
      </c>
      <c r="AD587" t="s">
        <v>4</v>
      </c>
      <c r="AE587">
        <v>29</v>
      </c>
      <c r="AF587">
        <v>2</v>
      </c>
      <c r="AH587" t="s">
        <v>1425</v>
      </c>
      <c r="AI587" t="s">
        <v>1424</v>
      </c>
      <c r="AK587" t="s">
        <v>1423</v>
      </c>
      <c r="AL587">
        <v>1</v>
      </c>
      <c r="AM587" s="5">
        <f t="shared" si="74"/>
        <v>2.6315789473684209E-2</v>
      </c>
      <c r="AN587" s="4">
        <f t="shared" si="79"/>
        <v>3.9857310827238481E-5</v>
      </c>
      <c r="AO587" s="3"/>
      <c r="AP587">
        <v>0</v>
      </c>
      <c r="AR587" t="s">
        <v>0</v>
      </c>
      <c r="AT587" s="2" t="s">
        <v>45</v>
      </c>
      <c r="AU587" s="1" t="e">
        <f t="shared" si="75"/>
        <v>#VALUE!</v>
      </c>
      <c r="AV587" s="1" t="e">
        <f t="shared" si="76"/>
        <v>#VALUE!</v>
      </c>
      <c r="AW587" s="1" t="e">
        <f t="shared" si="77"/>
        <v>#VALUE!</v>
      </c>
    </row>
    <row r="588" spans="1:49" x14ac:dyDescent="0.2">
      <c r="A588">
        <v>586</v>
      </c>
      <c r="B588" t="s">
        <v>1422</v>
      </c>
      <c r="F588" t="s">
        <v>1421</v>
      </c>
      <c r="G588" t="s">
        <v>13</v>
      </c>
      <c r="H588" t="s">
        <v>12</v>
      </c>
      <c r="I588" t="s">
        <v>1420</v>
      </c>
      <c r="N588">
        <v>2</v>
      </c>
      <c r="O588" t="s">
        <v>1419</v>
      </c>
      <c r="P588" t="s">
        <v>1418</v>
      </c>
      <c r="Q588" t="s">
        <v>266</v>
      </c>
      <c r="R588" s="7">
        <v>30682</v>
      </c>
      <c r="S588" s="8">
        <f t="shared" si="72"/>
        <v>1984</v>
      </c>
      <c r="T588" s="8">
        <v>1984</v>
      </c>
      <c r="U588" s="8">
        <f t="shared" si="73"/>
        <v>38</v>
      </c>
      <c r="V588" s="7" t="s">
        <v>1147</v>
      </c>
      <c r="W588" t="s">
        <v>1055</v>
      </c>
      <c r="X588" s="2" t="s">
        <v>45</v>
      </c>
      <c r="Y588" s="6" t="e">
        <f t="shared" si="78"/>
        <v>#VALUE!</v>
      </c>
      <c r="AA588">
        <v>337889</v>
      </c>
      <c r="AB588">
        <v>40920</v>
      </c>
      <c r="AD588" t="s">
        <v>4</v>
      </c>
      <c r="AE588">
        <v>29</v>
      </c>
      <c r="AF588">
        <v>2</v>
      </c>
      <c r="AH588" t="s">
        <v>1417</v>
      </c>
      <c r="AI588" t="s">
        <v>1416</v>
      </c>
      <c r="AK588" t="s">
        <v>1415</v>
      </c>
      <c r="AL588">
        <v>0</v>
      </c>
      <c r="AM588" s="5">
        <f t="shared" si="74"/>
        <v>0</v>
      </c>
      <c r="AN588" s="4">
        <f t="shared" si="79"/>
        <v>0</v>
      </c>
      <c r="AO588" s="3"/>
      <c r="AP588">
        <v>0</v>
      </c>
      <c r="AR588" t="s">
        <v>0</v>
      </c>
      <c r="AT588" s="2" t="s">
        <v>45</v>
      </c>
      <c r="AU588" s="1" t="e">
        <f t="shared" si="75"/>
        <v>#VALUE!</v>
      </c>
      <c r="AV588" s="1" t="e">
        <f t="shared" si="76"/>
        <v>#VALUE!</v>
      </c>
      <c r="AW588" s="1" t="e">
        <f t="shared" si="77"/>
        <v>#VALUE!</v>
      </c>
    </row>
    <row r="589" spans="1:49" x14ac:dyDescent="0.2">
      <c r="A589">
        <v>587</v>
      </c>
      <c r="B589" t="s">
        <v>1414</v>
      </c>
      <c r="F589" t="s">
        <v>1413</v>
      </c>
      <c r="G589" t="s">
        <v>13</v>
      </c>
      <c r="H589" t="s">
        <v>12</v>
      </c>
      <c r="I589" t="s">
        <v>1412</v>
      </c>
      <c r="N589">
        <v>1</v>
      </c>
      <c r="O589" t="s">
        <v>1411</v>
      </c>
      <c r="P589">
        <v>7006076565</v>
      </c>
      <c r="R589" s="7">
        <v>30682</v>
      </c>
      <c r="S589" s="8">
        <f t="shared" si="72"/>
        <v>1984</v>
      </c>
      <c r="T589" s="8">
        <v>1984</v>
      </c>
      <c r="U589" s="8">
        <f t="shared" si="73"/>
        <v>38</v>
      </c>
      <c r="V589" s="7" t="s">
        <v>1147</v>
      </c>
      <c r="W589" t="s">
        <v>1055</v>
      </c>
      <c r="X589" s="2" t="s">
        <v>45</v>
      </c>
      <c r="Y589" s="6" t="e">
        <f t="shared" si="78"/>
        <v>#VALUE!</v>
      </c>
      <c r="AA589">
        <v>337889</v>
      </c>
      <c r="AB589">
        <v>40920</v>
      </c>
      <c r="AD589" t="s">
        <v>4</v>
      </c>
      <c r="AE589">
        <v>29</v>
      </c>
      <c r="AF589">
        <v>2</v>
      </c>
      <c r="AH589" t="s">
        <v>1410</v>
      </c>
      <c r="AI589" t="s">
        <v>1409</v>
      </c>
      <c r="AK589" t="s">
        <v>1408</v>
      </c>
      <c r="AL589">
        <v>0</v>
      </c>
      <c r="AM589" s="5">
        <f t="shared" si="74"/>
        <v>0</v>
      </c>
      <c r="AN589" s="4">
        <f t="shared" si="79"/>
        <v>0</v>
      </c>
      <c r="AO589" s="3"/>
      <c r="AP589">
        <v>0</v>
      </c>
      <c r="AR589" t="s">
        <v>0</v>
      </c>
      <c r="AT589" s="2" t="s">
        <v>45</v>
      </c>
      <c r="AU589" s="1" t="e">
        <f t="shared" si="75"/>
        <v>#VALUE!</v>
      </c>
      <c r="AV589" s="1" t="e">
        <f t="shared" si="76"/>
        <v>#VALUE!</v>
      </c>
      <c r="AW589" s="1" t="e">
        <f t="shared" si="77"/>
        <v>#VALUE!</v>
      </c>
    </row>
    <row r="590" spans="1:49" x14ac:dyDescent="0.2">
      <c r="A590">
        <v>588</v>
      </c>
      <c r="B590" t="s">
        <v>1407</v>
      </c>
      <c r="F590" t="s">
        <v>1406</v>
      </c>
      <c r="G590" t="s">
        <v>13</v>
      </c>
      <c r="H590" t="s">
        <v>12</v>
      </c>
      <c r="I590" t="s">
        <v>1405</v>
      </c>
      <c r="N590">
        <v>6</v>
      </c>
      <c r="O590" t="s">
        <v>1404</v>
      </c>
      <c r="P590" t="s">
        <v>1403</v>
      </c>
      <c r="Q590" t="s">
        <v>1402</v>
      </c>
      <c r="R590" s="7">
        <v>30682</v>
      </c>
      <c r="S590" s="8">
        <f t="shared" si="72"/>
        <v>1984</v>
      </c>
      <c r="T590" s="8">
        <v>1984</v>
      </c>
      <c r="U590" s="8">
        <f t="shared" si="73"/>
        <v>38</v>
      </c>
      <c r="V590" s="7" t="s">
        <v>1147</v>
      </c>
      <c r="W590" t="s">
        <v>1055</v>
      </c>
      <c r="X590" s="2" t="s">
        <v>45</v>
      </c>
      <c r="Y590" s="6" t="e">
        <f t="shared" si="78"/>
        <v>#VALUE!</v>
      </c>
      <c r="AA590">
        <v>337889</v>
      </c>
      <c r="AB590">
        <v>40920</v>
      </c>
      <c r="AD590" t="s">
        <v>4</v>
      </c>
      <c r="AE590">
        <v>29</v>
      </c>
      <c r="AF590">
        <v>2</v>
      </c>
      <c r="AH590" t="s">
        <v>1401</v>
      </c>
      <c r="AI590" t="s">
        <v>1400</v>
      </c>
      <c r="AK590" t="s">
        <v>1399</v>
      </c>
      <c r="AL590">
        <v>0</v>
      </c>
      <c r="AM590" s="5">
        <f t="shared" si="74"/>
        <v>0</v>
      </c>
      <c r="AN590" s="4">
        <f t="shared" si="79"/>
        <v>0</v>
      </c>
      <c r="AO590" s="3"/>
      <c r="AP590">
        <v>0</v>
      </c>
      <c r="AR590" t="s">
        <v>0</v>
      </c>
      <c r="AT590" s="2" t="s">
        <v>45</v>
      </c>
      <c r="AU590" s="1" t="e">
        <f t="shared" si="75"/>
        <v>#VALUE!</v>
      </c>
      <c r="AV590" s="1" t="e">
        <f t="shared" si="76"/>
        <v>#VALUE!</v>
      </c>
      <c r="AW590" s="1" t="e">
        <f t="shared" si="77"/>
        <v>#VALUE!</v>
      </c>
    </row>
    <row r="591" spans="1:49" x14ac:dyDescent="0.2">
      <c r="A591">
        <v>589</v>
      </c>
      <c r="B591" t="s">
        <v>1398</v>
      </c>
      <c r="F591" t="s">
        <v>1397</v>
      </c>
      <c r="G591" t="s">
        <v>13</v>
      </c>
      <c r="H591" t="s">
        <v>12</v>
      </c>
      <c r="I591" t="s">
        <v>1396</v>
      </c>
      <c r="N591">
        <v>3</v>
      </c>
      <c r="O591" t="s">
        <v>1395</v>
      </c>
      <c r="P591" t="s">
        <v>1394</v>
      </c>
      <c r="Q591" t="s">
        <v>8</v>
      </c>
      <c r="R591" s="7">
        <v>30682</v>
      </c>
      <c r="S591" s="8">
        <f t="shared" si="72"/>
        <v>1984</v>
      </c>
      <c r="T591" s="8">
        <v>1984</v>
      </c>
      <c r="U591" s="8">
        <f t="shared" si="73"/>
        <v>38</v>
      </c>
      <c r="V591" s="7" t="s">
        <v>1147</v>
      </c>
      <c r="W591" t="s">
        <v>1055</v>
      </c>
      <c r="X591" s="2" t="s">
        <v>45</v>
      </c>
      <c r="Y591" s="6" t="e">
        <f t="shared" si="78"/>
        <v>#VALUE!</v>
      </c>
      <c r="AA591">
        <v>337889</v>
      </c>
      <c r="AB591">
        <v>40920</v>
      </c>
      <c r="AD591" t="s">
        <v>4</v>
      </c>
      <c r="AE591">
        <v>29</v>
      </c>
      <c r="AF591">
        <v>2</v>
      </c>
      <c r="AH591" t="s">
        <v>1393</v>
      </c>
      <c r="AI591" t="s">
        <v>1392</v>
      </c>
      <c r="AK591" t="s">
        <v>1391</v>
      </c>
      <c r="AL591">
        <v>0</v>
      </c>
      <c r="AM591" s="5">
        <f t="shared" si="74"/>
        <v>0</v>
      </c>
      <c r="AN591" s="4">
        <f t="shared" si="79"/>
        <v>0</v>
      </c>
      <c r="AO591" s="3"/>
      <c r="AP591">
        <v>0</v>
      </c>
      <c r="AR591" t="s">
        <v>0</v>
      </c>
      <c r="AT591" s="2" t="s">
        <v>45</v>
      </c>
      <c r="AU591" s="1" t="e">
        <f t="shared" si="75"/>
        <v>#VALUE!</v>
      </c>
      <c r="AV591" s="1" t="e">
        <f t="shared" si="76"/>
        <v>#VALUE!</v>
      </c>
      <c r="AW591" s="1" t="e">
        <f t="shared" si="77"/>
        <v>#VALUE!</v>
      </c>
    </row>
    <row r="592" spans="1:49" x14ac:dyDescent="0.2">
      <c r="A592">
        <v>590</v>
      </c>
      <c r="B592" t="s">
        <v>1390</v>
      </c>
      <c r="C592" t="s">
        <v>1389</v>
      </c>
      <c r="F592" t="s">
        <v>1388</v>
      </c>
      <c r="G592" t="s">
        <v>13</v>
      </c>
      <c r="H592" t="s">
        <v>12</v>
      </c>
      <c r="I592" t="s">
        <v>1387</v>
      </c>
      <c r="J592">
        <v>60008435</v>
      </c>
      <c r="K592" t="s">
        <v>1386</v>
      </c>
      <c r="L592" t="s">
        <v>1385</v>
      </c>
      <c r="M592" t="s">
        <v>643</v>
      </c>
      <c r="N592">
        <v>3</v>
      </c>
      <c r="O592" t="s">
        <v>1384</v>
      </c>
      <c r="P592" t="s">
        <v>1383</v>
      </c>
      <c r="Q592" t="s">
        <v>1382</v>
      </c>
      <c r="R592" s="7">
        <v>30682</v>
      </c>
      <c r="S592" s="8">
        <f t="shared" si="72"/>
        <v>1984</v>
      </c>
      <c r="T592" s="8">
        <v>1984</v>
      </c>
      <c r="U592" s="8">
        <f t="shared" si="73"/>
        <v>38</v>
      </c>
      <c r="V592" s="7">
        <v>30713</v>
      </c>
      <c r="W592" t="s">
        <v>380</v>
      </c>
      <c r="X592" s="2">
        <v>1.6519999999999999</v>
      </c>
      <c r="Y592" s="6">
        <f t="shared" si="78"/>
        <v>4.409919649769093E-2</v>
      </c>
      <c r="AA592" t="s">
        <v>379</v>
      </c>
      <c r="AB592">
        <v>17337</v>
      </c>
      <c r="AC592">
        <v>15582221</v>
      </c>
      <c r="AD592" t="s">
        <v>4</v>
      </c>
      <c r="AE592">
        <v>32</v>
      </c>
      <c r="AF592">
        <v>2</v>
      </c>
      <c r="AH592" t="s">
        <v>1381</v>
      </c>
      <c r="AI592" t="s">
        <v>1380</v>
      </c>
      <c r="AK592" t="s">
        <v>1379</v>
      </c>
      <c r="AL592">
        <v>12</v>
      </c>
      <c r="AM592" s="5">
        <f t="shared" si="74"/>
        <v>0.31578947368421051</v>
      </c>
      <c r="AN592" s="4">
        <f t="shared" si="79"/>
        <v>4.7828772992686183E-4</v>
      </c>
      <c r="AO592" s="3"/>
      <c r="AP592">
        <v>0</v>
      </c>
      <c r="AR592" t="s">
        <v>0</v>
      </c>
      <c r="AT592" s="2" t="s">
        <v>45</v>
      </c>
      <c r="AU592" s="1">
        <f t="shared" si="75"/>
        <v>3.101292386736171</v>
      </c>
      <c r="AV592" s="1">
        <f t="shared" si="76"/>
        <v>2.2288742113808895</v>
      </c>
      <c r="AW592" s="1">
        <f t="shared" si="77"/>
        <v>1.3564560360256082</v>
      </c>
    </row>
    <row r="593" spans="1:49" x14ac:dyDescent="0.2">
      <c r="A593">
        <v>591</v>
      </c>
      <c r="B593" t="s">
        <v>1378</v>
      </c>
      <c r="C593" t="s">
        <v>1377</v>
      </c>
      <c r="F593" t="s">
        <v>1376</v>
      </c>
      <c r="G593" t="s">
        <v>13</v>
      </c>
      <c r="H593" t="s">
        <v>12</v>
      </c>
      <c r="I593" t="s">
        <v>1375</v>
      </c>
      <c r="J593">
        <v>60027271</v>
      </c>
      <c r="K593" t="s">
        <v>1374</v>
      </c>
      <c r="L593" t="s">
        <v>1373</v>
      </c>
      <c r="M593" t="s">
        <v>56</v>
      </c>
      <c r="N593">
        <v>1</v>
      </c>
      <c r="O593" t="s">
        <v>1372</v>
      </c>
      <c r="P593">
        <v>7402367504</v>
      </c>
      <c r="Q593">
        <v>60027271</v>
      </c>
      <c r="R593" s="7">
        <v>30682</v>
      </c>
      <c r="S593" s="8">
        <f t="shared" si="72"/>
        <v>1984</v>
      </c>
      <c r="T593" s="8">
        <v>1984</v>
      </c>
      <c r="U593" s="8">
        <f t="shared" si="73"/>
        <v>38</v>
      </c>
      <c r="V593" s="7">
        <v>30713</v>
      </c>
      <c r="W593" t="s">
        <v>380</v>
      </c>
      <c r="X593" s="2">
        <v>1.6519999999999999</v>
      </c>
      <c r="Y593" s="6">
        <f t="shared" si="78"/>
        <v>4.409919649769093E-2</v>
      </c>
      <c r="AA593" t="s">
        <v>379</v>
      </c>
      <c r="AB593">
        <v>17337</v>
      </c>
      <c r="AC593">
        <v>15582221</v>
      </c>
      <c r="AD593" t="s">
        <v>4</v>
      </c>
      <c r="AE593">
        <v>32</v>
      </c>
      <c r="AF593">
        <v>2</v>
      </c>
      <c r="AH593" t="s">
        <v>1371</v>
      </c>
      <c r="AI593" t="s">
        <v>1370</v>
      </c>
      <c r="AK593" t="s">
        <v>1369</v>
      </c>
      <c r="AL593">
        <v>9</v>
      </c>
      <c r="AM593" s="5">
        <f t="shared" si="74"/>
        <v>0.23684210526315788</v>
      </c>
      <c r="AN593" s="4">
        <f t="shared" si="79"/>
        <v>3.5871579744514633E-4</v>
      </c>
      <c r="AO593" s="3"/>
      <c r="AP593">
        <v>0</v>
      </c>
      <c r="AR593" t="s">
        <v>0</v>
      </c>
      <c r="AT593" s="2" t="s">
        <v>45</v>
      </c>
      <c r="AU593" s="1">
        <f t="shared" si="75"/>
        <v>3.0977052287617197</v>
      </c>
      <c r="AV593" s="1">
        <f t="shared" si="76"/>
        <v>2.222895614756804</v>
      </c>
      <c r="AW593" s="1">
        <f t="shared" si="77"/>
        <v>1.348086000751888</v>
      </c>
    </row>
    <row r="594" spans="1:49" x14ac:dyDescent="0.2">
      <c r="A594">
        <v>592</v>
      </c>
      <c r="B594" t="s">
        <v>1368</v>
      </c>
      <c r="C594" t="s">
        <v>1367</v>
      </c>
      <c r="F594" t="s">
        <v>1366</v>
      </c>
      <c r="G594" t="s">
        <v>13</v>
      </c>
      <c r="H594" t="s">
        <v>12</v>
      </c>
      <c r="I594" t="s">
        <v>1365</v>
      </c>
      <c r="J594" t="s">
        <v>1364</v>
      </c>
      <c r="K594" t="s">
        <v>1363</v>
      </c>
      <c r="L594" t="s">
        <v>1362</v>
      </c>
      <c r="M594" t="s">
        <v>1361</v>
      </c>
      <c r="N594">
        <v>1</v>
      </c>
      <c r="O594" t="s">
        <v>1360</v>
      </c>
      <c r="P594">
        <v>6602351867</v>
      </c>
      <c r="Q594" t="s">
        <v>1359</v>
      </c>
      <c r="R594" s="7">
        <v>30682</v>
      </c>
      <c r="S594" s="8">
        <f t="shared" si="72"/>
        <v>1984</v>
      </c>
      <c r="T594" s="8">
        <v>1984</v>
      </c>
      <c r="U594" s="8">
        <f t="shared" si="73"/>
        <v>38</v>
      </c>
      <c r="V594" s="7">
        <v>1984</v>
      </c>
      <c r="W594" t="s">
        <v>474</v>
      </c>
      <c r="X594" s="2">
        <v>1.1879999999999999</v>
      </c>
      <c r="Y594" s="6">
        <f t="shared" si="78"/>
        <v>3.1712981500760788E-2</v>
      </c>
      <c r="AA594">
        <v>10706631</v>
      </c>
      <c r="AB594">
        <v>29210</v>
      </c>
      <c r="AD594" t="s">
        <v>4</v>
      </c>
      <c r="AE594">
        <v>27</v>
      </c>
      <c r="AF594">
        <v>2</v>
      </c>
      <c r="AH594" t="s">
        <v>1358</v>
      </c>
      <c r="AI594" t="s">
        <v>1357</v>
      </c>
      <c r="AK594" t="s">
        <v>1356</v>
      </c>
      <c r="AL594">
        <v>1</v>
      </c>
      <c r="AM594" s="5">
        <f t="shared" si="74"/>
        <v>2.6315789473684209E-2</v>
      </c>
      <c r="AN594" s="4">
        <f t="shared" si="79"/>
        <v>3.9857310827238481E-5</v>
      </c>
      <c r="AO594" s="3"/>
      <c r="AP594">
        <v>0</v>
      </c>
      <c r="AR594" t="s">
        <v>0</v>
      </c>
      <c r="AT594" s="2">
        <v>3.5209999999999999</v>
      </c>
      <c r="AU594" s="1">
        <f t="shared" si="75"/>
        <v>2.2211044243780722</v>
      </c>
      <c r="AV594" s="1">
        <f t="shared" si="76"/>
        <v>1.5876419405794011</v>
      </c>
      <c r="AW594" s="1">
        <f t="shared" si="77"/>
        <v>0.95417945678073035</v>
      </c>
    </row>
    <row r="595" spans="1:49" x14ac:dyDescent="0.2">
      <c r="A595">
        <v>593</v>
      </c>
      <c r="B595" t="s">
        <v>1355</v>
      </c>
      <c r="C595" t="s">
        <v>1354</v>
      </c>
      <c r="F595" t="s">
        <v>1353</v>
      </c>
      <c r="G595" t="s">
        <v>13</v>
      </c>
      <c r="H595" t="s">
        <v>12</v>
      </c>
      <c r="I595" t="s">
        <v>1352</v>
      </c>
      <c r="J595">
        <v>60014313</v>
      </c>
      <c r="K595" t="s">
        <v>1351</v>
      </c>
      <c r="L595" t="s">
        <v>1350</v>
      </c>
      <c r="M595" t="s">
        <v>56</v>
      </c>
      <c r="N595">
        <v>1</v>
      </c>
      <c r="O595" t="s">
        <v>1349</v>
      </c>
      <c r="P595">
        <v>7006061921</v>
      </c>
      <c r="Q595">
        <v>60014313</v>
      </c>
      <c r="R595" s="7">
        <v>30682</v>
      </c>
      <c r="S595" s="8">
        <f t="shared" si="72"/>
        <v>1984</v>
      </c>
      <c r="T595" s="8">
        <v>1984</v>
      </c>
      <c r="U595" s="8">
        <f t="shared" si="73"/>
        <v>38</v>
      </c>
      <c r="V595" s="7">
        <v>30713</v>
      </c>
      <c r="W595" t="s">
        <v>380</v>
      </c>
      <c r="X595" s="2">
        <v>1.6519999999999999</v>
      </c>
      <c r="Y595" s="6">
        <f t="shared" si="78"/>
        <v>4.409919649769093E-2</v>
      </c>
      <c r="AA595" t="s">
        <v>379</v>
      </c>
      <c r="AB595">
        <v>17337</v>
      </c>
      <c r="AC595">
        <v>15582221</v>
      </c>
      <c r="AD595" t="s">
        <v>4</v>
      </c>
      <c r="AE595">
        <v>32</v>
      </c>
      <c r="AF595">
        <v>2</v>
      </c>
      <c r="AH595" t="s">
        <v>1348</v>
      </c>
      <c r="AI595" t="s">
        <v>1347</v>
      </c>
      <c r="AK595" t="s">
        <v>1346</v>
      </c>
      <c r="AL595">
        <v>24</v>
      </c>
      <c r="AM595" s="5">
        <f t="shared" si="74"/>
        <v>0.63157894736842102</v>
      </c>
      <c r="AN595" s="4">
        <f t="shared" si="79"/>
        <v>9.5657545985372366E-4</v>
      </c>
      <c r="AO595" s="3"/>
      <c r="AP595">
        <v>0</v>
      </c>
      <c r="AR595" t="s">
        <v>0</v>
      </c>
      <c r="AT595" s="2" t="s">
        <v>45</v>
      </c>
      <c r="AU595" s="1">
        <f t="shared" si="75"/>
        <v>3.1156410186339767</v>
      </c>
      <c r="AV595" s="1">
        <f t="shared" si="76"/>
        <v>2.2527885978772328</v>
      </c>
      <c r="AW595" s="1">
        <f t="shared" si="77"/>
        <v>1.3899361771204886</v>
      </c>
    </row>
    <row r="596" spans="1:49" x14ac:dyDescent="0.2">
      <c r="A596">
        <v>594</v>
      </c>
      <c r="B596" t="s">
        <v>1345</v>
      </c>
      <c r="C596" t="s">
        <v>1344</v>
      </c>
      <c r="F596" t="s">
        <v>1343</v>
      </c>
      <c r="G596" t="s">
        <v>13</v>
      </c>
      <c r="H596" t="s">
        <v>12</v>
      </c>
      <c r="I596" t="s">
        <v>1342</v>
      </c>
      <c r="J596">
        <v>60010806</v>
      </c>
      <c r="K596" t="s">
        <v>1341</v>
      </c>
      <c r="L596" t="s">
        <v>708</v>
      </c>
      <c r="M596" t="s">
        <v>56</v>
      </c>
      <c r="N596">
        <v>1</v>
      </c>
      <c r="O596" t="s">
        <v>1340</v>
      </c>
      <c r="P596">
        <v>7007141696</v>
      </c>
      <c r="Q596">
        <v>60010806</v>
      </c>
      <c r="R596" s="7">
        <v>30682</v>
      </c>
      <c r="S596" s="8">
        <f t="shared" si="72"/>
        <v>1984</v>
      </c>
      <c r="T596" s="8">
        <v>1984</v>
      </c>
      <c r="U596" s="8">
        <f t="shared" si="73"/>
        <v>38</v>
      </c>
      <c r="V596" s="7">
        <v>30713</v>
      </c>
      <c r="W596" t="s">
        <v>1339</v>
      </c>
      <c r="X596" s="2">
        <v>1.6379999999999999</v>
      </c>
      <c r="Y596" s="6">
        <f t="shared" si="78"/>
        <v>4.3725474493473214E-2</v>
      </c>
      <c r="AA596">
        <v>963518</v>
      </c>
      <c r="AB596">
        <v>31560</v>
      </c>
      <c r="AD596" t="s">
        <v>4</v>
      </c>
      <c r="AE596">
        <v>32</v>
      </c>
      <c r="AF596">
        <v>1</v>
      </c>
      <c r="AH596" t="s">
        <v>1338</v>
      </c>
      <c r="AI596" t="s">
        <v>1337</v>
      </c>
      <c r="AK596" t="s">
        <v>1336</v>
      </c>
      <c r="AL596">
        <v>12</v>
      </c>
      <c r="AM596" s="5">
        <f t="shared" si="74"/>
        <v>0.31578947368421051</v>
      </c>
      <c r="AN596" s="4">
        <f t="shared" si="79"/>
        <v>4.7828772992686183E-4</v>
      </c>
      <c r="AO596" s="3"/>
      <c r="AP596">
        <v>0</v>
      </c>
      <c r="AR596" t="s">
        <v>0</v>
      </c>
      <c r="AT596" s="2" t="s">
        <v>45</v>
      </c>
      <c r="AU596" s="1">
        <f t="shared" si="75"/>
        <v>3.0751318464409305</v>
      </c>
      <c r="AV596" s="1">
        <f t="shared" si="76"/>
        <v>2.2101881111700039</v>
      </c>
      <c r="AW596" s="1">
        <f t="shared" si="77"/>
        <v>1.3452443758990769</v>
      </c>
    </row>
    <row r="597" spans="1:49" x14ac:dyDescent="0.2">
      <c r="A597">
        <v>595</v>
      </c>
      <c r="B597" t="s">
        <v>1335</v>
      </c>
      <c r="C597" t="s">
        <v>1334</v>
      </c>
      <c r="F597" t="s">
        <v>1333</v>
      </c>
      <c r="G597" t="s">
        <v>13</v>
      </c>
      <c r="H597" t="s">
        <v>12</v>
      </c>
      <c r="I597" t="s">
        <v>1332</v>
      </c>
      <c r="J597" t="s">
        <v>1331</v>
      </c>
      <c r="K597" t="s">
        <v>1330</v>
      </c>
      <c r="L597" t="s">
        <v>1329</v>
      </c>
      <c r="M597" t="s">
        <v>1328</v>
      </c>
      <c r="N597">
        <v>6</v>
      </c>
      <c r="O597" t="s">
        <v>1327</v>
      </c>
      <c r="P597" t="s">
        <v>1326</v>
      </c>
      <c r="Q597" t="s">
        <v>1325</v>
      </c>
      <c r="R597" s="7">
        <v>30682</v>
      </c>
      <c r="S597" s="8">
        <f t="shared" si="72"/>
        <v>1984</v>
      </c>
      <c r="T597" s="8">
        <v>1984</v>
      </c>
      <c r="U597" s="8">
        <f t="shared" si="73"/>
        <v>38</v>
      </c>
      <c r="V597" s="7">
        <v>30713</v>
      </c>
      <c r="W597" t="s">
        <v>380</v>
      </c>
      <c r="X597" s="2">
        <v>1.6519999999999999</v>
      </c>
      <c r="Y597" s="6">
        <f t="shared" si="78"/>
        <v>4.409919649769093E-2</v>
      </c>
      <c r="AA597" t="s">
        <v>379</v>
      </c>
      <c r="AB597">
        <v>17337</v>
      </c>
      <c r="AC597">
        <v>15582221</v>
      </c>
      <c r="AD597" t="s">
        <v>4</v>
      </c>
      <c r="AE597">
        <v>32</v>
      </c>
      <c r="AF597">
        <v>2</v>
      </c>
      <c r="AH597" t="s">
        <v>1324</v>
      </c>
      <c r="AI597" t="s">
        <v>1323</v>
      </c>
      <c r="AK597" t="s">
        <v>1322</v>
      </c>
      <c r="AL597">
        <v>68</v>
      </c>
      <c r="AM597" s="5">
        <f t="shared" si="74"/>
        <v>1.7894736842105263</v>
      </c>
      <c r="AN597" s="4">
        <f t="shared" si="79"/>
        <v>2.7102971362522169E-3</v>
      </c>
      <c r="AO597" s="3"/>
      <c r="AP597">
        <v>0</v>
      </c>
      <c r="AR597" t="s">
        <v>0</v>
      </c>
      <c r="AT597" s="2" t="s">
        <v>45</v>
      </c>
      <c r="AU597" s="1">
        <f t="shared" si="75"/>
        <v>3.1682526689259318</v>
      </c>
      <c r="AV597" s="1">
        <f t="shared" si="76"/>
        <v>2.3404746816971573</v>
      </c>
      <c r="AW597" s="1">
        <f t="shared" si="77"/>
        <v>1.5126966944683831</v>
      </c>
    </row>
    <row r="598" spans="1:49" x14ac:dyDescent="0.2">
      <c r="A598">
        <v>596</v>
      </c>
      <c r="B598" t="s">
        <v>1321</v>
      </c>
      <c r="C598" t="s">
        <v>1320</v>
      </c>
      <c r="F598" t="s">
        <v>1319</v>
      </c>
      <c r="G598" t="s">
        <v>13</v>
      </c>
      <c r="H598" t="s">
        <v>12</v>
      </c>
      <c r="I598" t="s">
        <v>1318</v>
      </c>
      <c r="J598">
        <v>60025555</v>
      </c>
      <c r="K598" t="s">
        <v>1317</v>
      </c>
      <c r="L598" t="s">
        <v>644</v>
      </c>
      <c r="M598" t="s">
        <v>643</v>
      </c>
      <c r="N598">
        <v>3</v>
      </c>
      <c r="O598" t="s">
        <v>1316</v>
      </c>
      <c r="P598" t="s">
        <v>1315</v>
      </c>
      <c r="Q598" t="s">
        <v>1314</v>
      </c>
      <c r="R598" s="7">
        <v>30682</v>
      </c>
      <c r="S598" s="8">
        <f t="shared" si="72"/>
        <v>1984</v>
      </c>
      <c r="T598" s="8">
        <v>1984</v>
      </c>
      <c r="U598" s="8">
        <f t="shared" si="73"/>
        <v>38</v>
      </c>
      <c r="V598" s="7">
        <v>30713</v>
      </c>
      <c r="W598" s="11" t="s">
        <v>1313</v>
      </c>
      <c r="X598" s="2">
        <v>2.383</v>
      </c>
      <c r="Y598" s="6">
        <f t="shared" si="78"/>
        <v>6.3612824003630442E-2</v>
      </c>
      <c r="AA598">
        <v>1437070</v>
      </c>
      <c r="AB598">
        <v>39742</v>
      </c>
      <c r="AD598" t="s">
        <v>4</v>
      </c>
      <c r="AE598">
        <v>131</v>
      </c>
      <c r="AF598">
        <v>1</v>
      </c>
      <c r="AH598" t="s">
        <v>1312</v>
      </c>
      <c r="AI598" t="s">
        <v>1311</v>
      </c>
      <c r="AJ598" t="s">
        <v>1310</v>
      </c>
      <c r="AK598" t="s">
        <v>1309</v>
      </c>
      <c r="AL598">
        <v>0</v>
      </c>
      <c r="AM598" s="5">
        <f t="shared" si="74"/>
        <v>0</v>
      </c>
      <c r="AN598" s="4">
        <f t="shared" si="79"/>
        <v>0</v>
      </c>
      <c r="AO598" s="3"/>
      <c r="AP598">
        <v>0</v>
      </c>
      <c r="AR598" t="s">
        <v>0</v>
      </c>
      <c r="AT598" s="2" t="s">
        <v>45</v>
      </c>
      <c r="AU598" s="1">
        <f t="shared" si="75"/>
        <v>4.4528976802541305</v>
      </c>
      <c r="AV598" s="1">
        <f t="shared" si="76"/>
        <v>3.1806412001815221</v>
      </c>
      <c r="AW598" s="1">
        <f t="shared" si="77"/>
        <v>1.9083847201089132</v>
      </c>
    </row>
    <row r="599" spans="1:49" x14ac:dyDescent="0.2">
      <c r="A599">
        <v>597</v>
      </c>
      <c r="B599" t="s">
        <v>1308</v>
      </c>
      <c r="C599" t="s">
        <v>1307</v>
      </c>
      <c r="F599" t="s">
        <v>1306</v>
      </c>
      <c r="G599" t="s">
        <v>13</v>
      </c>
      <c r="H599" t="s">
        <v>12</v>
      </c>
      <c r="I599" t="s">
        <v>1305</v>
      </c>
      <c r="N599">
        <v>4</v>
      </c>
      <c r="O599" t="s">
        <v>1304</v>
      </c>
      <c r="P599" t="s">
        <v>1303</v>
      </c>
      <c r="Q599" t="s">
        <v>525</v>
      </c>
      <c r="R599" s="7">
        <v>30682</v>
      </c>
      <c r="S599" s="8">
        <f t="shared" si="72"/>
        <v>1984</v>
      </c>
      <c r="T599" s="8">
        <v>1984</v>
      </c>
      <c r="U599" s="8">
        <f t="shared" si="73"/>
        <v>38</v>
      </c>
      <c r="V599" s="7">
        <v>36923</v>
      </c>
      <c r="W599" t="s">
        <v>497</v>
      </c>
      <c r="X599" s="2">
        <v>1.67</v>
      </c>
      <c r="Y599" s="6">
        <f t="shared" si="78"/>
        <v>4.4579696217399427E-2</v>
      </c>
      <c r="AA599">
        <v>1480227</v>
      </c>
      <c r="AB599">
        <v>28428</v>
      </c>
      <c r="AD599" t="s">
        <v>4</v>
      </c>
      <c r="AE599">
        <v>89</v>
      </c>
      <c r="AF599" t="s">
        <v>1302</v>
      </c>
      <c r="AH599" t="s">
        <v>1301</v>
      </c>
      <c r="AI599" t="s">
        <v>1300</v>
      </c>
      <c r="AK599" t="s">
        <v>1299</v>
      </c>
      <c r="AL599">
        <v>34</v>
      </c>
      <c r="AM599" s="5">
        <f t="shared" si="74"/>
        <v>0.89473684210526316</v>
      </c>
      <c r="AN599" s="4">
        <f t="shared" si="79"/>
        <v>1.3551485681261085E-3</v>
      </c>
      <c r="AO599" s="3"/>
      <c r="AP599">
        <v>0</v>
      </c>
      <c r="AR599" t="s">
        <v>0</v>
      </c>
      <c r="AT599" s="2" t="s">
        <v>45</v>
      </c>
      <c r="AU599" s="1">
        <f t="shared" si="75"/>
        <v>3.1612331922617427</v>
      </c>
      <c r="AV599" s="1">
        <f t="shared" si="76"/>
        <v>2.2967422392762766</v>
      </c>
      <c r="AW599" s="1">
        <f t="shared" si="77"/>
        <v>1.4322512862908106</v>
      </c>
    </row>
    <row r="600" spans="1:49" x14ac:dyDescent="0.2">
      <c r="A600">
        <v>598</v>
      </c>
      <c r="B600" t="s">
        <v>1298</v>
      </c>
      <c r="C600" t="s">
        <v>1297</v>
      </c>
      <c r="F600" t="s">
        <v>1296</v>
      </c>
      <c r="G600" t="s">
        <v>13</v>
      </c>
      <c r="H600" t="s">
        <v>12</v>
      </c>
      <c r="I600" t="s">
        <v>1295</v>
      </c>
      <c r="J600">
        <v>60013372</v>
      </c>
      <c r="K600" t="s">
        <v>1294</v>
      </c>
      <c r="L600" t="s">
        <v>1293</v>
      </c>
      <c r="M600" t="s">
        <v>56</v>
      </c>
      <c r="N600">
        <v>3</v>
      </c>
      <c r="O600" t="s">
        <v>1292</v>
      </c>
      <c r="P600" t="s">
        <v>1291</v>
      </c>
      <c r="Q600" t="s">
        <v>1290</v>
      </c>
      <c r="R600" s="7">
        <v>30682</v>
      </c>
      <c r="S600" s="8">
        <f t="shared" si="72"/>
        <v>1984</v>
      </c>
      <c r="T600" s="8">
        <v>1984</v>
      </c>
      <c r="U600" s="8">
        <f t="shared" si="73"/>
        <v>38</v>
      </c>
      <c r="V600" s="7">
        <v>30713</v>
      </c>
      <c r="W600" t="s">
        <v>380</v>
      </c>
      <c r="X600" s="2">
        <v>1.6519999999999999</v>
      </c>
      <c r="Y600" s="6">
        <f t="shared" si="78"/>
        <v>4.409919649769093E-2</v>
      </c>
      <c r="AA600" t="s">
        <v>379</v>
      </c>
      <c r="AB600">
        <v>17337</v>
      </c>
      <c r="AC600">
        <v>15582221</v>
      </c>
      <c r="AD600" t="s">
        <v>4</v>
      </c>
      <c r="AE600">
        <v>32</v>
      </c>
      <c r="AF600">
        <v>2</v>
      </c>
      <c r="AH600" t="s">
        <v>1289</v>
      </c>
      <c r="AI600" t="s">
        <v>1288</v>
      </c>
      <c r="AK600" t="s">
        <v>1287</v>
      </c>
      <c r="AL600">
        <v>4</v>
      </c>
      <c r="AM600" s="5">
        <f t="shared" si="74"/>
        <v>0.10526315789473684</v>
      </c>
      <c r="AN600" s="4">
        <f t="shared" si="79"/>
        <v>1.5942924330895392E-4</v>
      </c>
      <c r="AO600" s="3"/>
      <c r="AP600">
        <v>0</v>
      </c>
      <c r="AR600" t="s">
        <v>0</v>
      </c>
      <c r="AT600" s="2" t="s">
        <v>45</v>
      </c>
      <c r="AU600" s="1">
        <f t="shared" si="75"/>
        <v>3.0917266321376338</v>
      </c>
      <c r="AV600" s="1">
        <f t="shared" si="76"/>
        <v>2.2129312870499942</v>
      </c>
      <c r="AW600" s="1">
        <f t="shared" si="77"/>
        <v>1.3341359419623546</v>
      </c>
    </row>
    <row r="601" spans="1:49" x14ac:dyDescent="0.2">
      <c r="A601">
        <v>599</v>
      </c>
      <c r="B601" t="s">
        <v>1286</v>
      </c>
      <c r="C601" t="s">
        <v>1285</v>
      </c>
      <c r="F601" t="s">
        <v>1284</v>
      </c>
      <c r="G601" t="s">
        <v>13</v>
      </c>
      <c r="H601" t="s">
        <v>12</v>
      </c>
      <c r="I601" t="s">
        <v>1283</v>
      </c>
      <c r="J601">
        <v>60103653</v>
      </c>
      <c r="K601" t="s">
        <v>1282</v>
      </c>
      <c r="L601" t="s">
        <v>1281</v>
      </c>
      <c r="M601" t="s">
        <v>1280</v>
      </c>
      <c r="N601">
        <v>2</v>
      </c>
      <c r="O601" t="s">
        <v>1279</v>
      </c>
      <c r="P601" t="s">
        <v>1278</v>
      </c>
      <c r="Q601" t="s">
        <v>1277</v>
      </c>
      <c r="R601" s="7">
        <v>30682</v>
      </c>
      <c r="S601" s="8">
        <f t="shared" si="72"/>
        <v>1984</v>
      </c>
      <c r="T601" s="8">
        <v>1984</v>
      </c>
      <c r="U601" s="8">
        <f t="shared" si="73"/>
        <v>38</v>
      </c>
      <c r="V601" s="7">
        <v>30713</v>
      </c>
      <c r="W601" t="s">
        <v>380</v>
      </c>
      <c r="X601" s="2">
        <v>1.6519999999999999</v>
      </c>
      <c r="Y601" s="6">
        <f t="shared" si="78"/>
        <v>4.409919649769093E-2</v>
      </c>
      <c r="AA601" t="s">
        <v>379</v>
      </c>
      <c r="AB601">
        <v>17337</v>
      </c>
      <c r="AC601">
        <v>15582221</v>
      </c>
      <c r="AD601" t="s">
        <v>4</v>
      </c>
      <c r="AE601">
        <v>32</v>
      </c>
      <c r="AF601">
        <v>2</v>
      </c>
      <c r="AH601" t="s">
        <v>1276</v>
      </c>
      <c r="AI601" t="s">
        <v>1275</v>
      </c>
      <c r="AK601" t="s">
        <v>1274</v>
      </c>
      <c r="AL601">
        <v>94</v>
      </c>
      <c r="AM601" s="5">
        <f t="shared" si="74"/>
        <v>2.4736842105263159</v>
      </c>
      <c r="AN601" s="4">
        <f t="shared" si="79"/>
        <v>3.7465872177604178E-3</v>
      </c>
      <c r="AO601" s="3"/>
      <c r="AP601">
        <v>0</v>
      </c>
      <c r="AR601" t="s">
        <v>0</v>
      </c>
      <c r="AT601" s="2" t="s">
        <v>45</v>
      </c>
      <c r="AU601" s="1">
        <f t="shared" si="75"/>
        <v>3.1993413713711774</v>
      </c>
      <c r="AV601" s="1">
        <f t="shared" si="76"/>
        <v>2.3922891857725674</v>
      </c>
      <c r="AW601" s="1">
        <f t="shared" si="77"/>
        <v>1.5852370001739571</v>
      </c>
    </row>
    <row r="602" spans="1:49" x14ac:dyDescent="0.2">
      <c r="A602">
        <v>600</v>
      </c>
      <c r="B602" t="s">
        <v>1273</v>
      </c>
      <c r="C602" t="s">
        <v>1272</v>
      </c>
      <c r="F602" t="s">
        <v>1271</v>
      </c>
      <c r="G602" t="s">
        <v>13</v>
      </c>
      <c r="H602" t="s">
        <v>12</v>
      </c>
      <c r="I602" t="s">
        <v>1270</v>
      </c>
      <c r="N602">
        <v>2</v>
      </c>
      <c r="O602" t="s">
        <v>1269</v>
      </c>
      <c r="P602" t="s">
        <v>1268</v>
      </c>
      <c r="Q602" t="s">
        <v>266</v>
      </c>
      <c r="R602" s="7">
        <v>30682</v>
      </c>
      <c r="S602" s="8">
        <f t="shared" si="72"/>
        <v>1984</v>
      </c>
      <c r="T602" s="8">
        <v>1984</v>
      </c>
      <c r="U602" s="8">
        <f t="shared" si="73"/>
        <v>38</v>
      </c>
      <c r="V602" s="7" t="s">
        <v>1147</v>
      </c>
      <c r="W602" s="11" t="s">
        <v>1146</v>
      </c>
      <c r="X602" s="2">
        <v>2.383</v>
      </c>
      <c r="Y602" s="6">
        <f t="shared" si="78"/>
        <v>6.3612824003630442E-2</v>
      </c>
      <c r="AA602">
        <v>1437097</v>
      </c>
      <c r="AB602">
        <v>101236</v>
      </c>
      <c r="AD602" t="s">
        <v>4</v>
      </c>
      <c r="AE602">
        <v>131</v>
      </c>
      <c r="AF602" t="s">
        <v>1145</v>
      </c>
      <c r="AH602" s="10">
        <v>41518</v>
      </c>
      <c r="AI602" t="s">
        <v>1267</v>
      </c>
      <c r="AK602" t="s">
        <v>1266</v>
      </c>
      <c r="AL602">
        <v>1</v>
      </c>
      <c r="AM602" s="5">
        <f t="shared" si="74"/>
        <v>2.6315789473684209E-2</v>
      </c>
      <c r="AN602" s="4">
        <f t="shared" si="79"/>
        <v>3.9857310827238481E-5</v>
      </c>
      <c r="AO602" s="3"/>
      <c r="AP602">
        <v>0</v>
      </c>
      <c r="AR602" t="s">
        <v>0</v>
      </c>
      <c r="AT602" s="2" t="s">
        <v>45</v>
      </c>
      <c r="AU602" s="1">
        <f t="shared" si="75"/>
        <v>4.454093399578948</v>
      </c>
      <c r="AV602" s="1">
        <f t="shared" si="76"/>
        <v>3.1826340657228842</v>
      </c>
      <c r="AW602" s="1">
        <f t="shared" si="77"/>
        <v>1.9111747318668197</v>
      </c>
    </row>
    <row r="603" spans="1:49" x14ac:dyDescent="0.2">
      <c r="A603">
        <v>601</v>
      </c>
      <c r="B603" t="s">
        <v>1265</v>
      </c>
      <c r="C603" t="s">
        <v>1264</v>
      </c>
      <c r="F603" t="s">
        <v>1263</v>
      </c>
      <c r="G603" t="s">
        <v>13</v>
      </c>
      <c r="H603" t="s">
        <v>12</v>
      </c>
      <c r="I603" t="s">
        <v>1262</v>
      </c>
      <c r="J603">
        <v>60028186</v>
      </c>
      <c r="K603" t="s">
        <v>1261</v>
      </c>
      <c r="L603" t="s">
        <v>1260</v>
      </c>
      <c r="M603" t="s">
        <v>1259</v>
      </c>
      <c r="N603">
        <v>3</v>
      </c>
      <c r="O603" t="s">
        <v>1258</v>
      </c>
      <c r="P603" t="s">
        <v>1257</v>
      </c>
      <c r="Q603" t="s">
        <v>1256</v>
      </c>
      <c r="R603" s="7">
        <v>30682</v>
      </c>
      <c r="S603" s="8">
        <f t="shared" si="72"/>
        <v>1984</v>
      </c>
      <c r="T603" s="8">
        <v>1984</v>
      </c>
      <c r="U603" s="8">
        <f t="shared" si="73"/>
        <v>38</v>
      </c>
      <c r="V603" s="7">
        <v>1984</v>
      </c>
      <c r="W603" t="s">
        <v>474</v>
      </c>
      <c r="X603" s="2">
        <v>1.1879999999999999</v>
      </c>
      <c r="Y603" s="6">
        <f t="shared" si="78"/>
        <v>3.1712981500760788E-2</v>
      </c>
      <c r="AA603">
        <v>10706631</v>
      </c>
      <c r="AB603">
        <v>29210</v>
      </c>
      <c r="AD603" t="s">
        <v>4</v>
      </c>
      <c r="AE603">
        <v>27</v>
      </c>
      <c r="AF603">
        <v>2</v>
      </c>
      <c r="AH603" t="s">
        <v>1255</v>
      </c>
      <c r="AI603" t="s">
        <v>1254</v>
      </c>
      <c r="AK603" t="s">
        <v>1253</v>
      </c>
      <c r="AL603">
        <v>64</v>
      </c>
      <c r="AM603" s="5">
        <f t="shared" si="74"/>
        <v>1.6842105263157894</v>
      </c>
      <c r="AN603" s="4">
        <f t="shared" si="79"/>
        <v>2.5508678929432628E-3</v>
      </c>
      <c r="AO603" s="3"/>
      <c r="AP603">
        <v>0</v>
      </c>
      <c r="AR603" t="s">
        <v>0</v>
      </c>
      <c r="AT603" s="2">
        <v>3.5209999999999999</v>
      </c>
      <c r="AU603" s="1">
        <f t="shared" si="75"/>
        <v>2.2964347418415527</v>
      </c>
      <c r="AV603" s="1">
        <f t="shared" si="76"/>
        <v>1.7131924696852028</v>
      </c>
      <c r="AW603" s="1">
        <f t="shared" si="77"/>
        <v>1.129950197528852</v>
      </c>
    </row>
    <row r="604" spans="1:49" x14ac:dyDescent="0.2">
      <c r="A604">
        <v>602</v>
      </c>
      <c r="B604" t="s">
        <v>1252</v>
      </c>
      <c r="C604" t="s">
        <v>1251</v>
      </c>
      <c r="F604" t="s">
        <v>1250</v>
      </c>
      <c r="G604" t="s">
        <v>13</v>
      </c>
      <c r="H604" t="s">
        <v>12</v>
      </c>
      <c r="I604" t="s">
        <v>1249</v>
      </c>
      <c r="J604">
        <v>60000305</v>
      </c>
      <c r="K604" t="s">
        <v>1248</v>
      </c>
      <c r="L604" t="s">
        <v>1247</v>
      </c>
      <c r="M604" t="s">
        <v>56</v>
      </c>
      <c r="N604">
        <v>1</v>
      </c>
      <c r="O604" t="s">
        <v>1246</v>
      </c>
      <c r="P604">
        <v>7007033594</v>
      </c>
      <c r="Q604">
        <v>60000305</v>
      </c>
      <c r="R604" s="7">
        <v>30682</v>
      </c>
      <c r="S604" s="8">
        <f t="shared" si="72"/>
        <v>1984</v>
      </c>
      <c r="T604" s="8">
        <v>1984</v>
      </c>
      <c r="U604" s="8">
        <f t="shared" si="73"/>
        <v>38</v>
      </c>
      <c r="V604" s="7">
        <v>30713</v>
      </c>
      <c r="W604" t="s">
        <v>380</v>
      </c>
      <c r="X604" s="2">
        <v>1.6519999999999999</v>
      </c>
      <c r="Y604" s="6">
        <f t="shared" si="78"/>
        <v>4.409919649769093E-2</v>
      </c>
      <c r="AA604" t="s">
        <v>379</v>
      </c>
      <c r="AB604">
        <v>17337</v>
      </c>
      <c r="AC604">
        <v>15582221</v>
      </c>
      <c r="AD604" t="s">
        <v>4</v>
      </c>
      <c r="AE604">
        <v>32</v>
      </c>
      <c r="AF604">
        <v>2</v>
      </c>
      <c r="AH604" t="s">
        <v>1245</v>
      </c>
      <c r="AI604" t="s">
        <v>1244</v>
      </c>
      <c r="AK604" t="s">
        <v>1243</v>
      </c>
      <c r="AL604">
        <v>20</v>
      </c>
      <c r="AM604" s="5">
        <f t="shared" si="74"/>
        <v>0.52631578947368418</v>
      </c>
      <c r="AN604" s="4">
        <f t="shared" si="79"/>
        <v>7.9714621654476973E-4</v>
      </c>
      <c r="AO604" s="3"/>
      <c r="AP604">
        <v>0</v>
      </c>
      <c r="AR604" t="s">
        <v>0</v>
      </c>
      <c r="AT604" s="2" t="s">
        <v>45</v>
      </c>
      <c r="AU604" s="1">
        <f t="shared" si="75"/>
        <v>3.1108581413347083</v>
      </c>
      <c r="AV604" s="1">
        <f t="shared" si="76"/>
        <v>2.2448171357117848</v>
      </c>
      <c r="AW604" s="1">
        <f t="shared" si="77"/>
        <v>1.3787761300888617</v>
      </c>
    </row>
    <row r="605" spans="1:49" x14ac:dyDescent="0.2">
      <c r="A605">
        <v>603</v>
      </c>
      <c r="B605" t="s">
        <v>1242</v>
      </c>
      <c r="C605" t="s">
        <v>1241</v>
      </c>
      <c r="F605" t="s">
        <v>1240</v>
      </c>
      <c r="G605" t="s">
        <v>13</v>
      </c>
      <c r="H605" t="s">
        <v>12</v>
      </c>
      <c r="I605" t="s">
        <v>1239</v>
      </c>
      <c r="N605">
        <v>2</v>
      </c>
      <c r="O605" t="s">
        <v>1238</v>
      </c>
      <c r="P605" t="s">
        <v>1237</v>
      </c>
      <c r="Q605" t="s">
        <v>266</v>
      </c>
      <c r="R605" s="7">
        <v>30682</v>
      </c>
      <c r="S605" s="8">
        <f t="shared" si="72"/>
        <v>1984</v>
      </c>
      <c r="T605" s="8">
        <v>1984</v>
      </c>
      <c r="U605" s="8">
        <f t="shared" si="73"/>
        <v>38</v>
      </c>
      <c r="V605" s="7" t="s">
        <v>1147</v>
      </c>
      <c r="W605" s="11" t="s">
        <v>1146</v>
      </c>
      <c r="X605" s="2">
        <v>2.383</v>
      </c>
      <c r="Y605" s="6">
        <f t="shared" si="78"/>
        <v>6.3612824003630442E-2</v>
      </c>
      <c r="AA605">
        <v>1437097</v>
      </c>
      <c r="AB605">
        <v>101236</v>
      </c>
      <c r="AD605" t="s">
        <v>4</v>
      </c>
      <c r="AE605">
        <v>131</v>
      </c>
      <c r="AF605" t="s">
        <v>1145</v>
      </c>
      <c r="AH605" t="s">
        <v>1236</v>
      </c>
      <c r="AI605" t="s">
        <v>1235</v>
      </c>
      <c r="AK605" t="s">
        <v>1234</v>
      </c>
      <c r="AL605">
        <v>3</v>
      </c>
      <c r="AM605" s="5">
        <f t="shared" si="74"/>
        <v>7.8947368421052627E-2</v>
      </c>
      <c r="AN605" s="4">
        <f t="shared" si="79"/>
        <v>1.1957193248171546E-4</v>
      </c>
      <c r="AO605" s="3"/>
      <c r="AP605">
        <v>0</v>
      </c>
      <c r="AR605" t="s">
        <v>0</v>
      </c>
      <c r="AT605" s="2" t="s">
        <v>45</v>
      </c>
      <c r="AU605" s="1">
        <f t="shared" si="75"/>
        <v>4.4564848382285822</v>
      </c>
      <c r="AV605" s="1">
        <f t="shared" si="76"/>
        <v>3.186619796805608</v>
      </c>
      <c r="AW605" s="1">
        <f t="shared" si="77"/>
        <v>1.9167547553826332</v>
      </c>
    </row>
    <row r="606" spans="1:49" x14ac:dyDescent="0.2">
      <c r="A606">
        <v>604</v>
      </c>
      <c r="B606" t="s">
        <v>1233</v>
      </c>
      <c r="C606" t="s">
        <v>1232</v>
      </c>
      <c r="F606" t="s">
        <v>1231</v>
      </c>
      <c r="G606" t="s">
        <v>13</v>
      </c>
      <c r="H606" t="s">
        <v>12</v>
      </c>
      <c r="I606" t="s">
        <v>1230</v>
      </c>
      <c r="J606">
        <v>60008107</v>
      </c>
      <c r="K606" t="s">
        <v>1229</v>
      </c>
      <c r="L606" t="s">
        <v>1228</v>
      </c>
      <c r="M606" t="s">
        <v>643</v>
      </c>
      <c r="N606">
        <v>2</v>
      </c>
      <c r="O606" t="s">
        <v>1227</v>
      </c>
      <c r="P606" t="s">
        <v>1226</v>
      </c>
      <c r="Q606" t="s">
        <v>1225</v>
      </c>
      <c r="R606" s="7">
        <v>30682</v>
      </c>
      <c r="S606" s="8">
        <f t="shared" si="72"/>
        <v>1984</v>
      </c>
      <c r="T606" s="8">
        <v>1984</v>
      </c>
      <c r="U606" s="8">
        <f t="shared" si="73"/>
        <v>38</v>
      </c>
      <c r="V606" s="7">
        <v>30713</v>
      </c>
      <c r="W606" t="s">
        <v>380</v>
      </c>
      <c r="X606" s="2">
        <v>1.6519999999999999</v>
      </c>
      <c r="Y606" s="6">
        <f t="shared" si="78"/>
        <v>4.409919649769093E-2</v>
      </c>
      <c r="AA606" t="s">
        <v>379</v>
      </c>
      <c r="AB606">
        <v>17337</v>
      </c>
      <c r="AC606">
        <v>15582221</v>
      </c>
      <c r="AD606" t="s">
        <v>4</v>
      </c>
      <c r="AE606">
        <v>32</v>
      </c>
      <c r="AF606">
        <v>2</v>
      </c>
      <c r="AH606" t="s">
        <v>1224</v>
      </c>
      <c r="AI606" t="s">
        <v>1223</v>
      </c>
      <c r="AK606" t="s">
        <v>1222</v>
      </c>
      <c r="AL606">
        <v>11</v>
      </c>
      <c r="AM606" s="5">
        <f t="shared" si="74"/>
        <v>0.28947368421052633</v>
      </c>
      <c r="AN606" s="4">
        <f t="shared" si="79"/>
        <v>4.3843041909962335E-4</v>
      </c>
      <c r="AO606" s="3"/>
      <c r="AP606">
        <v>0</v>
      </c>
      <c r="AR606" t="s">
        <v>0</v>
      </c>
      <c r="AT606" s="2" t="s">
        <v>45</v>
      </c>
      <c r="AU606" s="1">
        <f t="shared" si="75"/>
        <v>3.1000966674113539</v>
      </c>
      <c r="AV606" s="1">
        <f t="shared" si="76"/>
        <v>2.2268813458395278</v>
      </c>
      <c r="AW606" s="1">
        <f t="shared" si="77"/>
        <v>1.3536660242677014</v>
      </c>
    </row>
    <row r="607" spans="1:49" x14ac:dyDescent="0.2">
      <c r="A607">
        <v>605</v>
      </c>
      <c r="B607" t="s">
        <v>1221</v>
      </c>
      <c r="C607" t="s">
        <v>1220</v>
      </c>
      <c r="F607" t="s">
        <v>1219</v>
      </c>
      <c r="G607" t="s">
        <v>13</v>
      </c>
      <c r="H607" t="s">
        <v>12</v>
      </c>
      <c r="I607" t="s">
        <v>1218</v>
      </c>
      <c r="J607">
        <v>60104081</v>
      </c>
      <c r="K607" t="s">
        <v>1217</v>
      </c>
      <c r="L607" t="s">
        <v>1216</v>
      </c>
      <c r="M607" t="s">
        <v>24</v>
      </c>
      <c r="N607">
        <v>2</v>
      </c>
      <c r="O607" t="s">
        <v>1215</v>
      </c>
      <c r="P607" t="s">
        <v>1214</v>
      </c>
      <c r="Q607" t="s">
        <v>1213</v>
      </c>
      <c r="R607" s="7">
        <v>30682</v>
      </c>
      <c r="S607" s="8">
        <f t="shared" si="72"/>
        <v>1984</v>
      </c>
      <c r="T607" s="8">
        <v>1984</v>
      </c>
      <c r="U607" s="8">
        <f t="shared" si="73"/>
        <v>38</v>
      </c>
      <c r="V607" s="7">
        <v>30713</v>
      </c>
      <c r="W607" t="s">
        <v>380</v>
      </c>
      <c r="X607" s="2">
        <v>1.6519999999999999</v>
      </c>
      <c r="Y607" s="6">
        <f t="shared" si="78"/>
        <v>4.409919649769093E-2</v>
      </c>
      <c r="AA607" t="s">
        <v>379</v>
      </c>
      <c r="AB607">
        <v>17337</v>
      </c>
      <c r="AC607">
        <v>15582221</v>
      </c>
      <c r="AD607" t="s">
        <v>4</v>
      </c>
      <c r="AE607">
        <v>32</v>
      </c>
      <c r="AF607">
        <v>2</v>
      </c>
      <c r="AH607" t="s">
        <v>1212</v>
      </c>
      <c r="AI607" t="s">
        <v>1211</v>
      </c>
      <c r="AK607" t="s">
        <v>1210</v>
      </c>
      <c r="AL607">
        <v>9</v>
      </c>
      <c r="AM607" s="5">
        <f t="shared" si="74"/>
        <v>0.23684210526315788</v>
      </c>
      <c r="AN607" s="4">
        <f t="shared" si="79"/>
        <v>3.5871579744514633E-4</v>
      </c>
      <c r="AO607" s="3"/>
      <c r="AP607">
        <v>0</v>
      </c>
      <c r="AR607" t="s">
        <v>0</v>
      </c>
      <c r="AT607" s="2" t="s">
        <v>45</v>
      </c>
      <c r="AU607" s="1">
        <f t="shared" si="75"/>
        <v>3.0977052287617197</v>
      </c>
      <c r="AV607" s="1">
        <f t="shared" si="76"/>
        <v>2.222895614756804</v>
      </c>
      <c r="AW607" s="1">
        <f t="shared" si="77"/>
        <v>1.348086000751888</v>
      </c>
    </row>
    <row r="608" spans="1:49" x14ac:dyDescent="0.2">
      <c r="A608">
        <v>606</v>
      </c>
      <c r="B608" t="s">
        <v>1209</v>
      </c>
      <c r="C608" t="s">
        <v>1208</v>
      </c>
      <c r="F608" t="s">
        <v>1207</v>
      </c>
      <c r="G608" t="s">
        <v>13</v>
      </c>
      <c r="H608" t="s">
        <v>12</v>
      </c>
      <c r="I608" t="s">
        <v>1206</v>
      </c>
      <c r="N608">
        <v>2</v>
      </c>
      <c r="O608" t="s">
        <v>1205</v>
      </c>
      <c r="P608" t="s">
        <v>1204</v>
      </c>
      <c r="Q608" t="s">
        <v>266</v>
      </c>
      <c r="R608" s="7">
        <v>30682</v>
      </c>
      <c r="S608" s="8">
        <f t="shared" si="72"/>
        <v>1984</v>
      </c>
      <c r="T608" s="8">
        <v>1984</v>
      </c>
      <c r="U608" s="8">
        <f t="shared" si="73"/>
        <v>38</v>
      </c>
      <c r="V608" s="7" t="s">
        <v>1147</v>
      </c>
      <c r="W608" s="11" t="s">
        <v>1146</v>
      </c>
      <c r="X608" s="2">
        <v>2.383</v>
      </c>
      <c r="Y608" s="6">
        <f t="shared" si="78"/>
        <v>6.3612824003630442E-2</v>
      </c>
      <c r="AA608">
        <v>1437097</v>
      </c>
      <c r="AB608">
        <v>101236</v>
      </c>
      <c r="AD608" t="s">
        <v>4</v>
      </c>
      <c r="AE608">
        <v>131</v>
      </c>
      <c r="AF608" t="s">
        <v>1145</v>
      </c>
      <c r="AH608" t="s">
        <v>1203</v>
      </c>
      <c r="AI608" t="s">
        <v>1202</v>
      </c>
      <c r="AK608" t="s">
        <v>1201</v>
      </c>
      <c r="AL608">
        <v>7</v>
      </c>
      <c r="AM608" s="5">
        <f t="shared" si="74"/>
        <v>0.18421052631578946</v>
      </c>
      <c r="AN608" s="4">
        <f t="shared" si="79"/>
        <v>2.7900117579066937E-4</v>
      </c>
      <c r="AO608" s="3"/>
      <c r="AP608">
        <v>0</v>
      </c>
      <c r="AR608" t="s">
        <v>0</v>
      </c>
      <c r="AT608" s="2" t="s">
        <v>45</v>
      </c>
      <c r="AU608" s="1">
        <f t="shared" si="75"/>
        <v>4.4612677155278506</v>
      </c>
      <c r="AV608" s="1">
        <f t="shared" si="76"/>
        <v>3.1945912589710557</v>
      </c>
      <c r="AW608" s="1">
        <f t="shared" si="77"/>
        <v>1.9279148024142601</v>
      </c>
    </row>
    <row r="609" spans="1:49" x14ac:dyDescent="0.2">
      <c r="A609">
        <v>607</v>
      </c>
      <c r="B609" t="s">
        <v>1200</v>
      </c>
      <c r="C609" t="s">
        <v>1199</v>
      </c>
      <c r="F609" t="s">
        <v>1198</v>
      </c>
      <c r="G609" t="s">
        <v>13</v>
      </c>
      <c r="H609" t="s">
        <v>12</v>
      </c>
      <c r="I609" t="s">
        <v>1197</v>
      </c>
      <c r="J609" t="s">
        <v>1196</v>
      </c>
      <c r="K609" t="s">
        <v>1195</v>
      </c>
      <c r="L609" t="s">
        <v>1194</v>
      </c>
      <c r="M609" t="s">
        <v>1193</v>
      </c>
      <c r="N609">
        <v>3</v>
      </c>
      <c r="O609" t="s">
        <v>1192</v>
      </c>
      <c r="P609" t="s">
        <v>1191</v>
      </c>
      <c r="Q609" t="s">
        <v>1190</v>
      </c>
      <c r="R609" s="7">
        <v>30682</v>
      </c>
      <c r="S609" s="8">
        <f t="shared" si="72"/>
        <v>1984</v>
      </c>
      <c r="T609" s="8">
        <v>1984</v>
      </c>
      <c r="U609" s="8">
        <f t="shared" si="73"/>
        <v>38</v>
      </c>
      <c r="V609" s="7">
        <v>1984</v>
      </c>
      <c r="W609" t="s">
        <v>474</v>
      </c>
      <c r="X609" s="2">
        <v>1.1879999999999999</v>
      </c>
      <c r="Y609" s="6">
        <f t="shared" si="78"/>
        <v>3.1712981500760788E-2</v>
      </c>
      <c r="AA609">
        <v>10706631</v>
      </c>
      <c r="AB609">
        <v>29210</v>
      </c>
      <c r="AD609" t="s">
        <v>4</v>
      </c>
      <c r="AE609">
        <v>27</v>
      </c>
      <c r="AF609">
        <v>2</v>
      </c>
      <c r="AH609" t="s">
        <v>1189</v>
      </c>
      <c r="AI609" t="s">
        <v>1188</v>
      </c>
      <c r="AK609" t="s">
        <v>1187</v>
      </c>
      <c r="AL609">
        <v>0</v>
      </c>
      <c r="AM609" s="5">
        <f t="shared" si="74"/>
        <v>0</v>
      </c>
      <c r="AN609" s="4">
        <f t="shared" si="79"/>
        <v>0</v>
      </c>
      <c r="AO609" s="3"/>
      <c r="AP609">
        <v>0</v>
      </c>
      <c r="AR609" t="s">
        <v>0</v>
      </c>
      <c r="AT609" s="2">
        <v>3.5209999999999999</v>
      </c>
      <c r="AU609" s="1">
        <f t="shared" si="75"/>
        <v>2.2199087050532551</v>
      </c>
      <c r="AV609" s="1">
        <f t="shared" si="76"/>
        <v>1.5856490750380394</v>
      </c>
      <c r="AW609" s="1">
        <f t="shared" si="77"/>
        <v>0.95138944502282363</v>
      </c>
    </row>
    <row r="610" spans="1:49" x14ac:dyDescent="0.2">
      <c r="A610">
        <v>608</v>
      </c>
      <c r="B610" t="s">
        <v>1186</v>
      </c>
      <c r="F610" t="s">
        <v>1185</v>
      </c>
      <c r="G610" t="s">
        <v>13</v>
      </c>
      <c r="H610" t="s">
        <v>12</v>
      </c>
      <c r="I610" t="s">
        <v>1184</v>
      </c>
      <c r="N610">
        <v>2</v>
      </c>
      <c r="O610" t="s">
        <v>1183</v>
      </c>
      <c r="P610" t="s">
        <v>1182</v>
      </c>
      <c r="Q610" t="s">
        <v>266</v>
      </c>
      <c r="R610" s="7">
        <v>30682</v>
      </c>
      <c r="S610" s="8">
        <f t="shared" si="72"/>
        <v>1984</v>
      </c>
      <c r="T610" s="8">
        <v>1984</v>
      </c>
      <c r="U610" s="8">
        <f t="shared" si="73"/>
        <v>38</v>
      </c>
      <c r="V610" s="7" t="s">
        <v>1147</v>
      </c>
      <c r="W610" t="s">
        <v>1181</v>
      </c>
      <c r="X610" s="2" t="s">
        <v>45</v>
      </c>
      <c r="Y610" s="6" t="e">
        <f t="shared" si="78"/>
        <v>#VALUE!</v>
      </c>
      <c r="AA610">
        <v>2511096</v>
      </c>
      <c r="AB610">
        <v>26110</v>
      </c>
      <c r="AD610" t="s">
        <v>4</v>
      </c>
      <c r="AE610">
        <v>64</v>
      </c>
      <c r="AH610" t="s">
        <v>1180</v>
      </c>
      <c r="AI610" t="s">
        <v>1179</v>
      </c>
      <c r="AK610" t="s">
        <v>1178</v>
      </c>
      <c r="AL610">
        <v>1</v>
      </c>
      <c r="AM610" s="5">
        <f t="shared" si="74"/>
        <v>2.6315789473684209E-2</v>
      </c>
      <c r="AN610" s="4">
        <f t="shared" si="79"/>
        <v>3.9857310827238481E-5</v>
      </c>
      <c r="AO610" s="3"/>
      <c r="AP610">
        <v>0</v>
      </c>
      <c r="AR610" t="s">
        <v>0</v>
      </c>
      <c r="AT610" s="2" t="s">
        <v>45</v>
      </c>
      <c r="AU610" s="1" t="e">
        <f t="shared" si="75"/>
        <v>#VALUE!</v>
      </c>
      <c r="AV610" s="1" t="e">
        <f t="shared" si="76"/>
        <v>#VALUE!</v>
      </c>
      <c r="AW610" s="1" t="e">
        <f t="shared" si="77"/>
        <v>#VALUE!</v>
      </c>
    </row>
    <row r="611" spans="1:49" x14ac:dyDescent="0.2">
      <c r="A611">
        <v>609</v>
      </c>
      <c r="B611" t="s">
        <v>1177</v>
      </c>
      <c r="C611" t="s">
        <v>1176</v>
      </c>
      <c r="F611" t="s">
        <v>1175</v>
      </c>
      <c r="G611" t="s">
        <v>13</v>
      </c>
      <c r="H611" t="s">
        <v>12</v>
      </c>
      <c r="I611" t="s">
        <v>1174</v>
      </c>
      <c r="N611">
        <v>2</v>
      </c>
      <c r="O611" t="s">
        <v>1173</v>
      </c>
      <c r="P611" t="s">
        <v>1172</v>
      </c>
      <c r="Q611" t="s">
        <v>266</v>
      </c>
      <c r="R611" s="7">
        <v>30682</v>
      </c>
      <c r="S611" s="8">
        <f t="shared" si="72"/>
        <v>1984</v>
      </c>
      <c r="T611" s="8">
        <v>1984</v>
      </c>
      <c r="U611" s="8">
        <f t="shared" si="73"/>
        <v>38</v>
      </c>
      <c r="V611" s="7">
        <v>30713</v>
      </c>
      <c r="W611" t="s">
        <v>1171</v>
      </c>
      <c r="X611" s="2" t="s">
        <v>45</v>
      </c>
      <c r="Y611" s="6" t="e">
        <f t="shared" si="78"/>
        <v>#VALUE!</v>
      </c>
      <c r="AA611" t="s">
        <v>1170</v>
      </c>
      <c r="AB611">
        <v>58005</v>
      </c>
      <c r="AC611">
        <v>15387305</v>
      </c>
      <c r="AD611" t="s">
        <v>4</v>
      </c>
      <c r="AE611">
        <v>63</v>
      </c>
      <c r="AF611">
        <v>2</v>
      </c>
      <c r="AH611" t="s">
        <v>1169</v>
      </c>
      <c r="AI611" t="s">
        <v>1168</v>
      </c>
      <c r="AK611" t="s">
        <v>1167</v>
      </c>
      <c r="AL611">
        <v>6</v>
      </c>
      <c r="AM611" s="5">
        <f t="shared" si="74"/>
        <v>0.15789473684210525</v>
      </c>
      <c r="AN611" s="4">
        <f t="shared" si="79"/>
        <v>2.3914386496343091E-4</v>
      </c>
      <c r="AO611" s="3"/>
      <c r="AP611">
        <v>0</v>
      </c>
      <c r="AR611" t="s">
        <v>0</v>
      </c>
      <c r="AT611" s="2" t="s">
        <v>45</v>
      </c>
      <c r="AU611" s="1" t="e">
        <f t="shared" si="75"/>
        <v>#VALUE!</v>
      </c>
      <c r="AV611" s="1" t="e">
        <f t="shared" si="76"/>
        <v>#VALUE!</v>
      </c>
      <c r="AW611" s="1" t="e">
        <f t="shared" si="77"/>
        <v>#VALUE!</v>
      </c>
    </row>
    <row r="612" spans="1:49" x14ac:dyDescent="0.2">
      <c r="A612">
        <v>610</v>
      </c>
      <c r="B612" t="s">
        <v>1166</v>
      </c>
      <c r="C612" t="s">
        <v>1165</v>
      </c>
      <c r="F612" t="s">
        <v>1164</v>
      </c>
      <c r="G612" t="s">
        <v>13</v>
      </c>
      <c r="H612" t="s">
        <v>12</v>
      </c>
      <c r="I612" t="s">
        <v>1163</v>
      </c>
      <c r="J612">
        <v>60011373</v>
      </c>
      <c r="K612" t="s">
        <v>1162</v>
      </c>
      <c r="L612" t="s">
        <v>1161</v>
      </c>
      <c r="M612" t="s">
        <v>1160</v>
      </c>
      <c r="N612">
        <v>2</v>
      </c>
      <c r="O612" t="s">
        <v>1159</v>
      </c>
      <c r="P612" t="s">
        <v>1158</v>
      </c>
      <c r="Q612" t="s">
        <v>1157</v>
      </c>
      <c r="R612" s="7">
        <v>30682</v>
      </c>
      <c r="S612" s="8">
        <f t="shared" si="72"/>
        <v>1984</v>
      </c>
      <c r="T612" s="8">
        <v>1984</v>
      </c>
      <c r="U612" s="8">
        <f t="shared" si="73"/>
        <v>38</v>
      </c>
      <c r="V612" s="7">
        <v>30713</v>
      </c>
      <c r="W612" t="s">
        <v>380</v>
      </c>
      <c r="X612" s="2">
        <v>1.6519999999999999</v>
      </c>
      <c r="Y612" s="6">
        <f t="shared" si="78"/>
        <v>4.409919649769093E-2</v>
      </c>
      <c r="AA612" t="s">
        <v>379</v>
      </c>
      <c r="AB612">
        <v>17337</v>
      </c>
      <c r="AC612">
        <v>15582221</v>
      </c>
      <c r="AD612" t="s">
        <v>4</v>
      </c>
      <c r="AE612">
        <v>32</v>
      </c>
      <c r="AF612">
        <v>2</v>
      </c>
      <c r="AH612" t="s">
        <v>1156</v>
      </c>
      <c r="AI612" t="s">
        <v>1155</v>
      </c>
      <c r="AK612" t="s">
        <v>1154</v>
      </c>
      <c r="AL612">
        <v>7</v>
      </c>
      <c r="AM612" s="5">
        <f t="shared" si="74"/>
        <v>0.18421052631578946</v>
      </c>
      <c r="AN612" s="4">
        <f t="shared" si="79"/>
        <v>2.7900117579066937E-4</v>
      </c>
      <c r="AO612" s="3"/>
      <c r="AP612">
        <v>0</v>
      </c>
      <c r="AR612" t="s">
        <v>0</v>
      </c>
      <c r="AT612" s="2" t="s">
        <v>45</v>
      </c>
      <c r="AU612" s="1">
        <f t="shared" si="75"/>
        <v>3.0953137901120851</v>
      </c>
      <c r="AV612" s="1">
        <f t="shared" si="76"/>
        <v>2.2189098836740797</v>
      </c>
      <c r="AW612" s="1">
        <f t="shared" si="77"/>
        <v>1.3425059772360746</v>
      </c>
    </row>
    <row r="613" spans="1:49" x14ac:dyDescent="0.2">
      <c r="A613">
        <v>611</v>
      </c>
      <c r="B613" t="s">
        <v>1153</v>
      </c>
      <c r="C613" t="s">
        <v>1152</v>
      </c>
      <c r="F613" t="s">
        <v>1151</v>
      </c>
      <c r="G613" t="s">
        <v>13</v>
      </c>
      <c r="H613" t="s">
        <v>12</v>
      </c>
      <c r="I613" t="s">
        <v>1150</v>
      </c>
      <c r="N613">
        <v>2</v>
      </c>
      <c r="O613" t="s">
        <v>1149</v>
      </c>
      <c r="P613" t="s">
        <v>1148</v>
      </c>
      <c r="Q613" t="s">
        <v>266</v>
      </c>
      <c r="R613" s="7">
        <v>30682</v>
      </c>
      <c r="S613" s="8">
        <f t="shared" si="72"/>
        <v>1984</v>
      </c>
      <c r="T613" s="8">
        <v>1984</v>
      </c>
      <c r="U613" s="8">
        <f t="shared" si="73"/>
        <v>38</v>
      </c>
      <c r="V613" s="7" t="s">
        <v>1147</v>
      </c>
      <c r="W613" s="11" t="s">
        <v>1146</v>
      </c>
      <c r="X613" s="2">
        <v>2.383</v>
      </c>
      <c r="Y613" s="6">
        <f t="shared" si="78"/>
        <v>6.3612824003630442E-2</v>
      </c>
      <c r="AA613">
        <v>1437097</v>
      </c>
      <c r="AB613">
        <v>101236</v>
      </c>
      <c r="AD613" t="s">
        <v>4</v>
      </c>
      <c r="AE613">
        <v>131</v>
      </c>
      <c r="AF613" t="s">
        <v>1145</v>
      </c>
      <c r="AH613" t="s">
        <v>1144</v>
      </c>
      <c r="AI613" t="s">
        <v>1143</v>
      </c>
      <c r="AK613" t="s">
        <v>1142</v>
      </c>
      <c r="AL613">
        <v>2</v>
      </c>
      <c r="AM613" s="5">
        <f t="shared" si="74"/>
        <v>5.2631578947368418E-2</v>
      </c>
      <c r="AN613" s="4">
        <f t="shared" si="79"/>
        <v>7.9714621654476962E-5</v>
      </c>
      <c r="AO613" s="3"/>
      <c r="AP613">
        <v>0</v>
      </c>
      <c r="AR613" t="s">
        <v>0</v>
      </c>
      <c r="AT613" s="2" t="s">
        <v>45</v>
      </c>
      <c r="AU613" s="1">
        <f t="shared" si="75"/>
        <v>4.4552891189037647</v>
      </c>
      <c r="AV613" s="1">
        <f t="shared" si="76"/>
        <v>3.1846269312642459</v>
      </c>
      <c r="AW613" s="1">
        <f t="shared" si="77"/>
        <v>1.9139647436247267</v>
      </c>
    </row>
    <row r="614" spans="1:49" x14ac:dyDescent="0.2">
      <c r="A614">
        <v>612</v>
      </c>
      <c r="B614" t="s">
        <v>1141</v>
      </c>
      <c r="C614" t="s">
        <v>1140</v>
      </c>
      <c r="F614" t="s">
        <v>1139</v>
      </c>
      <c r="G614" t="s">
        <v>13</v>
      </c>
      <c r="H614" t="s">
        <v>12</v>
      </c>
      <c r="I614" t="s">
        <v>1138</v>
      </c>
      <c r="J614">
        <v>60004750</v>
      </c>
      <c r="K614" t="s">
        <v>1137</v>
      </c>
      <c r="L614" t="s">
        <v>1136</v>
      </c>
      <c r="M614" t="s">
        <v>125</v>
      </c>
      <c r="N614">
        <v>2</v>
      </c>
      <c r="O614" t="s">
        <v>1135</v>
      </c>
      <c r="P614" t="s">
        <v>1134</v>
      </c>
      <c r="Q614" t="s">
        <v>1133</v>
      </c>
      <c r="R614" s="7">
        <v>30682</v>
      </c>
      <c r="S614" s="8">
        <f t="shared" si="72"/>
        <v>1984</v>
      </c>
      <c r="T614" s="8">
        <v>1984</v>
      </c>
      <c r="U614" s="8">
        <f t="shared" si="73"/>
        <v>38</v>
      </c>
      <c r="V614" s="7">
        <v>30713</v>
      </c>
      <c r="W614" t="s">
        <v>380</v>
      </c>
      <c r="X614" s="2">
        <v>1.6519999999999999</v>
      </c>
      <c r="Y614" s="6">
        <f t="shared" si="78"/>
        <v>4.409919649769093E-2</v>
      </c>
      <c r="AA614" t="s">
        <v>379</v>
      </c>
      <c r="AB614">
        <v>17337</v>
      </c>
      <c r="AC614">
        <v>15582221</v>
      </c>
      <c r="AD614" t="s">
        <v>4</v>
      </c>
      <c r="AE614">
        <v>32</v>
      </c>
      <c r="AF614">
        <v>2</v>
      </c>
      <c r="AH614" t="s">
        <v>1132</v>
      </c>
      <c r="AI614" t="s">
        <v>1131</v>
      </c>
      <c r="AK614" t="s">
        <v>1130</v>
      </c>
      <c r="AL614">
        <v>2</v>
      </c>
      <c r="AM614" s="5">
        <f t="shared" si="74"/>
        <v>5.2631578947368418E-2</v>
      </c>
      <c r="AN614" s="4">
        <f t="shared" si="79"/>
        <v>7.9714621654476962E-5</v>
      </c>
      <c r="AO614" s="3"/>
      <c r="AP614">
        <v>0</v>
      </c>
      <c r="AR614" t="s">
        <v>0</v>
      </c>
      <c r="AT614" s="2" t="s">
        <v>45</v>
      </c>
      <c r="AU614" s="1">
        <f t="shared" si="75"/>
        <v>3.0893351934879991</v>
      </c>
      <c r="AV614" s="1">
        <f t="shared" si="76"/>
        <v>2.2089455559672704</v>
      </c>
      <c r="AW614" s="1">
        <f t="shared" si="77"/>
        <v>1.3285559184465412</v>
      </c>
    </row>
    <row r="615" spans="1:49" x14ac:dyDescent="0.2">
      <c r="A615">
        <v>613</v>
      </c>
      <c r="B615" t="s">
        <v>1129</v>
      </c>
      <c r="E615">
        <v>6199343</v>
      </c>
      <c r="F615" t="s">
        <v>1128</v>
      </c>
      <c r="G615" t="s">
        <v>13</v>
      </c>
      <c r="H615" t="s">
        <v>12</v>
      </c>
      <c r="I615" t="s">
        <v>1127</v>
      </c>
      <c r="J615">
        <v>60000945</v>
      </c>
      <c r="K615" t="s">
        <v>1126</v>
      </c>
      <c r="L615" t="s">
        <v>57</v>
      </c>
      <c r="M615" t="s">
        <v>56</v>
      </c>
      <c r="N615">
        <v>3</v>
      </c>
      <c r="O615" t="s">
        <v>1125</v>
      </c>
      <c r="P615" t="s">
        <v>1124</v>
      </c>
      <c r="Q615" t="s">
        <v>1123</v>
      </c>
      <c r="R615" s="7">
        <v>30682</v>
      </c>
      <c r="S615" s="8">
        <f t="shared" si="72"/>
        <v>1984</v>
      </c>
      <c r="T615" s="8">
        <v>1984</v>
      </c>
      <c r="U615" s="8">
        <f t="shared" si="73"/>
        <v>38</v>
      </c>
      <c r="V615" s="7">
        <v>1984</v>
      </c>
      <c r="W615" t="s">
        <v>1122</v>
      </c>
      <c r="X615" s="2">
        <v>1.6519999999999999</v>
      </c>
      <c r="Y615" s="6">
        <f t="shared" si="78"/>
        <v>4.409919649769093E-2</v>
      </c>
      <c r="AA615">
        <v>219193</v>
      </c>
      <c r="AB615">
        <v>20220</v>
      </c>
      <c r="AD615" t="s">
        <v>4</v>
      </c>
      <c r="AE615">
        <v>157</v>
      </c>
      <c r="AF615">
        <v>3</v>
      </c>
      <c r="AH615" t="s">
        <v>1121</v>
      </c>
      <c r="AI615" t="s">
        <v>1120</v>
      </c>
      <c r="AK615" t="s">
        <v>1119</v>
      </c>
      <c r="AL615">
        <v>31</v>
      </c>
      <c r="AM615" s="5">
        <f t="shared" si="74"/>
        <v>0.81578947368421051</v>
      </c>
      <c r="AN615" s="4">
        <f t="shared" si="79"/>
        <v>1.235576635644393E-3</v>
      </c>
      <c r="AO615" s="3"/>
      <c r="AP615">
        <v>0</v>
      </c>
      <c r="AR615" t="s">
        <v>0</v>
      </c>
      <c r="AT615" s="2">
        <v>3.49</v>
      </c>
      <c r="AU615" s="1">
        <f t="shared" si="75"/>
        <v>3.1240110539076968</v>
      </c>
      <c r="AV615" s="1">
        <f t="shared" si="76"/>
        <v>2.266738656666766</v>
      </c>
      <c r="AW615" s="1">
        <f t="shared" si="77"/>
        <v>1.4094662594258354</v>
      </c>
    </row>
    <row r="616" spans="1:49" x14ac:dyDescent="0.2">
      <c r="A616">
        <v>614</v>
      </c>
      <c r="B616" t="s">
        <v>1118</v>
      </c>
      <c r="C616" t="s">
        <v>1117</v>
      </c>
      <c r="F616" t="s">
        <v>1116</v>
      </c>
      <c r="G616" t="s">
        <v>13</v>
      </c>
      <c r="H616" t="s">
        <v>12</v>
      </c>
      <c r="I616" t="s">
        <v>1115</v>
      </c>
      <c r="J616" t="s">
        <v>1114</v>
      </c>
      <c r="K616" t="s">
        <v>1113</v>
      </c>
      <c r="L616" t="s">
        <v>1112</v>
      </c>
      <c r="M616" t="s">
        <v>1111</v>
      </c>
      <c r="N616">
        <v>3</v>
      </c>
      <c r="O616" t="s">
        <v>1110</v>
      </c>
      <c r="P616" t="s">
        <v>1109</v>
      </c>
      <c r="Q616" t="s">
        <v>1108</v>
      </c>
      <c r="R616" s="7">
        <v>30682</v>
      </c>
      <c r="S616" s="8">
        <f t="shared" si="72"/>
        <v>1984</v>
      </c>
      <c r="T616" s="8">
        <v>1984</v>
      </c>
      <c r="U616" s="8">
        <f t="shared" si="73"/>
        <v>38</v>
      </c>
      <c r="V616" s="7">
        <v>30742</v>
      </c>
      <c r="W616" t="s">
        <v>727</v>
      </c>
      <c r="X616" s="2">
        <v>0.65200000000000002</v>
      </c>
      <c r="Y616" s="6">
        <f t="shared" si="78"/>
        <v>1.7404767624996664E-2</v>
      </c>
      <c r="AA616">
        <v>3622525</v>
      </c>
      <c r="AB616">
        <v>29629</v>
      </c>
      <c r="AC616">
        <v>10974687</v>
      </c>
      <c r="AD616" t="s">
        <v>4</v>
      </c>
      <c r="AE616">
        <v>179</v>
      </c>
      <c r="AF616">
        <v>3</v>
      </c>
      <c r="AH616" t="s">
        <v>1107</v>
      </c>
      <c r="AI616" t="s">
        <v>1106</v>
      </c>
      <c r="AK616" t="s">
        <v>1105</v>
      </c>
      <c r="AL616">
        <v>2</v>
      </c>
      <c r="AM616" s="5">
        <f t="shared" si="74"/>
        <v>5.2631578947368418E-2</v>
      </c>
      <c r="AN616" s="4">
        <f t="shared" si="79"/>
        <v>7.9714621654476962E-5</v>
      </c>
      <c r="AO616" s="3"/>
      <c r="AP616">
        <v>0</v>
      </c>
      <c r="AR616" t="s">
        <v>0</v>
      </c>
      <c r="AT616" s="2">
        <v>1.804</v>
      </c>
      <c r="AU616" s="1">
        <f t="shared" si="75"/>
        <v>1.2207251723994008</v>
      </c>
      <c r="AV616" s="1">
        <f t="shared" si="76"/>
        <v>0.87422411233255692</v>
      </c>
      <c r="AW616" s="1">
        <f t="shared" si="77"/>
        <v>0.52772305226571325</v>
      </c>
    </row>
    <row r="617" spans="1:49" x14ac:dyDescent="0.2">
      <c r="A617">
        <v>615</v>
      </c>
      <c r="B617" t="s">
        <v>1104</v>
      </c>
      <c r="F617" t="s">
        <v>1103</v>
      </c>
      <c r="G617" t="s">
        <v>13</v>
      </c>
      <c r="H617" t="s">
        <v>12</v>
      </c>
      <c r="I617" t="s">
        <v>1102</v>
      </c>
      <c r="N617">
        <v>1</v>
      </c>
      <c r="O617" t="s">
        <v>1101</v>
      </c>
      <c r="P617">
        <v>6603172883</v>
      </c>
      <c r="R617" s="7">
        <v>30682</v>
      </c>
      <c r="S617" s="8">
        <f t="shared" si="72"/>
        <v>1984</v>
      </c>
      <c r="T617" s="8">
        <v>1984</v>
      </c>
      <c r="U617" s="8">
        <f t="shared" si="73"/>
        <v>38</v>
      </c>
      <c r="V617" s="7">
        <v>1984</v>
      </c>
      <c r="W617" t="s">
        <v>1100</v>
      </c>
      <c r="X617" s="2" t="s">
        <v>45</v>
      </c>
      <c r="Y617" s="6" t="e">
        <f t="shared" si="78"/>
        <v>#VALUE!</v>
      </c>
      <c r="AB617">
        <v>34899</v>
      </c>
      <c r="AD617" t="s">
        <v>4</v>
      </c>
      <c r="AE617">
        <v>8</v>
      </c>
      <c r="AF617">
        <v>2</v>
      </c>
      <c r="AH617" t="s">
        <v>1099</v>
      </c>
      <c r="AI617" t="s">
        <v>1098</v>
      </c>
      <c r="AK617" t="s">
        <v>1097</v>
      </c>
      <c r="AL617">
        <v>3</v>
      </c>
      <c r="AM617" s="5">
        <f t="shared" si="74"/>
        <v>7.8947368421052627E-2</v>
      </c>
      <c r="AN617" s="4">
        <f t="shared" si="79"/>
        <v>1.1957193248171546E-4</v>
      </c>
      <c r="AO617" s="3"/>
      <c r="AP617">
        <v>0</v>
      </c>
      <c r="AR617" t="s">
        <v>0</v>
      </c>
      <c r="AT617" s="2" t="s">
        <v>45</v>
      </c>
      <c r="AU617" s="1" t="e">
        <f t="shared" si="75"/>
        <v>#VALUE!</v>
      </c>
      <c r="AV617" s="1" t="e">
        <f t="shared" si="76"/>
        <v>#VALUE!</v>
      </c>
      <c r="AW617" s="1" t="e">
        <f t="shared" si="77"/>
        <v>#VALUE!</v>
      </c>
    </row>
    <row r="618" spans="1:49" x14ac:dyDescent="0.2">
      <c r="A618">
        <v>616</v>
      </c>
      <c r="B618" t="s">
        <v>1096</v>
      </c>
      <c r="C618" t="s">
        <v>1095</v>
      </c>
      <c r="E618">
        <v>6376527</v>
      </c>
      <c r="F618" t="s">
        <v>1094</v>
      </c>
      <c r="G618" t="s">
        <v>13</v>
      </c>
      <c r="H618" t="s">
        <v>12</v>
      </c>
      <c r="I618" t="s">
        <v>1093</v>
      </c>
      <c r="J618">
        <v>60025038</v>
      </c>
      <c r="K618" t="s">
        <v>1092</v>
      </c>
      <c r="L618" t="s">
        <v>1091</v>
      </c>
      <c r="M618" t="s">
        <v>56</v>
      </c>
      <c r="N618">
        <v>1</v>
      </c>
      <c r="O618" t="s">
        <v>1090</v>
      </c>
      <c r="P618">
        <v>57203081985</v>
      </c>
      <c r="Q618">
        <v>60025038</v>
      </c>
      <c r="R618" s="7">
        <v>30682</v>
      </c>
      <c r="S618" s="8">
        <f t="shared" si="72"/>
        <v>1984</v>
      </c>
      <c r="T618" s="8">
        <v>1984</v>
      </c>
      <c r="U618" s="8">
        <f t="shared" si="73"/>
        <v>38</v>
      </c>
      <c r="V618" s="7">
        <v>1984</v>
      </c>
      <c r="W618" t="s">
        <v>1089</v>
      </c>
      <c r="X618" s="2">
        <v>1.028</v>
      </c>
      <c r="Y618" s="6">
        <f t="shared" si="78"/>
        <v>2.744187288112971E-2</v>
      </c>
      <c r="AA618">
        <v>7302312</v>
      </c>
      <c r="AB618">
        <v>17598</v>
      </c>
      <c r="AC618">
        <v>10974644</v>
      </c>
      <c r="AD618" t="s">
        <v>4</v>
      </c>
      <c r="AE618">
        <v>24</v>
      </c>
      <c r="AF618">
        <v>3</v>
      </c>
      <c r="AH618" t="s">
        <v>1088</v>
      </c>
      <c r="AI618" t="s">
        <v>1087</v>
      </c>
      <c r="AJ618" t="s">
        <v>1086</v>
      </c>
      <c r="AK618" t="s">
        <v>1085</v>
      </c>
      <c r="AL618">
        <v>54</v>
      </c>
      <c r="AM618" s="5">
        <f t="shared" si="74"/>
        <v>1.4210526315789473</v>
      </c>
      <c r="AN618" s="4">
        <f t="shared" si="79"/>
        <v>2.1522947846708781E-3</v>
      </c>
      <c r="AO618" s="3"/>
      <c r="AP618">
        <v>0</v>
      </c>
      <c r="AR618" t="s">
        <v>0</v>
      </c>
      <c r="AT618" s="2">
        <v>4.4290000000000003</v>
      </c>
      <c r="AU618" s="1">
        <f t="shared" si="75"/>
        <v>1.9854999452192057</v>
      </c>
      <c r="AV618" s="1">
        <f t="shared" si="76"/>
        <v>1.4797083832900295</v>
      </c>
      <c r="AW618" s="1">
        <f t="shared" si="77"/>
        <v>0.97391682136085267</v>
      </c>
    </row>
    <row r="619" spans="1:49" x14ac:dyDescent="0.2">
      <c r="A619">
        <v>617</v>
      </c>
      <c r="B619" t="s">
        <v>1084</v>
      </c>
      <c r="F619" t="s">
        <v>1083</v>
      </c>
      <c r="G619" t="s">
        <v>13</v>
      </c>
      <c r="H619" t="s">
        <v>12</v>
      </c>
      <c r="I619" t="s">
        <v>1082</v>
      </c>
      <c r="N619">
        <v>5</v>
      </c>
      <c r="O619" t="s">
        <v>1081</v>
      </c>
      <c r="P619" t="s">
        <v>1080</v>
      </c>
      <c r="Q619" t="s">
        <v>498</v>
      </c>
      <c r="R619" s="7">
        <v>30682</v>
      </c>
      <c r="S619" s="8">
        <f t="shared" si="72"/>
        <v>1984</v>
      </c>
      <c r="T619" s="8">
        <v>1984</v>
      </c>
      <c r="U619" s="8">
        <f t="shared" si="73"/>
        <v>38</v>
      </c>
      <c r="V619" s="7">
        <v>1984</v>
      </c>
      <c r="W619" t="s">
        <v>1079</v>
      </c>
      <c r="X619" s="2" t="s">
        <v>45</v>
      </c>
      <c r="Y619" s="6" t="e">
        <f t="shared" si="78"/>
        <v>#VALUE!</v>
      </c>
      <c r="AA619">
        <v>3709736</v>
      </c>
      <c r="AB619">
        <v>30424</v>
      </c>
      <c r="AD619" t="s">
        <v>4</v>
      </c>
      <c r="AE619">
        <v>13</v>
      </c>
      <c r="AF619">
        <v>4</v>
      </c>
      <c r="AH619" t="s">
        <v>1078</v>
      </c>
      <c r="AI619" t="s">
        <v>1077</v>
      </c>
      <c r="AK619" t="s">
        <v>1076</v>
      </c>
      <c r="AL619">
        <v>1</v>
      </c>
      <c r="AM619" s="5">
        <f t="shared" si="74"/>
        <v>2.6315789473684209E-2</v>
      </c>
      <c r="AN619" s="4">
        <f t="shared" si="79"/>
        <v>3.9857310827238481E-5</v>
      </c>
      <c r="AO619" s="3"/>
      <c r="AP619">
        <v>0</v>
      </c>
      <c r="AR619" t="s">
        <v>0</v>
      </c>
      <c r="AT619" s="2" t="s">
        <v>45</v>
      </c>
      <c r="AU619" s="1" t="e">
        <f t="shared" si="75"/>
        <v>#VALUE!</v>
      </c>
      <c r="AV619" s="1" t="e">
        <f t="shared" si="76"/>
        <v>#VALUE!</v>
      </c>
      <c r="AW619" s="1" t="e">
        <f t="shared" si="77"/>
        <v>#VALUE!</v>
      </c>
    </row>
    <row r="620" spans="1:49" x14ac:dyDescent="0.2">
      <c r="A620">
        <v>618</v>
      </c>
      <c r="B620" t="s">
        <v>1075</v>
      </c>
      <c r="F620" t="s">
        <v>1074</v>
      </c>
      <c r="G620" t="s">
        <v>13</v>
      </c>
      <c r="H620" t="s">
        <v>12</v>
      </c>
      <c r="I620" t="s">
        <v>1073</v>
      </c>
      <c r="N620">
        <v>1</v>
      </c>
      <c r="O620" t="s">
        <v>1072</v>
      </c>
      <c r="P620">
        <v>6603437581</v>
      </c>
      <c r="R620" s="7">
        <v>30682</v>
      </c>
      <c r="S620" s="8">
        <f t="shared" si="72"/>
        <v>1984</v>
      </c>
      <c r="T620" s="8">
        <v>1984</v>
      </c>
      <c r="U620" s="8">
        <f t="shared" si="73"/>
        <v>38</v>
      </c>
      <c r="V620" s="7" t="s">
        <v>534</v>
      </c>
      <c r="W620" t="s">
        <v>1055</v>
      </c>
      <c r="X620" s="2" t="s">
        <v>45</v>
      </c>
      <c r="Y620" s="6" t="e">
        <f t="shared" si="78"/>
        <v>#VALUE!</v>
      </c>
      <c r="AA620">
        <v>337889</v>
      </c>
      <c r="AB620">
        <v>40920</v>
      </c>
      <c r="AD620" t="s">
        <v>4</v>
      </c>
      <c r="AE620">
        <v>29</v>
      </c>
      <c r="AF620">
        <v>1</v>
      </c>
      <c r="AH620" t="s">
        <v>1071</v>
      </c>
      <c r="AI620" t="s">
        <v>1070</v>
      </c>
      <c r="AK620" t="s">
        <v>1069</v>
      </c>
      <c r="AL620">
        <v>0</v>
      </c>
      <c r="AM620" s="5">
        <f t="shared" si="74"/>
        <v>0</v>
      </c>
      <c r="AN620" s="4">
        <f t="shared" si="79"/>
        <v>0</v>
      </c>
      <c r="AO620" s="3"/>
      <c r="AP620">
        <v>0</v>
      </c>
      <c r="AR620" t="s">
        <v>0</v>
      </c>
      <c r="AT620" s="2" t="s">
        <v>45</v>
      </c>
      <c r="AU620" s="1" t="e">
        <f t="shared" si="75"/>
        <v>#VALUE!</v>
      </c>
      <c r="AV620" s="1" t="e">
        <f t="shared" si="76"/>
        <v>#VALUE!</v>
      </c>
      <c r="AW620" s="1" t="e">
        <f t="shared" si="77"/>
        <v>#VALUE!</v>
      </c>
    </row>
    <row r="621" spans="1:49" x14ac:dyDescent="0.2">
      <c r="A621">
        <v>619</v>
      </c>
      <c r="B621" t="s">
        <v>1068</v>
      </c>
      <c r="F621" t="s">
        <v>1067</v>
      </c>
      <c r="G621" t="s">
        <v>13</v>
      </c>
      <c r="H621" t="s">
        <v>12</v>
      </c>
      <c r="I621" t="s">
        <v>1066</v>
      </c>
      <c r="N621">
        <v>1</v>
      </c>
      <c r="O621" t="s">
        <v>1065</v>
      </c>
      <c r="P621">
        <v>7006068674</v>
      </c>
      <c r="R621" s="7">
        <v>30682</v>
      </c>
      <c r="S621" s="8">
        <f t="shared" si="72"/>
        <v>1984</v>
      </c>
      <c r="T621" s="8">
        <v>1984</v>
      </c>
      <c r="U621" s="8">
        <f t="shared" si="73"/>
        <v>38</v>
      </c>
      <c r="V621" s="7">
        <v>1984</v>
      </c>
      <c r="W621" t="s">
        <v>1064</v>
      </c>
      <c r="X621" s="2" t="s">
        <v>45</v>
      </c>
      <c r="Y621" s="6" t="e">
        <f t="shared" si="78"/>
        <v>#VALUE!</v>
      </c>
      <c r="AA621">
        <v>312460</v>
      </c>
      <c r="AB621">
        <v>31402</v>
      </c>
      <c r="AD621" t="s">
        <v>4</v>
      </c>
      <c r="AE621">
        <v>15</v>
      </c>
      <c r="AF621">
        <v>4</v>
      </c>
      <c r="AH621" t="s">
        <v>1063</v>
      </c>
      <c r="AI621" t="s">
        <v>1062</v>
      </c>
      <c r="AK621" t="s">
        <v>1061</v>
      </c>
      <c r="AL621">
        <v>147</v>
      </c>
      <c r="AM621" s="5">
        <f t="shared" si="74"/>
        <v>3.8684210526315788</v>
      </c>
      <c r="AN621" s="4">
        <f t="shared" si="79"/>
        <v>5.859024691604057E-3</v>
      </c>
      <c r="AO621" s="3"/>
      <c r="AP621">
        <v>0</v>
      </c>
      <c r="AR621" t="s">
        <v>0</v>
      </c>
      <c r="AT621" s="2" t="s">
        <v>45</v>
      </c>
      <c r="AU621" s="1" t="e">
        <f t="shared" si="75"/>
        <v>#VALUE!</v>
      </c>
      <c r="AV621" s="1" t="e">
        <f t="shared" si="76"/>
        <v>#VALUE!</v>
      </c>
      <c r="AW621" s="1" t="e">
        <f t="shared" si="77"/>
        <v>#VALUE!</v>
      </c>
    </row>
    <row r="622" spans="1:49" x14ac:dyDescent="0.2">
      <c r="A622">
        <v>620</v>
      </c>
      <c r="B622" t="s">
        <v>1060</v>
      </c>
      <c r="F622" t="s">
        <v>1059</v>
      </c>
      <c r="G622" t="s">
        <v>13</v>
      </c>
      <c r="H622" t="s">
        <v>12</v>
      </c>
      <c r="I622" t="s">
        <v>1058</v>
      </c>
      <c r="N622">
        <v>4</v>
      </c>
      <c r="O622" t="s">
        <v>1057</v>
      </c>
      <c r="P622" t="s">
        <v>1056</v>
      </c>
      <c r="Q622" t="s">
        <v>525</v>
      </c>
      <c r="R622" s="7">
        <v>30682</v>
      </c>
      <c r="S622" s="8">
        <f t="shared" si="72"/>
        <v>1984</v>
      </c>
      <c r="T622" s="8">
        <v>1984</v>
      </c>
      <c r="U622" s="8">
        <f t="shared" si="73"/>
        <v>38</v>
      </c>
      <c r="V622" s="7" t="s">
        <v>534</v>
      </c>
      <c r="W622" t="s">
        <v>1055</v>
      </c>
      <c r="X622" s="2" t="s">
        <v>45</v>
      </c>
      <c r="Y622" s="6" t="e">
        <f t="shared" si="78"/>
        <v>#VALUE!</v>
      </c>
      <c r="AA622">
        <v>337889</v>
      </c>
      <c r="AB622">
        <v>40920</v>
      </c>
      <c r="AD622" t="s">
        <v>4</v>
      </c>
      <c r="AE622">
        <v>29</v>
      </c>
      <c r="AF622">
        <v>1</v>
      </c>
      <c r="AH622" t="s">
        <v>1054</v>
      </c>
      <c r="AI622" t="s">
        <v>1053</v>
      </c>
      <c r="AK622" t="s">
        <v>1052</v>
      </c>
      <c r="AL622">
        <v>0</v>
      </c>
      <c r="AM622" s="5">
        <f t="shared" si="74"/>
        <v>0</v>
      </c>
      <c r="AN622" s="4">
        <f t="shared" si="79"/>
        <v>0</v>
      </c>
      <c r="AO622" s="3"/>
      <c r="AP622">
        <v>0</v>
      </c>
      <c r="AR622" t="s">
        <v>0</v>
      </c>
      <c r="AT622" s="2" t="s">
        <v>45</v>
      </c>
      <c r="AU622" s="1" t="e">
        <f t="shared" si="75"/>
        <v>#VALUE!</v>
      </c>
      <c r="AV622" s="1" t="e">
        <f t="shared" si="76"/>
        <v>#VALUE!</v>
      </c>
      <c r="AW622" s="1" t="e">
        <f t="shared" si="77"/>
        <v>#VALUE!</v>
      </c>
    </row>
    <row r="623" spans="1:49" x14ac:dyDescent="0.2">
      <c r="A623">
        <v>621</v>
      </c>
      <c r="B623" t="s">
        <v>1051</v>
      </c>
      <c r="F623" t="s">
        <v>1050</v>
      </c>
      <c r="G623" t="s">
        <v>13</v>
      </c>
      <c r="H623" t="s">
        <v>12</v>
      </c>
      <c r="I623" t="s">
        <v>1049</v>
      </c>
      <c r="N623">
        <v>2</v>
      </c>
      <c r="O623" t="s">
        <v>1048</v>
      </c>
      <c r="P623" t="s">
        <v>1047</v>
      </c>
      <c r="Q623" t="s">
        <v>266</v>
      </c>
      <c r="R623" s="7">
        <v>30682</v>
      </c>
      <c r="S623" s="8">
        <f t="shared" si="72"/>
        <v>1984</v>
      </c>
      <c r="T623" s="8">
        <v>1984</v>
      </c>
      <c r="U623" s="8">
        <f t="shared" si="73"/>
        <v>38</v>
      </c>
      <c r="V623" s="7" t="s">
        <v>534</v>
      </c>
      <c r="W623" t="s">
        <v>1032</v>
      </c>
      <c r="X623" s="2" t="s">
        <v>45</v>
      </c>
      <c r="Y623" s="6" t="e">
        <f t="shared" si="78"/>
        <v>#VALUE!</v>
      </c>
      <c r="AA623">
        <v>262897</v>
      </c>
      <c r="AB623">
        <v>18580</v>
      </c>
      <c r="AD623" t="s">
        <v>4</v>
      </c>
      <c r="AE623">
        <v>27</v>
      </c>
      <c r="AF623">
        <v>1</v>
      </c>
      <c r="AI623" t="s">
        <v>1046</v>
      </c>
      <c r="AK623" t="s">
        <v>1045</v>
      </c>
      <c r="AL623">
        <v>1</v>
      </c>
      <c r="AM623" s="5">
        <f t="shared" si="74"/>
        <v>2.6315789473684209E-2</v>
      </c>
      <c r="AN623" s="4">
        <f t="shared" si="79"/>
        <v>3.9857310827238481E-5</v>
      </c>
      <c r="AO623" s="3"/>
      <c r="AP623">
        <v>0</v>
      </c>
      <c r="AR623" t="s">
        <v>0</v>
      </c>
      <c r="AT623" s="2">
        <v>0.30599999999999999</v>
      </c>
      <c r="AU623" s="1" t="e">
        <f t="shared" si="75"/>
        <v>#VALUE!</v>
      </c>
      <c r="AV623" s="1" t="e">
        <f t="shared" si="76"/>
        <v>#VALUE!</v>
      </c>
      <c r="AW623" s="1" t="e">
        <f t="shared" si="77"/>
        <v>#VALUE!</v>
      </c>
    </row>
    <row r="624" spans="1:49" x14ac:dyDescent="0.2">
      <c r="A624">
        <v>622</v>
      </c>
      <c r="B624" t="s">
        <v>1044</v>
      </c>
      <c r="E624">
        <v>6706140</v>
      </c>
      <c r="F624" t="s">
        <v>1043</v>
      </c>
      <c r="G624" t="s">
        <v>13</v>
      </c>
      <c r="H624" t="s">
        <v>12</v>
      </c>
      <c r="I624" t="s">
        <v>1042</v>
      </c>
      <c r="N624">
        <v>3</v>
      </c>
      <c r="O624" t="s">
        <v>1041</v>
      </c>
      <c r="P624" t="s">
        <v>1040</v>
      </c>
      <c r="Q624" t="s">
        <v>8</v>
      </c>
      <c r="R624" s="7">
        <v>30682</v>
      </c>
      <c r="S624" s="8">
        <f t="shared" ref="S624:S687" si="80">YEAR(R624)</f>
        <v>1984</v>
      </c>
      <c r="T624" s="8">
        <v>1984</v>
      </c>
      <c r="U624" s="8">
        <f t="shared" ref="U624:U687" si="81">2022-T624</f>
        <v>38</v>
      </c>
      <c r="V624" s="7">
        <v>1984</v>
      </c>
      <c r="W624" t="s">
        <v>1039</v>
      </c>
      <c r="X624" s="2" t="s">
        <v>45</v>
      </c>
      <c r="Y624" s="6" t="e">
        <f t="shared" si="78"/>
        <v>#VALUE!</v>
      </c>
      <c r="AA624">
        <v>719679</v>
      </c>
      <c r="AB624">
        <v>16692</v>
      </c>
      <c r="AD624" t="s">
        <v>4</v>
      </c>
      <c r="AE624">
        <v>18</v>
      </c>
      <c r="AH624" t="s">
        <v>1038</v>
      </c>
      <c r="AL624">
        <v>12</v>
      </c>
      <c r="AM624" s="5">
        <f t="shared" ref="AM624:AM687" si="82">AL624/U624</f>
        <v>0.31578947368421051</v>
      </c>
      <c r="AN624" s="4">
        <f t="shared" si="79"/>
        <v>4.7828772992686183E-4</v>
      </c>
      <c r="AO624" s="3"/>
      <c r="AP624">
        <v>0</v>
      </c>
      <c r="AR624" t="s">
        <v>0</v>
      </c>
      <c r="AT624" s="2" t="s">
        <v>45</v>
      </c>
      <c r="AU624" s="1" t="e">
        <f t="shared" ref="AU624:AU687" si="83">(Y624*0.7+AN624*0.3)*100</f>
        <v>#VALUE!</v>
      </c>
      <c r="AV624" s="1" t="e">
        <f t="shared" ref="AV624:AV687" si="84">(Y624*0.5+AN624*0.5)*100</f>
        <v>#VALUE!</v>
      </c>
      <c r="AW624" s="1" t="e">
        <f t="shared" ref="AW624:AW687" si="85">(Y624*0.3+AN624*0.7)*100</f>
        <v>#VALUE!</v>
      </c>
    </row>
    <row r="625" spans="1:49" x14ac:dyDescent="0.2">
      <c r="A625">
        <v>623</v>
      </c>
      <c r="B625" t="s">
        <v>1037</v>
      </c>
      <c r="F625" t="s">
        <v>1036</v>
      </c>
      <c r="G625" t="s">
        <v>13</v>
      </c>
      <c r="H625" t="s">
        <v>12</v>
      </c>
      <c r="I625" t="s">
        <v>1035</v>
      </c>
      <c r="N625">
        <v>2</v>
      </c>
      <c r="O625" t="s">
        <v>1034</v>
      </c>
      <c r="P625" t="s">
        <v>1033</v>
      </c>
      <c r="Q625" t="s">
        <v>266</v>
      </c>
      <c r="R625" s="7">
        <v>30682</v>
      </c>
      <c r="S625" s="8">
        <f t="shared" si="80"/>
        <v>1984</v>
      </c>
      <c r="T625" s="8">
        <v>1984</v>
      </c>
      <c r="U625" s="8">
        <f t="shared" si="81"/>
        <v>38</v>
      </c>
      <c r="V625" s="7" t="s">
        <v>534</v>
      </c>
      <c r="W625" t="s">
        <v>1032</v>
      </c>
      <c r="X625" s="2" t="s">
        <v>45</v>
      </c>
      <c r="Y625" s="6" t="e">
        <f t="shared" si="78"/>
        <v>#VALUE!</v>
      </c>
      <c r="AA625">
        <v>262897</v>
      </c>
      <c r="AB625">
        <v>18580</v>
      </c>
      <c r="AD625" t="s">
        <v>4</v>
      </c>
      <c r="AE625">
        <v>27</v>
      </c>
      <c r="AF625">
        <v>1</v>
      </c>
      <c r="AH625" t="s">
        <v>1031</v>
      </c>
      <c r="AI625" t="s">
        <v>1030</v>
      </c>
      <c r="AK625" t="s">
        <v>1029</v>
      </c>
      <c r="AL625">
        <v>0</v>
      </c>
      <c r="AM625" s="5">
        <f t="shared" si="82"/>
        <v>0</v>
      </c>
      <c r="AN625" s="4">
        <f t="shared" si="79"/>
        <v>0</v>
      </c>
      <c r="AO625" s="3"/>
      <c r="AP625">
        <v>0</v>
      </c>
      <c r="AR625" t="s">
        <v>0</v>
      </c>
      <c r="AT625" s="2">
        <v>0.30599999999999999</v>
      </c>
      <c r="AU625" s="1" t="e">
        <f t="shared" si="83"/>
        <v>#VALUE!</v>
      </c>
      <c r="AV625" s="1" t="e">
        <f t="shared" si="84"/>
        <v>#VALUE!</v>
      </c>
      <c r="AW625" s="1" t="e">
        <f t="shared" si="85"/>
        <v>#VALUE!</v>
      </c>
    </row>
    <row r="626" spans="1:49" x14ac:dyDescent="0.2">
      <c r="A626">
        <v>624</v>
      </c>
      <c r="B626" t="s">
        <v>1028</v>
      </c>
      <c r="C626" t="s">
        <v>1027</v>
      </c>
      <c r="F626" t="s">
        <v>1026</v>
      </c>
      <c r="G626" t="s">
        <v>13</v>
      </c>
      <c r="H626" t="s">
        <v>12</v>
      </c>
      <c r="I626" t="s">
        <v>1025</v>
      </c>
      <c r="J626">
        <v>60021331</v>
      </c>
      <c r="K626" t="s">
        <v>1024</v>
      </c>
      <c r="L626" t="s">
        <v>1023</v>
      </c>
      <c r="M626" t="s">
        <v>1022</v>
      </c>
      <c r="N626">
        <v>3</v>
      </c>
      <c r="O626" t="s">
        <v>1021</v>
      </c>
      <c r="P626" t="s">
        <v>1020</v>
      </c>
      <c r="Q626" t="s">
        <v>1019</v>
      </c>
      <c r="R626" s="7">
        <v>30682</v>
      </c>
      <c r="S626" s="8">
        <f t="shared" si="80"/>
        <v>1984</v>
      </c>
      <c r="T626" s="8">
        <v>1984</v>
      </c>
      <c r="U626" s="8">
        <f t="shared" si="81"/>
        <v>38</v>
      </c>
      <c r="V626" s="7">
        <v>30682</v>
      </c>
      <c r="W626" t="s">
        <v>1018</v>
      </c>
      <c r="X626" s="2">
        <v>0.318</v>
      </c>
      <c r="Y626" s="6">
        <f t="shared" si="78"/>
        <v>8.4888283815167786E-3</v>
      </c>
      <c r="AA626">
        <v>338443</v>
      </c>
      <c r="AB626">
        <v>27160</v>
      </c>
      <c r="AC626">
        <v>15739120</v>
      </c>
      <c r="AD626" t="s">
        <v>4</v>
      </c>
      <c r="AE626">
        <v>27</v>
      </c>
      <c r="AF626">
        <v>1</v>
      </c>
      <c r="AH626" t="s">
        <v>1017</v>
      </c>
      <c r="AI626" t="s">
        <v>1016</v>
      </c>
      <c r="AK626" t="s">
        <v>1015</v>
      </c>
      <c r="AL626">
        <v>2</v>
      </c>
      <c r="AM626" s="5">
        <f t="shared" si="82"/>
        <v>5.2631578947368418E-2</v>
      </c>
      <c r="AN626" s="4">
        <f t="shared" si="79"/>
        <v>7.9714621654476962E-5</v>
      </c>
      <c r="AO626" s="3"/>
      <c r="AP626">
        <v>0</v>
      </c>
      <c r="AR626" t="s">
        <v>0</v>
      </c>
      <c r="AT626" s="2">
        <v>0.77</v>
      </c>
      <c r="AU626" s="1">
        <f t="shared" si="83"/>
        <v>0.59660942535580885</v>
      </c>
      <c r="AV626" s="1">
        <f t="shared" si="84"/>
        <v>0.42842715015856281</v>
      </c>
      <c r="AW626" s="1">
        <f t="shared" si="85"/>
        <v>0.26024487496131676</v>
      </c>
    </row>
    <row r="627" spans="1:49" x14ac:dyDescent="0.2">
      <c r="A627">
        <v>625</v>
      </c>
      <c r="B627" t="s">
        <v>1014</v>
      </c>
      <c r="C627" t="s">
        <v>1013</v>
      </c>
      <c r="E627">
        <v>6724597</v>
      </c>
      <c r="F627" t="s">
        <v>1012</v>
      </c>
      <c r="G627" t="s">
        <v>13</v>
      </c>
      <c r="H627" t="s">
        <v>12</v>
      </c>
      <c r="I627" t="s">
        <v>1011</v>
      </c>
      <c r="J627">
        <v>60016827</v>
      </c>
      <c r="K627" t="s">
        <v>1010</v>
      </c>
      <c r="L627" t="s">
        <v>1009</v>
      </c>
      <c r="M627" t="s">
        <v>56</v>
      </c>
      <c r="N627">
        <v>1</v>
      </c>
      <c r="O627" t="s">
        <v>1008</v>
      </c>
      <c r="P627">
        <v>7402095441</v>
      </c>
      <c r="Q627">
        <v>60016827</v>
      </c>
      <c r="R627" s="7">
        <v>30682</v>
      </c>
      <c r="S627" s="8">
        <f t="shared" si="80"/>
        <v>1984</v>
      </c>
      <c r="T627" s="8">
        <v>1984</v>
      </c>
      <c r="U627" s="8">
        <f t="shared" si="81"/>
        <v>38</v>
      </c>
      <c r="V627" s="7">
        <v>30682</v>
      </c>
      <c r="W627" t="s">
        <v>922</v>
      </c>
      <c r="X627" s="2">
        <v>1.1479999999999999</v>
      </c>
      <c r="Y627" s="6">
        <f t="shared" si="78"/>
        <v>3.0645204345853019E-2</v>
      </c>
      <c r="AA627">
        <v>189294</v>
      </c>
      <c r="AB627">
        <v>16318</v>
      </c>
      <c r="AC627">
        <v>15582531</v>
      </c>
      <c r="AD627" t="s">
        <v>4</v>
      </c>
      <c r="AE627" t="s">
        <v>921</v>
      </c>
      <c r="AF627">
        <v>1</v>
      </c>
      <c r="AH627" t="s">
        <v>1007</v>
      </c>
      <c r="AI627" t="s">
        <v>1006</v>
      </c>
      <c r="AK627" t="s">
        <v>1005</v>
      </c>
      <c r="AL627">
        <v>169</v>
      </c>
      <c r="AM627" s="5">
        <f t="shared" si="82"/>
        <v>4.4473684210526319</v>
      </c>
      <c r="AN627" s="4">
        <f t="shared" si="79"/>
        <v>6.735885529803305E-3</v>
      </c>
      <c r="AO627" s="3"/>
      <c r="AP627">
        <v>0</v>
      </c>
      <c r="AR627" t="s">
        <v>0</v>
      </c>
      <c r="AT627" s="2" t="s">
        <v>45</v>
      </c>
      <c r="AU627" s="1">
        <f t="shared" si="83"/>
        <v>2.3472408701038106</v>
      </c>
      <c r="AV627" s="1">
        <f t="shared" si="84"/>
        <v>1.8690544937828162</v>
      </c>
      <c r="AW627" s="1">
        <f t="shared" si="85"/>
        <v>1.3908681174618218</v>
      </c>
    </row>
    <row r="628" spans="1:49" x14ac:dyDescent="0.2">
      <c r="A628">
        <v>626</v>
      </c>
      <c r="B628" t="s">
        <v>1004</v>
      </c>
      <c r="C628" t="s">
        <v>1003</v>
      </c>
      <c r="E628">
        <v>6724605</v>
      </c>
      <c r="F628" t="s">
        <v>1002</v>
      </c>
      <c r="G628" t="s">
        <v>13</v>
      </c>
      <c r="H628" t="s">
        <v>12</v>
      </c>
      <c r="I628" t="s">
        <v>1001</v>
      </c>
      <c r="J628" t="s">
        <v>1000</v>
      </c>
      <c r="K628" t="s">
        <v>999</v>
      </c>
      <c r="L628" t="s">
        <v>998</v>
      </c>
      <c r="M628" t="s">
        <v>997</v>
      </c>
      <c r="N628">
        <v>6</v>
      </c>
      <c r="O628" t="s">
        <v>996</v>
      </c>
      <c r="P628" t="s">
        <v>995</v>
      </c>
      <c r="Q628" t="s">
        <v>994</v>
      </c>
      <c r="R628" s="7">
        <v>30682</v>
      </c>
      <c r="S628" s="8">
        <f t="shared" si="80"/>
        <v>1984</v>
      </c>
      <c r="T628" s="8">
        <v>1984</v>
      </c>
      <c r="U628" s="8">
        <f t="shared" si="81"/>
        <v>38</v>
      </c>
      <c r="V628" s="7">
        <v>30682</v>
      </c>
      <c r="W628" t="s">
        <v>922</v>
      </c>
      <c r="X628" s="2">
        <v>1.1479999999999999</v>
      </c>
      <c r="Y628" s="6">
        <f t="shared" si="78"/>
        <v>3.0645204345853019E-2</v>
      </c>
      <c r="AA628">
        <v>189294</v>
      </c>
      <c r="AB628">
        <v>16318</v>
      </c>
      <c r="AC628">
        <v>15582531</v>
      </c>
      <c r="AD628" t="s">
        <v>4</v>
      </c>
      <c r="AE628" t="s">
        <v>921</v>
      </c>
      <c r="AF628">
        <v>1</v>
      </c>
      <c r="AH628" t="s">
        <v>993</v>
      </c>
      <c r="AI628" t="s">
        <v>992</v>
      </c>
      <c r="AK628" t="s">
        <v>991</v>
      </c>
      <c r="AL628">
        <v>38</v>
      </c>
      <c r="AM628" s="5">
        <f t="shared" si="82"/>
        <v>1</v>
      </c>
      <c r="AN628" s="4">
        <f t="shared" si="79"/>
        <v>1.5145778114350624E-3</v>
      </c>
      <c r="AO628" s="3"/>
      <c r="AP628">
        <v>0</v>
      </c>
      <c r="AR628" t="s">
        <v>0</v>
      </c>
      <c r="AT628" s="2" t="s">
        <v>45</v>
      </c>
      <c r="AU628" s="1">
        <f t="shared" si="83"/>
        <v>2.1906016385527631</v>
      </c>
      <c r="AV628" s="1">
        <f t="shared" si="84"/>
        <v>1.6079891078644042</v>
      </c>
      <c r="AW628" s="1">
        <f t="shared" si="85"/>
        <v>1.0253765771760448</v>
      </c>
    </row>
    <row r="629" spans="1:49" x14ac:dyDescent="0.2">
      <c r="A629">
        <v>627</v>
      </c>
      <c r="B629" t="s">
        <v>990</v>
      </c>
      <c r="C629" t="s">
        <v>989</v>
      </c>
      <c r="E629">
        <v>6724606</v>
      </c>
      <c r="F629" t="s">
        <v>988</v>
      </c>
      <c r="G629" t="s">
        <v>13</v>
      </c>
      <c r="H629" t="s">
        <v>12</v>
      </c>
      <c r="I629" t="s">
        <v>987</v>
      </c>
      <c r="J629" t="s">
        <v>986</v>
      </c>
      <c r="K629" t="s">
        <v>985</v>
      </c>
      <c r="L629" t="s">
        <v>984</v>
      </c>
      <c r="M629" t="s">
        <v>983</v>
      </c>
      <c r="N629">
        <v>6</v>
      </c>
      <c r="O629" t="s">
        <v>982</v>
      </c>
      <c r="P629" t="s">
        <v>981</v>
      </c>
      <c r="Q629" t="s">
        <v>980</v>
      </c>
      <c r="R629" s="7">
        <v>30682</v>
      </c>
      <c r="S629" s="8">
        <f t="shared" si="80"/>
        <v>1984</v>
      </c>
      <c r="T629" s="8">
        <v>1984</v>
      </c>
      <c r="U629" s="8">
        <f t="shared" si="81"/>
        <v>38</v>
      </c>
      <c r="V629" s="7">
        <v>30682</v>
      </c>
      <c r="W629" t="s">
        <v>922</v>
      </c>
      <c r="X629" s="2">
        <v>1.1479999999999999</v>
      </c>
      <c r="Y629" s="6">
        <f t="shared" si="78"/>
        <v>3.0645204345853019E-2</v>
      </c>
      <c r="AA629">
        <v>189294</v>
      </c>
      <c r="AB629">
        <v>16318</v>
      </c>
      <c r="AC629">
        <v>15582531</v>
      </c>
      <c r="AD629" t="s">
        <v>4</v>
      </c>
      <c r="AE629" t="s">
        <v>921</v>
      </c>
      <c r="AF629">
        <v>1</v>
      </c>
      <c r="AH629" t="s">
        <v>979</v>
      </c>
      <c r="AI629" t="s">
        <v>978</v>
      </c>
      <c r="AK629" t="s">
        <v>977</v>
      </c>
      <c r="AL629">
        <v>29</v>
      </c>
      <c r="AM629" s="5">
        <f t="shared" si="82"/>
        <v>0.76315789473684215</v>
      </c>
      <c r="AN629" s="4">
        <f t="shared" si="79"/>
        <v>1.1558620139899161E-3</v>
      </c>
      <c r="AO629" s="3"/>
      <c r="AP629">
        <v>0</v>
      </c>
      <c r="AR629" t="s">
        <v>0</v>
      </c>
      <c r="AT629" s="2" t="s">
        <v>45</v>
      </c>
      <c r="AU629" s="1">
        <f t="shared" si="83"/>
        <v>2.1798401646294088</v>
      </c>
      <c r="AV629" s="1">
        <f t="shared" si="84"/>
        <v>1.5900533179921468</v>
      </c>
      <c r="AW629" s="1">
        <f t="shared" si="85"/>
        <v>1.0002664713548846</v>
      </c>
    </row>
    <row r="630" spans="1:49" x14ac:dyDescent="0.2">
      <c r="A630">
        <v>628</v>
      </c>
      <c r="B630" t="s">
        <v>976</v>
      </c>
      <c r="C630" t="s">
        <v>975</v>
      </c>
      <c r="E630">
        <v>6724609</v>
      </c>
      <c r="F630" t="s">
        <v>974</v>
      </c>
      <c r="G630" t="s">
        <v>13</v>
      </c>
      <c r="H630" t="s">
        <v>12</v>
      </c>
      <c r="I630" t="s">
        <v>973</v>
      </c>
      <c r="J630" t="s">
        <v>972</v>
      </c>
      <c r="K630" t="s">
        <v>971</v>
      </c>
      <c r="L630" t="s">
        <v>970</v>
      </c>
      <c r="M630" t="s">
        <v>969</v>
      </c>
      <c r="N630">
        <v>5</v>
      </c>
      <c r="O630" t="s">
        <v>968</v>
      </c>
      <c r="P630" t="s">
        <v>967</v>
      </c>
      <c r="Q630" t="s">
        <v>966</v>
      </c>
      <c r="R630" s="7">
        <v>30682</v>
      </c>
      <c r="S630" s="8">
        <f t="shared" si="80"/>
        <v>1984</v>
      </c>
      <c r="T630" s="8">
        <v>1984</v>
      </c>
      <c r="U630" s="8">
        <f t="shared" si="81"/>
        <v>38</v>
      </c>
      <c r="V630" s="7">
        <v>30682</v>
      </c>
      <c r="W630" t="s">
        <v>922</v>
      </c>
      <c r="X630" s="2">
        <v>1.1479999999999999</v>
      </c>
      <c r="Y630" s="6">
        <f t="shared" si="78"/>
        <v>3.0645204345853019E-2</v>
      </c>
      <c r="AA630">
        <v>189294</v>
      </c>
      <c r="AB630">
        <v>16318</v>
      </c>
      <c r="AC630">
        <v>15582531</v>
      </c>
      <c r="AD630" t="s">
        <v>4</v>
      </c>
      <c r="AE630" t="s">
        <v>921</v>
      </c>
      <c r="AF630">
        <v>1</v>
      </c>
      <c r="AH630" t="s">
        <v>965</v>
      </c>
      <c r="AI630" t="s">
        <v>964</v>
      </c>
      <c r="AK630" t="s">
        <v>963</v>
      </c>
      <c r="AL630">
        <v>40</v>
      </c>
      <c r="AM630" s="5">
        <f t="shared" si="82"/>
        <v>1.0526315789473684</v>
      </c>
      <c r="AN630" s="4">
        <f t="shared" si="79"/>
        <v>1.5942924330895395E-3</v>
      </c>
      <c r="AO630" s="3"/>
      <c r="AP630">
        <v>0</v>
      </c>
      <c r="AR630" t="s">
        <v>0</v>
      </c>
      <c r="AT630" s="2" t="s">
        <v>45</v>
      </c>
      <c r="AU630" s="1">
        <f t="shared" si="83"/>
        <v>2.1929930772023978</v>
      </c>
      <c r="AV630" s="1">
        <f t="shared" si="84"/>
        <v>1.6119748389471278</v>
      </c>
      <c r="AW630" s="1">
        <f t="shared" si="85"/>
        <v>1.0309566006918582</v>
      </c>
    </row>
    <row r="631" spans="1:49" x14ac:dyDescent="0.2">
      <c r="A631">
        <v>629</v>
      </c>
      <c r="B631" t="s">
        <v>962</v>
      </c>
      <c r="C631" t="s">
        <v>961</v>
      </c>
      <c r="E631">
        <v>6724598</v>
      </c>
      <c r="F631" t="s">
        <v>960</v>
      </c>
      <c r="G631" t="s">
        <v>13</v>
      </c>
      <c r="H631" t="s">
        <v>12</v>
      </c>
      <c r="I631" t="s">
        <v>959</v>
      </c>
      <c r="J631" t="s">
        <v>958</v>
      </c>
      <c r="K631" t="s">
        <v>957</v>
      </c>
      <c r="L631" t="s">
        <v>956</v>
      </c>
      <c r="M631" t="s">
        <v>206</v>
      </c>
      <c r="N631">
        <v>4</v>
      </c>
      <c r="O631" t="s">
        <v>955</v>
      </c>
      <c r="P631" t="s">
        <v>954</v>
      </c>
      <c r="Q631" t="s">
        <v>953</v>
      </c>
      <c r="R631" s="7">
        <v>30682</v>
      </c>
      <c r="S631" s="8">
        <f t="shared" si="80"/>
        <v>1984</v>
      </c>
      <c r="T631" s="8">
        <v>1984</v>
      </c>
      <c r="U631" s="8">
        <f t="shared" si="81"/>
        <v>38</v>
      </c>
      <c r="V631" s="7">
        <v>30682</v>
      </c>
      <c r="W631" t="s">
        <v>922</v>
      </c>
      <c r="X631" s="2">
        <v>1.1479999999999999</v>
      </c>
      <c r="Y631" s="6">
        <f t="shared" si="78"/>
        <v>3.0645204345853019E-2</v>
      </c>
      <c r="AA631">
        <v>189294</v>
      </c>
      <c r="AB631">
        <v>16318</v>
      </c>
      <c r="AC631">
        <v>15582531</v>
      </c>
      <c r="AD631" t="s">
        <v>4</v>
      </c>
      <c r="AE631" t="s">
        <v>921</v>
      </c>
      <c r="AF631">
        <v>1</v>
      </c>
      <c r="AH631" t="s">
        <v>952</v>
      </c>
      <c r="AI631" t="s">
        <v>951</v>
      </c>
      <c r="AK631" t="s">
        <v>950</v>
      </c>
      <c r="AL631">
        <v>43</v>
      </c>
      <c r="AM631" s="5">
        <f t="shared" si="82"/>
        <v>1.131578947368421</v>
      </c>
      <c r="AN631" s="4">
        <f t="shared" si="79"/>
        <v>1.7138643655712547E-3</v>
      </c>
      <c r="AO631" s="3"/>
      <c r="AP631">
        <v>0</v>
      </c>
      <c r="AQ631" t="s">
        <v>935</v>
      </c>
      <c r="AR631" t="s">
        <v>949</v>
      </c>
      <c r="AS631" t="s">
        <v>933</v>
      </c>
      <c r="AT631" s="2" t="s">
        <v>45</v>
      </c>
      <c r="AU631" s="1">
        <f t="shared" si="83"/>
        <v>2.1965802351768491</v>
      </c>
      <c r="AV631" s="1">
        <f t="shared" si="84"/>
        <v>1.6179534355712135</v>
      </c>
      <c r="AW631" s="1">
        <f t="shared" si="85"/>
        <v>1.0393266359655782</v>
      </c>
    </row>
    <row r="632" spans="1:49" x14ac:dyDescent="0.2">
      <c r="A632">
        <v>630</v>
      </c>
      <c r="B632" t="s">
        <v>948</v>
      </c>
      <c r="C632" t="s">
        <v>947</v>
      </c>
      <c r="E632">
        <v>6724610</v>
      </c>
      <c r="F632" t="s">
        <v>946</v>
      </c>
      <c r="G632" t="s">
        <v>13</v>
      </c>
      <c r="H632" t="s">
        <v>12</v>
      </c>
      <c r="I632" t="s">
        <v>945</v>
      </c>
      <c r="J632" t="s">
        <v>944</v>
      </c>
      <c r="K632" t="s">
        <v>943</v>
      </c>
      <c r="L632" t="s">
        <v>942</v>
      </c>
      <c r="M632" t="s">
        <v>206</v>
      </c>
      <c r="N632">
        <v>3</v>
      </c>
      <c r="O632" t="s">
        <v>941</v>
      </c>
      <c r="P632" t="s">
        <v>940</v>
      </c>
      <c r="Q632" t="s">
        <v>939</v>
      </c>
      <c r="R632" s="7">
        <v>30682</v>
      </c>
      <c r="S632" s="8">
        <f t="shared" si="80"/>
        <v>1984</v>
      </c>
      <c r="T632" s="8">
        <v>1984</v>
      </c>
      <c r="U632" s="8">
        <f t="shared" si="81"/>
        <v>38</v>
      </c>
      <c r="V632" s="7">
        <v>30682</v>
      </c>
      <c r="W632" t="s">
        <v>922</v>
      </c>
      <c r="X632" s="2">
        <v>1.1479999999999999</v>
      </c>
      <c r="Y632" s="6">
        <f t="shared" si="78"/>
        <v>3.0645204345853019E-2</v>
      </c>
      <c r="AA632">
        <v>189294</v>
      </c>
      <c r="AB632">
        <v>16318</v>
      </c>
      <c r="AC632">
        <v>15582531</v>
      </c>
      <c r="AD632" t="s">
        <v>4</v>
      </c>
      <c r="AE632" t="s">
        <v>921</v>
      </c>
      <c r="AF632">
        <v>1</v>
      </c>
      <c r="AH632" t="s">
        <v>938</v>
      </c>
      <c r="AI632" t="s">
        <v>937</v>
      </c>
      <c r="AK632" t="s">
        <v>936</v>
      </c>
      <c r="AL632">
        <v>92</v>
      </c>
      <c r="AM632" s="5">
        <f t="shared" si="82"/>
        <v>2.4210526315789473</v>
      </c>
      <c r="AN632" s="4">
        <f t="shared" si="79"/>
        <v>3.6668725961059405E-3</v>
      </c>
      <c r="AO632" s="3"/>
      <c r="AP632">
        <v>0</v>
      </c>
      <c r="AQ632" t="s">
        <v>935</v>
      </c>
      <c r="AR632" t="s">
        <v>934</v>
      </c>
      <c r="AS632" t="s">
        <v>933</v>
      </c>
      <c r="AT632" s="2" t="s">
        <v>45</v>
      </c>
      <c r="AU632" s="1">
        <f t="shared" si="83"/>
        <v>2.2551704820928897</v>
      </c>
      <c r="AV632" s="1">
        <f t="shared" si="84"/>
        <v>1.715603847097948</v>
      </c>
      <c r="AW632" s="1">
        <f t="shared" si="85"/>
        <v>1.1760372121030063</v>
      </c>
    </row>
    <row r="633" spans="1:49" x14ac:dyDescent="0.2">
      <c r="A633">
        <v>631</v>
      </c>
      <c r="B633" t="s">
        <v>932</v>
      </c>
      <c r="C633" t="s">
        <v>931</v>
      </c>
      <c r="E633">
        <v>6724608</v>
      </c>
      <c r="F633" t="s">
        <v>930</v>
      </c>
      <c r="G633" t="s">
        <v>13</v>
      </c>
      <c r="H633" t="s">
        <v>12</v>
      </c>
      <c r="I633" t="s">
        <v>929</v>
      </c>
      <c r="J633" t="s">
        <v>928</v>
      </c>
      <c r="K633" t="s">
        <v>927</v>
      </c>
      <c r="L633" t="s">
        <v>926</v>
      </c>
      <c r="M633" t="s">
        <v>206</v>
      </c>
      <c r="N633">
        <v>6</v>
      </c>
      <c r="O633" t="s">
        <v>925</v>
      </c>
      <c r="P633" t="s">
        <v>924</v>
      </c>
      <c r="Q633" t="s">
        <v>923</v>
      </c>
      <c r="R633" s="7">
        <v>30682</v>
      </c>
      <c r="S633" s="8">
        <f t="shared" si="80"/>
        <v>1984</v>
      </c>
      <c r="T633" s="8">
        <v>1984</v>
      </c>
      <c r="U633" s="8">
        <f t="shared" si="81"/>
        <v>38</v>
      </c>
      <c r="V633" s="7">
        <v>30682</v>
      </c>
      <c r="W633" t="s">
        <v>922</v>
      </c>
      <c r="X633" s="2">
        <v>1.1479999999999999</v>
      </c>
      <c r="Y633" s="6">
        <f t="shared" si="78"/>
        <v>3.0645204345853019E-2</v>
      </c>
      <c r="AA633">
        <v>189294</v>
      </c>
      <c r="AB633">
        <v>16318</v>
      </c>
      <c r="AC633">
        <v>15582531</v>
      </c>
      <c r="AD633" t="s">
        <v>4</v>
      </c>
      <c r="AE633" t="s">
        <v>921</v>
      </c>
      <c r="AF633">
        <v>1</v>
      </c>
      <c r="AH633" t="s">
        <v>920</v>
      </c>
      <c r="AI633" t="s">
        <v>919</v>
      </c>
      <c r="AK633" t="s">
        <v>918</v>
      </c>
      <c r="AL633">
        <v>69</v>
      </c>
      <c r="AM633" s="5">
        <f t="shared" si="82"/>
        <v>1.8157894736842106</v>
      </c>
      <c r="AN633" s="4">
        <f t="shared" si="79"/>
        <v>2.7501544470794558E-3</v>
      </c>
      <c r="AO633" s="3"/>
      <c r="AP633">
        <v>0</v>
      </c>
      <c r="AR633" t="s">
        <v>0</v>
      </c>
      <c r="AT633" s="2" t="s">
        <v>45</v>
      </c>
      <c r="AU633" s="1">
        <f t="shared" si="83"/>
        <v>2.2276689376220951</v>
      </c>
      <c r="AV633" s="1">
        <f t="shared" si="84"/>
        <v>1.6697679396466238</v>
      </c>
      <c r="AW633" s="1">
        <f t="shared" si="85"/>
        <v>1.1118669416711524</v>
      </c>
    </row>
    <row r="634" spans="1:49" x14ac:dyDescent="0.2">
      <c r="A634">
        <v>632</v>
      </c>
      <c r="B634" t="s">
        <v>917</v>
      </c>
      <c r="C634" t="s">
        <v>916</v>
      </c>
      <c r="F634" t="s">
        <v>915</v>
      </c>
      <c r="G634" t="s">
        <v>13</v>
      </c>
      <c r="H634" t="s">
        <v>12</v>
      </c>
      <c r="I634" t="s">
        <v>914</v>
      </c>
      <c r="J634">
        <v>60016849</v>
      </c>
      <c r="K634" t="s">
        <v>913</v>
      </c>
      <c r="L634" t="s">
        <v>912</v>
      </c>
      <c r="M634" t="s">
        <v>38</v>
      </c>
      <c r="N634">
        <v>2</v>
      </c>
      <c r="O634" t="s">
        <v>911</v>
      </c>
      <c r="P634" t="s">
        <v>910</v>
      </c>
      <c r="Q634" t="s">
        <v>909</v>
      </c>
      <c r="R634" s="7">
        <v>30682</v>
      </c>
      <c r="S634" s="8">
        <f t="shared" si="80"/>
        <v>1984</v>
      </c>
      <c r="T634" s="8">
        <v>1984</v>
      </c>
      <c r="U634" s="8">
        <f t="shared" si="81"/>
        <v>38</v>
      </c>
      <c r="V634" s="7">
        <v>30773</v>
      </c>
      <c r="W634" t="s">
        <v>727</v>
      </c>
      <c r="X634" s="2">
        <v>0.65200000000000002</v>
      </c>
      <c r="Y634" s="6">
        <f t="shared" si="78"/>
        <v>1.7404767624996664E-2</v>
      </c>
      <c r="AA634">
        <v>3622525</v>
      </c>
      <c r="AB634">
        <v>29629</v>
      </c>
      <c r="AC634">
        <v>10974687</v>
      </c>
      <c r="AD634" t="s">
        <v>4</v>
      </c>
      <c r="AE634">
        <v>180</v>
      </c>
      <c r="AF634">
        <v>1</v>
      </c>
      <c r="AH634" t="s">
        <v>908</v>
      </c>
      <c r="AI634" t="s">
        <v>907</v>
      </c>
      <c r="AK634" t="s">
        <v>906</v>
      </c>
      <c r="AL634">
        <v>25</v>
      </c>
      <c r="AM634" s="5">
        <f t="shared" si="82"/>
        <v>0.65789473684210531</v>
      </c>
      <c r="AN634" s="4">
        <f t="shared" si="79"/>
        <v>9.9643277068096219E-4</v>
      </c>
      <c r="AO634" s="3"/>
      <c r="AP634">
        <v>0</v>
      </c>
      <c r="AR634" t="s">
        <v>0</v>
      </c>
      <c r="AT634" s="2">
        <v>1.804</v>
      </c>
      <c r="AU634" s="1">
        <f t="shared" si="83"/>
        <v>1.2482267168701953</v>
      </c>
      <c r="AV634" s="1">
        <f t="shared" si="84"/>
        <v>0.9200600197838813</v>
      </c>
      <c r="AW634" s="1">
        <f t="shared" si="85"/>
        <v>0.59189332269756723</v>
      </c>
    </row>
    <row r="635" spans="1:49" x14ac:dyDescent="0.2">
      <c r="A635">
        <v>633</v>
      </c>
      <c r="B635" t="s">
        <v>905</v>
      </c>
      <c r="C635" t="s">
        <v>904</v>
      </c>
      <c r="F635" t="s">
        <v>903</v>
      </c>
      <c r="G635" t="s">
        <v>13</v>
      </c>
      <c r="H635" t="s">
        <v>12</v>
      </c>
      <c r="I635" t="s">
        <v>902</v>
      </c>
      <c r="J635" t="s">
        <v>901</v>
      </c>
      <c r="K635" t="s">
        <v>900</v>
      </c>
      <c r="L635" t="s">
        <v>899</v>
      </c>
      <c r="M635" t="s">
        <v>898</v>
      </c>
      <c r="N635">
        <v>3</v>
      </c>
      <c r="O635" t="s">
        <v>897</v>
      </c>
      <c r="P635" t="s">
        <v>896</v>
      </c>
      <c r="Q635" t="s">
        <v>895</v>
      </c>
      <c r="R635" s="7">
        <v>30682</v>
      </c>
      <c r="S635" s="8">
        <f t="shared" si="80"/>
        <v>1984</v>
      </c>
      <c r="T635" s="8">
        <v>1984</v>
      </c>
      <c r="U635" s="8">
        <f t="shared" si="81"/>
        <v>38</v>
      </c>
      <c r="V635" s="7">
        <v>30682</v>
      </c>
      <c r="W635" t="s">
        <v>691</v>
      </c>
      <c r="X635" s="2">
        <v>1.774</v>
      </c>
      <c r="Y635" s="6">
        <f t="shared" si="78"/>
        <v>4.7355916820159633E-2</v>
      </c>
      <c r="AA635">
        <v>295515</v>
      </c>
      <c r="AB635">
        <v>29066</v>
      </c>
      <c r="AC635">
        <v>17414326</v>
      </c>
      <c r="AD635" t="s">
        <v>4</v>
      </c>
      <c r="AE635">
        <v>24</v>
      </c>
      <c r="AF635">
        <v>1</v>
      </c>
      <c r="AH635" t="s">
        <v>894</v>
      </c>
      <c r="AI635" t="s">
        <v>893</v>
      </c>
      <c r="AK635" t="s">
        <v>892</v>
      </c>
      <c r="AL635">
        <v>41</v>
      </c>
      <c r="AM635" s="5">
        <f t="shared" si="82"/>
        <v>1.0789473684210527</v>
      </c>
      <c r="AN635" s="4">
        <f t="shared" si="79"/>
        <v>1.6341497439167779E-3</v>
      </c>
      <c r="AO635" s="3"/>
      <c r="AP635">
        <v>0</v>
      </c>
      <c r="AR635" t="s">
        <v>0</v>
      </c>
      <c r="AT635" s="2">
        <v>3.1789999999999998</v>
      </c>
      <c r="AU635" s="1">
        <f t="shared" si="83"/>
        <v>3.3639386697286771</v>
      </c>
      <c r="AV635" s="1">
        <f t="shared" si="84"/>
        <v>2.4495033282038206</v>
      </c>
      <c r="AW635" s="1">
        <f t="shared" si="85"/>
        <v>1.5350679866789634</v>
      </c>
    </row>
    <row r="636" spans="1:49" x14ac:dyDescent="0.2">
      <c r="A636">
        <v>634</v>
      </c>
      <c r="B636" t="s">
        <v>891</v>
      </c>
      <c r="C636" t="s">
        <v>890</v>
      </c>
      <c r="F636" t="s">
        <v>889</v>
      </c>
      <c r="G636" t="s">
        <v>13</v>
      </c>
      <c r="H636" t="s">
        <v>12</v>
      </c>
      <c r="I636" t="s">
        <v>888</v>
      </c>
      <c r="J636" t="s">
        <v>887</v>
      </c>
      <c r="K636" t="s">
        <v>886</v>
      </c>
      <c r="L636" t="s">
        <v>885</v>
      </c>
      <c r="M636" t="s">
        <v>206</v>
      </c>
      <c r="N636">
        <v>3</v>
      </c>
      <c r="O636" t="s">
        <v>884</v>
      </c>
      <c r="P636" t="s">
        <v>883</v>
      </c>
      <c r="Q636" t="s">
        <v>882</v>
      </c>
      <c r="R636" s="7">
        <v>30682</v>
      </c>
      <c r="S636" s="8">
        <f t="shared" si="80"/>
        <v>1984</v>
      </c>
      <c r="T636" s="8">
        <v>1984</v>
      </c>
      <c r="U636" s="8">
        <f t="shared" si="81"/>
        <v>38</v>
      </c>
      <c r="V636" s="7">
        <v>30682</v>
      </c>
      <c r="W636" t="s">
        <v>380</v>
      </c>
      <c r="X636" s="2">
        <v>1.6519999999999999</v>
      </c>
      <c r="Y636" s="6">
        <f t="shared" si="78"/>
        <v>4.409919649769093E-2</v>
      </c>
      <c r="AA636" t="s">
        <v>379</v>
      </c>
      <c r="AB636">
        <v>17337</v>
      </c>
      <c r="AC636">
        <v>15582221</v>
      </c>
      <c r="AD636" t="s">
        <v>4</v>
      </c>
      <c r="AE636">
        <v>32</v>
      </c>
      <c r="AF636">
        <v>1</v>
      </c>
      <c r="AH636" t="s">
        <v>881</v>
      </c>
      <c r="AI636" t="s">
        <v>880</v>
      </c>
      <c r="AK636" t="s">
        <v>879</v>
      </c>
      <c r="AL636">
        <v>4</v>
      </c>
      <c r="AM636" s="5">
        <f t="shared" si="82"/>
        <v>0.10526315789473684</v>
      </c>
      <c r="AN636" s="4">
        <f t="shared" si="79"/>
        <v>1.5942924330895392E-4</v>
      </c>
      <c r="AO636" s="3"/>
      <c r="AP636">
        <v>0</v>
      </c>
      <c r="AR636" t="s">
        <v>0</v>
      </c>
      <c r="AT636" s="2" t="s">
        <v>45</v>
      </c>
      <c r="AU636" s="1">
        <f t="shared" si="83"/>
        <v>3.0917266321376338</v>
      </c>
      <c r="AV636" s="1">
        <f t="shared" si="84"/>
        <v>2.2129312870499942</v>
      </c>
      <c r="AW636" s="1">
        <f t="shared" si="85"/>
        <v>1.3341359419623546</v>
      </c>
    </row>
    <row r="637" spans="1:49" x14ac:dyDescent="0.2">
      <c r="A637">
        <v>635</v>
      </c>
      <c r="B637" t="s">
        <v>878</v>
      </c>
      <c r="F637" t="s">
        <v>877</v>
      </c>
      <c r="G637" t="s">
        <v>13</v>
      </c>
      <c r="H637" t="s">
        <v>12</v>
      </c>
      <c r="I637" t="s">
        <v>876</v>
      </c>
      <c r="N637">
        <v>1</v>
      </c>
      <c r="O637" t="s">
        <v>875</v>
      </c>
      <c r="P637">
        <v>7201742704</v>
      </c>
      <c r="R637" s="7">
        <v>30682</v>
      </c>
      <c r="S637" s="8">
        <f t="shared" si="80"/>
        <v>1984</v>
      </c>
      <c r="T637" s="8">
        <v>1984</v>
      </c>
      <c r="U637" s="8">
        <f t="shared" si="81"/>
        <v>38</v>
      </c>
      <c r="V637" s="7">
        <v>1984</v>
      </c>
      <c r="W637" t="s">
        <v>393</v>
      </c>
      <c r="X637" s="2" t="s">
        <v>45</v>
      </c>
      <c r="Y637" s="6" t="e">
        <f t="shared" si="78"/>
        <v>#VALUE!</v>
      </c>
      <c r="AA637">
        <v>134252</v>
      </c>
      <c r="AB637">
        <v>32198</v>
      </c>
      <c r="AD637" t="s">
        <v>4</v>
      </c>
      <c r="AE637">
        <v>58</v>
      </c>
      <c r="AF637">
        <v>3</v>
      </c>
      <c r="AH637" t="s">
        <v>874</v>
      </c>
      <c r="AI637" t="s">
        <v>873</v>
      </c>
      <c r="AK637" t="s">
        <v>872</v>
      </c>
      <c r="AL637">
        <v>0</v>
      </c>
      <c r="AM637" s="5">
        <f t="shared" si="82"/>
        <v>0</v>
      </c>
      <c r="AN637" s="4">
        <f t="shared" si="79"/>
        <v>0</v>
      </c>
      <c r="AO637" s="3"/>
      <c r="AP637">
        <v>0</v>
      </c>
      <c r="AR637" t="s">
        <v>0</v>
      </c>
      <c r="AT637" s="2" t="s">
        <v>45</v>
      </c>
      <c r="AU637" s="1" t="e">
        <f t="shared" si="83"/>
        <v>#VALUE!</v>
      </c>
      <c r="AV637" s="1" t="e">
        <f t="shared" si="84"/>
        <v>#VALUE!</v>
      </c>
      <c r="AW637" s="1" t="e">
        <f t="shared" si="85"/>
        <v>#VALUE!</v>
      </c>
    </row>
    <row r="638" spans="1:49" x14ac:dyDescent="0.2">
      <c r="A638">
        <v>636</v>
      </c>
      <c r="B638" t="s">
        <v>871</v>
      </c>
      <c r="C638" t="s">
        <v>870</v>
      </c>
      <c r="F638" t="s">
        <v>869</v>
      </c>
      <c r="G638" t="s">
        <v>13</v>
      </c>
      <c r="H638" t="s">
        <v>12</v>
      </c>
      <c r="I638" t="s">
        <v>868</v>
      </c>
      <c r="J638" t="s">
        <v>867</v>
      </c>
      <c r="K638" t="s">
        <v>866</v>
      </c>
      <c r="L638" t="s">
        <v>865</v>
      </c>
      <c r="M638" t="s">
        <v>864</v>
      </c>
      <c r="N638">
        <v>3</v>
      </c>
      <c r="O638" t="s">
        <v>863</v>
      </c>
      <c r="P638" t="s">
        <v>862</v>
      </c>
      <c r="Q638" t="s">
        <v>861</v>
      </c>
      <c r="R638" s="7">
        <v>30682</v>
      </c>
      <c r="S638" s="8">
        <f t="shared" si="80"/>
        <v>1984</v>
      </c>
      <c r="T638" s="8">
        <v>1984</v>
      </c>
      <c r="U638" s="8">
        <f t="shared" si="81"/>
        <v>38</v>
      </c>
      <c r="V638" s="7">
        <v>30682</v>
      </c>
      <c r="W638" t="s">
        <v>860</v>
      </c>
      <c r="X638" s="2" t="s">
        <v>45</v>
      </c>
      <c r="Y638" s="6" t="e">
        <f t="shared" si="78"/>
        <v>#VALUE!</v>
      </c>
      <c r="AA638">
        <v>189537</v>
      </c>
      <c r="AB638">
        <v>31901</v>
      </c>
      <c r="AD638" t="s">
        <v>4</v>
      </c>
      <c r="AE638">
        <v>31</v>
      </c>
      <c r="AF638">
        <v>1</v>
      </c>
      <c r="AH638" t="s">
        <v>788</v>
      </c>
      <c r="AI638" t="s">
        <v>859</v>
      </c>
      <c r="AK638" t="s">
        <v>858</v>
      </c>
      <c r="AL638">
        <v>5</v>
      </c>
      <c r="AM638" s="5">
        <f t="shared" si="82"/>
        <v>0.13157894736842105</v>
      </c>
      <c r="AN638" s="4">
        <f t="shared" si="79"/>
        <v>1.9928655413619243E-4</v>
      </c>
      <c r="AO638" s="3"/>
      <c r="AP638">
        <v>0</v>
      </c>
      <c r="AR638" t="s">
        <v>0</v>
      </c>
      <c r="AT638" s="2" t="s">
        <v>45</v>
      </c>
      <c r="AU638" s="1" t="e">
        <f t="shared" si="83"/>
        <v>#VALUE!</v>
      </c>
      <c r="AV638" s="1" t="e">
        <f t="shared" si="84"/>
        <v>#VALUE!</v>
      </c>
      <c r="AW638" s="1" t="e">
        <f t="shared" si="85"/>
        <v>#VALUE!</v>
      </c>
    </row>
    <row r="639" spans="1:49" x14ac:dyDescent="0.2">
      <c r="A639">
        <v>637</v>
      </c>
      <c r="B639" t="s">
        <v>857</v>
      </c>
      <c r="F639" t="s">
        <v>856</v>
      </c>
      <c r="G639" t="s">
        <v>13</v>
      </c>
      <c r="H639" t="s">
        <v>12</v>
      </c>
      <c r="I639" t="s">
        <v>855</v>
      </c>
      <c r="N639">
        <v>2</v>
      </c>
      <c r="O639" t="s">
        <v>854</v>
      </c>
      <c r="P639" t="s">
        <v>853</v>
      </c>
      <c r="Q639" t="s">
        <v>266</v>
      </c>
      <c r="R639" s="7">
        <v>30682</v>
      </c>
      <c r="S639" s="8">
        <f t="shared" si="80"/>
        <v>1984</v>
      </c>
      <c r="T639" s="8">
        <v>1984</v>
      </c>
      <c r="U639" s="8">
        <f t="shared" si="81"/>
        <v>38</v>
      </c>
      <c r="V639" s="7" t="s">
        <v>534</v>
      </c>
      <c r="W639" t="s">
        <v>683</v>
      </c>
      <c r="X639" s="2">
        <v>0.10100000000000001</v>
      </c>
      <c r="Y639" s="6">
        <f t="shared" si="78"/>
        <v>2.6961373161421215E-3</v>
      </c>
      <c r="AA639">
        <v>7452883</v>
      </c>
      <c r="AB639">
        <v>18563</v>
      </c>
      <c r="AD639" t="s">
        <v>4</v>
      </c>
      <c r="AE639">
        <v>23</v>
      </c>
      <c r="AF639">
        <v>1</v>
      </c>
      <c r="AI639" t="s">
        <v>852</v>
      </c>
      <c r="AK639" t="s">
        <v>851</v>
      </c>
      <c r="AL639">
        <v>0</v>
      </c>
      <c r="AM639" s="5">
        <f t="shared" si="82"/>
        <v>0</v>
      </c>
      <c r="AN639" s="4">
        <f t="shared" si="79"/>
        <v>0</v>
      </c>
      <c r="AO639" s="3"/>
      <c r="AP639">
        <v>0</v>
      </c>
      <c r="AR639" t="s">
        <v>0</v>
      </c>
      <c r="AT639" s="2" t="s">
        <v>45</v>
      </c>
      <c r="AU639" s="1">
        <f t="shared" si="83"/>
        <v>0.18872961212994849</v>
      </c>
      <c r="AV639" s="1">
        <f t="shared" si="84"/>
        <v>0.13480686580710607</v>
      </c>
      <c r="AW639" s="1">
        <f t="shared" si="85"/>
        <v>8.0884119484263647E-2</v>
      </c>
    </row>
    <row r="640" spans="1:49" x14ac:dyDescent="0.2">
      <c r="A640">
        <v>638</v>
      </c>
      <c r="B640" t="s">
        <v>850</v>
      </c>
      <c r="C640" t="s">
        <v>849</v>
      </c>
      <c r="F640" t="s">
        <v>848</v>
      </c>
      <c r="G640" t="s">
        <v>13</v>
      </c>
      <c r="H640" t="s">
        <v>12</v>
      </c>
      <c r="I640" t="s">
        <v>847</v>
      </c>
      <c r="N640">
        <v>2</v>
      </c>
      <c r="O640" t="s">
        <v>846</v>
      </c>
      <c r="P640" t="s">
        <v>845</v>
      </c>
      <c r="Q640" t="s">
        <v>266</v>
      </c>
      <c r="R640" s="7">
        <v>30682</v>
      </c>
      <c r="S640" s="8">
        <f t="shared" si="80"/>
        <v>1984</v>
      </c>
      <c r="T640" s="8">
        <v>1984</v>
      </c>
      <c r="U640" s="8">
        <f t="shared" si="81"/>
        <v>38</v>
      </c>
      <c r="V640" s="7" t="s">
        <v>534</v>
      </c>
      <c r="W640" t="s">
        <v>844</v>
      </c>
      <c r="X640" s="2">
        <v>0.218</v>
      </c>
      <c r="Y640" s="6">
        <f t="shared" si="78"/>
        <v>5.8193854942473512E-3</v>
      </c>
      <c r="AA640">
        <v>3772063</v>
      </c>
      <c r="AB640">
        <v>130012</v>
      </c>
      <c r="AD640" t="s">
        <v>4</v>
      </c>
      <c r="AE640">
        <v>30</v>
      </c>
      <c r="AF640">
        <v>1</v>
      </c>
      <c r="AH640" t="s">
        <v>843</v>
      </c>
      <c r="AI640" t="s">
        <v>842</v>
      </c>
      <c r="AK640" t="s">
        <v>841</v>
      </c>
      <c r="AL640">
        <v>0</v>
      </c>
      <c r="AM640" s="5">
        <f t="shared" si="82"/>
        <v>0</v>
      </c>
      <c r="AN640" s="4">
        <f t="shared" si="79"/>
        <v>0</v>
      </c>
      <c r="AO640" s="3"/>
      <c r="AP640">
        <v>0</v>
      </c>
      <c r="AR640" t="s">
        <v>0</v>
      </c>
      <c r="AT640" s="2">
        <v>2.3330000000000002</v>
      </c>
      <c r="AU640" s="1">
        <f t="shared" si="83"/>
        <v>0.40735698459731456</v>
      </c>
      <c r="AV640" s="1">
        <f t="shared" si="84"/>
        <v>0.29096927471236755</v>
      </c>
      <c r="AW640" s="1">
        <f t="shared" si="85"/>
        <v>0.17458156482742054</v>
      </c>
    </row>
    <row r="641" spans="1:49" x14ac:dyDescent="0.2">
      <c r="A641">
        <v>639</v>
      </c>
      <c r="B641" t="s">
        <v>840</v>
      </c>
      <c r="F641" t="s">
        <v>839</v>
      </c>
      <c r="G641" t="s">
        <v>13</v>
      </c>
      <c r="H641" t="s">
        <v>12</v>
      </c>
      <c r="I641" t="s">
        <v>838</v>
      </c>
      <c r="N641">
        <v>1</v>
      </c>
      <c r="O641" t="s">
        <v>837</v>
      </c>
      <c r="P641">
        <v>7101959808</v>
      </c>
      <c r="R641" s="7">
        <v>30682</v>
      </c>
      <c r="S641" s="8">
        <f t="shared" si="80"/>
        <v>1984</v>
      </c>
      <c r="T641" s="8">
        <v>1984</v>
      </c>
      <c r="U641" s="8">
        <f t="shared" si="81"/>
        <v>38</v>
      </c>
      <c r="V641" s="7">
        <v>1984</v>
      </c>
      <c r="W641" t="s">
        <v>393</v>
      </c>
      <c r="X641" s="2" t="s">
        <v>45</v>
      </c>
      <c r="Y641" s="6" t="e">
        <f t="shared" si="78"/>
        <v>#VALUE!</v>
      </c>
      <c r="AA641">
        <v>134252</v>
      </c>
      <c r="AB641">
        <v>32198</v>
      </c>
      <c r="AD641" t="s">
        <v>4</v>
      </c>
      <c r="AE641">
        <v>58</v>
      </c>
      <c r="AF641">
        <v>3</v>
      </c>
      <c r="AH641" t="s">
        <v>836</v>
      </c>
      <c r="AI641" t="s">
        <v>835</v>
      </c>
      <c r="AK641" t="s">
        <v>834</v>
      </c>
      <c r="AL641">
        <v>0</v>
      </c>
      <c r="AM641" s="5">
        <f t="shared" si="82"/>
        <v>0</v>
      </c>
      <c r="AN641" s="4">
        <f t="shared" si="79"/>
        <v>0</v>
      </c>
      <c r="AO641" s="3"/>
      <c r="AP641">
        <v>0</v>
      </c>
      <c r="AR641" t="s">
        <v>0</v>
      </c>
      <c r="AT641" s="2" t="s">
        <v>45</v>
      </c>
      <c r="AU641" s="1" t="e">
        <f t="shared" si="83"/>
        <v>#VALUE!</v>
      </c>
      <c r="AV641" s="1" t="e">
        <f t="shared" si="84"/>
        <v>#VALUE!</v>
      </c>
      <c r="AW641" s="1" t="e">
        <f t="shared" si="85"/>
        <v>#VALUE!</v>
      </c>
    </row>
    <row r="642" spans="1:49" x14ac:dyDescent="0.2">
      <c r="A642">
        <v>640</v>
      </c>
      <c r="B642" t="s">
        <v>833</v>
      </c>
      <c r="C642" t="s">
        <v>832</v>
      </c>
      <c r="F642" t="s">
        <v>831</v>
      </c>
      <c r="G642" t="s">
        <v>13</v>
      </c>
      <c r="H642" t="s">
        <v>12</v>
      </c>
      <c r="I642" t="s">
        <v>830</v>
      </c>
      <c r="N642">
        <v>2</v>
      </c>
      <c r="O642" t="s">
        <v>829</v>
      </c>
      <c r="P642" t="s">
        <v>828</v>
      </c>
      <c r="Q642" t="s">
        <v>266</v>
      </c>
      <c r="R642" s="7">
        <v>30682</v>
      </c>
      <c r="S642" s="8">
        <f t="shared" si="80"/>
        <v>1984</v>
      </c>
      <c r="T642" s="8">
        <v>1984</v>
      </c>
      <c r="U642" s="8">
        <f t="shared" si="81"/>
        <v>38</v>
      </c>
      <c r="V642" s="7" t="s">
        <v>7</v>
      </c>
      <c r="W642" t="s">
        <v>6</v>
      </c>
      <c r="X642" s="2">
        <v>0.371</v>
      </c>
      <c r="Y642" s="6">
        <f t="shared" ref="Y642:Y705" si="86">(X642-$Z$4)/($Z$3-$Z$4)</f>
        <v>9.9036331117695747E-3</v>
      </c>
      <c r="AA642">
        <v>486604</v>
      </c>
      <c r="AB642">
        <v>28580</v>
      </c>
      <c r="AC642" t="s">
        <v>5</v>
      </c>
      <c r="AD642" t="s">
        <v>4</v>
      </c>
      <c r="AE642">
        <v>19</v>
      </c>
      <c r="AF642">
        <v>1</v>
      </c>
      <c r="AH642" t="s">
        <v>827</v>
      </c>
      <c r="AI642" t="s">
        <v>826</v>
      </c>
      <c r="AK642" t="s">
        <v>825</v>
      </c>
      <c r="AL642">
        <v>101</v>
      </c>
      <c r="AM642" s="5">
        <f t="shared" si="82"/>
        <v>2.6578947368421053</v>
      </c>
      <c r="AN642" s="4">
        <f t="shared" ref="AN642:AN705" si="87">(AM642-$AO$4)/($AO$3-$AO$4)</f>
        <v>4.0255883935510868E-3</v>
      </c>
      <c r="AO642" s="3"/>
      <c r="AP642">
        <v>0</v>
      </c>
      <c r="AR642" t="s">
        <v>0</v>
      </c>
      <c r="AT642" s="2">
        <v>1.431</v>
      </c>
      <c r="AU642" s="1">
        <f t="shared" si="83"/>
        <v>0.81402196963040274</v>
      </c>
      <c r="AV642" s="1">
        <f t="shared" si="84"/>
        <v>0.69646107526603307</v>
      </c>
      <c r="AW642" s="1">
        <f t="shared" si="85"/>
        <v>0.5789001809016634</v>
      </c>
    </row>
    <row r="643" spans="1:49" x14ac:dyDescent="0.2">
      <c r="A643">
        <v>641</v>
      </c>
      <c r="B643" t="s">
        <v>824</v>
      </c>
      <c r="F643" t="s">
        <v>823</v>
      </c>
      <c r="G643" t="s">
        <v>13</v>
      </c>
      <c r="H643" t="s">
        <v>12</v>
      </c>
      <c r="I643" t="s">
        <v>822</v>
      </c>
      <c r="N643">
        <v>5</v>
      </c>
      <c r="O643" t="s">
        <v>821</v>
      </c>
      <c r="P643" t="s">
        <v>820</v>
      </c>
      <c r="Q643" t="s">
        <v>498</v>
      </c>
      <c r="R643" s="7">
        <v>30682</v>
      </c>
      <c r="S643" s="8">
        <f t="shared" si="80"/>
        <v>1984</v>
      </c>
      <c r="T643" s="8">
        <v>1984</v>
      </c>
      <c r="U643" s="8">
        <f t="shared" si="81"/>
        <v>38</v>
      </c>
      <c r="V643" s="7" t="s">
        <v>534</v>
      </c>
      <c r="W643" t="s">
        <v>819</v>
      </c>
      <c r="X643" s="2" t="s">
        <v>45</v>
      </c>
      <c r="Y643" s="6" t="e">
        <f t="shared" si="86"/>
        <v>#VALUE!</v>
      </c>
      <c r="AA643">
        <v>188689</v>
      </c>
      <c r="AB643">
        <v>99388</v>
      </c>
      <c r="AD643" t="s">
        <v>4</v>
      </c>
      <c r="AE643">
        <v>26</v>
      </c>
      <c r="AF643">
        <v>8</v>
      </c>
      <c r="AH643" t="s">
        <v>818</v>
      </c>
      <c r="AI643" t="s">
        <v>817</v>
      </c>
      <c r="AK643" t="s">
        <v>816</v>
      </c>
      <c r="AL643">
        <v>0</v>
      </c>
      <c r="AM643" s="5">
        <f t="shared" si="82"/>
        <v>0</v>
      </c>
      <c r="AN643" s="4">
        <f t="shared" si="87"/>
        <v>0</v>
      </c>
      <c r="AO643" s="3"/>
      <c r="AP643">
        <v>0</v>
      </c>
      <c r="AR643" t="s">
        <v>0</v>
      </c>
      <c r="AT643" s="2" t="s">
        <v>45</v>
      </c>
      <c r="AU643" s="1" t="e">
        <f t="shared" si="83"/>
        <v>#VALUE!</v>
      </c>
      <c r="AV643" s="1" t="e">
        <f t="shared" si="84"/>
        <v>#VALUE!</v>
      </c>
      <c r="AW643" s="1" t="e">
        <f t="shared" si="85"/>
        <v>#VALUE!</v>
      </c>
    </row>
    <row r="644" spans="1:49" x14ac:dyDescent="0.2">
      <c r="A644">
        <v>642</v>
      </c>
      <c r="B644" t="s">
        <v>815</v>
      </c>
      <c r="C644" t="s">
        <v>814</v>
      </c>
      <c r="F644" t="s">
        <v>813</v>
      </c>
      <c r="G644" t="s">
        <v>13</v>
      </c>
      <c r="H644" t="s">
        <v>12</v>
      </c>
      <c r="I644" t="s">
        <v>812</v>
      </c>
      <c r="J644" t="s">
        <v>811</v>
      </c>
      <c r="K644" t="s">
        <v>810</v>
      </c>
      <c r="L644" t="s">
        <v>809</v>
      </c>
      <c r="M644" t="s">
        <v>180</v>
      </c>
      <c r="N644">
        <v>2</v>
      </c>
      <c r="O644" t="s">
        <v>808</v>
      </c>
      <c r="P644" t="s">
        <v>807</v>
      </c>
      <c r="Q644" t="s">
        <v>806</v>
      </c>
      <c r="R644" s="7">
        <v>30682</v>
      </c>
      <c r="S644" s="8">
        <f t="shared" si="80"/>
        <v>1984</v>
      </c>
      <c r="T644" s="8">
        <v>1984</v>
      </c>
      <c r="U644" s="8">
        <f t="shared" si="81"/>
        <v>38</v>
      </c>
      <c r="V644" s="7">
        <v>30682</v>
      </c>
      <c r="W644" t="s">
        <v>380</v>
      </c>
      <c r="X644" s="2">
        <v>1.6519999999999999</v>
      </c>
      <c r="Y644" s="6">
        <f t="shared" si="86"/>
        <v>4.409919649769093E-2</v>
      </c>
      <c r="AA644" t="s">
        <v>379</v>
      </c>
      <c r="AB644">
        <v>17337</v>
      </c>
      <c r="AC644">
        <v>15582221</v>
      </c>
      <c r="AD644" t="s">
        <v>4</v>
      </c>
      <c r="AE644">
        <v>32</v>
      </c>
      <c r="AF644">
        <v>1</v>
      </c>
      <c r="AH644" t="s">
        <v>805</v>
      </c>
      <c r="AI644" t="s">
        <v>804</v>
      </c>
      <c r="AK644" t="s">
        <v>803</v>
      </c>
      <c r="AL644">
        <v>1</v>
      </c>
      <c r="AM644" s="5">
        <f t="shared" si="82"/>
        <v>2.6315789473684209E-2</v>
      </c>
      <c r="AN644" s="4">
        <f t="shared" si="87"/>
        <v>3.9857310827238481E-5</v>
      </c>
      <c r="AO644" s="3"/>
      <c r="AP644">
        <v>0</v>
      </c>
      <c r="AR644" t="s">
        <v>0</v>
      </c>
      <c r="AT644" s="2" t="s">
        <v>45</v>
      </c>
      <c r="AU644" s="1">
        <f t="shared" si="83"/>
        <v>3.088139474163182</v>
      </c>
      <c r="AV644" s="1">
        <f t="shared" si="84"/>
        <v>2.2069526904259082</v>
      </c>
      <c r="AW644" s="1">
        <f t="shared" si="85"/>
        <v>1.3257659066886345</v>
      </c>
    </row>
    <row r="645" spans="1:49" x14ac:dyDescent="0.2">
      <c r="A645">
        <v>643</v>
      </c>
      <c r="B645" t="s">
        <v>802</v>
      </c>
      <c r="C645" t="s">
        <v>801</v>
      </c>
      <c r="F645" t="s">
        <v>800</v>
      </c>
      <c r="G645" t="s">
        <v>13</v>
      </c>
      <c r="H645" t="s">
        <v>12</v>
      </c>
      <c r="I645" t="s">
        <v>799</v>
      </c>
      <c r="N645">
        <v>2</v>
      </c>
      <c r="O645" t="s">
        <v>798</v>
      </c>
      <c r="P645" t="s">
        <v>797</v>
      </c>
      <c r="Q645" t="s">
        <v>266</v>
      </c>
      <c r="R645" s="7">
        <v>30682</v>
      </c>
      <c r="S645" s="8">
        <f t="shared" si="80"/>
        <v>1984</v>
      </c>
      <c r="T645" s="8">
        <v>1984</v>
      </c>
      <c r="U645" s="8">
        <f t="shared" si="81"/>
        <v>38</v>
      </c>
      <c r="V645" s="7" t="s">
        <v>534</v>
      </c>
      <c r="W645" t="s">
        <v>796</v>
      </c>
      <c r="X645" s="2" t="s">
        <v>45</v>
      </c>
      <c r="Y645" s="6" t="e">
        <f t="shared" si="86"/>
        <v>#VALUE!</v>
      </c>
      <c r="AA645">
        <v>7009216</v>
      </c>
      <c r="AB645">
        <v>39801</v>
      </c>
      <c r="AD645" t="s">
        <v>4</v>
      </c>
      <c r="AE645">
        <v>9</v>
      </c>
      <c r="AF645">
        <v>1</v>
      </c>
      <c r="AH645" s="10">
        <v>42278</v>
      </c>
      <c r="AI645" t="s">
        <v>795</v>
      </c>
      <c r="AK645" t="s">
        <v>794</v>
      </c>
      <c r="AL645">
        <v>6</v>
      </c>
      <c r="AM645" s="5">
        <f t="shared" si="82"/>
        <v>0.15789473684210525</v>
      </c>
      <c r="AN645" s="4">
        <f t="shared" si="87"/>
        <v>2.3914386496343091E-4</v>
      </c>
      <c r="AO645" s="3"/>
      <c r="AP645">
        <v>0</v>
      </c>
      <c r="AR645" t="s">
        <v>0</v>
      </c>
      <c r="AT645" s="2" t="s">
        <v>45</v>
      </c>
      <c r="AU645" s="1" t="e">
        <f t="shared" si="83"/>
        <v>#VALUE!</v>
      </c>
      <c r="AV645" s="1" t="e">
        <f t="shared" si="84"/>
        <v>#VALUE!</v>
      </c>
      <c r="AW645" s="1" t="e">
        <f t="shared" si="85"/>
        <v>#VALUE!</v>
      </c>
    </row>
    <row r="646" spans="1:49" x14ac:dyDescent="0.2">
      <c r="A646">
        <v>644</v>
      </c>
      <c r="B646" t="s">
        <v>793</v>
      </c>
      <c r="F646" t="s">
        <v>792</v>
      </c>
      <c r="G646" t="s">
        <v>13</v>
      </c>
      <c r="H646" t="s">
        <v>12</v>
      </c>
      <c r="I646" t="s">
        <v>791</v>
      </c>
      <c r="N646">
        <v>1</v>
      </c>
      <c r="O646" t="s">
        <v>790</v>
      </c>
      <c r="P646">
        <v>7004134889</v>
      </c>
      <c r="R646" s="7">
        <v>30682</v>
      </c>
      <c r="S646" s="8">
        <f t="shared" si="80"/>
        <v>1984</v>
      </c>
      <c r="T646" s="8">
        <v>1984</v>
      </c>
      <c r="U646" s="8">
        <f t="shared" si="81"/>
        <v>38</v>
      </c>
      <c r="V646" s="7" t="s">
        <v>534</v>
      </c>
      <c r="W646" t="s">
        <v>789</v>
      </c>
      <c r="X646" s="2" t="s">
        <v>45</v>
      </c>
      <c r="Y646" s="6" t="e">
        <f t="shared" si="86"/>
        <v>#VALUE!</v>
      </c>
      <c r="AB646">
        <v>32899</v>
      </c>
      <c r="AD646" t="s">
        <v>4</v>
      </c>
      <c r="AE646">
        <v>2</v>
      </c>
      <c r="AF646">
        <v>4</v>
      </c>
      <c r="AH646" t="s">
        <v>788</v>
      </c>
      <c r="AI646" t="s">
        <v>787</v>
      </c>
      <c r="AK646" t="s">
        <v>786</v>
      </c>
      <c r="AL646">
        <v>1</v>
      </c>
      <c r="AM646" s="5">
        <f t="shared" si="82"/>
        <v>2.6315789473684209E-2</v>
      </c>
      <c r="AN646" s="4">
        <f t="shared" si="87"/>
        <v>3.9857310827238481E-5</v>
      </c>
      <c r="AO646" s="3"/>
      <c r="AP646">
        <v>0</v>
      </c>
      <c r="AR646" t="s">
        <v>0</v>
      </c>
      <c r="AT646" s="2" t="s">
        <v>45</v>
      </c>
      <c r="AU646" s="1" t="e">
        <f t="shared" si="83"/>
        <v>#VALUE!</v>
      </c>
      <c r="AV646" s="1" t="e">
        <f t="shared" si="84"/>
        <v>#VALUE!</v>
      </c>
      <c r="AW646" s="1" t="e">
        <f t="shared" si="85"/>
        <v>#VALUE!</v>
      </c>
    </row>
    <row r="647" spans="1:49" x14ac:dyDescent="0.2">
      <c r="A647">
        <v>645</v>
      </c>
      <c r="B647" t="s">
        <v>785</v>
      </c>
      <c r="F647" t="s">
        <v>784</v>
      </c>
      <c r="G647" t="s">
        <v>13</v>
      </c>
      <c r="H647" t="s">
        <v>12</v>
      </c>
      <c r="I647" t="s">
        <v>783</v>
      </c>
      <c r="N647">
        <v>1</v>
      </c>
      <c r="O647" t="s">
        <v>782</v>
      </c>
      <c r="P647">
        <v>56139813200</v>
      </c>
      <c r="R647" s="7">
        <v>30682</v>
      </c>
      <c r="S647" s="8">
        <f t="shared" si="80"/>
        <v>1984</v>
      </c>
      <c r="T647" s="8">
        <v>1984</v>
      </c>
      <c r="U647" s="8">
        <f t="shared" si="81"/>
        <v>38</v>
      </c>
      <c r="V647" s="7">
        <v>1984</v>
      </c>
      <c r="W647" t="s">
        <v>393</v>
      </c>
      <c r="X647" s="2" t="s">
        <v>45</v>
      </c>
      <c r="Y647" s="6" t="e">
        <f t="shared" si="86"/>
        <v>#VALUE!</v>
      </c>
      <c r="AA647">
        <v>134252</v>
      </c>
      <c r="AB647">
        <v>32198</v>
      </c>
      <c r="AD647" t="s">
        <v>4</v>
      </c>
      <c r="AE647">
        <v>58</v>
      </c>
      <c r="AF647">
        <v>3</v>
      </c>
      <c r="AH647" t="s">
        <v>781</v>
      </c>
      <c r="AI647" t="s">
        <v>780</v>
      </c>
      <c r="AK647" t="s">
        <v>779</v>
      </c>
      <c r="AL647">
        <v>0</v>
      </c>
      <c r="AM647" s="5">
        <f t="shared" si="82"/>
        <v>0</v>
      </c>
      <c r="AN647" s="4">
        <f t="shared" si="87"/>
        <v>0</v>
      </c>
      <c r="AO647" s="3"/>
      <c r="AP647">
        <v>0</v>
      </c>
      <c r="AR647" t="s">
        <v>0</v>
      </c>
      <c r="AT647" s="2" t="s">
        <v>45</v>
      </c>
      <c r="AU647" s="1" t="e">
        <f t="shared" si="83"/>
        <v>#VALUE!</v>
      </c>
      <c r="AV647" s="1" t="e">
        <f t="shared" si="84"/>
        <v>#VALUE!</v>
      </c>
      <c r="AW647" s="1" t="e">
        <f t="shared" si="85"/>
        <v>#VALUE!</v>
      </c>
    </row>
    <row r="648" spans="1:49" x14ac:dyDescent="0.2">
      <c r="A648">
        <v>646</v>
      </c>
      <c r="B648" t="s">
        <v>778</v>
      </c>
      <c r="C648" t="s">
        <v>777</v>
      </c>
      <c r="F648" t="s">
        <v>776</v>
      </c>
      <c r="G648" t="s">
        <v>13</v>
      </c>
      <c r="H648" t="s">
        <v>12</v>
      </c>
      <c r="I648" t="s">
        <v>775</v>
      </c>
      <c r="J648" t="s">
        <v>774</v>
      </c>
      <c r="K648" t="s">
        <v>773</v>
      </c>
      <c r="L648" t="s">
        <v>772</v>
      </c>
      <c r="M648" t="s">
        <v>771</v>
      </c>
      <c r="N648">
        <v>1</v>
      </c>
      <c r="O648" t="s">
        <v>770</v>
      </c>
      <c r="P648">
        <v>7202841709</v>
      </c>
      <c r="Q648" t="s">
        <v>769</v>
      </c>
      <c r="R648" s="7">
        <v>30682</v>
      </c>
      <c r="S648" s="8">
        <f t="shared" si="80"/>
        <v>1984</v>
      </c>
      <c r="T648" s="8">
        <v>1984</v>
      </c>
      <c r="U648" s="8">
        <f t="shared" si="81"/>
        <v>38</v>
      </c>
      <c r="V648" s="7">
        <v>30682</v>
      </c>
      <c r="W648" t="s">
        <v>460</v>
      </c>
      <c r="X648" s="2">
        <v>0.33800000000000002</v>
      </c>
      <c r="Y648" s="6">
        <f t="shared" si="86"/>
        <v>9.0227169589706634E-3</v>
      </c>
      <c r="AA648">
        <v>34347</v>
      </c>
      <c r="AB648">
        <v>17722</v>
      </c>
      <c r="AC648">
        <v>19589395</v>
      </c>
      <c r="AD648" t="s">
        <v>4</v>
      </c>
      <c r="AE648">
        <v>39</v>
      </c>
      <c r="AF648" s="9">
        <v>44228</v>
      </c>
      <c r="AH648" t="s">
        <v>623</v>
      </c>
      <c r="AI648" t="s">
        <v>768</v>
      </c>
      <c r="AJ648" t="s">
        <v>767</v>
      </c>
      <c r="AK648" t="s">
        <v>766</v>
      </c>
      <c r="AL648">
        <v>0</v>
      </c>
      <c r="AM648" s="5">
        <f t="shared" si="82"/>
        <v>0</v>
      </c>
      <c r="AN648" s="4">
        <f t="shared" si="87"/>
        <v>0</v>
      </c>
      <c r="AO648" s="3"/>
      <c r="AP648">
        <v>0</v>
      </c>
      <c r="AR648" t="s">
        <v>0</v>
      </c>
      <c r="AT648" s="2" t="s">
        <v>45</v>
      </c>
      <c r="AU648" s="1">
        <f t="shared" si="83"/>
        <v>0.63159018712794635</v>
      </c>
      <c r="AV648" s="1">
        <f t="shared" si="84"/>
        <v>0.45113584794853318</v>
      </c>
      <c r="AW648" s="1">
        <f t="shared" si="85"/>
        <v>0.27068150876911989</v>
      </c>
    </row>
    <row r="649" spans="1:49" x14ac:dyDescent="0.2">
      <c r="A649">
        <v>647</v>
      </c>
      <c r="B649" t="s">
        <v>765</v>
      </c>
      <c r="C649" t="s">
        <v>764</v>
      </c>
      <c r="F649" t="s">
        <v>763</v>
      </c>
      <c r="G649" t="s">
        <v>13</v>
      </c>
      <c r="H649" t="s">
        <v>12</v>
      </c>
      <c r="I649" t="s">
        <v>762</v>
      </c>
      <c r="J649">
        <v>60019983</v>
      </c>
      <c r="K649" t="s">
        <v>761</v>
      </c>
      <c r="L649" t="s">
        <v>760</v>
      </c>
      <c r="M649" t="s">
        <v>643</v>
      </c>
      <c r="N649">
        <v>3</v>
      </c>
      <c r="O649" t="s">
        <v>759</v>
      </c>
      <c r="P649" t="s">
        <v>758</v>
      </c>
      <c r="Q649" t="s">
        <v>757</v>
      </c>
      <c r="R649" s="7">
        <v>30682</v>
      </c>
      <c r="S649" s="8">
        <f t="shared" si="80"/>
        <v>1984</v>
      </c>
      <c r="T649" s="8">
        <v>1984</v>
      </c>
      <c r="U649" s="8">
        <f t="shared" si="81"/>
        <v>38</v>
      </c>
      <c r="V649" s="7">
        <v>1984</v>
      </c>
      <c r="W649" t="s">
        <v>756</v>
      </c>
      <c r="X649" s="2">
        <v>0.111</v>
      </c>
      <c r="Y649" s="6">
        <f t="shared" si="86"/>
        <v>2.9630816048690639E-3</v>
      </c>
      <c r="AA649">
        <v>87566621</v>
      </c>
      <c r="AB649">
        <v>24890</v>
      </c>
      <c r="AC649">
        <v>15206424</v>
      </c>
      <c r="AD649" t="s">
        <v>4</v>
      </c>
      <c r="AE649">
        <v>67</v>
      </c>
      <c r="AF649">
        <v>1</v>
      </c>
      <c r="AH649" t="s">
        <v>755</v>
      </c>
      <c r="AI649" t="s">
        <v>754</v>
      </c>
      <c r="AK649" t="s">
        <v>753</v>
      </c>
      <c r="AL649">
        <v>0</v>
      </c>
      <c r="AM649" s="5">
        <f t="shared" si="82"/>
        <v>0</v>
      </c>
      <c r="AN649" s="4">
        <f t="shared" si="87"/>
        <v>0</v>
      </c>
      <c r="AO649" s="3"/>
      <c r="AP649">
        <v>0</v>
      </c>
      <c r="AR649" t="s">
        <v>0</v>
      </c>
      <c r="AT649" s="2" t="s">
        <v>45</v>
      </c>
      <c r="AU649" s="1">
        <f t="shared" si="83"/>
        <v>0.20741571234083445</v>
      </c>
      <c r="AV649" s="1">
        <f t="shared" si="84"/>
        <v>0.1481540802434532</v>
      </c>
      <c r="AW649" s="1">
        <f t="shared" si="85"/>
        <v>8.8892448146071903E-2</v>
      </c>
    </row>
    <row r="650" spans="1:49" x14ac:dyDescent="0.2">
      <c r="A650">
        <v>648</v>
      </c>
      <c r="B650" t="s">
        <v>752</v>
      </c>
      <c r="F650" t="s">
        <v>751</v>
      </c>
      <c r="G650" t="s">
        <v>13</v>
      </c>
      <c r="H650" t="s">
        <v>12</v>
      </c>
      <c r="I650" t="s">
        <v>750</v>
      </c>
      <c r="N650">
        <v>1</v>
      </c>
      <c r="O650" t="s">
        <v>749</v>
      </c>
      <c r="P650">
        <v>6603435457</v>
      </c>
      <c r="R650" s="7">
        <v>30682</v>
      </c>
      <c r="S650" s="8">
        <f t="shared" si="80"/>
        <v>1984</v>
      </c>
      <c r="T650" s="8">
        <v>1984</v>
      </c>
      <c r="U650" s="8">
        <f t="shared" si="81"/>
        <v>38</v>
      </c>
      <c r="V650" s="7" t="s">
        <v>534</v>
      </c>
      <c r="W650" t="s">
        <v>748</v>
      </c>
      <c r="X650" s="2" t="s">
        <v>45</v>
      </c>
      <c r="Y650" s="6" t="e">
        <f t="shared" si="86"/>
        <v>#VALUE!</v>
      </c>
      <c r="AA650" t="s">
        <v>747</v>
      </c>
      <c r="AB650">
        <v>33832</v>
      </c>
      <c r="AD650" t="s">
        <v>4</v>
      </c>
      <c r="AE650">
        <v>18</v>
      </c>
      <c r="AF650">
        <v>1</v>
      </c>
      <c r="AH650" s="9">
        <v>44381</v>
      </c>
      <c r="AI650" t="s">
        <v>746</v>
      </c>
      <c r="AK650" t="s">
        <v>745</v>
      </c>
      <c r="AL650">
        <v>0</v>
      </c>
      <c r="AM650" s="5">
        <f t="shared" si="82"/>
        <v>0</v>
      </c>
      <c r="AN650" s="4">
        <f t="shared" si="87"/>
        <v>0</v>
      </c>
      <c r="AO650" s="3"/>
      <c r="AP650">
        <v>0</v>
      </c>
      <c r="AR650" t="s">
        <v>0</v>
      </c>
      <c r="AT650" s="2" t="s">
        <v>45</v>
      </c>
      <c r="AU650" s="1" t="e">
        <f t="shared" si="83"/>
        <v>#VALUE!</v>
      </c>
      <c r="AV650" s="1" t="e">
        <f t="shared" si="84"/>
        <v>#VALUE!</v>
      </c>
      <c r="AW650" s="1" t="e">
        <f t="shared" si="85"/>
        <v>#VALUE!</v>
      </c>
    </row>
    <row r="651" spans="1:49" x14ac:dyDescent="0.2">
      <c r="A651">
        <v>649</v>
      </c>
      <c r="B651" t="s">
        <v>744</v>
      </c>
      <c r="F651" t="s">
        <v>743</v>
      </c>
      <c r="G651" t="s">
        <v>13</v>
      </c>
      <c r="H651" t="s">
        <v>12</v>
      </c>
      <c r="I651" t="s">
        <v>742</v>
      </c>
      <c r="N651">
        <v>3</v>
      </c>
      <c r="O651" t="s">
        <v>741</v>
      </c>
      <c r="P651" t="s">
        <v>740</v>
      </c>
      <c r="Q651" t="s">
        <v>8</v>
      </c>
      <c r="R651" s="7">
        <v>30682</v>
      </c>
      <c r="S651" s="8">
        <f t="shared" si="80"/>
        <v>1984</v>
      </c>
      <c r="T651" s="8">
        <v>1984</v>
      </c>
      <c r="U651" s="8">
        <f t="shared" si="81"/>
        <v>38</v>
      </c>
      <c r="V651" s="7">
        <v>30682</v>
      </c>
      <c r="W651" t="s">
        <v>364</v>
      </c>
      <c r="X651" s="2">
        <v>0.14099999999999999</v>
      </c>
      <c r="Y651" s="6">
        <f t="shared" si="86"/>
        <v>3.7639144710498915E-3</v>
      </c>
      <c r="AA651">
        <v>402508</v>
      </c>
      <c r="AB651">
        <v>20868</v>
      </c>
      <c r="AD651" t="s">
        <v>4</v>
      </c>
      <c r="AE651" t="s">
        <v>363</v>
      </c>
      <c r="AF651">
        <v>1</v>
      </c>
      <c r="AH651" t="s">
        <v>739</v>
      </c>
      <c r="AI651" t="s">
        <v>738</v>
      </c>
      <c r="AK651" t="s">
        <v>737</v>
      </c>
      <c r="AL651">
        <v>0</v>
      </c>
      <c r="AM651" s="5">
        <f t="shared" si="82"/>
        <v>0</v>
      </c>
      <c r="AN651" s="4">
        <f t="shared" si="87"/>
        <v>0</v>
      </c>
      <c r="AO651" s="3"/>
      <c r="AP651">
        <v>0</v>
      </c>
      <c r="AR651" t="s">
        <v>0</v>
      </c>
      <c r="AT651" s="2" t="s">
        <v>45</v>
      </c>
      <c r="AU651" s="1">
        <f t="shared" si="83"/>
        <v>0.26347401297349238</v>
      </c>
      <c r="AV651" s="1">
        <f t="shared" si="84"/>
        <v>0.18819572355249459</v>
      </c>
      <c r="AW651" s="1">
        <f t="shared" si="85"/>
        <v>0.11291743413149673</v>
      </c>
    </row>
    <row r="652" spans="1:49" x14ac:dyDescent="0.2">
      <c r="A652">
        <v>650</v>
      </c>
      <c r="B652" t="s">
        <v>736</v>
      </c>
      <c r="C652" t="s">
        <v>735</v>
      </c>
      <c r="F652" t="s">
        <v>734</v>
      </c>
      <c r="G652" t="s">
        <v>13</v>
      </c>
      <c r="H652" t="s">
        <v>12</v>
      </c>
      <c r="I652" t="s">
        <v>733</v>
      </c>
      <c r="J652">
        <v>60029170</v>
      </c>
      <c r="K652" t="s">
        <v>732</v>
      </c>
      <c r="L652" t="s">
        <v>731</v>
      </c>
      <c r="M652" t="s">
        <v>417</v>
      </c>
      <c r="N652">
        <v>3</v>
      </c>
      <c r="O652" t="s">
        <v>730</v>
      </c>
      <c r="P652" t="s">
        <v>729</v>
      </c>
      <c r="Q652" t="s">
        <v>728</v>
      </c>
      <c r="R652" s="7">
        <v>30682</v>
      </c>
      <c r="S652" s="8">
        <f t="shared" si="80"/>
        <v>1984</v>
      </c>
      <c r="T652" s="8">
        <v>1984</v>
      </c>
      <c r="U652" s="8">
        <f t="shared" si="81"/>
        <v>38</v>
      </c>
      <c r="V652" s="7">
        <v>30803</v>
      </c>
      <c r="W652" t="s">
        <v>727</v>
      </c>
      <c r="X652" s="2">
        <v>0.65200000000000002</v>
      </c>
      <c r="Y652" s="6">
        <f t="shared" si="86"/>
        <v>1.7404767624996664E-2</v>
      </c>
      <c r="AA652">
        <v>3622525</v>
      </c>
      <c r="AB652">
        <v>29629</v>
      </c>
      <c r="AC652">
        <v>10974687</v>
      </c>
      <c r="AD652" t="s">
        <v>4</v>
      </c>
      <c r="AE652">
        <v>180</v>
      </c>
      <c r="AF652">
        <v>2</v>
      </c>
      <c r="AH652" t="s">
        <v>726</v>
      </c>
      <c r="AI652" t="s">
        <v>725</v>
      </c>
      <c r="AK652" t="s">
        <v>724</v>
      </c>
      <c r="AL652">
        <v>17</v>
      </c>
      <c r="AM652" s="5">
        <f t="shared" si="82"/>
        <v>0.44736842105263158</v>
      </c>
      <c r="AN652" s="4">
        <f t="shared" si="87"/>
        <v>6.7757428406305424E-4</v>
      </c>
      <c r="AO652" s="3"/>
      <c r="AP652">
        <v>0</v>
      </c>
      <c r="AR652" t="s">
        <v>0</v>
      </c>
      <c r="AT652" s="2">
        <v>1.804</v>
      </c>
      <c r="AU652" s="1">
        <f t="shared" si="83"/>
        <v>1.2386609622716582</v>
      </c>
      <c r="AV652" s="1">
        <f t="shared" si="84"/>
        <v>0.90411709545298591</v>
      </c>
      <c r="AW652" s="1">
        <f t="shared" si="85"/>
        <v>0.5695732286343137</v>
      </c>
    </row>
    <row r="653" spans="1:49" x14ac:dyDescent="0.2">
      <c r="A653">
        <v>651</v>
      </c>
      <c r="B653" t="s">
        <v>723</v>
      </c>
      <c r="C653" t="s">
        <v>722</v>
      </c>
      <c r="F653" t="s">
        <v>721</v>
      </c>
      <c r="G653" t="s">
        <v>13</v>
      </c>
      <c r="H653" t="s">
        <v>12</v>
      </c>
      <c r="I653" t="s">
        <v>720</v>
      </c>
      <c r="N653">
        <v>2</v>
      </c>
      <c r="O653" t="s">
        <v>719</v>
      </c>
      <c r="P653" t="s">
        <v>718</v>
      </c>
      <c r="Q653" t="s">
        <v>266</v>
      </c>
      <c r="R653" s="7">
        <v>30682</v>
      </c>
      <c r="S653" s="8">
        <f t="shared" si="80"/>
        <v>1984</v>
      </c>
      <c r="T653" s="8">
        <v>1984</v>
      </c>
      <c r="U653" s="8">
        <f t="shared" si="81"/>
        <v>38</v>
      </c>
      <c r="V653" s="7" t="s">
        <v>534</v>
      </c>
      <c r="W653" t="s">
        <v>717</v>
      </c>
      <c r="X653" s="2" t="s">
        <v>45</v>
      </c>
      <c r="Y653" s="6" t="e">
        <f t="shared" si="86"/>
        <v>#VALUE!</v>
      </c>
      <c r="AA653">
        <v>135127</v>
      </c>
      <c r="AB653">
        <v>17422</v>
      </c>
      <c r="AD653" t="s">
        <v>4</v>
      </c>
      <c r="AE653">
        <v>30</v>
      </c>
      <c r="AF653">
        <v>1</v>
      </c>
      <c r="AH653" t="s">
        <v>716</v>
      </c>
      <c r="AI653" t="s">
        <v>715</v>
      </c>
      <c r="AK653" t="s">
        <v>714</v>
      </c>
      <c r="AL653">
        <v>2</v>
      </c>
      <c r="AM653" s="5">
        <f t="shared" si="82"/>
        <v>5.2631578947368418E-2</v>
      </c>
      <c r="AN653" s="4">
        <f t="shared" si="87"/>
        <v>7.9714621654476962E-5</v>
      </c>
      <c r="AO653" s="3"/>
      <c r="AP653">
        <v>0</v>
      </c>
      <c r="AR653" t="s">
        <v>0</v>
      </c>
      <c r="AT653" s="2" t="s">
        <v>45</v>
      </c>
      <c r="AU653" s="1" t="e">
        <f t="shared" si="83"/>
        <v>#VALUE!</v>
      </c>
      <c r="AV653" s="1" t="e">
        <f t="shared" si="84"/>
        <v>#VALUE!</v>
      </c>
      <c r="AW653" s="1" t="e">
        <f t="shared" si="85"/>
        <v>#VALUE!</v>
      </c>
    </row>
    <row r="654" spans="1:49" x14ac:dyDescent="0.2">
      <c r="A654">
        <v>652</v>
      </c>
      <c r="B654" t="s">
        <v>713</v>
      </c>
      <c r="C654" t="s">
        <v>712</v>
      </c>
      <c r="E654">
        <v>6547960</v>
      </c>
      <c r="F654" t="s">
        <v>711</v>
      </c>
      <c r="G654" t="s">
        <v>13</v>
      </c>
      <c r="H654" t="s">
        <v>12</v>
      </c>
      <c r="I654" t="s">
        <v>710</v>
      </c>
      <c r="J654">
        <v>60016005</v>
      </c>
      <c r="K654" t="s">
        <v>709</v>
      </c>
      <c r="L654" t="s">
        <v>708</v>
      </c>
      <c r="M654" t="s">
        <v>38</v>
      </c>
      <c r="N654">
        <v>3</v>
      </c>
      <c r="O654" t="s">
        <v>707</v>
      </c>
      <c r="P654" t="s">
        <v>706</v>
      </c>
      <c r="Q654" t="s">
        <v>705</v>
      </c>
      <c r="R654" s="7">
        <v>30682</v>
      </c>
      <c r="S654" s="8">
        <f t="shared" si="80"/>
        <v>1984</v>
      </c>
      <c r="T654" s="8">
        <v>1984</v>
      </c>
      <c r="U654" s="8">
        <f t="shared" si="81"/>
        <v>38</v>
      </c>
      <c r="V654" s="7">
        <v>1984</v>
      </c>
      <c r="W654" t="s">
        <v>704</v>
      </c>
      <c r="X654" s="2">
        <v>5.4139999999999997</v>
      </c>
      <c r="Y654" s="6">
        <f t="shared" si="86"/>
        <v>0.14452363791676676</v>
      </c>
      <c r="AA654">
        <v>219525</v>
      </c>
      <c r="AB654">
        <v>18555</v>
      </c>
      <c r="AD654" t="s">
        <v>4</v>
      </c>
      <c r="AE654">
        <v>99</v>
      </c>
      <c r="AF654">
        <v>3</v>
      </c>
      <c r="AH654" t="s">
        <v>703</v>
      </c>
      <c r="AI654" t="s">
        <v>702</v>
      </c>
      <c r="AK654" t="s">
        <v>701</v>
      </c>
      <c r="AL654">
        <v>54</v>
      </c>
      <c r="AM654" s="5">
        <f t="shared" si="82"/>
        <v>1.4210526315789473</v>
      </c>
      <c r="AN654" s="4">
        <f t="shared" si="87"/>
        <v>2.1522947846708781E-3</v>
      </c>
      <c r="AO654" s="3"/>
      <c r="AP654">
        <v>1</v>
      </c>
      <c r="AR654" t="s">
        <v>0</v>
      </c>
      <c r="AT654" s="2">
        <v>10.539</v>
      </c>
      <c r="AU654" s="1">
        <f t="shared" si="83"/>
        <v>10.181223497713798</v>
      </c>
      <c r="AV654" s="1">
        <f t="shared" si="84"/>
        <v>7.3337966350718817</v>
      </c>
      <c r="AW654" s="1">
        <f t="shared" si="85"/>
        <v>4.4863697724299643</v>
      </c>
    </row>
    <row r="655" spans="1:49" x14ac:dyDescent="0.2">
      <c r="A655">
        <v>653</v>
      </c>
      <c r="B655" t="s">
        <v>700</v>
      </c>
      <c r="C655" t="s">
        <v>699</v>
      </c>
      <c r="F655" t="s">
        <v>698</v>
      </c>
      <c r="G655" t="s">
        <v>13</v>
      </c>
      <c r="H655" t="s">
        <v>12</v>
      </c>
      <c r="I655" t="s">
        <v>697</v>
      </c>
      <c r="J655">
        <v>60032179</v>
      </c>
      <c r="K655" t="s">
        <v>696</v>
      </c>
      <c r="L655" t="s">
        <v>695</v>
      </c>
      <c r="M655" t="s">
        <v>56</v>
      </c>
      <c r="N655">
        <v>10</v>
      </c>
      <c r="O655" t="s">
        <v>694</v>
      </c>
      <c r="P655" t="s">
        <v>693</v>
      </c>
      <c r="Q655" t="s">
        <v>692</v>
      </c>
      <c r="R655" s="7">
        <v>30682</v>
      </c>
      <c r="S655" s="8">
        <f t="shared" si="80"/>
        <v>1984</v>
      </c>
      <c r="T655" s="8">
        <v>1984</v>
      </c>
      <c r="U655" s="8">
        <f t="shared" si="81"/>
        <v>38</v>
      </c>
      <c r="V655" s="7">
        <v>30682</v>
      </c>
      <c r="W655" t="s">
        <v>691</v>
      </c>
      <c r="X655" s="2">
        <v>1.774</v>
      </c>
      <c r="Y655" s="6">
        <f t="shared" si="86"/>
        <v>4.7355916820159633E-2</v>
      </c>
      <c r="AA655">
        <v>295515</v>
      </c>
      <c r="AB655">
        <v>29066</v>
      </c>
      <c r="AC655">
        <v>17414326</v>
      </c>
      <c r="AD655" t="s">
        <v>4</v>
      </c>
      <c r="AE655">
        <v>24</v>
      </c>
      <c r="AF655">
        <v>1</v>
      </c>
      <c r="AH655" t="s">
        <v>690</v>
      </c>
      <c r="AI655" t="s">
        <v>689</v>
      </c>
      <c r="AK655" t="s">
        <v>688</v>
      </c>
      <c r="AL655">
        <v>2</v>
      </c>
      <c r="AM655" s="5">
        <f t="shared" si="82"/>
        <v>5.2631578947368418E-2</v>
      </c>
      <c r="AN655" s="4">
        <f t="shared" si="87"/>
        <v>7.9714621654476962E-5</v>
      </c>
      <c r="AO655" s="3"/>
      <c r="AP655">
        <v>0</v>
      </c>
      <c r="AR655" t="s">
        <v>0</v>
      </c>
      <c r="AT655" s="2">
        <v>3.1789999999999998</v>
      </c>
      <c r="AU655" s="1">
        <f t="shared" si="83"/>
        <v>3.3173056160608083</v>
      </c>
      <c r="AV655" s="1">
        <f t="shared" si="84"/>
        <v>2.3717815720907054</v>
      </c>
      <c r="AW655" s="1">
        <f t="shared" si="85"/>
        <v>1.4262575281206022</v>
      </c>
    </row>
    <row r="656" spans="1:49" x14ac:dyDescent="0.2">
      <c r="A656">
        <v>654</v>
      </c>
      <c r="B656" t="s">
        <v>687</v>
      </c>
      <c r="F656" t="s">
        <v>686</v>
      </c>
      <c r="G656" t="s">
        <v>13</v>
      </c>
      <c r="H656" t="s">
        <v>12</v>
      </c>
      <c r="I656" t="s">
        <v>685</v>
      </c>
      <c r="N656">
        <v>1</v>
      </c>
      <c r="O656" t="s">
        <v>684</v>
      </c>
      <c r="P656">
        <v>57197111900</v>
      </c>
      <c r="R656" s="7">
        <v>30682</v>
      </c>
      <c r="S656" s="8">
        <f t="shared" si="80"/>
        <v>1984</v>
      </c>
      <c r="T656" s="8">
        <v>1984</v>
      </c>
      <c r="U656" s="8">
        <f t="shared" si="81"/>
        <v>38</v>
      </c>
      <c r="V656" s="7" t="s">
        <v>534</v>
      </c>
      <c r="W656" t="s">
        <v>683</v>
      </c>
      <c r="X656" s="2">
        <v>0.10100000000000001</v>
      </c>
      <c r="Y656" s="6">
        <f t="shared" si="86"/>
        <v>2.6961373161421215E-3</v>
      </c>
      <c r="AA656">
        <v>7452883</v>
      </c>
      <c r="AB656">
        <v>18563</v>
      </c>
      <c r="AD656" t="s">
        <v>4</v>
      </c>
      <c r="AE656">
        <v>23</v>
      </c>
      <c r="AF656">
        <v>1</v>
      </c>
      <c r="AI656" t="s">
        <v>682</v>
      </c>
      <c r="AK656" t="s">
        <v>681</v>
      </c>
      <c r="AL656">
        <v>2</v>
      </c>
      <c r="AM656" s="5">
        <f t="shared" si="82"/>
        <v>5.2631578947368418E-2</v>
      </c>
      <c r="AN656" s="4">
        <f t="shared" si="87"/>
        <v>7.9714621654476962E-5</v>
      </c>
      <c r="AO656" s="3"/>
      <c r="AP656">
        <v>0</v>
      </c>
      <c r="AR656" t="s">
        <v>0</v>
      </c>
      <c r="AT656" s="2" t="s">
        <v>45</v>
      </c>
      <c r="AU656" s="1">
        <f t="shared" si="83"/>
        <v>0.1911210507795828</v>
      </c>
      <c r="AV656" s="1">
        <f t="shared" si="84"/>
        <v>0.13879259688982992</v>
      </c>
      <c r="AW656" s="1">
        <f t="shared" si="85"/>
        <v>8.6464143000077029E-2</v>
      </c>
    </row>
    <row r="657" spans="1:49" x14ac:dyDescent="0.2">
      <c r="A657">
        <v>655</v>
      </c>
      <c r="B657" t="s">
        <v>680</v>
      </c>
      <c r="C657" t="s">
        <v>679</v>
      </c>
      <c r="F657" t="s">
        <v>678</v>
      </c>
      <c r="G657" t="s">
        <v>13</v>
      </c>
      <c r="H657" t="s">
        <v>12</v>
      </c>
      <c r="I657" t="s">
        <v>677</v>
      </c>
      <c r="J657">
        <v>60025757</v>
      </c>
      <c r="K657" t="s">
        <v>676</v>
      </c>
      <c r="L657" t="s">
        <v>675</v>
      </c>
      <c r="M657" t="s">
        <v>125</v>
      </c>
      <c r="N657">
        <v>2</v>
      </c>
      <c r="O657" t="s">
        <v>674</v>
      </c>
      <c r="P657" t="s">
        <v>673</v>
      </c>
      <c r="Q657" t="s">
        <v>672</v>
      </c>
      <c r="R657" s="7">
        <v>30682</v>
      </c>
      <c r="S657" s="8">
        <f t="shared" si="80"/>
        <v>1984</v>
      </c>
      <c r="T657" s="8">
        <v>1984</v>
      </c>
      <c r="U657" s="8">
        <f t="shared" si="81"/>
        <v>38</v>
      </c>
      <c r="V657" s="7">
        <v>30682</v>
      </c>
      <c r="W657" t="s">
        <v>380</v>
      </c>
      <c r="X657" s="2">
        <v>1.6519999999999999</v>
      </c>
      <c r="Y657" s="6">
        <f t="shared" si="86"/>
        <v>4.409919649769093E-2</v>
      </c>
      <c r="AA657" t="s">
        <v>379</v>
      </c>
      <c r="AB657">
        <v>17337</v>
      </c>
      <c r="AC657">
        <v>15582221</v>
      </c>
      <c r="AD657" t="s">
        <v>4</v>
      </c>
      <c r="AE657">
        <v>32</v>
      </c>
      <c r="AF657">
        <v>1</v>
      </c>
      <c r="AH657" t="s">
        <v>671</v>
      </c>
      <c r="AI657" t="s">
        <v>670</v>
      </c>
      <c r="AK657" t="s">
        <v>669</v>
      </c>
      <c r="AL657">
        <v>6</v>
      </c>
      <c r="AM657" s="5">
        <f t="shared" si="82"/>
        <v>0.15789473684210525</v>
      </c>
      <c r="AN657" s="4">
        <f t="shared" si="87"/>
        <v>2.3914386496343091E-4</v>
      </c>
      <c r="AO657" s="3"/>
      <c r="AP657">
        <v>0</v>
      </c>
      <c r="AR657" t="s">
        <v>0</v>
      </c>
      <c r="AT657" s="2" t="s">
        <v>45</v>
      </c>
      <c r="AU657" s="1">
        <f t="shared" si="83"/>
        <v>3.094118070787268</v>
      </c>
      <c r="AV657" s="1">
        <f t="shared" si="84"/>
        <v>2.216917018132718</v>
      </c>
      <c r="AW657" s="1">
        <f t="shared" si="85"/>
        <v>1.3397159654781678</v>
      </c>
    </row>
    <row r="658" spans="1:49" x14ac:dyDescent="0.2">
      <c r="A658">
        <v>656</v>
      </c>
      <c r="B658" t="s">
        <v>668</v>
      </c>
      <c r="C658" t="s">
        <v>667</v>
      </c>
      <c r="F658" t="s">
        <v>666</v>
      </c>
      <c r="G658" t="s">
        <v>13</v>
      </c>
      <c r="H658" t="s">
        <v>12</v>
      </c>
      <c r="I658" t="s">
        <v>665</v>
      </c>
      <c r="N658">
        <v>2</v>
      </c>
      <c r="O658" t="s">
        <v>664</v>
      </c>
      <c r="P658" t="s">
        <v>663</v>
      </c>
      <c r="Q658" t="s">
        <v>266</v>
      </c>
      <c r="R658" s="7">
        <v>30682</v>
      </c>
      <c r="S658" s="8">
        <f t="shared" si="80"/>
        <v>1984</v>
      </c>
      <c r="T658" s="8">
        <v>1984</v>
      </c>
      <c r="U658" s="8">
        <f t="shared" si="81"/>
        <v>38</v>
      </c>
      <c r="V658" s="7" t="s">
        <v>7</v>
      </c>
      <c r="W658" t="s">
        <v>6</v>
      </c>
      <c r="X658" s="2">
        <v>0.371</v>
      </c>
      <c r="Y658" s="6">
        <f t="shared" si="86"/>
        <v>9.9036331117695747E-3</v>
      </c>
      <c r="AA658">
        <v>486604</v>
      </c>
      <c r="AB658">
        <v>28580</v>
      </c>
      <c r="AC658" t="s">
        <v>5</v>
      </c>
      <c r="AD658" t="s">
        <v>4</v>
      </c>
      <c r="AE658">
        <v>19</v>
      </c>
      <c r="AF658">
        <v>1</v>
      </c>
      <c r="AH658" t="s">
        <v>662</v>
      </c>
      <c r="AI658" t="s">
        <v>661</v>
      </c>
      <c r="AK658" t="s">
        <v>660</v>
      </c>
      <c r="AL658">
        <v>13</v>
      </c>
      <c r="AM658" s="5">
        <f t="shared" si="82"/>
        <v>0.34210526315789475</v>
      </c>
      <c r="AN658" s="4">
        <f t="shared" si="87"/>
        <v>5.1814504075410031E-4</v>
      </c>
      <c r="AO658" s="3"/>
      <c r="AP658">
        <v>0</v>
      </c>
      <c r="AR658" t="s">
        <v>0</v>
      </c>
      <c r="AT658" s="2">
        <v>1.431</v>
      </c>
      <c r="AU658" s="1">
        <f t="shared" si="83"/>
        <v>0.70879866904649313</v>
      </c>
      <c r="AV658" s="1">
        <f t="shared" si="84"/>
        <v>0.52108890762618376</v>
      </c>
      <c r="AW658" s="1">
        <f t="shared" si="85"/>
        <v>0.33337914620587428</v>
      </c>
    </row>
    <row r="659" spans="1:49" x14ac:dyDescent="0.2">
      <c r="A659">
        <v>657</v>
      </c>
      <c r="B659" t="s">
        <v>659</v>
      </c>
      <c r="C659" t="s">
        <v>658</v>
      </c>
      <c r="F659" t="s">
        <v>657</v>
      </c>
      <c r="G659" t="s">
        <v>13</v>
      </c>
      <c r="H659" t="s">
        <v>12</v>
      </c>
      <c r="I659" t="s">
        <v>656</v>
      </c>
      <c r="J659">
        <v>100333049</v>
      </c>
      <c r="K659" t="s">
        <v>655</v>
      </c>
      <c r="L659" t="s">
        <v>654</v>
      </c>
      <c r="M659" t="s">
        <v>56</v>
      </c>
      <c r="N659">
        <v>1</v>
      </c>
      <c r="O659" t="s">
        <v>653</v>
      </c>
      <c r="P659">
        <v>6603875070</v>
      </c>
      <c r="Q659">
        <v>100333049</v>
      </c>
      <c r="R659" s="7">
        <v>30682</v>
      </c>
      <c r="S659" s="8">
        <f t="shared" si="80"/>
        <v>1984</v>
      </c>
      <c r="T659" s="8">
        <v>1984</v>
      </c>
      <c r="U659" s="8">
        <f t="shared" si="81"/>
        <v>38</v>
      </c>
      <c r="V659" s="7">
        <v>30682</v>
      </c>
      <c r="W659" t="s">
        <v>652</v>
      </c>
      <c r="X659" s="2">
        <v>1.468</v>
      </c>
      <c r="Y659" s="6">
        <f t="shared" si="86"/>
        <v>3.9187421585115186E-2</v>
      </c>
      <c r="AA659">
        <v>906778</v>
      </c>
      <c r="AB659">
        <v>18931</v>
      </c>
      <c r="AD659" t="s">
        <v>4</v>
      </c>
      <c r="AE659">
        <v>32</v>
      </c>
      <c r="AF659">
        <v>1</v>
      </c>
      <c r="AH659" s="9">
        <v>44535</v>
      </c>
      <c r="AI659" t="s">
        <v>651</v>
      </c>
      <c r="AK659" t="s">
        <v>650</v>
      </c>
      <c r="AL659">
        <v>84</v>
      </c>
      <c r="AM659" s="5">
        <f t="shared" si="82"/>
        <v>2.2105263157894739</v>
      </c>
      <c r="AN659" s="4">
        <f t="shared" si="87"/>
        <v>3.3480141094880331E-3</v>
      </c>
      <c r="AO659" s="3"/>
      <c r="AP659">
        <v>0</v>
      </c>
      <c r="AR659" t="s">
        <v>0</v>
      </c>
      <c r="AT659" s="2">
        <v>5.0830000000000002</v>
      </c>
      <c r="AU659" s="1">
        <f t="shared" si="83"/>
        <v>2.8435599342427036</v>
      </c>
      <c r="AV659" s="1">
        <f t="shared" si="84"/>
        <v>2.126771784730161</v>
      </c>
      <c r="AW659" s="1">
        <f t="shared" si="85"/>
        <v>1.4099836352176178</v>
      </c>
    </row>
    <row r="660" spans="1:49" x14ac:dyDescent="0.2">
      <c r="A660">
        <v>658</v>
      </c>
      <c r="B660" t="s">
        <v>649</v>
      </c>
      <c r="C660" t="s">
        <v>648</v>
      </c>
      <c r="F660" t="s">
        <v>647</v>
      </c>
      <c r="G660" t="s">
        <v>13</v>
      </c>
      <c r="H660" t="s">
        <v>12</v>
      </c>
      <c r="I660" t="s">
        <v>646</v>
      </c>
      <c r="J660">
        <v>60030526</v>
      </c>
      <c r="K660" t="s">
        <v>645</v>
      </c>
      <c r="L660" t="s">
        <v>644</v>
      </c>
      <c r="M660" t="s">
        <v>643</v>
      </c>
      <c r="N660">
        <v>3</v>
      </c>
      <c r="O660" t="s">
        <v>642</v>
      </c>
      <c r="P660" t="s">
        <v>641</v>
      </c>
      <c r="Q660" t="s">
        <v>640</v>
      </c>
      <c r="R660" s="7">
        <v>30682</v>
      </c>
      <c r="S660" s="8">
        <f t="shared" si="80"/>
        <v>1984</v>
      </c>
      <c r="T660" s="8">
        <v>1984</v>
      </c>
      <c r="U660" s="8">
        <f t="shared" si="81"/>
        <v>38</v>
      </c>
      <c r="V660" s="7">
        <v>30682</v>
      </c>
      <c r="W660" t="s">
        <v>639</v>
      </c>
      <c r="X660" s="2">
        <v>0.251</v>
      </c>
      <c r="Y660" s="6">
        <f t="shared" si="86"/>
        <v>6.7003016470462617E-3</v>
      </c>
      <c r="AA660">
        <v>207217</v>
      </c>
      <c r="AB660">
        <v>26145</v>
      </c>
      <c r="AC660">
        <v>13623060</v>
      </c>
      <c r="AD660" t="s">
        <v>4</v>
      </c>
      <c r="AE660">
        <v>56</v>
      </c>
      <c r="AF660">
        <v>1</v>
      </c>
      <c r="AH660" t="s">
        <v>638</v>
      </c>
      <c r="AI660" t="s">
        <v>637</v>
      </c>
      <c r="AK660" t="s">
        <v>636</v>
      </c>
      <c r="AL660">
        <v>1</v>
      </c>
      <c r="AM660" s="5">
        <f t="shared" si="82"/>
        <v>2.6315789473684209E-2</v>
      </c>
      <c r="AN660" s="4">
        <f t="shared" si="87"/>
        <v>3.9857310827238481E-5</v>
      </c>
      <c r="AO660" s="3"/>
      <c r="AP660">
        <v>0</v>
      </c>
      <c r="AR660" t="s">
        <v>0</v>
      </c>
      <c r="AT660" s="2">
        <v>1.3360000000000001</v>
      </c>
      <c r="AU660" s="1">
        <f t="shared" si="83"/>
        <v>0.47021683461805541</v>
      </c>
      <c r="AV660" s="1">
        <f t="shared" si="84"/>
        <v>0.33700794789367505</v>
      </c>
      <c r="AW660" s="1">
        <f t="shared" si="85"/>
        <v>0.20379906116929453</v>
      </c>
    </row>
    <row r="661" spans="1:49" x14ac:dyDescent="0.2">
      <c r="A661">
        <v>659</v>
      </c>
      <c r="B661" t="s">
        <v>635</v>
      </c>
      <c r="C661" t="s">
        <v>634</v>
      </c>
      <c r="E661">
        <v>6392558</v>
      </c>
      <c r="F661" t="s">
        <v>633</v>
      </c>
      <c r="G661" t="s">
        <v>13</v>
      </c>
      <c r="H661" t="s">
        <v>12</v>
      </c>
      <c r="I661" t="s">
        <v>632</v>
      </c>
      <c r="J661" t="s">
        <v>631</v>
      </c>
      <c r="K661" t="s">
        <v>630</v>
      </c>
      <c r="L661" t="s">
        <v>629</v>
      </c>
      <c r="M661" t="s">
        <v>628</v>
      </c>
      <c r="N661">
        <v>2</v>
      </c>
      <c r="O661" t="s">
        <v>627</v>
      </c>
      <c r="P661" t="s">
        <v>626</v>
      </c>
      <c r="Q661" t="s">
        <v>625</v>
      </c>
      <c r="R661" s="7">
        <v>30682</v>
      </c>
      <c r="S661" s="8">
        <f t="shared" si="80"/>
        <v>1984</v>
      </c>
      <c r="T661" s="8">
        <v>1984</v>
      </c>
      <c r="U661" s="8">
        <f t="shared" si="81"/>
        <v>38</v>
      </c>
      <c r="V661" s="7">
        <v>30956</v>
      </c>
      <c r="W661" t="s">
        <v>624</v>
      </c>
      <c r="X661" s="2">
        <v>0.56899999999999995</v>
      </c>
      <c r="Y661" s="6">
        <f t="shared" si="86"/>
        <v>1.5189130028563038E-2</v>
      </c>
      <c r="AA661">
        <v>222720</v>
      </c>
      <c r="AB661">
        <v>20919</v>
      </c>
      <c r="AC661">
        <v>13652818</v>
      </c>
      <c r="AD661" t="s">
        <v>4</v>
      </c>
      <c r="AE661">
        <v>136</v>
      </c>
      <c r="AF661">
        <v>1</v>
      </c>
      <c r="AH661" t="s">
        <v>623</v>
      </c>
      <c r="AI661" t="s">
        <v>622</v>
      </c>
      <c r="AJ661" t="s">
        <v>621</v>
      </c>
      <c r="AK661" t="s">
        <v>620</v>
      </c>
      <c r="AL661">
        <v>14</v>
      </c>
      <c r="AM661" s="5">
        <f t="shared" si="82"/>
        <v>0.36842105263157893</v>
      </c>
      <c r="AN661" s="4">
        <f t="shared" si="87"/>
        <v>5.5800235158133874E-4</v>
      </c>
      <c r="AO661" s="3"/>
      <c r="AP661">
        <v>0</v>
      </c>
      <c r="AR661" t="s">
        <v>0</v>
      </c>
      <c r="AT661" s="2">
        <v>1.758</v>
      </c>
      <c r="AU661" s="1">
        <f t="shared" si="83"/>
        <v>1.0799791725468526</v>
      </c>
      <c r="AV661" s="1">
        <f t="shared" si="84"/>
        <v>0.78735661900721876</v>
      </c>
      <c r="AW661" s="1">
        <f t="shared" si="85"/>
        <v>0.4947340654675848</v>
      </c>
    </row>
    <row r="662" spans="1:49" x14ac:dyDescent="0.2">
      <c r="A662">
        <v>660</v>
      </c>
      <c r="B662" t="s">
        <v>619</v>
      </c>
      <c r="C662" t="s">
        <v>618</v>
      </c>
      <c r="F662" t="s">
        <v>617</v>
      </c>
      <c r="G662" t="s">
        <v>13</v>
      </c>
      <c r="H662" t="s">
        <v>12</v>
      </c>
      <c r="I662" t="s">
        <v>616</v>
      </c>
      <c r="N662">
        <v>1</v>
      </c>
      <c r="O662" t="s">
        <v>615</v>
      </c>
      <c r="P662">
        <v>7101605476</v>
      </c>
      <c r="R662" s="7">
        <v>30682</v>
      </c>
      <c r="S662" s="8">
        <f t="shared" si="80"/>
        <v>1984</v>
      </c>
      <c r="T662" s="8">
        <v>1984</v>
      </c>
      <c r="U662" s="8">
        <f t="shared" si="81"/>
        <v>38</v>
      </c>
      <c r="V662" s="7" t="s">
        <v>7</v>
      </c>
      <c r="W662" t="s">
        <v>6</v>
      </c>
      <c r="X662" s="2">
        <v>0.371</v>
      </c>
      <c r="Y662" s="6">
        <f t="shared" si="86"/>
        <v>9.9036331117695747E-3</v>
      </c>
      <c r="AA662">
        <v>486604</v>
      </c>
      <c r="AB662">
        <v>28580</v>
      </c>
      <c r="AC662" t="s">
        <v>5</v>
      </c>
      <c r="AD662" t="s">
        <v>4</v>
      </c>
      <c r="AE662">
        <v>19</v>
      </c>
      <c r="AF662">
        <v>1</v>
      </c>
      <c r="AH662" t="s">
        <v>614</v>
      </c>
      <c r="AI662" t="s">
        <v>613</v>
      </c>
      <c r="AK662" t="s">
        <v>612</v>
      </c>
      <c r="AL662">
        <v>22</v>
      </c>
      <c r="AM662" s="5">
        <f t="shared" si="82"/>
        <v>0.57894736842105265</v>
      </c>
      <c r="AN662" s="4">
        <f t="shared" si="87"/>
        <v>8.768608381992467E-4</v>
      </c>
      <c r="AO662" s="3"/>
      <c r="AP662">
        <v>0</v>
      </c>
      <c r="AR662" t="s">
        <v>0</v>
      </c>
      <c r="AT662" s="2">
        <v>1.431</v>
      </c>
      <c r="AU662" s="1">
        <f t="shared" si="83"/>
        <v>0.7195601429698476</v>
      </c>
      <c r="AV662" s="1">
        <f t="shared" si="84"/>
        <v>0.53902469749844106</v>
      </c>
      <c r="AW662" s="1">
        <f t="shared" si="85"/>
        <v>0.35848925202703452</v>
      </c>
    </row>
    <row r="663" spans="1:49" x14ac:dyDescent="0.2">
      <c r="A663">
        <v>661</v>
      </c>
      <c r="B663" t="s">
        <v>611</v>
      </c>
      <c r="C663" t="s">
        <v>610</v>
      </c>
      <c r="F663" t="s">
        <v>609</v>
      </c>
      <c r="G663" t="s">
        <v>13</v>
      </c>
      <c r="H663" t="s">
        <v>12</v>
      </c>
      <c r="I663" t="s">
        <v>608</v>
      </c>
      <c r="J663">
        <v>60016561</v>
      </c>
      <c r="K663" t="s">
        <v>607</v>
      </c>
      <c r="L663" t="s">
        <v>606</v>
      </c>
      <c r="M663" t="s">
        <v>605</v>
      </c>
      <c r="N663">
        <v>2</v>
      </c>
      <c r="O663" t="s">
        <v>604</v>
      </c>
      <c r="P663" t="s">
        <v>603</v>
      </c>
      <c r="Q663" t="s">
        <v>602</v>
      </c>
      <c r="R663" s="7">
        <v>30682</v>
      </c>
      <c r="S663" s="8">
        <f t="shared" si="80"/>
        <v>1984</v>
      </c>
      <c r="T663" s="8">
        <v>1984</v>
      </c>
      <c r="U663" s="8">
        <f t="shared" si="81"/>
        <v>38</v>
      </c>
      <c r="V663" s="7">
        <v>30682</v>
      </c>
      <c r="W663" t="s">
        <v>601</v>
      </c>
      <c r="X663" s="2">
        <v>0.61499999999999999</v>
      </c>
      <c r="Y663" s="6">
        <f t="shared" si="86"/>
        <v>1.6417073756706976E-2</v>
      </c>
      <c r="AA663">
        <v>1959271</v>
      </c>
      <c r="AB663">
        <v>12141</v>
      </c>
      <c r="AC663">
        <v>15729559</v>
      </c>
      <c r="AD663" t="s">
        <v>4</v>
      </c>
      <c r="AE663">
        <v>5</v>
      </c>
      <c r="AF663">
        <v>1</v>
      </c>
      <c r="AH663" t="s">
        <v>600</v>
      </c>
      <c r="AI663" t="s">
        <v>599</v>
      </c>
      <c r="AJ663" t="s">
        <v>598</v>
      </c>
      <c r="AK663" t="s">
        <v>597</v>
      </c>
      <c r="AL663">
        <v>4</v>
      </c>
      <c r="AM663" s="5">
        <f t="shared" si="82"/>
        <v>0.10526315789473684</v>
      </c>
      <c r="AN663" s="4">
        <f t="shared" si="87"/>
        <v>1.5942924330895392E-4</v>
      </c>
      <c r="AO663" s="3"/>
      <c r="AP663">
        <v>0</v>
      </c>
      <c r="AR663" t="s">
        <v>0</v>
      </c>
      <c r="AT663" s="2" t="s">
        <v>45</v>
      </c>
      <c r="AU663" s="1">
        <f t="shared" si="83"/>
        <v>1.1539780402687569</v>
      </c>
      <c r="AV663" s="1">
        <f t="shared" si="84"/>
        <v>0.8288251500007966</v>
      </c>
      <c r="AW663" s="1">
        <f t="shared" si="85"/>
        <v>0.50367225973283603</v>
      </c>
    </row>
    <row r="664" spans="1:49" x14ac:dyDescent="0.2">
      <c r="A664">
        <v>662</v>
      </c>
      <c r="B664" t="s">
        <v>596</v>
      </c>
      <c r="C664" t="s">
        <v>595</v>
      </c>
      <c r="F664" t="s">
        <v>594</v>
      </c>
      <c r="G664" t="s">
        <v>13</v>
      </c>
      <c r="H664" t="s">
        <v>12</v>
      </c>
      <c r="I664" t="s">
        <v>593</v>
      </c>
      <c r="J664">
        <v>60009037</v>
      </c>
      <c r="K664" t="s">
        <v>592</v>
      </c>
      <c r="L664" t="s">
        <v>591</v>
      </c>
      <c r="M664" t="s">
        <v>56</v>
      </c>
      <c r="N664">
        <v>2</v>
      </c>
      <c r="O664" t="s">
        <v>590</v>
      </c>
      <c r="P664" t="s">
        <v>589</v>
      </c>
      <c r="Q664" t="s">
        <v>588</v>
      </c>
      <c r="R664" s="7">
        <v>30682</v>
      </c>
      <c r="S664" s="8">
        <f t="shared" si="80"/>
        <v>1984</v>
      </c>
      <c r="T664" s="8">
        <v>1984</v>
      </c>
      <c r="U664" s="8">
        <f t="shared" si="81"/>
        <v>38</v>
      </c>
      <c r="V664" s="7" t="s">
        <v>7</v>
      </c>
      <c r="W664" t="s">
        <v>587</v>
      </c>
      <c r="X664" s="2">
        <v>1.573</v>
      </c>
      <c r="Y664" s="6">
        <f t="shared" si="86"/>
        <v>4.1990336616748086E-2</v>
      </c>
      <c r="AA664">
        <v>7315090</v>
      </c>
      <c r="AB664">
        <v>29586</v>
      </c>
      <c r="AD664" t="s">
        <v>4</v>
      </c>
      <c r="AE664">
        <v>7</v>
      </c>
      <c r="AF664">
        <v>1</v>
      </c>
      <c r="AH664" t="s">
        <v>586</v>
      </c>
      <c r="AI664" t="s">
        <v>585</v>
      </c>
      <c r="AK664" t="s">
        <v>584</v>
      </c>
      <c r="AL664">
        <v>16</v>
      </c>
      <c r="AM664" s="5">
        <f t="shared" si="82"/>
        <v>0.42105263157894735</v>
      </c>
      <c r="AN664" s="4">
        <f t="shared" si="87"/>
        <v>6.377169732358157E-4</v>
      </c>
      <c r="AO664" s="3"/>
      <c r="AP664">
        <v>0</v>
      </c>
      <c r="AR664" t="s">
        <v>0</v>
      </c>
      <c r="AT664" s="2" t="s">
        <v>45</v>
      </c>
      <c r="AU664" s="1">
        <f t="shared" si="83"/>
        <v>2.9584550723694405</v>
      </c>
      <c r="AV664" s="1">
        <f t="shared" si="84"/>
        <v>2.1314026794991952</v>
      </c>
      <c r="AW664" s="1">
        <f t="shared" si="85"/>
        <v>1.3043502866289496</v>
      </c>
    </row>
    <row r="665" spans="1:49" x14ac:dyDescent="0.2">
      <c r="A665">
        <v>663</v>
      </c>
      <c r="B665" t="s">
        <v>583</v>
      </c>
      <c r="C665" t="s">
        <v>582</v>
      </c>
      <c r="F665" t="s">
        <v>581</v>
      </c>
      <c r="G665" t="s">
        <v>13</v>
      </c>
      <c r="H665" t="s">
        <v>12</v>
      </c>
      <c r="I665" t="s">
        <v>580</v>
      </c>
      <c r="J665" t="s">
        <v>579</v>
      </c>
      <c r="K665" t="s">
        <v>578</v>
      </c>
      <c r="L665" t="s">
        <v>577</v>
      </c>
      <c r="M665" t="s">
        <v>206</v>
      </c>
      <c r="N665">
        <v>2</v>
      </c>
      <c r="O665" t="s">
        <v>576</v>
      </c>
      <c r="P665" t="s">
        <v>575</v>
      </c>
      <c r="Q665" t="s">
        <v>574</v>
      </c>
      <c r="R665" s="7">
        <v>30682</v>
      </c>
      <c r="S665" s="8">
        <f t="shared" si="80"/>
        <v>1984</v>
      </c>
      <c r="T665" s="8">
        <v>1984</v>
      </c>
      <c r="U665" s="8">
        <f t="shared" si="81"/>
        <v>38</v>
      </c>
      <c r="V665" s="7">
        <v>30682</v>
      </c>
      <c r="W665" t="s">
        <v>573</v>
      </c>
      <c r="X665" s="2">
        <v>0.75800000000000001</v>
      </c>
      <c r="Y665" s="6">
        <f t="shared" si="86"/>
        <v>2.0234377085502256E-2</v>
      </c>
      <c r="AA665">
        <v>224650</v>
      </c>
      <c r="AB665">
        <v>29589</v>
      </c>
      <c r="AD665" t="s">
        <v>4</v>
      </c>
      <c r="AE665">
        <v>21</v>
      </c>
      <c r="AF665">
        <v>1</v>
      </c>
      <c r="AH665" t="s">
        <v>572</v>
      </c>
      <c r="AI665" t="s">
        <v>571</v>
      </c>
      <c r="AK665" t="s">
        <v>570</v>
      </c>
      <c r="AL665">
        <v>0</v>
      </c>
      <c r="AM665" s="5">
        <f t="shared" si="82"/>
        <v>0</v>
      </c>
      <c r="AN665" s="4">
        <f t="shared" si="87"/>
        <v>0</v>
      </c>
      <c r="AO665" s="3"/>
      <c r="AP665">
        <v>0</v>
      </c>
      <c r="AQ665" t="s">
        <v>569</v>
      </c>
      <c r="AR665" t="s">
        <v>0</v>
      </c>
      <c r="AS665" t="s">
        <v>568</v>
      </c>
      <c r="AT665" s="2">
        <v>1.282</v>
      </c>
      <c r="AU665" s="1">
        <f t="shared" si="83"/>
        <v>1.4164063959851578</v>
      </c>
      <c r="AV665" s="1">
        <f t="shared" si="84"/>
        <v>1.0117188542751128</v>
      </c>
      <c r="AW665" s="1">
        <f t="shared" si="85"/>
        <v>0.60703131256506759</v>
      </c>
    </row>
    <row r="666" spans="1:49" x14ac:dyDescent="0.2">
      <c r="A666">
        <v>664</v>
      </c>
      <c r="B666" t="s">
        <v>567</v>
      </c>
      <c r="F666" t="s">
        <v>566</v>
      </c>
      <c r="G666" t="s">
        <v>13</v>
      </c>
      <c r="H666" t="s">
        <v>12</v>
      </c>
      <c r="I666" t="s">
        <v>565</v>
      </c>
      <c r="N666">
        <v>2</v>
      </c>
      <c r="O666" t="s">
        <v>564</v>
      </c>
      <c r="P666" t="s">
        <v>563</v>
      </c>
      <c r="Q666" t="s">
        <v>266</v>
      </c>
      <c r="R666" s="7">
        <v>30682</v>
      </c>
      <c r="S666" s="8">
        <f t="shared" si="80"/>
        <v>1984</v>
      </c>
      <c r="T666" s="8">
        <v>1984</v>
      </c>
      <c r="U666" s="8">
        <f t="shared" si="81"/>
        <v>38</v>
      </c>
      <c r="V666" s="7">
        <v>30682</v>
      </c>
      <c r="W666" t="s">
        <v>364</v>
      </c>
      <c r="X666" s="2">
        <v>0.14099999999999999</v>
      </c>
      <c r="Y666" s="6">
        <f t="shared" si="86"/>
        <v>3.7639144710498915E-3</v>
      </c>
      <c r="AA666">
        <v>402508</v>
      </c>
      <c r="AB666">
        <v>20868</v>
      </c>
      <c r="AD666" t="s">
        <v>4</v>
      </c>
      <c r="AE666" t="s">
        <v>363</v>
      </c>
      <c r="AF666">
        <v>1</v>
      </c>
      <c r="AH666" t="s">
        <v>562</v>
      </c>
      <c r="AI666" t="s">
        <v>561</v>
      </c>
      <c r="AK666" t="s">
        <v>560</v>
      </c>
      <c r="AL666">
        <v>0</v>
      </c>
      <c r="AM666" s="5">
        <f t="shared" si="82"/>
        <v>0</v>
      </c>
      <c r="AN666" s="4">
        <f t="shared" si="87"/>
        <v>0</v>
      </c>
      <c r="AO666" s="3"/>
      <c r="AP666">
        <v>0</v>
      </c>
      <c r="AR666" t="s">
        <v>0</v>
      </c>
      <c r="AT666" s="2" t="s">
        <v>45</v>
      </c>
      <c r="AU666" s="1">
        <f t="shared" si="83"/>
        <v>0.26347401297349238</v>
      </c>
      <c r="AV666" s="1">
        <f t="shared" si="84"/>
        <v>0.18819572355249459</v>
      </c>
      <c r="AW666" s="1">
        <f t="shared" si="85"/>
        <v>0.11291743413149673</v>
      </c>
    </row>
    <row r="667" spans="1:49" x14ac:dyDescent="0.2">
      <c r="A667">
        <v>665</v>
      </c>
      <c r="B667" t="s">
        <v>559</v>
      </c>
      <c r="F667" t="s">
        <v>558</v>
      </c>
      <c r="G667" t="s">
        <v>13</v>
      </c>
      <c r="H667" t="s">
        <v>12</v>
      </c>
      <c r="I667" t="s">
        <v>557</v>
      </c>
      <c r="N667">
        <v>1</v>
      </c>
      <c r="O667" t="s">
        <v>556</v>
      </c>
      <c r="P667">
        <v>7003655363</v>
      </c>
      <c r="R667" s="7">
        <v>30682</v>
      </c>
      <c r="S667" s="8">
        <f t="shared" si="80"/>
        <v>1984</v>
      </c>
      <c r="T667" s="8">
        <v>1984</v>
      </c>
      <c r="U667" s="8">
        <f t="shared" si="81"/>
        <v>38</v>
      </c>
      <c r="V667" s="7">
        <v>30682</v>
      </c>
      <c r="W667" t="s">
        <v>364</v>
      </c>
      <c r="X667" s="2">
        <v>0.14099999999999999</v>
      </c>
      <c r="Y667" s="6">
        <f t="shared" si="86"/>
        <v>3.7639144710498915E-3</v>
      </c>
      <c r="AA667">
        <v>402508</v>
      </c>
      <c r="AB667">
        <v>20868</v>
      </c>
      <c r="AD667" t="s">
        <v>4</v>
      </c>
      <c r="AE667" t="s">
        <v>363</v>
      </c>
      <c r="AF667">
        <v>1</v>
      </c>
      <c r="AH667" t="s">
        <v>555</v>
      </c>
      <c r="AI667" t="s">
        <v>554</v>
      </c>
      <c r="AK667" t="s">
        <v>553</v>
      </c>
      <c r="AL667">
        <v>0</v>
      </c>
      <c r="AM667" s="5">
        <f t="shared" si="82"/>
        <v>0</v>
      </c>
      <c r="AN667" s="4">
        <f t="shared" si="87"/>
        <v>0</v>
      </c>
      <c r="AO667" s="3"/>
      <c r="AP667">
        <v>0</v>
      </c>
      <c r="AR667" t="s">
        <v>0</v>
      </c>
      <c r="AT667" s="2" t="s">
        <v>45</v>
      </c>
      <c r="AU667" s="1">
        <f t="shared" si="83"/>
        <v>0.26347401297349238</v>
      </c>
      <c r="AV667" s="1">
        <f t="shared" si="84"/>
        <v>0.18819572355249459</v>
      </c>
      <c r="AW667" s="1">
        <f t="shared" si="85"/>
        <v>0.11291743413149673</v>
      </c>
    </row>
    <row r="668" spans="1:49" x14ac:dyDescent="0.2">
      <c r="A668">
        <v>666</v>
      </c>
      <c r="B668" t="s">
        <v>552</v>
      </c>
      <c r="C668" t="s">
        <v>551</v>
      </c>
      <c r="F668" t="s">
        <v>550</v>
      </c>
      <c r="G668" t="s">
        <v>13</v>
      </c>
      <c r="H668" t="s">
        <v>12</v>
      </c>
      <c r="I668" t="s">
        <v>549</v>
      </c>
      <c r="J668" t="s">
        <v>548</v>
      </c>
      <c r="K668" t="s">
        <v>547</v>
      </c>
      <c r="L668" t="s">
        <v>546</v>
      </c>
      <c r="M668" t="s">
        <v>545</v>
      </c>
      <c r="N668">
        <v>3</v>
      </c>
      <c r="O668" t="s">
        <v>544</v>
      </c>
      <c r="P668" t="s">
        <v>543</v>
      </c>
      <c r="Q668" t="s">
        <v>542</v>
      </c>
      <c r="R668" s="7">
        <v>30682</v>
      </c>
      <c r="S668" s="8">
        <f t="shared" si="80"/>
        <v>1984</v>
      </c>
      <c r="T668" s="8">
        <v>1984</v>
      </c>
      <c r="U668" s="8">
        <f t="shared" si="81"/>
        <v>38</v>
      </c>
      <c r="V668" s="7">
        <v>30682</v>
      </c>
      <c r="W668" t="s">
        <v>380</v>
      </c>
      <c r="X668" s="2">
        <v>1.6519999999999999</v>
      </c>
      <c r="Y668" s="6">
        <f t="shared" si="86"/>
        <v>4.409919649769093E-2</v>
      </c>
      <c r="AA668" t="s">
        <v>379</v>
      </c>
      <c r="AB668">
        <v>17337</v>
      </c>
      <c r="AC668">
        <v>15582221</v>
      </c>
      <c r="AD668" t="s">
        <v>4</v>
      </c>
      <c r="AE668">
        <v>32</v>
      </c>
      <c r="AF668">
        <v>1</v>
      </c>
      <c r="AH668" t="s">
        <v>541</v>
      </c>
      <c r="AI668" t="s">
        <v>540</v>
      </c>
      <c r="AK668" t="s">
        <v>539</v>
      </c>
      <c r="AL668">
        <v>9</v>
      </c>
      <c r="AM668" s="5">
        <f t="shared" si="82"/>
        <v>0.23684210526315788</v>
      </c>
      <c r="AN668" s="4">
        <f t="shared" si="87"/>
        <v>3.5871579744514633E-4</v>
      </c>
      <c r="AO668" s="3"/>
      <c r="AP668">
        <v>0</v>
      </c>
      <c r="AR668" t="s">
        <v>0</v>
      </c>
      <c r="AT668" s="2" t="s">
        <v>45</v>
      </c>
      <c r="AU668" s="1">
        <f t="shared" si="83"/>
        <v>3.0977052287617197</v>
      </c>
      <c r="AV668" s="1">
        <f t="shared" si="84"/>
        <v>2.222895614756804</v>
      </c>
      <c r="AW668" s="1">
        <f t="shared" si="85"/>
        <v>1.348086000751888</v>
      </c>
    </row>
    <row r="669" spans="1:49" x14ac:dyDescent="0.2">
      <c r="A669">
        <v>667</v>
      </c>
      <c r="B669" t="s">
        <v>538</v>
      </c>
      <c r="F669" t="s">
        <v>537</v>
      </c>
      <c r="G669" t="s">
        <v>13</v>
      </c>
      <c r="H669" t="s">
        <v>12</v>
      </c>
      <c r="I669" t="s">
        <v>536</v>
      </c>
      <c r="N669">
        <v>1</v>
      </c>
      <c r="O669" t="s">
        <v>535</v>
      </c>
      <c r="P669">
        <v>7101641768</v>
      </c>
      <c r="R669" s="7">
        <v>30682</v>
      </c>
      <c r="S669" s="8">
        <f t="shared" si="80"/>
        <v>1984</v>
      </c>
      <c r="T669" s="8">
        <v>1984</v>
      </c>
      <c r="U669" s="8">
        <f t="shared" si="81"/>
        <v>38</v>
      </c>
      <c r="V669" s="7" t="s">
        <v>534</v>
      </c>
      <c r="W669" t="s">
        <v>533</v>
      </c>
      <c r="X669" s="2" t="s">
        <v>45</v>
      </c>
      <c r="Y669" s="6" t="e">
        <f t="shared" si="86"/>
        <v>#VALUE!</v>
      </c>
      <c r="AB669">
        <v>31441</v>
      </c>
      <c r="AD669" t="s">
        <v>4</v>
      </c>
      <c r="AE669">
        <v>4</v>
      </c>
      <c r="AF669">
        <v>1</v>
      </c>
      <c r="AI669" t="s">
        <v>532</v>
      </c>
      <c r="AK669" t="s">
        <v>531</v>
      </c>
      <c r="AL669">
        <v>0</v>
      </c>
      <c r="AM669" s="5">
        <f t="shared" si="82"/>
        <v>0</v>
      </c>
      <c r="AN669" s="4">
        <f t="shared" si="87"/>
        <v>0</v>
      </c>
      <c r="AO669" s="3"/>
      <c r="AP669">
        <v>0</v>
      </c>
      <c r="AR669" t="s">
        <v>0</v>
      </c>
      <c r="AT669" s="2" t="s">
        <v>45</v>
      </c>
      <c r="AU669" s="1" t="e">
        <f t="shared" si="83"/>
        <v>#VALUE!</v>
      </c>
      <c r="AV669" s="1" t="e">
        <f t="shared" si="84"/>
        <v>#VALUE!</v>
      </c>
      <c r="AW669" s="1" t="e">
        <f t="shared" si="85"/>
        <v>#VALUE!</v>
      </c>
    </row>
    <row r="670" spans="1:49" x14ac:dyDescent="0.2">
      <c r="A670">
        <v>668</v>
      </c>
      <c r="B670" t="s">
        <v>530</v>
      </c>
      <c r="F670" t="s">
        <v>529</v>
      </c>
      <c r="G670" t="s">
        <v>13</v>
      </c>
      <c r="H670" t="s">
        <v>12</v>
      </c>
      <c r="I670" t="s">
        <v>528</v>
      </c>
      <c r="N670">
        <v>4</v>
      </c>
      <c r="O670" t="s">
        <v>527</v>
      </c>
      <c r="P670" t="s">
        <v>526</v>
      </c>
      <c r="Q670" t="s">
        <v>525</v>
      </c>
      <c r="R670" s="7">
        <v>30682</v>
      </c>
      <c r="S670" s="8">
        <f t="shared" si="80"/>
        <v>1984</v>
      </c>
      <c r="T670" s="8">
        <v>1984</v>
      </c>
      <c r="U670" s="8">
        <f t="shared" si="81"/>
        <v>38</v>
      </c>
      <c r="V670" s="7">
        <v>1984</v>
      </c>
      <c r="W670" t="s">
        <v>524</v>
      </c>
      <c r="X670" s="2" t="s">
        <v>45</v>
      </c>
      <c r="Y670" s="6" t="e">
        <f t="shared" si="86"/>
        <v>#VALUE!</v>
      </c>
      <c r="AB670">
        <v>33964</v>
      </c>
      <c r="AD670" t="s">
        <v>4</v>
      </c>
      <c r="AE670" t="s">
        <v>523</v>
      </c>
      <c r="AI670" t="s">
        <v>522</v>
      </c>
      <c r="AK670" t="s">
        <v>521</v>
      </c>
      <c r="AL670">
        <v>0</v>
      </c>
      <c r="AM670" s="5">
        <f t="shared" si="82"/>
        <v>0</v>
      </c>
      <c r="AN670" s="4">
        <f t="shared" si="87"/>
        <v>0</v>
      </c>
      <c r="AO670" s="3"/>
      <c r="AP670">
        <v>0</v>
      </c>
      <c r="AR670" t="s">
        <v>0</v>
      </c>
      <c r="AT670" s="2" t="s">
        <v>45</v>
      </c>
      <c r="AU670" s="1" t="e">
        <f t="shared" si="83"/>
        <v>#VALUE!</v>
      </c>
      <c r="AV670" s="1" t="e">
        <f t="shared" si="84"/>
        <v>#VALUE!</v>
      </c>
      <c r="AW670" s="1" t="e">
        <f t="shared" si="85"/>
        <v>#VALUE!</v>
      </c>
    </row>
    <row r="671" spans="1:49" x14ac:dyDescent="0.2">
      <c r="A671">
        <v>669</v>
      </c>
      <c r="B671" t="s">
        <v>520</v>
      </c>
      <c r="F671" t="s">
        <v>519</v>
      </c>
      <c r="G671" t="s">
        <v>13</v>
      </c>
      <c r="H671" t="s">
        <v>12</v>
      </c>
      <c r="I671" t="s">
        <v>518</v>
      </c>
      <c r="N671">
        <v>1</v>
      </c>
      <c r="O671" t="s">
        <v>517</v>
      </c>
      <c r="P671">
        <v>6602977187</v>
      </c>
      <c r="R671" s="7">
        <v>30682</v>
      </c>
      <c r="S671" s="8">
        <f t="shared" si="80"/>
        <v>1984</v>
      </c>
      <c r="T671" s="8">
        <v>1984</v>
      </c>
      <c r="U671" s="8">
        <f t="shared" si="81"/>
        <v>38</v>
      </c>
      <c r="V671" s="7">
        <v>30682</v>
      </c>
      <c r="W671" t="s">
        <v>364</v>
      </c>
      <c r="X671" s="2">
        <v>0.14099999999999999</v>
      </c>
      <c r="Y671" s="6">
        <f t="shared" si="86"/>
        <v>3.7639144710498915E-3</v>
      </c>
      <c r="AA671">
        <v>402508</v>
      </c>
      <c r="AB671">
        <v>20868</v>
      </c>
      <c r="AD671" t="s">
        <v>4</v>
      </c>
      <c r="AE671" t="s">
        <v>363</v>
      </c>
      <c r="AF671">
        <v>1</v>
      </c>
      <c r="AH671" t="s">
        <v>516</v>
      </c>
      <c r="AI671" t="s">
        <v>515</v>
      </c>
      <c r="AK671" t="s">
        <v>514</v>
      </c>
      <c r="AL671">
        <v>0</v>
      </c>
      <c r="AM671" s="5">
        <f t="shared" si="82"/>
        <v>0</v>
      </c>
      <c r="AN671" s="4">
        <f t="shared" si="87"/>
        <v>0</v>
      </c>
      <c r="AO671" s="3"/>
      <c r="AP671">
        <v>0</v>
      </c>
      <c r="AR671" t="s">
        <v>0</v>
      </c>
      <c r="AT671" s="2" t="s">
        <v>45</v>
      </c>
      <c r="AU671" s="1">
        <f t="shared" si="83"/>
        <v>0.26347401297349238</v>
      </c>
      <c r="AV671" s="1">
        <f t="shared" si="84"/>
        <v>0.18819572355249459</v>
      </c>
      <c r="AW671" s="1">
        <f t="shared" si="85"/>
        <v>0.11291743413149673</v>
      </c>
    </row>
    <row r="672" spans="1:49" x14ac:dyDescent="0.2">
      <c r="A672">
        <v>670</v>
      </c>
      <c r="B672" t="s">
        <v>513</v>
      </c>
      <c r="C672" t="s">
        <v>512</v>
      </c>
      <c r="F672" t="s">
        <v>511</v>
      </c>
      <c r="G672" t="s">
        <v>13</v>
      </c>
      <c r="H672" t="s">
        <v>12</v>
      </c>
      <c r="I672" t="s">
        <v>510</v>
      </c>
      <c r="N672">
        <v>2</v>
      </c>
      <c r="O672" t="s">
        <v>509</v>
      </c>
      <c r="P672" t="s">
        <v>508</v>
      </c>
      <c r="Q672" t="s">
        <v>266</v>
      </c>
      <c r="R672" s="7">
        <v>30682</v>
      </c>
      <c r="S672" s="8">
        <f t="shared" si="80"/>
        <v>1984</v>
      </c>
      <c r="T672" s="8">
        <v>1984</v>
      </c>
      <c r="U672" s="8">
        <f t="shared" si="81"/>
        <v>38</v>
      </c>
      <c r="V672" s="7">
        <v>36892</v>
      </c>
      <c r="W672" t="s">
        <v>497</v>
      </c>
      <c r="X672" s="2">
        <v>1.67</v>
      </c>
      <c r="Y672" s="6">
        <f t="shared" si="86"/>
        <v>4.4579696217399427E-2</v>
      </c>
      <c r="AA672">
        <v>1480227</v>
      </c>
      <c r="AB672">
        <v>28428</v>
      </c>
      <c r="AD672" t="s">
        <v>4</v>
      </c>
      <c r="AE672">
        <v>89</v>
      </c>
      <c r="AF672" t="s">
        <v>496</v>
      </c>
      <c r="AH672" t="s">
        <v>507</v>
      </c>
      <c r="AI672" t="s">
        <v>506</v>
      </c>
      <c r="AK672" t="s">
        <v>505</v>
      </c>
      <c r="AL672">
        <v>42</v>
      </c>
      <c r="AM672" s="5">
        <f t="shared" si="82"/>
        <v>1.1052631578947369</v>
      </c>
      <c r="AN672" s="4">
        <f t="shared" si="87"/>
        <v>1.6740070547440165E-3</v>
      </c>
      <c r="AO672" s="3"/>
      <c r="AP672">
        <v>0</v>
      </c>
      <c r="AR672" t="s">
        <v>0</v>
      </c>
      <c r="AT672" s="2" t="s">
        <v>45</v>
      </c>
      <c r="AU672" s="1">
        <f t="shared" si="83"/>
        <v>3.17079894686028</v>
      </c>
      <c r="AV672" s="1">
        <f t="shared" si="84"/>
        <v>2.3126851636071719</v>
      </c>
      <c r="AW672" s="1">
        <f t="shared" si="85"/>
        <v>1.4545713803540641</v>
      </c>
    </row>
    <row r="673" spans="1:49" x14ac:dyDescent="0.2">
      <c r="A673">
        <v>671</v>
      </c>
      <c r="B673" t="s">
        <v>504</v>
      </c>
      <c r="C673" t="s">
        <v>503</v>
      </c>
      <c r="F673" t="s">
        <v>502</v>
      </c>
      <c r="G673" t="s">
        <v>13</v>
      </c>
      <c r="H673" t="s">
        <v>12</v>
      </c>
      <c r="I673" t="s">
        <v>501</v>
      </c>
      <c r="N673">
        <v>5</v>
      </c>
      <c r="O673" t="s">
        <v>500</v>
      </c>
      <c r="P673" t="s">
        <v>499</v>
      </c>
      <c r="Q673" t="s">
        <v>498</v>
      </c>
      <c r="R673" s="7">
        <v>30682</v>
      </c>
      <c r="S673" s="8">
        <f t="shared" si="80"/>
        <v>1984</v>
      </c>
      <c r="T673" s="8">
        <v>1984</v>
      </c>
      <c r="U673" s="8">
        <f t="shared" si="81"/>
        <v>38</v>
      </c>
      <c r="V673" s="7">
        <v>36892</v>
      </c>
      <c r="W673" t="s">
        <v>497</v>
      </c>
      <c r="X673" s="2">
        <v>1.67</v>
      </c>
      <c r="Y673" s="6">
        <f t="shared" si="86"/>
        <v>4.4579696217399427E-2</v>
      </c>
      <c r="AA673">
        <v>1480227</v>
      </c>
      <c r="AB673">
        <v>28428</v>
      </c>
      <c r="AD673" t="s">
        <v>4</v>
      </c>
      <c r="AE673">
        <v>89</v>
      </c>
      <c r="AF673" t="s">
        <v>496</v>
      </c>
      <c r="AH673" t="s">
        <v>495</v>
      </c>
      <c r="AI673" t="s">
        <v>494</v>
      </c>
      <c r="AK673" t="s">
        <v>493</v>
      </c>
      <c r="AL673">
        <v>33</v>
      </c>
      <c r="AM673" s="5">
        <f t="shared" si="82"/>
        <v>0.86842105263157898</v>
      </c>
      <c r="AN673" s="4">
        <f t="shared" si="87"/>
        <v>1.31529125729887E-3</v>
      </c>
      <c r="AO673" s="3"/>
      <c r="AP673">
        <v>0</v>
      </c>
      <c r="AR673" t="s">
        <v>0</v>
      </c>
      <c r="AT673" s="2" t="s">
        <v>45</v>
      </c>
      <c r="AU673" s="1">
        <f t="shared" si="83"/>
        <v>3.1600374729369261</v>
      </c>
      <c r="AV673" s="1">
        <f t="shared" si="84"/>
        <v>2.2947493737349149</v>
      </c>
      <c r="AW673" s="1">
        <f t="shared" si="85"/>
        <v>1.4294612745329038</v>
      </c>
    </row>
    <row r="674" spans="1:49" x14ac:dyDescent="0.2">
      <c r="A674">
        <v>672</v>
      </c>
      <c r="B674" t="s">
        <v>492</v>
      </c>
      <c r="C674" t="s">
        <v>491</v>
      </c>
      <c r="F674" t="s">
        <v>490</v>
      </c>
      <c r="G674" t="s">
        <v>13</v>
      </c>
      <c r="H674" t="s">
        <v>12</v>
      </c>
      <c r="I674" t="s">
        <v>489</v>
      </c>
      <c r="N674">
        <v>3</v>
      </c>
      <c r="O674" t="s">
        <v>488</v>
      </c>
      <c r="P674" t="s">
        <v>487</v>
      </c>
      <c r="Q674" t="s">
        <v>8</v>
      </c>
      <c r="R674" s="7">
        <v>30682</v>
      </c>
      <c r="S674" s="8">
        <f t="shared" si="80"/>
        <v>1984</v>
      </c>
      <c r="T674" s="8">
        <v>1984</v>
      </c>
      <c r="U674" s="8">
        <f t="shared" si="81"/>
        <v>38</v>
      </c>
      <c r="V674" s="7" t="s">
        <v>7</v>
      </c>
      <c r="W674" t="s">
        <v>6</v>
      </c>
      <c r="X674" s="2">
        <v>0.371</v>
      </c>
      <c r="Y674" s="6">
        <f t="shared" si="86"/>
        <v>9.9036331117695747E-3</v>
      </c>
      <c r="AA674">
        <v>486604</v>
      </c>
      <c r="AB674">
        <v>28580</v>
      </c>
      <c r="AC674" t="s">
        <v>5</v>
      </c>
      <c r="AD674" t="s">
        <v>4</v>
      </c>
      <c r="AE674">
        <v>19</v>
      </c>
      <c r="AF674">
        <v>1</v>
      </c>
      <c r="AH674" t="s">
        <v>486</v>
      </c>
      <c r="AI674" t="s">
        <v>485</v>
      </c>
      <c r="AK674" t="s">
        <v>484</v>
      </c>
      <c r="AL674">
        <v>5</v>
      </c>
      <c r="AM674" s="5">
        <f t="shared" si="82"/>
        <v>0.13157894736842105</v>
      </c>
      <c r="AN674" s="4">
        <f t="shared" si="87"/>
        <v>1.9928655413619243E-4</v>
      </c>
      <c r="AO674" s="3"/>
      <c r="AP674">
        <v>0</v>
      </c>
      <c r="AR674" t="s">
        <v>0</v>
      </c>
      <c r="AT674" s="2">
        <v>1.431</v>
      </c>
      <c r="AU674" s="1">
        <f t="shared" si="83"/>
        <v>0.69923291444795599</v>
      </c>
      <c r="AV674" s="1">
        <f t="shared" si="84"/>
        <v>0.50514598329528837</v>
      </c>
      <c r="AW674" s="1">
        <f t="shared" si="85"/>
        <v>0.3110590521426207</v>
      </c>
    </row>
    <row r="675" spans="1:49" x14ac:dyDescent="0.2">
      <c r="A675">
        <v>673</v>
      </c>
      <c r="B675" t="s">
        <v>483</v>
      </c>
      <c r="C675" t="s">
        <v>482</v>
      </c>
      <c r="F675" t="s">
        <v>481</v>
      </c>
      <c r="G675" t="s">
        <v>13</v>
      </c>
      <c r="H675" t="s">
        <v>12</v>
      </c>
      <c r="I675" t="s">
        <v>480</v>
      </c>
      <c r="J675">
        <v>60005322</v>
      </c>
      <c r="K675" t="s">
        <v>479</v>
      </c>
      <c r="L675" t="s">
        <v>478</v>
      </c>
      <c r="M675" t="s">
        <v>142</v>
      </c>
      <c r="N675">
        <v>2</v>
      </c>
      <c r="O675" t="s">
        <v>477</v>
      </c>
      <c r="P675" t="s">
        <v>476</v>
      </c>
      <c r="Q675" t="s">
        <v>475</v>
      </c>
      <c r="R675" s="7">
        <v>30682</v>
      </c>
      <c r="S675" s="8">
        <f t="shared" si="80"/>
        <v>1984</v>
      </c>
      <c r="T675" s="8">
        <v>1984</v>
      </c>
      <c r="U675" s="8">
        <f t="shared" si="81"/>
        <v>38</v>
      </c>
      <c r="V675" s="7">
        <v>1984</v>
      </c>
      <c r="W675" t="s">
        <v>474</v>
      </c>
      <c r="X675" s="2">
        <v>1.1879999999999999</v>
      </c>
      <c r="Y675" s="6">
        <f t="shared" si="86"/>
        <v>3.1712981500760788E-2</v>
      </c>
      <c r="AA675">
        <v>10706631</v>
      </c>
      <c r="AB675">
        <v>29210</v>
      </c>
      <c r="AD675" t="s">
        <v>4</v>
      </c>
      <c r="AE675">
        <v>27</v>
      </c>
      <c r="AF675">
        <v>1</v>
      </c>
      <c r="AH675" t="s">
        <v>473</v>
      </c>
      <c r="AI675" t="s">
        <v>472</v>
      </c>
      <c r="AK675" t="s">
        <v>471</v>
      </c>
      <c r="AL675">
        <v>10</v>
      </c>
      <c r="AM675" s="5">
        <f t="shared" si="82"/>
        <v>0.26315789473684209</v>
      </c>
      <c r="AN675" s="4">
        <f t="shared" si="87"/>
        <v>3.9857310827238487E-4</v>
      </c>
      <c r="AO675" s="3"/>
      <c r="AP675">
        <v>0</v>
      </c>
      <c r="AR675" t="s">
        <v>0</v>
      </c>
      <c r="AT675" s="2">
        <v>3.5209999999999999</v>
      </c>
      <c r="AU675" s="1">
        <f t="shared" si="83"/>
        <v>2.2318658983014266</v>
      </c>
      <c r="AV675" s="1">
        <f t="shared" si="84"/>
        <v>1.6055777304516585</v>
      </c>
      <c r="AW675" s="1">
        <f t="shared" si="85"/>
        <v>0.9792895626018906</v>
      </c>
    </row>
    <row r="676" spans="1:49" x14ac:dyDescent="0.2">
      <c r="A676">
        <v>674</v>
      </c>
      <c r="B676" t="s">
        <v>470</v>
      </c>
      <c r="C676" t="s">
        <v>469</v>
      </c>
      <c r="F676" t="s">
        <v>468</v>
      </c>
      <c r="G676" t="s">
        <v>13</v>
      </c>
      <c r="H676" t="s">
        <v>12</v>
      </c>
      <c r="I676" t="s">
        <v>467</v>
      </c>
      <c r="J676" t="s">
        <v>466</v>
      </c>
      <c r="K676" t="s">
        <v>465</v>
      </c>
      <c r="L676" t="s">
        <v>464</v>
      </c>
      <c r="M676" t="s">
        <v>463</v>
      </c>
      <c r="N676">
        <v>1</v>
      </c>
      <c r="O676" t="s">
        <v>462</v>
      </c>
      <c r="P676">
        <v>7006413404</v>
      </c>
      <c r="Q676" t="s">
        <v>461</v>
      </c>
      <c r="R676" s="7">
        <v>30682</v>
      </c>
      <c r="S676" s="8">
        <f t="shared" si="80"/>
        <v>1984</v>
      </c>
      <c r="T676" s="8">
        <v>1984</v>
      </c>
      <c r="U676" s="8">
        <f t="shared" si="81"/>
        <v>38</v>
      </c>
      <c r="V676" s="7">
        <v>30682</v>
      </c>
      <c r="W676" t="s">
        <v>460</v>
      </c>
      <c r="X676" s="2">
        <v>0.33800000000000002</v>
      </c>
      <c r="Y676" s="6">
        <f t="shared" si="86"/>
        <v>9.0227169589706634E-3</v>
      </c>
      <c r="AA676">
        <v>34347</v>
      </c>
      <c r="AB676">
        <v>17722</v>
      </c>
      <c r="AC676">
        <v>19589395</v>
      </c>
      <c r="AD676" t="s">
        <v>4</v>
      </c>
      <c r="AE676">
        <v>39</v>
      </c>
      <c r="AF676" s="9">
        <v>44228</v>
      </c>
      <c r="AH676" t="s">
        <v>459</v>
      </c>
      <c r="AI676" t="s">
        <v>458</v>
      </c>
      <c r="AJ676" t="s">
        <v>457</v>
      </c>
      <c r="AK676" t="s">
        <v>456</v>
      </c>
      <c r="AL676">
        <v>0</v>
      </c>
      <c r="AM676" s="5">
        <f t="shared" si="82"/>
        <v>0</v>
      </c>
      <c r="AN676" s="4">
        <f t="shared" si="87"/>
        <v>0</v>
      </c>
      <c r="AO676" s="3"/>
      <c r="AP676">
        <v>0</v>
      </c>
      <c r="AR676" t="s">
        <v>0</v>
      </c>
      <c r="AT676" s="2" t="s">
        <v>45</v>
      </c>
      <c r="AU676" s="1">
        <f t="shared" si="83"/>
        <v>0.63159018712794635</v>
      </c>
      <c r="AV676" s="1">
        <f t="shared" si="84"/>
        <v>0.45113584794853318</v>
      </c>
      <c r="AW676" s="1">
        <f t="shared" si="85"/>
        <v>0.27068150876911989</v>
      </c>
    </row>
    <row r="677" spans="1:49" x14ac:dyDescent="0.2">
      <c r="A677">
        <v>675</v>
      </c>
      <c r="B677" t="s">
        <v>455</v>
      </c>
      <c r="F677" t="s">
        <v>454</v>
      </c>
      <c r="G677" t="s">
        <v>13</v>
      </c>
      <c r="H677" t="s">
        <v>12</v>
      </c>
      <c r="I677" t="s">
        <v>453</v>
      </c>
      <c r="N677">
        <v>3</v>
      </c>
      <c r="O677" t="s">
        <v>452</v>
      </c>
      <c r="P677" t="s">
        <v>451</v>
      </c>
      <c r="Q677" t="s">
        <v>8</v>
      </c>
      <c r="R677" s="7">
        <v>30682</v>
      </c>
      <c r="S677" s="8">
        <f t="shared" si="80"/>
        <v>1984</v>
      </c>
      <c r="T677" s="8">
        <v>1984</v>
      </c>
      <c r="U677" s="8">
        <f t="shared" si="81"/>
        <v>38</v>
      </c>
      <c r="V677" s="7">
        <v>1984</v>
      </c>
      <c r="W677" t="s">
        <v>393</v>
      </c>
      <c r="X677" s="2" t="s">
        <v>45</v>
      </c>
      <c r="Y677" s="6" t="e">
        <f t="shared" si="86"/>
        <v>#VALUE!</v>
      </c>
      <c r="AA677">
        <v>134252</v>
      </c>
      <c r="AB677">
        <v>32198</v>
      </c>
      <c r="AD677" t="s">
        <v>4</v>
      </c>
      <c r="AE677">
        <v>58</v>
      </c>
      <c r="AF677">
        <v>3</v>
      </c>
      <c r="AH677" t="s">
        <v>450</v>
      </c>
      <c r="AI677" t="s">
        <v>449</v>
      </c>
      <c r="AK677" t="s">
        <v>448</v>
      </c>
      <c r="AL677">
        <v>0</v>
      </c>
      <c r="AM677" s="5">
        <f t="shared" si="82"/>
        <v>0</v>
      </c>
      <c r="AN677" s="4">
        <f t="shared" si="87"/>
        <v>0</v>
      </c>
      <c r="AO677" s="3"/>
      <c r="AP677">
        <v>0</v>
      </c>
      <c r="AR677" t="s">
        <v>0</v>
      </c>
      <c r="AT677" s="2" t="s">
        <v>45</v>
      </c>
      <c r="AU677" s="1" t="e">
        <f t="shared" si="83"/>
        <v>#VALUE!</v>
      </c>
      <c r="AV677" s="1" t="e">
        <f t="shared" si="84"/>
        <v>#VALUE!</v>
      </c>
      <c r="AW677" s="1" t="e">
        <f t="shared" si="85"/>
        <v>#VALUE!</v>
      </c>
    </row>
    <row r="678" spans="1:49" x14ac:dyDescent="0.2">
      <c r="A678">
        <v>676</v>
      </c>
      <c r="B678" t="s">
        <v>447</v>
      </c>
      <c r="C678" t="s">
        <v>446</v>
      </c>
      <c r="F678" t="s">
        <v>445</v>
      </c>
      <c r="G678" t="s">
        <v>13</v>
      </c>
      <c r="H678" t="s">
        <v>12</v>
      </c>
      <c r="I678" t="s">
        <v>444</v>
      </c>
      <c r="J678">
        <v>60005304</v>
      </c>
      <c r="K678" t="s">
        <v>443</v>
      </c>
      <c r="L678" t="s">
        <v>442</v>
      </c>
      <c r="M678" t="s">
        <v>56</v>
      </c>
      <c r="N678">
        <v>2</v>
      </c>
      <c r="O678" t="s">
        <v>441</v>
      </c>
      <c r="P678" t="s">
        <v>440</v>
      </c>
      <c r="Q678" t="s">
        <v>439</v>
      </c>
      <c r="R678" s="7">
        <v>30682</v>
      </c>
      <c r="S678" s="8">
        <f t="shared" si="80"/>
        <v>1984</v>
      </c>
      <c r="T678" s="8">
        <v>1984</v>
      </c>
      <c r="U678" s="8">
        <f t="shared" si="81"/>
        <v>38</v>
      </c>
      <c r="V678" s="7">
        <v>30682</v>
      </c>
      <c r="W678" t="s">
        <v>380</v>
      </c>
      <c r="X678" s="2">
        <v>1.6519999999999999</v>
      </c>
      <c r="Y678" s="6">
        <f t="shared" si="86"/>
        <v>4.409919649769093E-2</v>
      </c>
      <c r="AA678" t="s">
        <v>379</v>
      </c>
      <c r="AB678">
        <v>17337</v>
      </c>
      <c r="AC678">
        <v>15582221</v>
      </c>
      <c r="AD678" t="s">
        <v>4</v>
      </c>
      <c r="AE678">
        <v>32</v>
      </c>
      <c r="AF678">
        <v>1</v>
      </c>
      <c r="AH678" t="s">
        <v>438</v>
      </c>
      <c r="AI678" t="s">
        <v>437</v>
      </c>
      <c r="AK678" t="s">
        <v>436</v>
      </c>
      <c r="AL678">
        <v>3</v>
      </c>
      <c r="AM678" s="5">
        <f t="shared" si="82"/>
        <v>7.8947368421052627E-2</v>
      </c>
      <c r="AN678" s="4">
        <f t="shared" si="87"/>
        <v>1.1957193248171546E-4</v>
      </c>
      <c r="AO678" s="3"/>
      <c r="AP678">
        <v>0</v>
      </c>
      <c r="AR678" t="s">
        <v>0</v>
      </c>
      <c r="AT678" s="2" t="s">
        <v>45</v>
      </c>
      <c r="AU678" s="1">
        <f t="shared" si="83"/>
        <v>3.0905309128128167</v>
      </c>
      <c r="AV678" s="1">
        <f t="shared" si="84"/>
        <v>2.2109384215086325</v>
      </c>
      <c r="AW678" s="1">
        <f t="shared" si="85"/>
        <v>1.3313459302044479</v>
      </c>
    </row>
    <row r="679" spans="1:49" x14ac:dyDescent="0.2">
      <c r="A679">
        <v>677</v>
      </c>
      <c r="B679" t="s">
        <v>435</v>
      </c>
      <c r="C679" t="s">
        <v>434</v>
      </c>
      <c r="F679" t="s">
        <v>433</v>
      </c>
      <c r="G679" t="s">
        <v>13</v>
      </c>
      <c r="H679" t="s">
        <v>12</v>
      </c>
      <c r="I679" t="s">
        <v>432</v>
      </c>
      <c r="J679" t="s">
        <v>427</v>
      </c>
      <c r="K679" t="s">
        <v>431</v>
      </c>
      <c r="L679" t="s">
        <v>430</v>
      </c>
      <c r="M679" t="s">
        <v>206</v>
      </c>
      <c r="N679">
        <v>2</v>
      </c>
      <c r="O679" t="s">
        <v>429</v>
      </c>
      <c r="P679" t="s">
        <v>428</v>
      </c>
      <c r="Q679" t="s">
        <v>427</v>
      </c>
      <c r="R679" s="7">
        <v>30682</v>
      </c>
      <c r="S679" s="8">
        <f t="shared" si="80"/>
        <v>1984</v>
      </c>
      <c r="T679" s="8">
        <v>1984</v>
      </c>
      <c r="U679" s="8">
        <f t="shared" si="81"/>
        <v>38</v>
      </c>
      <c r="V679" s="7">
        <v>30682</v>
      </c>
      <c r="W679" t="s">
        <v>380</v>
      </c>
      <c r="X679" s="2">
        <v>1.6519999999999999</v>
      </c>
      <c r="Y679" s="6">
        <f t="shared" si="86"/>
        <v>4.409919649769093E-2</v>
      </c>
      <c r="AA679" t="s">
        <v>379</v>
      </c>
      <c r="AB679">
        <v>17337</v>
      </c>
      <c r="AC679">
        <v>15582221</v>
      </c>
      <c r="AD679" t="s">
        <v>4</v>
      </c>
      <c r="AE679">
        <v>32</v>
      </c>
      <c r="AF679">
        <v>1</v>
      </c>
      <c r="AH679" t="s">
        <v>426</v>
      </c>
      <c r="AI679" t="s">
        <v>425</v>
      </c>
      <c r="AK679" t="s">
        <v>424</v>
      </c>
      <c r="AL679">
        <v>7</v>
      </c>
      <c r="AM679" s="5">
        <f t="shared" si="82"/>
        <v>0.18421052631578946</v>
      </c>
      <c r="AN679" s="4">
        <f t="shared" si="87"/>
        <v>2.7900117579066937E-4</v>
      </c>
      <c r="AO679" s="3"/>
      <c r="AP679">
        <v>0</v>
      </c>
      <c r="AR679" t="s">
        <v>0</v>
      </c>
      <c r="AT679" s="2" t="s">
        <v>45</v>
      </c>
      <c r="AU679" s="1">
        <f t="shared" si="83"/>
        <v>3.0953137901120851</v>
      </c>
      <c r="AV679" s="1">
        <f t="shared" si="84"/>
        <v>2.2189098836740797</v>
      </c>
      <c r="AW679" s="1">
        <f t="shared" si="85"/>
        <v>1.3425059772360746</v>
      </c>
    </row>
    <row r="680" spans="1:49" x14ac:dyDescent="0.2">
      <c r="A680">
        <v>678</v>
      </c>
      <c r="B680" t="s">
        <v>423</v>
      </c>
      <c r="C680" t="s">
        <v>422</v>
      </c>
      <c r="F680" t="s">
        <v>421</v>
      </c>
      <c r="G680" t="s">
        <v>13</v>
      </c>
      <c r="H680" t="s">
        <v>12</v>
      </c>
      <c r="I680" t="s">
        <v>420</v>
      </c>
      <c r="J680">
        <v>60079984</v>
      </c>
      <c r="K680" t="s">
        <v>419</v>
      </c>
      <c r="L680" t="s">
        <v>418</v>
      </c>
      <c r="M680" t="s">
        <v>417</v>
      </c>
      <c r="N680">
        <v>1</v>
      </c>
      <c r="O680" t="s">
        <v>416</v>
      </c>
      <c r="P680">
        <v>7004643438</v>
      </c>
      <c r="Q680">
        <v>60079984</v>
      </c>
      <c r="R680" s="7">
        <v>30682</v>
      </c>
      <c r="S680" s="8">
        <f t="shared" si="80"/>
        <v>1984</v>
      </c>
      <c r="T680" s="8">
        <v>1984</v>
      </c>
      <c r="U680" s="8">
        <f t="shared" si="81"/>
        <v>38</v>
      </c>
      <c r="V680" s="7">
        <v>30682</v>
      </c>
      <c r="W680" t="s">
        <v>415</v>
      </c>
      <c r="X680" s="2">
        <v>2.141</v>
      </c>
      <c r="Y680" s="6">
        <f t="shared" si="86"/>
        <v>5.7152772216438434E-2</v>
      </c>
      <c r="AA680">
        <v>1962892</v>
      </c>
      <c r="AB680">
        <v>17360</v>
      </c>
      <c r="AC680">
        <v>15580644</v>
      </c>
      <c r="AD680" t="s">
        <v>4</v>
      </c>
      <c r="AE680" t="s">
        <v>414</v>
      </c>
      <c r="AF680">
        <v>1</v>
      </c>
      <c r="AH680" t="s">
        <v>413</v>
      </c>
      <c r="AI680" t="s">
        <v>412</v>
      </c>
      <c r="AK680" t="s">
        <v>411</v>
      </c>
      <c r="AL680">
        <v>1</v>
      </c>
      <c r="AM680" s="5">
        <f t="shared" si="82"/>
        <v>2.6315789473684209E-2</v>
      </c>
      <c r="AN680" s="4">
        <f t="shared" si="87"/>
        <v>3.9857310827238481E-5</v>
      </c>
      <c r="AO680" s="3"/>
      <c r="AP680">
        <v>0</v>
      </c>
      <c r="AR680" t="s">
        <v>0</v>
      </c>
      <c r="AT680" s="2" t="s">
        <v>45</v>
      </c>
      <c r="AU680" s="1">
        <f t="shared" si="83"/>
        <v>4.0018897744755071</v>
      </c>
      <c r="AV680" s="1">
        <f t="shared" si="84"/>
        <v>2.8596314763632833</v>
      </c>
      <c r="AW680" s="1">
        <f t="shared" si="85"/>
        <v>1.7173731782510595</v>
      </c>
    </row>
    <row r="681" spans="1:49" x14ac:dyDescent="0.2">
      <c r="A681">
        <v>679</v>
      </c>
      <c r="B681" t="s">
        <v>410</v>
      </c>
      <c r="C681" t="s">
        <v>409</v>
      </c>
      <c r="F681" t="s">
        <v>408</v>
      </c>
      <c r="G681" t="s">
        <v>13</v>
      </c>
      <c r="H681" t="s">
        <v>12</v>
      </c>
      <c r="I681" t="s">
        <v>407</v>
      </c>
      <c r="J681">
        <v>60108318</v>
      </c>
      <c r="K681" t="s">
        <v>406</v>
      </c>
      <c r="L681" t="s">
        <v>405</v>
      </c>
      <c r="M681" t="s">
        <v>56</v>
      </c>
      <c r="N681">
        <v>2</v>
      </c>
      <c r="O681" t="s">
        <v>404</v>
      </c>
      <c r="P681" t="s">
        <v>403</v>
      </c>
      <c r="Q681" t="s">
        <v>402</v>
      </c>
      <c r="R681" s="7">
        <v>30682</v>
      </c>
      <c r="S681" s="8">
        <f t="shared" si="80"/>
        <v>1984</v>
      </c>
      <c r="T681" s="8">
        <v>1984</v>
      </c>
      <c r="U681" s="8">
        <f t="shared" si="81"/>
        <v>38</v>
      </c>
      <c r="V681" s="7">
        <v>30682</v>
      </c>
      <c r="W681" t="s">
        <v>380</v>
      </c>
      <c r="X681" s="2">
        <v>1.6519999999999999</v>
      </c>
      <c r="Y681" s="6">
        <f t="shared" si="86"/>
        <v>4.409919649769093E-2</v>
      </c>
      <c r="AA681" t="s">
        <v>379</v>
      </c>
      <c r="AB681">
        <v>17337</v>
      </c>
      <c r="AC681">
        <v>15582221</v>
      </c>
      <c r="AD681" t="s">
        <v>4</v>
      </c>
      <c r="AE681">
        <v>32</v>
      </c>
      <c r="AF681">
        <v>1</v>
      </c>
      <c r="AH681" t="s">
        <v>401</v>
      </c>
      <c r="AI681" t="s">
        <v>400</v>
      </c>
      <c r="AK681" t="s">
        <v>399</v>
      </c>
      <c r="AL681">
        <v>6</v>
      </c>
      <c r="AM681" s="5">
        <f t="shared" si="82"/>
        <v>0.15789473684210525</v>
      </c>
      <c r="AN681" s="4">
        <f t="shared" si="87"/>
        <v>2.3914386496343091E-4</v>
      </c>
      <c r="AO681" s="3"/>
      <c r="AP681">
        <v>0</v>
      </c>
      <c r="AR681" t="s">
        <v>0</v>
      </c>
      <c r="AT681" s="2" t="s">
        <v>45</v>
      </c>
      <c r="AU681" s="1">
        <f t="shared" si="83"/>
        <v>3.094118070787268</v>
      </c>
      <c r="AV681" s="1">
        <f t="shared" si="84"/>
        <v>2.216917018132718</v>
      </c>
      <c r="AW681" s="1">
        <f t="shared" si="85"/>
        <v>1.3397159654781678</v>
      </c>
    </row>
    <row r="682" spans="1:49" x14ac:dyDescent="0.2">
      <c r="A682">
        <v>680</v>
      </c>
      <c r="B682" t="s">
        <v>398</v>
      </c>
      <c r="F682" t="s">
        <v>397</v>
      </c>
      <c r="G682" t="s">
        <v>13</v>
      </c>
      <c r="H682" t="s">
        <v>12</v>
      </c>
      <c r="I682" t="s">
        <v>396</v>
      </c>
      <c r="N682">
        <v>2</v>
      </c>
      <c r="O682" t="s">
        <v>395</v>
      </c>
      <c r="P682" t="s">
        <v>394</v>
      </c>
      <c r="Q682" t="s">
        <v>266</v>
      </c>
      <c r="R682" s="7">
        <v>30682</v>
      </c>
      <c r="S682" s="8">
        <f t="shared" si="80"/>
        <v>1984</v>
      </c>
      <c r="T682" s="8">
        <v>1984</v>
      </c>
      <c r="U682" s="8">
        <f t="shared" si="81"/>
        <v>38</v>
      </c>
      <c r="V682" s="7">
        <v>1984</v>
      </c>
      <c r="W682" t="s">
        <v>393</v>
      </c>
      <c r="X682" s="2" t="s">
        <v>45</v>
      </c>
      <c r="Y682" s="6" t="e">
        <f t="shared" si="86"/>
        <v>#VALUE!</v>
      </c>
      <c r="AA682">
        <v>134252</v>
      </c>
      <c r="AB682">
        <v>32198</v>
      </c>
      <c r="AD682" t="s">
        <v>4</v>
      </c>
      <c r="AE682">
        <v>58</v>
      </c>
      <c r="AF682">
        <v>3</v>
      </c>
      <c r="AH682" t="s">
        <v>392</v>
      </c>
      <c r="AI682" t="s">
        <v>391</v>
      </c>
      <c r="AK682" t="s">
        <v>390</v>
      </c>
      <c r="AL682">
        <v>0</v>
      </c>
      <c r="AM682" s="5">
        <f t="shared" si="82"/>
        <v>0</v>
      </c>
      <c r="AN682" s="4">
        <f t="shared" si="87"/>
        <v>0</v>
      </c>
      <c r="AO682" s="3"/>
      <c r="AP682">
        <v>0</v>
      </c>
      <c r="AR682" t="s">
        <v>0</v>
      </c>
      <c r="AT682" s="2" t="s">
        <v>45</v>
      </c>
      <c r="AU682" s="1" t="e">
        <f t="shared" si="83"/>
        <v>#VALUE!</v>
      </c>
      <c r="AV682" s="1" t="e">
        <f t="shared" si="84"/>
        <v>#VALUE!</v>
      </c>
      <c r="AW682" s="1" t="e">
        <f t="shared" si="85"/>
        <v>#VALUE!</v>
      </c>
    </row>
    <row r="683" spans="1:49" x14ac:dyDescent="0.2">
      <c r="A683">
        <v>681</v>
      </c>
      <c r="B683" t="s">
        <v>389</v>
      </c>
      <c r="C683" t="s">
        <v>388</v>
      </c>
      <c r="F683" t="s">
        <v>387</v>
      </c>
      <c r="G683" t="s">
        <v>13</v>
      </c>
      <c r="H683" t="s">
        <v>12</v>
      </c>
      <c r="I683" t="s">
        <v>386</v>
      </c>
      <c r="J683" t="s">
        <v>385</v>
      </c>
      <c r="K683" t="s">
        <v>384</v>
      </c>
      <c r="L683" t="s">
        <v>383</v>
      </c>
      <c r="M683" t="s">
        <v>206</v>
      </c>
      <c r="N683">
        <v>2</v>
      </c>
      <c r="O683" t="s">
        <v>382</v>
      </c>
      <c r="P683">
        <v>7006218526</v>
      </c>
      <c r="Q683" t="s">
        <v>381</v>
      </c>
      <c r="R683" s="7">
        <v>30682</v>
      </c>
      <c r="S683" s="8">
        <f t="shared" si="80"/>
        <v>1984</v>
      </c>
      <c r="T683" s="8">
        <v>1984</v>
      </c>
      <c r="U683" s="8">
        <f t="shared" si="81"/>
        <v>38</v>
      </c>
      <c r="V683" s="7">
        <v>30682</v>
      </c>
      <c r="W683" t="s">
        <v>380</v>
      </c>
      <c r="X683" s="2">
        <v>1.6519999999999999</v>
      </c>
      <c r="Y683" s="6">
        <f t="shared" si="86"/>
        <v>4.409919649769093E-2</v>
      </c>
      <c r="AA683" t="s">
        <v>379</v>
      </c>
      <c r="AB683">
        <v>17337</v>
      </c>
      <c r="AC683">
        <v>15582221</v>
      </c>
      <c r="AD683" t="s">
        <v>4</v>
      </c>
      <c r="AE683">
        <v>32</v>
      </c>
      <c r="AF683">
        <v>1</v>
      </c>
      <c r="AH683" t="s">
        <v>378</v>
      </c>
      <c r="AI683" t="s">
        <v>377</v>
      </c>
      <c r="AK683" t="s">
        <v>376</v>
      </c>
      <c r="AL683">
        <v>0</v>
      </c>
      <c r="AM683" s="5">
        <f t="shared" si="82"/>
        <v>0</v>
      </c>
      <c r="AN683" s="4">
        <f t="shared" si="87"/>
        <v>0</v>
      </c>
      <c r="AO683" s="3"/>
      <c r="AP683">
        <v>0</v>
      </c>
      <c r="AR683" t="s">
        <v>0</v>
      </c>
      <c r="AT683" s="2" t="s">
        <v>45</v>
      </c>
      <c r="AU683" s="1">
        <f t="shared" si="83"/>
        <v>3.0869437548383649</v>
      </c>
      <c r="AV683" s="1">
        <f t="shared" si="84"/>
        <v>2.2049598248845466</v>
      </c>
      <c r="AW683" s="1">
        <f t="shared" si="85"/>
        <v>1.3229758949307278</v>
      </c>
    </row>
    <row r="684" spans="1:49" x14ac:dyDescent="0.2">
      <c r="A684">
        <v>682</v>
      </c>
      <c r="B684" t="s">
        <v>375</v>
      </c>
      <c r="F684" t="s">
        <v>374</v>
      </c>
      <c r="G684" t="s">
        <v>13</v>
      </c>
      <c r="H684" t="s">
        <v>12</v>
      </c>
      <c r="I684" t="s">
        <v>373</v>
      </c>
      <c r="N684">
        <v>1</v>
      </c>
      <c r="O684" t="s">
        <v>372</v>
      </c>
      <c r="P684">
        <v>7801570427</v>
      </c>
      <c r="R684" s="7">
        <v>30682</v>
      </c>
      <c r="S684" s="8">
        <f t="shared" si="80"/>
        <v>1984</v>
      </c>
      <c r="T684" s="8">
        <v>1984</v>
      </c>
      <c r="U684" s="8">
        <f t="shared" si="81"/>
        <v>38</v>
      </c>
      <c r="V684" s="7">
        <v>30682</v>
      </c>
      <c r="W684" t="s">
        <v>364</v>
      </c>
      <c r="X684" s="2">
        <v>0.14099999999999999</v>
      </c>
      <c r="Y684" s="6">
        <f t="shared" si="86"/>
        <v>3.7639144710498915E-3</v>
      </c>
      <c r="AA684">
        <v>402508</v>
      </c>
      <c r="AB684">
        <v>20868</v>
      </c>
      <c r="AD684" t="s">
        <v>4</v>
      </c>
      <c r="AE684" t="s">
        <v>363</v>
      </c>
      <c r="AF684">
        <v>1</v>
      </c>
      <c r="AH684" t="s">
        <v>371</v>
      </c>
      <c r="AI684" t="s">
        <v>370</v>
      </c>
      <c r="AK684" t="s">
        <v>369</v>
      </c>
      <c r="AL684">
        <v>0</v>
      </c>
      <c r="AM684" s="5">
        <f t="shared" si="82"/>
        <v>0</v>
      </c>
      <c r="AN684" s="4">
        <f t="shared" si="87"/>
        <v>0</v>
      </c>
      <c r="AO684" s="3"/>
      <c r="AP684">
        <v>0</v>
      </c>
      <c r="AR684" t="s">
        <v>0</v>
      </c>
      <c r="AT684" s="2" t="s">
        <v>45</v>
      </c>
      <c r="AU684" s="1">
        <f t="shared" si="83"/>
        <v>0.26347401297349238</v>
      </c>
      <c r="AV684" s="1">
        <f t="shared" si="84"/>
        <v>0.18819572355249459</v>
      </c>
      <c r="AW684" s="1">
        <f t="shared" si="85"/>
        <v>0.11291743413149673</v>
      </c>
    </row>
    <row r="685" spans="1:49" x14ac:dyDescent="0.2">
      <c r="A685">
        <v>683</v>
      </c>
      <c r="B685" t="s">
        <v>368</v>
      </c>
      <c r="F685" t="s">
        <v>367</v>
      </c>
      <c r="G685" t="s">
        <v>13</v>
      </c>
      <c r="H685" t="s">
        <v>12</v>
      </c>
      <c r="I685" t="s">
        <v>366</v>
      </c>
      <c r="N685">
        <v>1</v>
      </c>
      <c r="O685" t="s">
        <v>365</v>
      </c>
      <c r="P685">
        <v>6506304120</v>
      </c>
      <c r="R685" s="7">
        <v>30682</v>
      </c>
      <c r="S685" s="8">
        <f t="shared" si="80"/>
        <v>1984</v>
      </c>
      <c r="T685" s="8">
        <v>1984</v>
      </c>
      <c r="U685" s="8">
        <f t="shared" si="81"/>
        <v>38</v>
      </c>
      <c r="V685" s="7">
        <v>30682</v>
      </c>
      <c r="W685" t="s">
        <v>364</v>
      </c>
      <c r="X685" s="2">
        <v>0.14099999999999999</v>
      </c>
      <c r="Y685" s="6">
        <f t="shared" si="86"/>
        <v>3.7639144710498915E-3</v>
      </c>
      <c r="AA685">
        <v>402508</v>
      </c>
      <c r="AB685">
        <v>20868</v>
      </c>
      <c r="AD685" t="s">
        <v>4</v>
      </c>
      <c r="AE685" t="s">
        <v>363</v>
      </c>
      <c r="AF685">
        <v>1</v>
      </c>
      <c r="AH685" t="s">
        <v>362</v>
      </c>
      <c r="AI685" t="s">
        <v>361</v>
      </c>
      <c r="AK685" t="s">
        <v>360</v>
      </c>
      <c r="AL685">
        <v>0</v>
      </c>
      <c r="AM685" s="5">
        <f t="shared" si="82"/>
        <v>0</v>
      </c>
      <c r="AN685" s="4">
        <f t="shared" si="87"/>
        <v>0</v>
      </c>
      <c r="AO685" s="3"/>
      <c r="AP685">
        <v>0</v>
      </c>
      <c r="AR685" t="s">
        <v>0</v>
      </c>
      <c r="AT685" s="2" t="s">
        <v>45</v>
      </c>
      <c r="AU685" s="1">
        <f t="shared" si="83"/>
        <v>0.26347401297349238</v>
      </c>
      <c r="AV685" s="1">
        <f t="shared" si="84"/>
        <v>0.18819572355249459</v>
      </c>
      <c r="AW685" s="1">
        <f t="shared" si="85"/>
        <v>0.11291743413149673</v>
      </c>
    </row>
    <row r="686" spans="1:49" x14ac:dyDescent="0.2">
      <c r="A686">
        <v>684</v>
      </c>
      <c r="B686" t="s">
        <v>359</v>
      </c>
      <c r="C686" t="s">
        <v>358</v>
      </c>
      <c r="D686" t="s">
        <v>357</v>
      </c>
      <c r="F686" t="s">
        <v>356</v>
      </c>
      <c r="G686" t="s">
        <v>13</v>
      </c>
      <c r="H686" t="s">
        <v>12</v>
      </c>
      <c r="I686" t="s">
        <v>355</v>
      </c>
      <c r="J686" t="s">
        <v>349</v>
      </c>
      <c r="K686" t="s">
        <v>354</v>
      </c>
      <c r="L686" t="s">
        <v>353</v>
      </c>
      <c r="M686" t="s">
        <v>352</v>
      </c>
      <c r="N686">
        <v>3</v>
      </c>
      <c r="O686" t="s">
        <v>351</v>
      </c>
      <c r="P686" t="s">
        <v>350</v>
      </c>
      <c r="Q686" t="s">
        <v>349</v>
      </c>
      <c r="R686" s="7">
        <v>30682</v>
      </c>
      <c r="S686" s="8">
        <f t="shared" si="80"/>
        <v>1984</v>
      </c>
      <c r="T686" s="8">
        <v>1984</v>
      </c>
      <c r="U686" s="8">
        <f t="shared" si="81"/>
        <v>38</v>
      </c>
      <c r="V686" s="7" t="s">
        <v>348</v>
      </c>
      <c r="W686" t="s">
        <v>347</v>
      </c>
      <c r="X686" s="2">
        <v>1.1339999999999999</v>
      </c>
      <c r="Y686" s="6">
        <f t="shared" si="86"/>
        <v>3.0271482341635299E-2</v>
      </c>
      <c r="AA686">
        <v>945765</v>
      </c>
      <c r="AB686">
        <v>12372</v>
      </c>
      <c r="AD686" t="s">
        <v>4</v>
      </c>
      <c r="AE686">
        <v>11</v>
      </c>
      <c r="AF686" s="9">
        <v>44415</v>
      </c>
      <c r="AH686" t="s">
        <v>346</v>
      </c>
      <c r="AI686" t="s">
        <v>345</v>
      </c>
      <c r="AK686" t="s">
        <v>344</v>
      </c>
      <c r="AL686">
        <v>8</v>
      </c>
      <c r="AM686" s="5">
        <f t="shared" si="82"/>
        <v>0.21052631578947367</v>
      </c>
      <c r="AN686" s="4">
        <f t="shared" si="87"/>
        <v>3.1885848661790785E-4</v>
      </c>
      <c r="AO686" s="3"/>
      <c r="AP686">
        <v>0</v>
      </c>
      <c r="AR686" t="s">
        <v>0</v>
      </c>
      <c r="AT686" s="2">
        <v>2.4129999999999998</v>
      </c>
      <c r="AU686" s="1">
        <f t="shared" si="83"/>
        <v>2.1285695185130082</v>
      </c>
      <c r="AV686" s="1">
        <f t="shared" si="84"/>
        <v>1.5295170414126602</v>
      </c>
      <c r="AW686" s="1">
        <f t="shared" si="85"/>
        <v>0.93046456431231239</v>
      </c>
    </row>
    <row r="687" spans="1:49" x14ac:dyDescent="0.2">
      <c r="A687">
        <v>685</v>
      </c>
      <c r="B687" t="s">
        <v>343</v>
      </c>
      <c r="C687" t="s">
        <v>342</v>
      </c>
      <c r="F687" t="s">
        <v>341</v>
      </c>
      <c r="G687" t="s">
        <v>13</v>
      </c>
      <c r="H687" t="s">
        <v>12</v>
      </c>
      <c r="I687" t="s">
        <v>340</v>
      </c>
      <c r="N687">
        <v>1</v>
      </c>
      <c r="O687" t="s">
        <v>339</v>
      </c>
      <c r="P687">
        <v>57207098435</v>
      </c>
      <c r="R687" s="7">
        <v>30682</v>
      </c>
      <c r="S687" s="8">
        <f t="shared" si="80"/>
        <v>1984</v>
      </c>
      <c r="T687" s="8">
        <v>1984</v>
      </c>
      <c r="U687" s="8">
        <f t="shared" si="81"/>
        <v>38</v>
      </c>
      <c r="V687" s="7" t="s">
        <v>287</v>
      </c>
      <c r="W687" t="s">
        <v>6</v>
      </c>
      <c r="X687" s="2">
        <v>0.371</v>
      </c>
      <c r="Y687" s="6">
        <f t="shared" si="86"/>
        <v>9.9036331117695747E-3</v>
      </c>
      <c r="AA687">
        <v>486604</v>
      </c>
      <c r="AB687">
        <v>28580</v>
      </c>
      <c r="AC687" t="s">
        <v>5</v>
      </c>
      <c r="AD687" t="s">
        <v>4</v>
      </c>
      <c r="AE687">
        <v>19</v>
      </c>
      <c r="AF687">
        <v>5</v>
      </c>
      <c r="AH687" t="s">
        <v>338</v>
      </c>
      <c r="AI687" t="s">
        <v>337</v>
      </c>
      <c r="AK687" t="s">
        <v>336</v>
      </c>
      <c r="AL687">
        <v>0</v>
      </c>
      <c r="AM687" s="5">
        <f t="shared" si="82"/>
        <v>0</v>
      </c>
      <c r="AN687" s="4">
        <f t="shared" si="87"/>
        <v>0</v>
      </c>
      <c r="AO687" s="3"/>
      <c r="AP687">
        <v>0</v>
      </c>
      <c r="AR687" t="s">
        <v>0</v>
      </c>
      <c r="AT687" s="2">
        <v>1.431</v>
      </c>
      <c r="AU687" s="1">
        <f t="shared" si="83"/>
        <v>0.69325431782387015</v>
      </c>
      <c r="AV687" s="1">
        <f t="shared" si="84"/>
        <v>0.49518165558847871</v>
      </c>
      <c r="AW687" s="1">
        <f t="shared" si="85"/>
        <v>0.29710899335308727</v>
      </c>
    </row>
    <row r="688" spans="1:49" x14ac:dyDescent="0.2">
      <c r="A688">
        <v>686</v>
      </c>
      <c r="B688" t="s">
        <v>335</v>
      </c>
      <c r="C688" t="s">
        <v>334</v>
      </c>
      <c r="F688" t="s">
        <v>333</v>
      </c>
      <c r="G688" t="s">
        <v>13</v>
      </c>
      <c r="H688" t="s">
        <v>12</v>
      </c>
      <c r="I688" t="s">
        <v>332</v>
      </c>
      <c r="N688">
        <v>2</v>
      </c>
      <c r="O688" t="s">
        <v>331</v>
      </c>
      <c r="P688" t="s">
        <v>330</v>
      </c>
      <c r="Q688" t="s">
        <v>266</v>
      </c>
      <c r="R688" s="7">
        <v>30682</v>
      </c>
      <c r="S688" s="8">
        <f t="shared" ref="S688:S714" si="88">YEAR(R688)</f>
        <v>1984</v>
      </c>
      <c r="T688" s="8">
        <v>1984</v>
      </c>
      <c r="U688" s="8">
        <f t="shared" ref="U688:U714" si="89">2022-T688</f>
        <v>38</v>
      </c>
      <c r="V688" s="7" t="s">
        <v>287</v>
      </c>
      <c r="W688" t="s">
        <v>6</v>
      </c>
      <c r="X688" s="2">
        <v>0.371</v>
      </c>
      <c r="Y688" s="6">
        <f t="shared" si="86"/>
        <v>9.9036331117695747E-3</v>
      </c>
      <c r="AA688">
        <v>486604</v>
      </c>
      <c r="AB688">
        <v>28580</v>
      </c>
      <c r="AC688" t="s">
        <v>5</v>
      </c>
      <c r="AD688" t="s">
        <v>4</v>
      </c>
      <c r="AE688">
        <v>19</v>
      </c>
      <c r="AF688">
        <v>5</v>
      </c>
      <c r="AH688" t="s">
        <v>329</v>
      </c>
      <c r="AI688" t="s">
        <v>328</v>
      </c>
      <c r="AK688" t="s">
        <v>327</v>
      </c>
      <c r="AL688">
        <v>13</v>
      </c>
      <c r="AM688" s="5">
        <f t="shared" ref="AM688:AM714" si="90">AL688/U688</f>
        <v>0.34210526315789475</v>
      </c>
      <c r="AN688" s="4">
        <f t="shared" si="87"/>
        <v>5.1814504075410031E-4</v>
      </c>
      <c r="AO688" s="3"/>
      <c r="AP688">
        <v>0</v>
      </c>
      <c r="AR688" t="s">
        <v>0</v>
      </c>
      <c r="AT688" s="2">
        <v>1.431</v>
      </c>
      <c r="AU688" s="1">
        <f t="shared" ref="AU688:AU714" si="91">(Y688*0.7+AN688*0.3)*100</f>
        <v>0.70879866904649313</v>
      </c>
      <c r="AV688" s="1">
        <f t="shared" ref="AV688:AV714" si="92">(Y688*0.5+AN688*0.5)*100</f>
        <v>0.52108890762618376</v>
      </c>
      <c r="AW688" s="1">
        <f t="shared" ref="AW688:AW714" si="93">(Y688*0.3+AN688*0.7)*100</f>
        <v>0.33337914620587428</v>
      </c>
    </row>
    <row r="689" spans="1:49" x14ac:dyDescent="0.2">
      <c r="A689">
        <v>687</v>
      </c>
      <c r="B689" t="s">
        <v>326</v>
      </c>
      <c r="C689" t="s">
        <v>325</v>
      </c>
      <c r="F689" t="s">
        <v>324</v>
      </c>
      <c r="G689" t="s">
        <v>13</v>
      </c>
      <c r="H689" t="s">
        <v>12</v>
      </c>
      <c r="I689" t="s">
        <v>323</v>
      </c>
      <c r="N689">
        <v>1</v>
      </c>
      <c r="O689" t="s">
        <v>322</v>
      </c>
      <c r="P689">
        <v>7102110120</v>
      </c>
      <c r="R689" s="7">
        <v>30682</v>
      </c>
      <c r="S689" s="8">
        <f t="shared" si="88"/>
        <v>1984</v>
      </c>
      <c r="T689" s="8">
        <v>1984</v>
      </c>
      <c r="U689" s="8">
        <f t="shared" si="89"/>
        <v>38</v>
      </c>
      <c r="V689" s="7" t="s">
        <v>287</v>
      </c>
      <c r="W689" t="s">
        <v>6</v>
      </c>
      <c r="X689" s="2">
        <v>0.371</v>
      </c>
      <c r="Y689" s="6">
        <f t="shared" si="86"/>
        <v>9.9036331117695747E-3</v>
      </c>
      <c r="AA689">
        <v>486604</v>
      </c>
      <c r="AB689">
        <v>28580</v>
      </c>
      <c r="AC689" t="s">
        <v>5</v>
      </c>
      <c r="AD689" t="s">
        <v>4</v>
      </c>
      <c r="AE689">
        <v>19</v>
      </c>
      <c r="AF689">
        <v>5</v>
      </c>
      <c r="AH689" t="s">
        <v>321</v>
      </c>
      <c r="AI689" t="s">
        <v>320</v>
      </c>
      <c r="AK689" t="s">
        <v>319</v>
      </c>
      <c r="AL689">
        <v>62</v>
      </c>
      <c r="AM689" s="5">
        <f t="shared" si="90"/>
        <v>1.631578947368421</v>
      </c>
      <c r="AN689" s="4">
        <f t="shared" si="87"/>
        <v>2.4711532712887859E-3</v>
      </c>
      <c r="AO689" s="3"/>
      <c r="AP689">
        <v>0</v>
      </c>
      <c r="AR689" t="s">
        <v>0</v>
      </c>
      <c r="AT689" s="2">
        <v>1.431</v>
      </c>
      <c r="AU689" s="1">
        <f t="shared" si="91"/>
        <v>0.76738891596253378</v>
      </c>
      <c r="AV689" s="1">
        <f t="shared" si="92"/>
        <v>0.61873931915291802</v>
      </c>
      <c r="AW689" s="1">
        <f t="shared" si="93"/>
        <v>0.47008972234330226</v>
      </c>
    </row>
    <row r="690" spans="1:49" x14ac:dyDescent="0.2">
      <c r="A690">
        <v>688</v>
      </c>
      <c r="B690" t="s">
        <v>318</v>
      </c>
      <c r="C690" t="s">
        <v>317</v>
      </c>
      <c r="F690" t="s">
        <v>316</v>
      </c>
      <c r="G690" t="s">
        <v>13</v>
      </c>
      <c r="H690" t="s">
        <v>12</v>
      </c>
      <c r="I690" t="s">
        <v>315</v>
      </c>
      <c r="N690">
        <v>3</v>
      </c>
      <c r="O690" t="s">
        <v>314</v>
      </c>
      <c r="P690" t="s">
        <v>313</v>
      </c>
      <c r="Q690" t="s">
        <v>8</v>
      </c>
      <c r="R690" s="7">
        <v>30682</v>
      </c>
      <c r="S690" s="8">
        <f t="shared" si="88"/>
        <v>1984</v>
      </c>
      <c r="T690" s="8">
        <v>1984</v>
      </c>
      <c r="U690" s="8">
        <f t="shared" si="89"/>
        <v>38</v>
      </c>
      <c r="V690" s="7" t="s">
        <v>287</v>
      </c>
      <c r="W690" t="s">
        <v>6</v>
      </c>
      <c r="X690" s="2">
        <v>0.371</v>
      </c>
      <c r="Y690" s="6">
        <f t="shared" si="86"/>
        <v>9.9036331117695747E-3</v>
      </c>
      <c r="AA690">
        <v>486604</v>
      </c>
      <c r="AB690">
        <v>28580</v>
      </c>
      <c r="AC690" t="s">
        <v>5</v>
      </c>
      <c r="AD690" t="s">
        <v>4</v>
      </c>
      <c r="AE690">
        <v>19</v>
      </c>
      <c r="AF690">
        <v>5</v>
      </c>
      <c r="AH690" t="s">
        <v>312</v>
      </c>
      <c r="AI690" t="s">
        <v>311</v>
      </c>
      <c r="AK690" t="s">
        <v>310</v>
      </c>
      <c r="AL690">
        <v>19</v>
      </c>
      <c r="AM690" s="5">
        <f t="shared" si="90"/>
        <v>0.5</v>
      </c>
      <c r="AN690" s="4">
        <f t="shared" si="87"/>
        <v>7.572889057175312E-4</v>
      </c>
      <c r="AO690" s="3"/>
      <c r="AP690">
        <v>0</v>
      </c>
      <c r="AR690" t="s">
        <v>0</v>
      </c>
      <c r="AT690" s="2">
        <v>1.431</v>
      </c>
      <c r="AU690" s="1">
        <f t="shared" si="91"/>
        <v>0.71597298499539619</v>
      </c>
      <c r="AV690" s="1">
        <f t="shared" si="92"/>
        <v>0.53304610087435522</v>
      </c>
      <c r="AW690" s="1">
        <f t="shared" si="93"/>
        <v>0.35011921675331442</v>
      </c>
    </row>
    <row r="691" spans="1:49" x14ac:dyDescent="0.2">
      <c r="A691">
        <v>689</v>
      </c>
      <c r="B691" t="s">
        <v>309</v>
      </c>
      <c r="C691" t="s">
        <v>308</v>
      </c>
      <c r="F691" t="s">
        <v>307</v>
      </c>
      <c r="G691" t="s">
        <v>13</v>
      </c>
      <c r="H691" t="s">
        <v>12</v>
      </c>
      <c r="I691" t="s">
        <v>306</v>
      </c>
      <c r="N691">
        <v>1</v>
      </c>
      <c r="O691" t="s">
        <v>305</v>
      </c>
      <c r="P691">
        <v>55650323300</v>
      </c>
      <c r="R691" s="7">
        <v>30682</v>
      </c>
      <c r="S691" s="8">
        <f t="shared" si="88"/>
        <v>1984</v>
      </c>
      <c r="T691" s="8">
        <v>1984</v>
      </c>
      <c r="U691" s="8">
        <f t="shared" si="89"/>
        <v>38</v>
      </c>
      <c r="V691" s="7" t="s">
        <v>287</v>
      </c>
      <c r="W691" t="s">
        <v>6</v>
      </c>
      <c r="X691" s="2">
        <v>0.371</v>
      </c>
      <c r="Y691" s="6">
        <f t="shared" si="86"/>
        <v>9.9036331117695747E-3</v>
      </c>
      <c r="AA691">
        <v>486604</v>
      </c>
      <c r="AB691">
        <v>28580</v>
      </c>
      <c r="AC691" t="s">
        <v>5</v>
      </c>
      <c r="AD691" t="s">
        <v>4</v>
      </c>
      <c r="AE691">
        <v>19</v>
      </c>
      <c r="AF691">
        <v>5</v>
      </c>
      <c r="AH691" t="s">
        <v>304</v>
      </c>
      <c r="AI691" t="s">
        <v>303</v>
      </c>
      <c r="AK691" t="s">
        <v>302</v>
      </c>
      <c r="AL691">
        <v>31</v>
      </c>
      <c r="AM691" s="5">
        <f t="shared" si="90"/>
        <v>0.81578947368421051</v>
      </c>
      <c r="AN691" s="4">
        <f t="shared" si="87"/>
        <v>1.235576635644393E-3</v>
      </c>
      <c r="AO691" s="3"/>
      <c r="AP691">
        <v>0</v>
      </c>
      <c r="AR691" t="s">
        <v>0</v>
      </c>
      <c r="AT691" s="2">
        <v>1.431</v>
      </c>
      <c r="AU691" s="1">
        <f t="shared" si="91"/>
        <v>0.73032161689320196</v>
      </c>
      <c r="AV691" s="1">
        <f t="shared" si="92"/>
        <v>0.55696048737069836</v>
      </c>
      <c r="AW691" s="1">
        <f t="shared" si="93"/>
        <v>0.38359935784819477</v>
      </c>
    </row>
    <row r="692" spans="1:49" x14ac:dyDescent="0.2">
      <c r="A692">
        <v>690</v>
      </c>
      <c r="B692" t="s">
        <v>301</v>
      </c>
      <c r="C692" t="s">
        <v>300</v>
      </c>
      <c r="F692" t="s">
        <v>299</v>
      </c>
      <c r="G692" t="s">
        <v>13</v>
      </c>
      <c r="H692" t="s">
        <v>12</v>
      </c>
      <c r="I692" t="s">
        <v>298</v>
      </c>
      <c r="N692">
        <v>1</v>
      </c>
      <c r="O692" t="s">
        <v>297</v>
      </c>
      <c r="P692">
        <v>7004267629</v>
      </c>
      <c r="R692" s="7">
        <v>30682</v>
      </c>
      <c r="S692" s="8">
        <f t="shared" si="88"/>
        <v>1984</v>
      </c>
      <c r="T692" s="8">
        <v>1984</v>
      </c>
      <c r="U692" s="8">
        <f t="shared" si="89"/>
        <v>38</v>
      </c>
      <c r="V692" s="7" t="s">
        <v>287</v>
      </c>
      <c r="W692" t="s">
        <v>6</v>
      </c>
      <c r="X692" s="2">
        <v>0.371</v>
      </c>
      <c r="Y692" s="6">
        <f t="shared" si="86"/>
        <v>9.9036331117695747E-3</v>
      </c>
      <c r="AA692">
        <v>486604</v>
      </c>
      <c r="AB692">
        <v>28580</v>
      </c>
      <c r="AC692" t="s">
        <v>5</v>
      </c>
      <c r="AD692" t="s">
        <v>4</v>
      </c>
      <c r="AE692">
        <v>19</v>
      </c>
      <c r="AF692">
        <v>5</v>
      </c>
      <c r="AH692" t="s">
        <v>296</v>
      </c>
      <c r="AI692" t="s">
        <v>295</v>
      </c>
      <c r="AK692" t="s">
        <v>294</v>
      </c>
      <c r="AL692">
        <v>1</v>
      </c>
      <c r="AM692" s="5">
        <f t="shared" si="90"/>
        <v>2.6315789473684209E-2</v>
      </c>
      <c r="AN692" s="4">
        <f t="shared" si="87"/>
        <v>3.9857310827238481E-5</v>
      </c>
      <c r="AO692" s="3"/>
      <c r="AP692">
        <v>0</v>
      </c>
      <c r="AR692" t="s">
        <v>0</v>
      </c>
      <c r="AT692" s="2">
        <v>1.431</v>
      </c>
      <c r="AU692" s="1">
        <f t="shared" si="91"/>
        <v>0.69445003714868736</v>
      </c>
      <c r="AV692" s="1">
        <f t="shared" si="92"/>
        <v>0.49717452112984062</v>
      </c>
      <c r="AW692" s="1">
        <f t="shared" si="93"/>
        <v>0.29989900511099399</v>
      </c>
    </row>
    <row r="693" spans="1:49" x14ac:dyDescent="0.2">
      <c r="A693">
        <v>691</v>
      </c>
      <c r="B693" t="s">
        <v>293</v>
      </c>
      <c r="C693" t="s">
        <v>292</v>
      </c>
      <c r="F693" t="s">
        <v>291</v>
      </c>
      <c r="G693" t="s">
        <v>13</v>
      </c>
      <c r="H693" t="s">
        <v>12</v>
      </c>
      <c r="I693" t="s">
        <v>290</v>
      </c>
      <c r="N693">
        <v>2</v>
      </c>
      <c r="O693" t="s">
        <v>289</v>
      </c>
      <c r="P693" t="s">
        <v>288</v>
      </c>
      <c r="Q693" t="s">
        <v>266</v>
      </c>
      <c r="R693" s="7">
        <v>30682</v>
      </c>
      <c r="S693" s="8">
        <f t="shared" si="88"/>
        <v>1984</v>
      </c>
      <c r="T693" s="8">
        <v>1984</v>
      </c>
      <c r="U693" s="8">
        <f t="shared" si="89"/>
        <v>38</v>
      </c>
      <c r="V693" s="7" t="s">
        <v>287</v>
      </c>
      <c r="W693" t="s">
        <v>6</v>
      </c>
      <c r="X693" s="2">
        <v>0.371</v>
      </c>
      <c r="Y693" s="6">
        <f t="shared" si="86"/>
        <v>9.9036331117695747E-3</v>
      </c>
      <c r="AA693">
        <v>486604</v>
      </c>
      <c r="AB693">
        <v>28580</v>
      </c>
      <c r="AC693" t="s">
        <v>5</v>
      </c>
      <c r="AD693" t="s">
        <v>4</v>
      </c>
      <c r="AE693">
        <v>19</v>
      </c>
      <c r="AF693">
        <v>5</v>
      </c>
      <c r="AH693" t="s">
        <v>286</v>
      </c>
      <c r="AI693" t="s">
        <v>285</v>
      </c>
      <c r="AK693" t="s">
        <v>284</v>
      </c>
      <c r="AL693">
        <v>0</v>
      </c>
      <c r="AM693" s="5">
        <f t="shared" si="90"/>
        <v>0</v>
      </c>
      <c r="AN693" s="4">
        <f t="shared" si="87"/>
        <v>0</v>
      </c>
      <c r="AO693" s="3"/>
      <c r="AP693">
        <v>0</v>
      </c>
      <c r="AR693" t="s">
        <v>0</v>
      </c>
      <c r="AT693" s="2">
        <v>1.431</v>
      </c>
      <c r="AU693" s="1">
        <f t="shared" si="91"/>
        <v>0.69325431782387015</v>
      </c>
      <c r="AV693" s="1">
        <f t="shared" si="92"/>
        <v>0.49518165558847871</v>
      </c>
      <c r="AW693" s="1">
        <f t="shared" si="93"/>
        <v>0.29710899335308727</v>
      </c>
    </row>
    <row r="694" spans="1:49" x14ac:dyDescent="0.2">
      <c r="A694">
        <v>692</v>
      </c>
      <c r="B694" t="s">
        <v>283</v>
      </c>
      <c r="C694" t="s">
        <v>282</v>
      </c>
      <c r="D694">
        <v>20089184900824</v>
      </c>
      <c r="F694" t="s">
        <v>281</v>
      </c>
      <c r="G694" t="s">
        <v>13</v>
      </c>
      <c r="H694" t="s">
        <v>12</v>
      </c>
      <c r="I694" t="s">
        <v>280</v>
      </c>
      <c r="J694">
        <v>60006858</v>
      </c>
      <c r="K694" t="s">
        <v>279</v>
      </c>
      <c r="L694" t="s">
        <v>278</v>
      </c>
      <c r="M694" t="s">
        <v>167</v>
      </c>
      <c r="N694">
        <v>1</v>
      </c>
      <c r="O694" t="s">
        <v>277</v>
      </c>
      <c r="P694">
        <v>24774286000</v>
      </c>
      <c r="Q694">
        <v>60006858</v>
      </c>
      <c r="R694" s="7">
        <v>30682</v>
      </c>
      <c r="S694" s="8">
        <f t="shared" si="88"/>
        <v>1984</v>
      </c>
      <c r="T694" s="8">
        <v>1984</v>
      </c>
      <c r="U694" s="8">
        <f t="shared" si="89"/>
        <v>38</v>
      </c>
      <c r="V694" s="7">
        <v>30803</v>
      </c>
      <c r="W694" t="s">
        <v>276</v>
      </c>
      <c r="X694" s="2" t="s">
        <v>45</v>
      </c>
      <c r="Y694" s="6" t="e">
        <f t="shared" si="86"/>
        <v>#VALUE!</v>
      </c>
      <c r="AA694">
        <v>200891</v>
      </c>
      <c r="AB694">
        <v>33360</v>
      </c>
      <c r="AD694" t="s">
        <v>4</v>
      </c>
      <c r="AE694">
        <v>24</v>
      </c>
      <c r="AF694" s="9">
        <v>44257</v>
      </c>
      <c r="AH694" t="s">
        <v>275</v>
      </c>
      <c r="AI694" t="s">
        <v>274</v>
      </c>
      <c r="AK694" t="s">
        <v>273</v>
      </c>
      <c r="AL694">
        <v>4</v>
      </c>
      <c r="AM694" s="5">
        <f t="shared" si="90"/>
        <v>0.10526315789473684</v>
      </c>
      <c r="AN694" s="4">
        <f t="shared" si="87"/>
        <v>1.5942924330895392E-4</v>
      </c>
      <c r="AO694" s="3"/>
      <c r="AP694">
        <v>0</v>
      </c>
      <c r="AR694" t="s">
        <v>0</v>
      </c>
      <c r="AT694" s="2" t="s">
        <v>45</v>
      </c>
      <c r="AU694" s="1" t="e">
        <f t="shared" si="91"/>
        <v>#VALUE!</v>
      </c>
      <c r="AV694" s="1" t="e">
        <f t="shared" si="92"/>
        <v>#VALUE!</v>
      </c>
      <c r="AW694" s="1" t="e">
        <f t="shared" si="93"/>
        <v>#VALUE!</v>
      </c>
    </row>
    <row r="695" spans="1:49" x14ac:dyDescent="0.2">
      <c r="A695">
        <v>693</v>
      </c>
      <c r="B695" t="s">
        <v>272</v>
      </c>
      <c r="C695" t="s">
        <v>271</v>
      </c>
      <c r="F695" t="s">
        <v>270</v>
      </c>
      <c r="G695" t="s">
        <v>13</v>
      </c>
      <c r="H695" t="s">
        <v>12</v>
      </c>
      <c r="I695" t="s">
        <v>269</v>
      </c>
      <c r="N695">
        <v>2</v>
      </c>
      <c r="O695" t="s">
        <v>268</v>
      </c>
      <c r="P695" t="s">
        <v>267</v>
      </c>
      <c r="Q695" t="s">
        <v>266</v>
      </c>
      <c r="R695" s="7">
        <v>30682</v>
      </c>
      <c r="S695" s="8">
        <f t="shared" si="88"/>
        <v>1984</v>
      </c>
      <c r="T695" s="8">
        <v>1984</v>
      </c>
      <c r="U695" s="8">
        <f t="shared" si="89"/>
        <v>38</v>
      </c>
      <c r="V695" s="7" t="s">
        <v>7</v>
      </c>
      <c r="W695" t="s">
        <v>6</v>
      </c>
      <c r="X695" s="2">
        <v>0.371</v>
      </c>
      <c r="Y695" s="6">
        <f t="shared" si="86"/>
        <v>9.9036331117695747E-3</v>
      </c>
      <c r="AA695">
        <v>486604</v>
      </c>
      <c r="AB695">
        <v>28580</v>
      </c>
      <c r="AC695" t="s">
        <v>5</v>
      </c>
      <c r="AD695" t="s">
        <v>4</v>
      </c>
      <c r="AE695">
        <v>19</v>
      </c>
      <c r="AF695">
        <v>1</v>
      </c>
      <c r="AH695" t="s">
        <v>265</v>
      </c>
      <c r="AI695" t="s">
        <v>264</v>
      </c>
      <c r="AK695" t="s">
        <v>263</v>
      </c>
      <c r="AL695">
        <v>7</v>
      </c>
      <c r="AM695" s="5">
        <f t="shared" si="90"/>
        <v>0.18421052631578946</v>
      </c>
      <c r="AN695" s="4">
        <f t="shared" si="87"/>
        <v>2.7900117579066937E-4</v>
      </c>
      <c r="AO695" s="3"/>
      <c r="AP695">
        <v>0</v>
      </c>
      <c r="AR695" t="s">
        <v>0</v>
      </c>
      <c r="AT695" s="2">
        <v>1.431</v>
      </c>
      <c r="AU695" s="1">
        <f t="shared" si="91"/>
        <v>0.70162435309759019</v>
      </c>
      <c r="AV695" s="1">
        <f t="shared" si="92"/>
        <v>0.50913171437801219</v>
      </c>
      <c r="AW695" s="1">
        <f t="shared" si="93"/>
        <v>0.31663907565843408</v>
      </c>
    </row>
    <row r="696" spans="1:49" x14ac:dyDescent="0.2">
      <c r="A696">
        <v>694</v>
      </c>
      <c r="B696" t="s">
        <v>262</v>
      </c>
      <c r="C696" t="s">
        <v>261</v>
      </c>
      <c r="F696" t="s">
        <v>260</v>
      </c>
      <c r="G696" t="s">
        <v>13</v>
      </c>
      <c r="H696" t="s">
        <v>12</v>
      </c>
      <c r="I696" t="s">
        <v>259</v>
      </c>
      <c r="J696">
        <v>60025778</v>
      </c>
      <c r="K696" t="s">
        <v>258</v>
      </c>
      <c r="L696" t="s">
        <v>257</v>
      </c>
      <c r="M696" t="s">
        <v>56</v>
      </c>
      <c r="N696">
        <v>1</v>
      </c>
      <c r="O696" t="s">
        <v>256</v>
      </c>
      <c r="P696">
        <v>56721541500</v>
      </c>
      <c r="Q696">
        <v>60025778</v>
      </c>
      <c r="R696" s="7">
        <v>30682</v>
      </c>
      <c r="S696" s="8">
        <f t="shared" si="88"/>
        <v>1984</v>
      </c>
      <c r="T696" s="8">
        <v>1984</v>
      </c>
      <c r="U696" s="8">
        <f t="shared" si="89"/>
        <v>38</v>
      </c>
      <c r="V696" s="7">
        <v>30682</v>
      </c>
      <c r="W696" t="s">
        <v>255</v>
      </c>
      <c r="X696" s="2">
        <v>0.22500000000000001</v>
      </c>
      <c r="Y696" s="6">
        <f t="shared" si="86"/>
        <v>6.0062464963562111E-3</v>
      </c>
      <c r="AA696">
        <v>2726343</v>
      </c>
      <c r="AB696">
        <v>16128</v>
      </c>
      <c r="AC696" t="s">
        <v>254</v>
      </c>
      <c r="AD696" t="s">
        <v>4</v>
      </c>
      <c r="AE696">
        <v>4</v>
      </c>
      <c r="AF696">
        <v>4</v>
      </c>
      <c r="AH696" t="s">
        <v>253</v>
      </c>
      <c r="AI696" t="s">
        <v>252</v>
      </c>
      <c r="AK696" t="s">
        <v>251</v>
      </c>
      <c r="AL696">
        <v>21</v>
      </c>
      <c r="AM696" s="5">
        <f t="shared" si="90"/>
        <v>0.55263157894736847</v>
      </c>
      <c r="AN696" s="4">
        <f t="shared" si="87"/>
        <v>8.3700352737200827E-4</v>
      </c>
      <c r="AO696" s="3"/>
      <c r="AP696">
        <v>0</v>
      </c>
      <c r="AR696" t="s">
        <v>0</v>
      </c>
      <c r="AT696" s="2">
        <v>1.099</v>
      </c>
      <c r="AU696" s="1">
        <f t="shared" si="91"/>
        <v>0.44554736056609501</v>
      </c>
      <c r="AV696" s="1">
        <f t="shared" si="92"/>
        <v>0.34216250118641095</v>
      </c>
      <c r="AW696" s="1">
        <f t="shared" si="93"/>
        <v>0.23877764180672689</v>
      </c>
    </row>
    <row r="697" spans="1:49" x14ac:dyDescent="0.2">
      <c r="A697">
        <v>695</v>
      </c>
      <c r="B697" t="s">
        <v>250</v>
      </c>
      <c r="C697" t="s">
        <v>249</v>
      </c>
      <c r="F697" t="s">
        <v>248</v>
      </c>
      <c r="G697" t="s">
        <v>13</v>
      </c>
      <c r="H697" t="s">
        <v>12</v>
      </c>
      <c r="I697" t="s">
        <v>247</v>
      </c>
      <c r="J697">
        <v>60025352</v>
      </c>
      <c r="K697" t="s">
        <v>246</v>
      </c>
      <c r="L697" t="s">
        <v>245</v>
      </c>
      <c r="M697" t="s">
        <v>167</v>
      </c>
      <c r="N697">
        <v>1</v>
      </c>
      <c r="O697" t="s">
        <v>244</v>
      </c>
      <c r="P697">
        <v>7402133103</v>
      </c>
      <c r="Q697">
        <v>60025352</v>
      </c>
      <c r="R697" s="7">
        <v>30682</v>
      </c>
      <c r="S697" s="8">
        <f t="shared" si="88"/>
        <v>1984</v>
      </c>
      <c r="T697" s="8">
        <v>1984</v>
      </c>
      <c r="U697" s="8">
        <f t="shared" si="89"/>
        <v>38</v>
      </c>
      <c r="V697" s="7" t="s">
        <v>243</v>
      </c>
      <c r="W697" t="s">
        <v>242</v>
      </c>
      <c r="X697" s="2">
        <v>0.51100000000000001</v>
      </c>
      <c r="Y697" s="6">
        <f t="shared" si="86"/>
        <v>1.3640853153946772E-2</v>
      </c>
      <c r="AA697">
        <v>222933</v>
      </c>
      <c r="AB697">
        <v>29630</v>
      </c>
      <c r="AC697">
        <v>14645262</v>
      </c>
      <c r="AD697" t="s">
        <v>4</v>
      </c>
      <c r="AE697">
        <v>18</v>
      </c>
      <c r="AF697">
        <v>4</v>
      </c>
      <c r="AH697" t="s">
        <v>241</v>
      </c>
      <c r="AI697" t="s">
        <v>240</v>
      </c>
      <c r="AK697" t="s">
        <v>239</v>
      </c>
      <c r="AL697">
        <v>4</v>
      </c>
      <c r="AM697" s="5">
        <f t="shared" si="90"/>
        <v>0.10526315789473684</v>
      </c>
      <c r="AN697" s="4">
        <f t="shared" si="87"/>
        <v>1.5942924330895392E-4</v>
      </c>
      <c r="AO697" s="3"/>
      <c r="AP697">
        <v>0</v>
      </c>
      <c r="AR697" t="s">
        <v>0</v>
      </c>
      <c r="AT697" s="2">
        <v>1.016</v>
      </c>
      <c r="AU697" s="1">
        <f t="shared" si="91"/>
        <v>0.95964259807554275</v>
      </c>
      <c r="AV697" s="1">
        <f t="shared" si="92"/>
        <v>0.69001411986278627</v>
      </c>
      <c r="AW697" s="1">
        <f t="shared" si="93"/>
        <v>0.42038564165002995</v>
      </c>
    </row>
    <row r="698" spans="1:49" x14ac:dyDescent="0.2">
      <c r="A698">
        <v>696</v>
      </c>
      <c r="B698" t="s">
        <v>238</v>
      </c>
      <c r="C698" t="s">
        <v>237</v>
      </c>
      <c r="F698" t="s">
        <v>236</v>
      </c>
      <c r="G698" t="s">
        <v>13</v>
      </c>
      <c r="H698" t="s">
        <v>12</v>
      </c>
      <c r="I698" t="s">
        <v>235</v>
      </c>
      <c r="J698" t="s">
        <v>234</v>
      </c>
      <c r="K698" t="s">
        <v>233</v>
      </c>
      <c r="L698" t="s">
        <v>232</v>
      </c>
      <c r="M698" t="s">
        <v>231</v>
      </c>
      <c r="N698">
        <v>3</v>
      </c>
      <c r="O698" t="s">
        <v>230</v>
      </c>
      <c r="P698" t="s">
        <v>229</v>
      </c>
      <c r="Q698" t="s">
        <v>228</v>
      </c>
      <c r="R698" s="7">
        <v>30682</v>
      </c>
      <c r="S698" s="8">
        <f t="shared" si="88"/>
        <v>1984</v>
      </c>
      <c r="T698" s="8">
        <v>1984</v>
      </c>
      <c r="U698" s="8">
        <f t="shared" si="89"/>
        <v>38</v>
      </c>
      <c r="V698" s="7">
        <v>30895</v>
      </c>
      <c r="W698" t="s">
        <v>227</v>
      </c>
      <c r="X698" s="2">
        <v>1.994</v>
      </c>
      <c r="Y698" s="6">
        <f t="shared" si="86"/>
        <v>5.322869117215237E-2</v>
      </c>
      <c r="AA698">
        <v>249297</v>
      </c>
      <c r="AB698">
        <v>21100779404</v>
      </c>
      <c r="AC698">
        <v>15205835</v>
      </c>
      <c r="AD698" t="s">
        <v>4</v>
      </c>
      <c r="AE698">
        <v>17</v>
      </c>
      <c r="AF698">
        <v>8</v>
      </c>
      <c r="AH698" t="s">
        <v>226</v>
      </c>
      <c r="AI698" t="s">
        <v>225</v>
      </c>
      <c r="AK698" t="s">
        <v>224</v>
      </c>
      <c r="AL698">
        <v>16</v>
      </c>
      <c r="AM698" s="5">
        <f t="shared" si="90"/>
        <v>0.42105263157894735</v>
      </c>
      <c r="AN698" s="4">
        <f t="shared" si="87"/>
        <v>6.377169732358157E-4</v>
      </c>
      <c r="AO698" s="3"/>
      <c r="AP698">
        <v>0</v>
      </c>
      <c r="AR698" t="s">
        <v>0</v>
      </c>
      <c r="AT698" s="2">
        <v>5.9850000000000003</v>
      </c>
      <c r="AU698" s="1">
        <f t="shared" si="91"/>
        <v>3.7451398912477405</v>
      </c>
      <c r="AV698" s="1">
        <f t="shared" si="92"/>
        <v>2.6933204072694092</v>
      </c>
      <c r="AW698" s="1">
        <f t="shared" si="93"/>
        <v>1.6415009232910782</v>
      </c>
    </row>
    <row r="699" spans="1:49" x14ac:dyDescent="0.2">
      <c r="A699">
        <v>697</v>
      </c>
      <c r="B699" t="s">
        <v>223</v>
      </c>
      <c r="C699" t="s">
        <v>222</v>
      </c>
      <c r="F699" t="s">
        <v>221</v>
      </c>
      <c r="G699" t="s">
        <v>13</v>
      </c>
      <c r="H699" t="s">
        <v>12</v>
      </c>
      <c r="I699" t="s">
        <v>220</v>
      </c>
      <c r="J699">
        <v>60025578</v>
      </c>
      <c r="K699" t="s">
        <v>219</v>
      </c>
      <c r="L699" t="s">
        <v>218</v>
      </c>
      <c r="M699" t="s">
        <v>217</v>
      </c>
      <c r="N699">
        <v>1</v>
      </c>
      <c r="O699" t="s">
        <v>216</v>
      </c>
      <c r="P699">
        <v>56972573800</v>
      </c>
      <c r="Q699">
        <v>60025578</v>
      </c>
      <c r="R699" s="7">
        <v>30682</v>
      </c>
      <c r="S699" s="8">
        <f t="shared" si="88"/>
        <v>1984</v>
      </c>
      <c r="T699" s="8">
        <v>1984</v>
      </c>
      <c r="U699" s="8">
        <f t="shared" si="89"/>
        <v>38</v>
      </c>
      <c r="V699" s="7">
        <v>30682</v>
      </c>
      <c r="W699" t="s">
        <v>215</v>
      </c>
      <c r="X699" s="2">
        <v>0.60099999999999998</v>
      </c>
      <c r="Y699" s="6">
        <f t="shared" si="86"/>
        <v>1.6043351752489256E-2</v>
      </c>
      <c r="AA699" t="s">
        <v>214</v>
      </c>
      <c r="AB699">
        <v>29114</v>
      </c>
      <c r="AC699">
        <v>10290273</v>
      </c>
      <c r="AD699" t="s">
        <v>4</v>
      </c>
      <c r="AE699">
        <v>8</v>
      </c>
      <c r="AF699">
        <v>1</v>
      </c>
      <c r="AH699" t="s">
        <v>213</v>
      </c>
      <c r="AL699">
        <v>2</v>
      </c>
      <c r="AM699" s="5">
        <f t="shared" si="90"/>
        <v>5.2631578947368418E-2</v>
      </c>
      <c r="AN699" s="4">
        <f t="shared" si="87"/>
        <v>7.9714621654476962E-5</v>
      </c>
      <c r="AO699" s="3"/>
      <c r="AP699">
        <v>0</v>
      </c>
      <c r="AR699" t="s">
        <v>0</v>
      </c>
      <c r="AT699" s="2">
        <v>3.23</v>
      </c>
      <c r="AU699" s="1">
        <f t="shared" si="91"/>
        <v>1.125426061323882</v>
      </c>
      <c r="AV699" s="1">
        <f t="shared" si="92"/>
        <v>0.80615331870718654</v>
      </c>
      <c r="AW699" s="1">
        <f t="shared" si="93"/>
        <v>0.48688057609049107</v>
      </c>
    </row>
    <row r="700" spans="1:49" x14ac:dyDescent="0.2">
      <c r="A700">
        <v>698</v>
      </c>
      <c r="B700" t="s">
        <v>212</v>
      </c>
      <c r="C700" t="s">
        <v>211</v>
      </c>
      <c r="F700" t="s">
        <v>210</v>
      </c>
      <c r="G700" t="s">
        <v>13</v>
      </c>
      <c r="H700" t="s">
        <v>12</v>
      </c>
      <c r="I700" t="s">
        <v>209</v>
      </c>
      <c r="J700" t="s">
        <v>203</v>
      </c>
      <c r="K700" t="s">
        <v>208</v>
      </c>
      <c r="L700" t="s">
        <v>207</v>
      </c>
      <c r="M700" t="s">
        <v>206</v>
      </c>
      <c r="N700">
        <v>2</v>
      </c>
      <c r="O700" t="s">
        <v>205</v>
      </c>
      <c r="P700" t="s">
        <v>204</v>
      </c>
      <c r="Q700" t="s">
        <v>203</v>
      </c>
      <c r="R700" s="7">
        <v>30682</v>
      </c>
      <c r="S700" s="8">
        <f t="shared" si="88"/>
        <v>1984</v>
      </c>
      <c r="T700" s="8">
        <v>1984</v>
      </c>
      <c r="U700" s="8">
        <f t="shared" si="89"/>
        <v>38</v>
      </c>
      <c r="V700" s="7">
        <v>1984</v>
      </c>
      <c r="W700" t="s">
        <v>192</v>
      </c>
      <c r="X700" s="2">
        <v>1.887</v>
      </c>
      <c r="Y700" s="6">
        <f t="shared" si="86"/>
        <v>5.0372387282774087E-2</v>
      </c>
      <c r="AA700">
        <v>5562821</v>
      </c>
      <c r="AB700">
        <v>29459</v>
      </c>
      <c r="AD700" t="s">
        <v>4</v>
      </c>
      <c r="AE700">
        <v>29</v>
      </c>
      <c r="AF700">
        <v>10</v>
      </c>
      <c r="AH700" t="s">
        <v>202</v>
      </c>
      <c r="AI700" t="s">
        <v>201</v>
      </c>
      <c r="AK700" t="s">
        <v>200</v>
      </c>
      <c r="AL700">
        <v>38</v>
      </c>
      <c r="AM700" s="5">
        <f t="shared" si="90"/>
        <v>1</v>
      </c>
      <c r="AN700" s="4">
        <f t="shared" si="87"/>
        <v>1.5145778114350624E-3</v>
      </c>
      <c r="AO700" s="3"/>
      <c r="AP700">
        <v>0</v>
      </c>
      <c r="AR700" t="s">
        <v>0</v>
      </c>
      <c r="AT700" s="2">
        <v>5.2960000000000003</v>
      </c>
      <c r="AU700" s="1">
        <f t="shared" si="91"/>
        <v>3.5715044441372377</v>
      </c>
      <c r="AV700" s="1">
        <f t="shared" si="92"/>
        <v>2.5943482547104573</v>
      </c>
      <c r="AW700" s="1">
        <f t="shared" si="93"/>
        <v>1.6171920652836771</v>
      </c>
    </row>
    <row r="701" spans="1:49" x14ac:dyDescent="0.2">
      <c r="A701">
        <v>699</v>
      </c>
      <c r="B701" t="s">
        <v>199</v>
      </c>
      <c r="C701" t="s">
        <v>198</v>
      </c>
      <c r="F701" t="s">
        <v>197</v>
      </c>
      <c r="G701" t="s">
        <v>13</v>
      </c>
      <c r="H701" t="s">
        <v>12</v>
      </c>
      <c r="I701" t="s">
        <v>196</v>
      </c>
      <c r="J701">
        <v>60022195</v>
      </c>
      <c r="K701" t="s">
        <v>195</v>
      </c>
      <c r="L701" t="s">
        <v>194</v>
      </c>
      <c r="M701" t="s">
        <v>56</v>
      </c>
      <c r="N701">
        <v>1</v>
      </c>
      <c r="O701" t="s">
        <v>193</v>
      </c>
      <c r="P701">
        <v>6601979155</v>
      </c>
      <c r="Q701">
        <v>60022195</v>
      </c>
      <c r="R701" s="7">
        <v>30682</v>
      </c>
      <c r="S701" s="8">
        <f t="shared" si="88"/>
        <v>1984</v>
      </c>
      <c r="T701" s="8">
        <v>1984</v>
      </c>
      <c r="U701" s="8">
        <f t="shared" si="89"/>
        <v>38</v>
      </c>
      <c r="V701" s="7">
        <v>1984</v>
      </c>
      <c r="W701" t="s">
        <v>192</v>
      </c>
      <c r="X701" s="2">
        <v>1.887</v>
      </c>
      <c r="Y701" s="6">
        <f t="shared" si="86"/>
        <v>5.0372387282774087E-2</v>
      </c>
      <c r="AA701">
        <v>5562821</v>
      </c>
      <c r="AB701">
        <v>29459</v>
      </c>
      <c r="AD701" t="s">
        <v>4</v>
      </c>
      <c r="AE701">
        <v>30</v>
      </c>
      <c r="AF701">
        <v>4</v>
      </c>
      <c r="AH701" t="s">
        <v>191</v>
      </c>
      <c r="AI701" t="s">
        <v>190</v>
      </c>
      <c r="AK701" t="s">
        <v>189</v>
      </c>
      <c r="AL701">
        <v>109</v>
      </c>
      <c r="AM701" s="5">
        <f t="shared" si="90"/>
        <v>2.8684210526315788</v>
      </c>
      <c r="AN701" s="4">
        <f t="shared" si="87"/>
        <v>4.3444468801689951E-3</v>
      </c>
      <c r="AO701" s="3"/>
      <c r="AP701">
        <v>0</v>
      </c>
      <c r="AR701" t="s">
        <v>0</v>
      </c>
      <c r="AT701" s="2">
        <v>5.2960000000000003</v>
      </c>
      <c r="AU701" s="1">
        <f t="shared" si="91"/>
        <v>3.6564005161992554</v>
      </c>
      <c r="AV701" s="1">
        <f t="shared" si="92"/>
        <v>2.735841708147154</v>
      </c>
      <c r="AW701" s="1">
        <f t="shared" si="93"/>
        <v>1.8152829000950519</v>
      </c>
    </row>
    <row r="702" spans="1:49" x14ac:dyDescent="0.2">
      <c r="A702">
        <v>700</v>
      </c>
      <c r="B702" t="s">
        <v>188</v>
      </c>
      <c r="C702" t="s">
        <v>187</v>
      </c>
      <c r="D702" t="s">
        <v>186</v>
      </c>
      <c r="F702" t="s">
        <v>185</v>
      </c>
      <c r="G702" t="s">
        <v>13</v>
      </c>
      <c r="H702" t="s">
        <v>12</v>
      </c>
      <c r="I702" t="s">
        <v>184</v>
      </c>
      <c r="J702" t="s">
        <v>183</v>
      </c>
      <c r="K702" t="s">
        <v>182</v>
      </c>
      <c r="L702" t="s">
        <v>181</v>
      </c>
      <c r="M702" t="s">
        <v>180</v>
      </c>
      <c r="N702">
        <v>2</v>
      </c>
      <c r="O702" t="s">
        <v>179</v>
      </c>
      <c r="P702" t="s">
        <v>178</v>
      </c>
      <c r="Q702" t="s">
        <v>177</v>
      </c>
      <c r="R702" s="7">
        <v>30682</v>
      </c>
      <c r="S702" s="8">
        <f t="shared" si="88"/>
        <v>1984</v>
      </c>
      <c r="T702" s="8">
        <v>1984</v>
      </c>
      <c r="U702" s="8">
        <f t="shared" si="89"/>
        <v>38</v>
      </c>
      <c r="V702" s="7">
        <v>1984</v>
      </c>
      <c r="W702" t="s">
        <v>138</v>
      </c>
      <c r="X702" s="2">
        <v>0.89900000000000002</v>
      </c>
      <c r="Y702" s="6">
        <f t="shared" si="86"/>
        <v>2.399829155655215E-2</v>
      </c>
      <c r="AA702">
        <v>221910</v>
      </c>
      <c r="AB702">
        <v>20487</v>
      </c>
      <c r="AD702" t="s">
        <v>4</v>
      </c>
      <c r="AE702">
        <v>30</v>
      </c>
      <c r="AF702">
        <v>1</v>
      </c>
      <c r="AH702" s="9">
        <v>44317</v>
      </c>
      <c r="AI702" t="s">
        <v>176</v>
      </c>
      <c r="AJ702" t="s">
        <v>175</v>
      </c>
      <c r="AK702" t="s">
        <v>174</v>
      </c>
      <c r="AL702">
        <v>22</v>
      </c>
      <c r="AM702" s="5">
        <f t="shared" si="90"/>
        <v>0.57894736842105265</v>
      </c>
      <c r="AN702" s="4">
        <f t="shared" si="87"/>
        <v>8.768608381992467E-4</v>
      </c>
      <c r="AO702" s="3"/>
      <c r="AP702">
        <v>0</v>
      </c>
      <c r="AR702" t="s">
        <v>0</v>
      </c>
      <c r="AT702" s="2">
        <v>2.3540000000000001</v>
      </c>
      <c r="AU702" s="1">
        <f t="shared" si="91"/>
        <v>1.7061862341046274</v>
      </c>
      <c r="AV702" s="1">
        <f t="shared" si="92"/>
        <v>1.2437576197375697</v>
      </c>
      <c r="AW702" s="1">
        <f t="shared" si="93"/>
        <v>0.78132900537051175</v>
      </c>
    </row>
    <row r="703" spans="1:49" x14ac:dyDescent="0.2">
      <c r="A703">
        <v>701</v>
      </c>
      <c r="B703" t="s">
        <v>173</v>
      </c>
      <c r="C703" t="s">
        <v>172</v>
      </c>
      <c r="F703" t="s">
        <v>171</v>
      </c>
      <c r="G703" t="s">
        <v>13</v>
      </c>
      <c r="H703" t="s">
        <v>12</v>
      </c>
      <c r="I703" t="s">
        <v>170</v>
      </c>
      <c r="J703">
        <v>60004572</v>
      </c>
      <c r="K703" t="s">
        <v>169</v>
      </c>
      <c r="L703" t="s">
        <v>168</v>
      </c>
      <c r="M703" t="s">
        <v>167</v>
      </c>
      <c r="N703">
        <v>1</v>
      </c>
      <c r="O703" t="s">
        <v>166</v>
      </c>
      <c r="P703">
        <v>24285314800</v>
      </c>
      <c r="Q703">
        <v>60004572</v>
      </c>
      <c r="R703" s="7">
        <v>30682</v>
      </c>
      <c r="S703" s="8">
        <f t="shared" si="88"/>
        <v>1984</v>
      </c>
      <c r="T703" s="8">
        <v>1984</v>
      </c>
      <c r="U703" s="8">
        <f t="shared" si="89"/>
        <v>38</v>
      </c>
      <c r="V703" s="7">
        <v>30713</v>
      </c>
      <c r="W703" t="s">
        <v>165</v>
      </c>
      <c r="X703" s="2">
        <v>1.1479999999999999</v>
      </c>
      <c r="Y703" s="6">
        <f t="shared" si="86"/>
        <v>3.0645204345853019E-2</v>
      </c>
      <c r="AA703">
        <v>244082</v>
      </c>
      <c r="AB703">
        <v>22631</v>
      </c>
      <c r="AC703">
        <v>10963642</v>
      </c>
      <c r="AD703" t="s">
        <v>4</v>
      </c>
      <c r="AE703">
        <v>80</v>
      </c>
      <c r="AF703" s="9">
        <v>44257</v>
      </c>
      <c r="AH703" t="s">
        <v>164</v>
      </c>
      <c r="AI703" t="s">
        <v>163</v>
      </c>
      <c r="AJ703" t="s">
        <v>162</v>
      </c>
      <c r="AK703" t="s">
        <v>161</v>
      </c>
      <c r="AL703">
        <v>17</v>
      </c>
      <c r="AM703" s="5">
        <f t="shared" si="90"/>
        <v>0.44736842105263158</v>
      </c>
      <c r="AN703" s="4">
        <f t="shared" si="87"/>
        <v>6.7757428406305424E-4</v>
      </c>
      <c r="AO703" s="3"/>
      <c r="AP703">
        <v>0</v>
      </c>
      <c r="AR703" t="s">
        <v>0</v>
      </c>
      <c r="AT703" s="2" t="s">
        <v>45</v>
      </c>
      <c r="AU703" s="1">
        <f t="shared" si="91"/>
        <v>2.1654915327316027</v>
      </c>
      <c r="AV703" s="1">
        <f t="shared" si="92"/>
        <v>1.5661389314958036</v>
      </c>
      <c r="AW703" s="1">
        <f t="shared" si="93"/>
        <v>0.96678633026000427</v>
      </c>
    </row>
    <row r="704" spans="1:49" x14ac:dyDescent="0.2">
      <c r="A704">
        <v>702</v>
      </c>
      <c r="B704" t="s">
        <v>160</v>
      </c>
      <c r="C704" t="s">
        <v>159</v>
      </c>
      <c r="D704">
        <v>20732284900096</v>
      </c>
      <c r="F704" t="s">
        <v>158</v>
      </c>
      <c r="G704" t="s">
        <v>13</v>
      </c>
      <c r="H704" t="s">
        <v>12</v>
      </c>
      <c r="I704" t="s">
        <v>157</v>
      </c>
      <c r="J704">
        <v>60102125</v>
      </c>
      <c r="K704" t="s">
        <v>156</v>
      </c>
      <c r="L704" t="s">
        <v>155</v>
      </c>
      <c r="M704" t="s">
        <v>24</v>
      </c>
      <c r="N704">
        <v>1</v>
      </c>
      <c r="O704" t="s">
        <v>154</v>
      </c>
      <c r="P704">
        <v>6602461817</v>
      </c>
      <c r="Q704">
        <v>60102125</v>
      </c>
      <c r="R704" s="7">
        <v>30682</v>
      </c>
      <c r="S704" s="8">
        <f t="shared" si="88"/>
        <v>1984</v>
      </c>
      <c r="T704" s="8">
        <v>1984</v>
      </c>
      <c r="U704" s="8">
        <f t="shared" si="89"/>
        <v>38</v>
      </c>
      <c r="V704" s="7">
        <v>1984</v>
      </c>
      <c r="W704" t="s">
        <v>96</v>
      </c>
      <c r="X704" s="2">
        <v>0.998</v>
      </c>
      <c r="Y704" s="6">
        <f t="shared" si="86"/>
        <v>2.664104001494888E-2</v>
      </c>
      <c r="AA704">
        <v>207322</v>
      </c>
      <c r="AB704">
        <v>90127</v>
      </c>
      <c r="AD704" t="s">
        <v>4</v>
      </c>
      <c r="AE704">
        <v>13</v>
      </c>
      <c r="AF704" s="9">
        <v>44352</v>
      </c>
      <c r="AH704" t="s">
        <v>153</v>
      </c>
      <c r="AI704" t="s">
        <v>152</v>
      </c>
      <c r="AJ704" t="s">
        <v>151</v>
      </c>
      <c r="AK704" t="s">
        <v>150</v>
      </c>
      <c r="AL704">
        <v>14</v>
      </c>
      <c r="AM704" s="5">
        <f t="shared" si="90"/>
        <v>0.36842105263157893</v>
      </c>
      <c r="AN704" s="4">
        <f t="shared" si="87"/>
        <v>5.5800235158133874E-4</v>
      </c>
      <c r="AO704" s="3"/>
      <c r="AP704">
        <v>0</v>
      </c>
      <c r="AR704" t="s">
        <v>0</v>
      </c>
      <c r="AT704" s="2" t="s">
        <v>45</v>
      </c>
      <c r="AU704" s="1">
        <f t="shared" si="91"/>
        <v>1.8816128715938618</v>
      </c>
      <c r="AV704" s="1">
        <f t="shared" si="92"/>
        <v>1.3599521183265109</v>
      </c>
      <c r="AW704" s="1">
        <f t="shared" si="93"/>
        <v>0.83829136505916024</v>
      </c>
    </row>
    <row r="705" spans="1:49" x14ac:dyDescent="0.2">
      <c r="A705">
        <v>703</v>
      </c>
      <c r="B705" t="s">
        <v>149</v>
      </c>
      <c r="C705" t="s">
        <v>148</v>
      </c>
      <c r="D705" t="s">
        <v>147</v>
      </c>
      <c r="F705" t="s">
        <v>146</v>
      </c>
      <c r="G705" t="s">
        <v>13</v>
      </c>
      <c r="H705" t="s">
        <v>12</v>
      </c>
      <c r="I705" t="s">
        <v>145</v>
      </c>
      <c r="J705">
        <v>60030807</v>
      </c>
      <c r="K705" t="s">
        <v>144</v>
      </c>
      <c r="L705" t="s">
        <v>143</v>
      </c>
      <c r="M705" t="s">
        <v>142</v>
      </c>
      <c r="N705">
        <v>4</v>
      </c>
      <c r="O705" t="s">
        <v>141</v>
      </c>
      <c r="P705" t="s">
        <v>140</v>
      </c>
      <c r="Q705" t="s">
        <v>139</v>
      </c>
      <c r="R705" s="7">
        <v>30682</v>
      </c>
      <c r="S705" s="8">
        <f t="shared" si="88"/>
        <v>1984</v>
      </c>
      <c r="T705" s="8">
        <v>1984</v>
      </c>
      <c r="U705" s="8">
        <f t="shared" si="89"/>
        <v>38</v>
      </c>
      <c r="V705" s="7">
        <v>1984</v>
      </c>
      <c r="W705" t="s">
        <v>138</v>
      </c>
      <c r="X705" s="2">
        <v>0.89900000000000002</v>
      </c>
      <c r="Y705" s="6">
        <f t="shared" si="86"/>
        <v>2.399829155655215E-2</v>
      </c>
      <c r="AA705">
        <v>221910</v>
      </c>
      <c r="AB705">
        <v>20487</v>
      </c>
      <c r="AD705" t="s">
        <v>4</v>
      </c>
      <c r="AE705">
        <v>30</v>
      </c>
      <c r="AF705">
        <v>1</v>
      </c>
      <c r="AH705" t="s">
        <v>137</v>
      </c>
      <c r="AI705" t="s">
        <v>136</v>
      </c>
      <c r="AJ705" t="s">
        <v>135</v>
      </c>
      <c r="AK705" t="s">
        <v>134</v>
      </c>
      <c r="AL705">
        <v>91</v>
      </c>
      <c r="AM705" s="5">
        <f t="shared" si="90"/>
        <v>2.3947368421052633</v>
      </c>
      <c r="AN705" s="4">
        <f t="shared" si="87"/>
        <v>3.6270152852787025E-3</v>
      </c>
      <c r="AO705" s="3"/>
      <c r="AP705">
        <v>0</v>
      </c>
      <c r="AQ705" t="s">
        <v>133</v>
      </c>
      <c r="AR705" t="s">
        <v>0</v>
      </c>
      <c r="AS705" t="s">
        <v>132</v>
      </c>
      <c r="AT705" s="2">
        <v>2.3540000000000001</v>
      </c>
      <c r="AU705" s="1">
        <f t="shared" si="91"/>
        <v>1.7886908675170115</v>
      </c>
      <c r="AV705" s="1">
        <f t="shared" si="92"/>
        <v>1.3812653420915426</v>
      </c>
      <c r="AW705" s="1">
        <f t="shared" si="93"/>
        <v>0.97383981666607355</v>
      </c>
    </row>
    <row r="706" spans="1:49" x14ac:dyDescent="0.2">
      <c r="A706">
        <v>704</v>
      </c>
      <c r="B706" t="s">
        <v>131</v>
      </c>
      <c r="C706" t="s">
        <v>130</v>
      </c>
      <c r="F706" t="s">
        <v>129</v>
      </c>
      <c r="G706" t="s">
        <v>13</v>
      </c>
      <c r="H706" t="s">
        <v>12</v>
      </c>
      <c r="I706" t="s">
        <v>128</v>
      </c>
      <c r="J706">
        <v>114400311</v>
      </c>
      <c r="K706" t="s">
        <v>127</v>
      </c>
      <c r="L706" t="s">
        <v>126</v>
      </c>
      <c r="M706" t="s">
        <v>125</v>
      </c>
      <c r="N706">
        <v>1</v>
      </c>
      <c r="O706" t="s">
        <v>124</v>
      </c>
      <c r="P706">
        <v>35838769500</v>
      </c>
      <c r="Q706">
        <v>114400311</v>
      </c>
      <c r="R706" s="7">
        <v>30682</v>
      </c>
      <c r="S706" s="8">
        <f t="shared" si="88"/>
        <v>1984</v>
      </c>
      <c r="T706" s="8">
        <v>1984</v>
      </c>
      <c r="U706" s="8">
        <f t="shared" si="89"/>
        <v>38</v>
      </c>
      <c r="V706" s="7" t="s">
        <v>123</v>
      </c>
      <c r="W706" t="s">
        <v>122</v>
      </c>
      <c r="X706" s="2">
        <v>0.24099999999999999</v>
      </c>
      <c r="Y706" s="6">
        <f t="shared" ref="Y706:Y714" si="94">(X706-$Z$4)/($Z$3-$Z$4)</f>
        <v>6.4333573583193185E-3</v>
      </c>
      <c r="AA706">
        <v>305316</v>
      </c>
      <c r="AB706">
        <v>21064</v>
      </c>
      <c r="AC706">
        <v>21578745</v>
      </c>
      <c r="AD706" t="s">
        <v>4</v>
      </c>
      <c r="AE706">
        <v>18</v>
      </c>
      <c r="AF706">
        <v>1</v>
      </c>
      <c r="AH706" t="s">
        <v>121</v>
      </c>
      <c r="AI706" t="s">
        <v>120</v>
      </c>
      <c r="AK706" t="s">
        <v>119</v>
      </c>
      <c r="AL706">
        <v>13</v>
      </c>
      <c r="AM706" s="5">
        <f t="shared" si="90"/>
        <v>0.34210526315789475</v>
      </c>
      <c r="AN706" s="4">
        <f t="shared" ref="AN706:AN714" si="95">(AM706-$AO$4)/($AO$3-$AO$4)</f>
        <v>5.1814504075410031E-4</v>
      </c>
      <c r="AO706" s="3"/>
      <c r="AP706">
        <v>0</v>
      </c>
      <c r="AR706" t="s">
        <v>0</v>
      </c>
      <c r="AT706" s="2">
        <v>0.52700000000000002</v>
      </c>
      <c r="AU706" s="1">
        <f t="shared" si="91"/>
        <v>0.46587936630497528</v>
      </c>
      <c r="AV706" s="1">
        <f t="shared" si="92"/>
        <v>0.34757511995367091</v>
      </c>
      <c r="AW706" s="1">
        <f t="shared" si="93"/>
        <v>0.22927087360236656</v>
      </c>
    </row>
    <row r="707" spans="1:49" x14ac:dyDescent="0.2">
      <c r="A707">
        <v>705</v>
      </c>
      <c r="B707" t="s">
        <v>118</v>
      </c>
      <c r="C707" t="s">
        <v>117</v>
      </c>
      <c r="F707" t="s">
        <v>116</v>
      </c>
      <c r="G707" t="s">
        <v>13</v>
      </c>
      <c r="H707" t="s">
        <v>12</v>
      </c>
      <c r="I707" t="s">
        <v>115</v>
      </c>
      <c r="J707">
        <v>100422503</v>
      </c>
      <c r="K707" t="s">
        <v>114</v>
      </c>
      <c r="L707" t="s">
        <v>113</v>
      </c>
      <c r="M707" t="s">
        <v>56</v>
      </c>
      <c r="N707">
        <v>1</v>
      </c>
      <c r="O707" t="s">
        <v>112</v>
      </c>
      <c r="P707">
        <v>6701515524</v>
      </c>
      <c r="Q707">
        <v>100422503</v>
      </c>
      <c r="R707" s="7">
        <v>30682</v>
      </c>
      <c r="S707" s="8">
        <f t="shared" si="88"/>
        <v>1984</v>
      </c>
      <c r="T707" s="8">
        <v>1984</v>
      </c>
      <c r="U707" s="8">
        <f t="shared" si="89"/>
        <v>38</v>
      </c>
      <c r="V707" s="7">
        <v>30956</v>
      </c>
      <c r="W707" t="s">
        <v>111</v>
      </c>
      <c r="X707" s="2">
        <v>2.383</v>
      </c>
      <c r="Y707" s="6">
        <f t="shared" si="94"/>
        <v>6.3612824003630442E-2</v>
      </c>
      <c r="AA707">
        <v>189219</v>
      </c>
      <c r="AB707">
        <v>17915</v>
      </c>
      <c r="AD707" t="s">
        <v>4</v>
      </c>
      <c r="AE707">
        <v>72</v>
      </c>
      <c r="AF707">
        <v>10</v>
      </c>
      <c r="AH707" t="s">
        <v>110</v>
      </c>
      <c r="AI707" t="s">
        <v>109</v>
      </c>
      <c r="AK707" t="s">
        <v>108</v>
      </c>
      <c r="AL707">
        <v>27</v>
      </c>
      <c r="AM707" s="5">
        <f t="shared" si="90"/>
        <v>0.71052631578947367</v>
      </c>
      <c r="AN707" s="4">
        <f t="shared" si="95"/>
        <v>1.076147392335439E-3</v>
      </c>
      <c r="AO707" s="3"/>
      <c r="AP707">
        <v>0</v>
      </c>
      <c r="AR707" t="s">
        <v>0</v>
      </c>
      <c r="AT707" s="2">
        <v>10.961</v>
      </c>
      <c r="AU707" s="1">
        <f t="shared" si="91"/>
        <v>4.4851821020241944</v>
      </c>
      <c r="AV707" s="1">
        <f t="shared" si="92"/>
        <v>3.2344485697982943</v>
      </c>
      <c r="AW707" s="1">
        <f t="shared" si="93"/>
        <v>1.983715037572394</v>
      </c>
    </row>
    <row r="708" spans="1:49" x14ac:dyDescent="0.2">
      <c r="A708">
        <v>706</v>
      </c>
      <c r="B708" t="s">
        <v>107</v>
      </c>
      <c r="C708" t="s">
        <v>106</v>
      </c>
      <c r="D708" t="s">
        <v>105</v>
      </c>
      <c r="F708" t="s">
        <v>104</v>
      </c>
      <c r="G708" t="s">
        <v>13</v>
      </c>
      <c r="H708" t="s">
        <v>12</v>
      </c>
      <c r="I708" t="s">
        <v>103</v>
      </c>
      <c r="J708" t="s">
        <v>97</v>
      </c>
      <c r="K708" t="s">
        <v>102</v>
      </c>
      <c r="L708" t="s">
        <v>101</v>
      </c>
      <c r="M708" t="s">
        <v>100</v>
      </c>
      <c r="N708">
        <v>2</v>
      </c>
      <c r="O708" t="s">
        <v>99</v>
      </c>
      <c r="P708" t="s">
        <v>98</v>
      </c>
      <c r="Q708" t="s">
        <v>97</v>
      </c>
      <c r="R708" s="7">
        <v>30682</v>
      </c>
      <c r="S708" s="8">
        <f t="shared" si="88"/>
        <v>1984</v>
      </c>
      <c r="T708" s="8">
        <v>1984</v>
      </c>
      <c r="U708" s="8">
        <f t="shared" si="89"/>
        <v>38</v>
      </c>
      <c r="V708" s="7">
        <v>1984</v>
      </c>
      <c r="W708" t="s">
        <v>96</v>
      </c>
      <c r="X708" s="2">
        <v>0.998</v>
      </c>
      <c r="Y708" s="6">
        <f t="shared" si="94"/>
        <v>2.664104001494888E-2</v>
      </c>
      <c r="AA708">
        <v>207322</v>
      </c>
      <c r="AB708">
        <v>90127</v>
      </c>
      <c r="AD708" t="s">
        <v>4</v>
      </c>
      <c r="AE708">
        <v>13</v>
      </c>
      <c r="AF708">
        <v>4</v>
      </c>
      <c r="AH708" t="s">
        <v>95</v>
      </c>
      <c r="AI708" t="s">
        <v>94</v>
      </c>
      <c r="AJ708" t="s">
        <v>93</v>
      </c>
      <c r="AK708" t="s">
        <v>92</v>
      </c>
      <c r="AL708">
        <v>60</v>
      </c>
      <c r="AM708" s="5">
        <f t="shared" si="90"/>
        <v>1.5789473684210527</v>
      </c>
      <c r="AN708" s="4">
        <f t="shared" si="95"/>
        <v>2.3914386496343091E-3</v>
      </c>
      <c r="AO708" s="3"/>
      <c r="AP708">
        <v>0</v>
      </c>
      <c r="AR708" t="s">
        <v>0</v>
      </c>
      <c r="AT708" s="2" t="s">
        <v>45</v>
      </c>
      <c r="AU708" s="1">
        <f t="shared" si="91"/>
        <v>1.9366159605354509</v>
      </c>
      <c r="AV708" s="1">
        <f t="shared" si="92"/>
        <v>1.4516239332291594</v>
      </c>
      <c r="AW708" s="1">
        <f t="shared" si="93"/>
        <v>0.96663190592286807</v>
      </c>
    </row>
    <row r="709" spans="1:49" x14ac:dyDescent="0.2">
      <c r="A709">
        <v>707</v>
      </c>
      <c r="B709" t="s">
        <v>91</v>
      </c>
      <c r="C709" t="s">
        <v>90</v>
      </c>
      <c r="D709">
        <v>21916984900035</v>
      </c>
      <c r="F709" t="s">
        <v>89</v>
      </c>
      <c r="G709" t="s">
        <v>13</v>
      </c>
      <c r="H709" t="s">
        <v>12</v>
      </c>
      <c r="I709" t="s">
        <v>88</v>
      </c>
      <c r="J709">
        <v>60009512</v>
      </c>
      <c r="K709" t="s">
        <v>87</v>
      </c>
      <c r="L709" t="s">
        <v>86</v>
      </c>
      <c r="M709" t="s">
        <v>85</v>
      </c>
      <c r="N709">
        <v>1</v>
      </c>
      <c r="O709" t="s">
        <v>84</v>
      </c>
      <c r="P709">
        <v>7202620125</v>
      </c>
      <c r="Q709">
        <v>60009512</v>
      </c>
      <c r="R709" s="7">
        <v>30682</v>
      </c>
      <c r="S709" s="8">
        <f t="shared" si="88"/>
        <v>1984</v>
      </c>
      <c r="T709" s="8">
        <v>1984</v>
      </c>
      <c r="U709" s="8">
        <f t="shared" si="89"/>
        <v>38</v>
      </c>
      <c r="V709" s="7">
        <v>30987</v>
      </c>
      <c r="W709" t="s">
        <v>83</v>
      </c>
      <c r="X709" s="2">
        <v>0.51500000000000001</v>
      </c>
      <c r="Y709" s="6">
        <f t="shared" si="94"/>
        <v>1.374763086943755E-2</v>
      </c>
      <c r="AA709">
        <v>219169</v>
      </c>
      <c r="AB709">
        <v>30966</v>
      </c>
      <c r="AD709" t="s">
        <v>4</v>
      </c>
      <c r="AE709">
        <v>46</v>
      </c>
      <c r="AF709">
        <v>11</v>
      </c>
      <c r="AH709" t="s">
        <v>82</v>
      </c>
      <c r="AI709" t="s">
        <v>81</v>
      </c>
      <c r="AK709" t="s">
        <v>80</v>
      </c>
      <c r="AL709">
        <v>82</v>
      </c>
      <c r="AM709" s="5">
        <f t="shared" si="90"/>
        <v>2.1578947368421053</v>
      </c>
      <c r="AN709" s="4">
        <f t="shared" si="95"/>
        <v>3.2682994878335558E-3</v>
      </c>
      <c r="AO709" s="3"/>
      <c r="AP709">
        <v>0</v>
      </c>
      <c r="AR709" t="s">
        <v>0</v>
      </c>
      <c r="AT709" s="2" t="s">
        <v>45</v>
      </c>
      <c r="AU709" s="1">
        <f t="shared" si="91"/>
        <v>1.0603831454956352</v>
      </c>
      <c r="AV709" s="1">
        <f t="shared" si="92"/>
        <v>0.85079651786355537</v>
      </c>
      <c r="AW709" s="1">
        <f t="shared" si="93"/>
        <v>0.64120989023147534</v>
      </c>
    </row>
    <row r="710" spans="1:49" x14ac:dyDescent="0.2">
      <c r="A710">
        <v>708</v>
      </c>
      <c r="B710" t="s">
        <v>79</v>
      </c>
      <c r="C710" t="s">
        <v>78</v>
      </c>
      <c r="D710" t="s">
        <v>77</v>
      </c>
      <c r="F710" t="s">
        <v>76</v>
      </c>
      <c r="G710" t="s">
        <v>13</v>
      </c>
      <c r="H710" t="s">
        <v>12</v>
      </c>
      <c r="I710" t="s">
        <v>75</v>
      </c>
      <c r="J710" t="s">
        <v>69</v>
      </c>
      <c r="K710" t="s">
        <v>74</v>
      </c>
      <c r="L710" t="s">
        <v>73</v>
      </c>
      <c r="M710" t="s">
        <v>72</v>
      </c>
      <c r="N710">
        <v>3</v>
      </c>
      <c r="O710" t="s">
        <v>71</v>
      </c>
      <c r="P710" t="s">
        <v>70</v>
      </c>
      <c r="Q710" t="s">
        <v>69</v>
      </c>
      <c r="R710" s="7">
        <v>30682</v>
      </c>
      <c r="S710" s="8">
        <f t="shared" si="88"/>
        <v>1984</v>
      </c>
      <c r="T710" s="8">
        <v>1984</v>
      </c>
      <c r="U710" s="8">
        <f t="shared" si="89"/>
        <v>38</v>
      </c>
      <c r="V710" s="7">
        <v>30834</v>
      </c>
      <c r="W710" t="s">
        <v>20</v>
      </c>
      <c r="X710" s="2">
        <v>1.5249999999999999</v>
      </c>
      <c r="Y710" s="6">
        <f t="shared" si="94"/>
        <v>4.070900403085876E-2</v>
      </c>
      <c r="AA710">
        <v>191035</v>
      </c>
      <c r="AB710">
        <v>27241</v>
      </c>
      <c r="AC710">
        <v>10902643</v>
      </c>
      <c r="AD710" t="s">
        <v>4</v>
      </c>
      <c r="AE710">
        <v>58</v>
      </c>
      <c r="AF710">
        <v>3</v>
      </c>
      <c r="AH710" t="s">
        <v>68</v>
      </c>
      <c r="AI710" t="s">
        <v>67</v>
      </c>
      <c r="AK710" t="s">
        <v>66</v>
      </c>
      <c r="AL710">
        <v>29</v>
      </c>
      <c r="AM710" s="5">
        <f t="shared" si="90"/>
        <v>0.76315789473684215</v>
      </c>
      <c r="AN710" s="4">
        <f t="shared" si="95"/>
        <v>1.1558620139899161E-3</v>
      </c>
      <c r="AO710" s="3"/>
      <c r="AP710">
        <v>0</v>
      </c>
      <c r="AQ710" t="s">
        <v>65</v>
      </c>
      <c r="AR710" t="s">
        <v>64</v>
      </c>
      <c r="AS710" t="s">
        <v>63</v>
      </c>
      <c r="AT710" s="2">
        <v>3.508</v>
      </c>
      <c r="AU710" s="1">
        <f t="shared" si="91"/>
        <v>2.8843061425798107</v>
      </c>
      <c r="AV710" s="1">
        <f t="shared" si="92"/>
        <v>2.0932433022424335</v>
      </c>
      <c r="AW710" s="1">
        <f t="shared" si="93"/>
        <v>1.302180461905057</v>
      </c>
    </row>
    <row r="711" spans="1:49" x14ac:dyDescent="0.2">
      <c r="A711">
        <v>709</v>
      </c>
      <c r="B711" t="s">
        <v>62</v>
      </c>
      <c r="C711" t="s">
        <v>61</v>
      </c>
      <c r="D711">
        <v>22236484901951</v>
      </c>
      <c r="F711" t="s">
        <v>60</v>
      </c>
      <c r="G711" t="s">
        <v>13</v>
      </c>
      <c r="H711" t="s">
        <v>12</v>
      </c>
      <c r="I711" t="s">
        <v>59</v>
      </c>
      <c r="J711">
        <v>60010261</v>
      </c>
      <c r="K711" t="s">
        <v>58</v>
      </c>
      <c r="L711" t="s">
        <v>57</v>
      </c>
      <c r="M711" t="s">
        <v>56</v>
      </c>
      <c r="N711">
        <v>3</v>
      </c>
      <c r="O711" t="s">
        <v>55</v>
      </c>
      <c r="P711" t="s">
        <v>54</v>
      </c>
      <c r="Q711" t="s">
        <v>53</v>
      </c>
      <c r="R711" s="7">
        <v>30682</v>
      </c>
      <c r="S711" s="8">
        <f t="shared" si="88"/>
        <v>1984</v>
      </c>
      <c r="T711" s="8">
        <v>1984</v>
      </c>
      <c r="U711" s="8">
        <f t="shared" si="89"/>
        <v>38</v>
      </c>
      <c r="V711" s="7">
        <v>30682</v>
      </c>
      <c r="W711" t="s">
        <v>52</v>
      </c>
      <c r="X711" s="2" t="s">
        <v>45</v>
      </c>
      <c r="Y711" s="6" t="e">
        <f t="shared" si="94"/>
        <v>#VALUE!</v>
      </c>
      <c r="AA711">
        <v>222364</v>
      </c>
      <c r="AB711">
        <v>9800153153</v>
      </c>
      <c r="AD711" t="s">
        <v>4</v>
      </c>
      <c r="AE711">
        <v>56</v>
      </c>
      <c r="AF711">
        <v>1</v>
      </c>
      <c r="AH711" t="s">
        <v>51</v>
      </c>
      <c r="AI711" t="s">
        <v>50</v>
      </c>
      <c r="AK711" t="s">
        <v>49</v>
      </c>
      <c r="AL711">
        <v>93</v>
      </c>
      <c r="AM711" s="5">
        <f t="shared" si="90"/>
        <v>2.4473684210526314</v>
      </c>
      <c r="AN711" s="4">
        <f t="shared" si="95"/>
        <v>3.7067299069331789E-3</v>
      </c>
      <c r="AO711" s="3"/>
      <c r="AP711">
        <v>0</v>
      </c>
      <c r="AQ711" t="s">
        <v>48</v>
      </c>
      <c r="AR711" t="s">
        <v>47</v>
      </c>
      <c r="AS711" t="s">
        <v>46</v>
      </c>
      <c r="AT711" s="2" t="s">
        <v>45</v>
      </c>
      <c r="AU711" s="1" t="e">
        <f t="shared" si="91"/>
        <v>#VALUE!</v>
      </c>
      <c r="AV711" s="1" t="e">
        <f t="shared" si="92"/>
        <v>#VALUE!</v>
      </c>
      <c r="AW711" s="1" t="e">
        <f t="shared" si="93"/>
        <v>#VALUE!</v>
      </c>
    </row>
    <row r="712" spans="1:49" x14ac:dyDescent="0.2">
      <c r="A712">
        <v>710</v>
      </c>
      <c r="B712" t="s">
        <v>44</v>
      </c>
      <c r="C712" t="s">
        <v>43</v>
      </c>
      <c r="F712" t="s">
        <v>42</v>
      </c>
      <c r="G712" t="s">
        <v>13</v>
      </c>
      <c r="H712" t="s">
        <v>12</v>
      </c>
      <c r="I712" t="s">
        <v>41</v>
      </c>
      <c r="J712">
        <v>60009507</v>
      </c>
      <c r="K712" t="s">
        <v>40</v>
      </c>
      <c r="L712" t="s">
        <v>39</v>
      </c>
      <c r="M712" t="s">
        <v>38</v>
      </c>
      <c r="N712">
        <v>4</v>
      </c>
      <c r="O712" t="s">
        <v>37</v>
      </c>
      <c r="P712" t="s">
        <v>36</v>
      </c>
      <c r="Q712" t="s">
        <v>35</v>
      </c>
      <c r="R712" s="7">
        <v>30682</v>
      </c>
      <c r="S712" s="8">
        <f t="shared" si="88"/>
        <v>1984</v>
      </c>
      <c r="T712" s="8">
        <v>1984</v>
      </c>
      <c r="U712" s="8">
        <f t="shared" si="89"/>
        <v>38</v>
      </c>
      <c r="V712" s="7">
        <v>30956</v>
      </c>
      <c r="W712" t="s">
        <v>34</v>
      </c>
      <c r="X712" s="2">
        <v>1.43</v>
      </c>
      <c r="Y712" s="6">
        <f t="shared" si="94"/>
        <v>3.8173033287952803E-2</v>
      </c>
      <c r="AA712">
        <v>62960</v>
      </c>
      <c r="AB712">
        <v>16867</v>
      </c>
      <c r="AC712">
        <v>15204995</v>
      </c>
      <c r="AD712" t="s">
        <v>4</v>
      </c>
      <c r="AE712">
        <v>23</v>
      </c>
      <c r="AF712">
        <v>22</v>
      </c>
      <c r="AH712" t="s">
        <v>33</v>
      </c>
      <c r="AI712" t="s">
        <v>32</v>
      </c>
      <c r="AK712" t="s">
        <v>31</v>
      </c>
      <c r="AL712">
        <v>27</v>
      </c>
      <c r="AM712" s="5">
        <f t="shared" si="90"/>
        <v>0.71052631578947367</v>
      </c>
      <c r="AN712" s="4">
        <f t="shared" si="95"/>
        <v>1.076147392335439E-3</v>
      </c>
      <c r="AO712" s="3"/>
      <c r="AP712">
        <v>0</v>
      </c>
      <c r="AR712" t="s">
        <v>0</v>
      </c>
      <c r="AT712" s="2">
        <v>3.1619999999999999</v>
      </c>
      <c r="AU712" s="1">
        <f t="shared" si="91"/>
        <v>2.7043967519267591</v>
      </c>
      <c r="AV712" s="1">
        <f t="shared" si="92"/>
        <v>1.9624590340144121</v>
      </c>
      <c r="AW712" s="1">
        <f t="shared" si="93"/>
        <v>1.2205213161020647</v>
      </c>
    </row>
    <row r="713" spans="1:49" x14ac:dyDescent="0.2">
      <c r="A713">
        <v>711</v>
      </c>
      <c r="B713" t="s">
        <v>30</v>
      </c>
      <c r="C713" t="s">
        <v>29</v>
      </c>
      <c r="D713">
        <v>19103584901672</v>
      </c>
      <c r="F713" t="s">
        <v>28</v>
      </c>
      <c r="G713" t="s">
        <v>13</v>
      </c>
      <c r="H713" t="s">
        <v>12</v>
      </c>
      <c r="I713" t="s">
        <v>27</v>
      </c>
      <c r="J713">
        <v>60003674</v>
      </c>
      <c r="K713" t="s">
        <v>26</v>
      </c>
      <c r="L713" t="s">
        <v>25</v>
      </c>
      <c r="M713" t="s">
        <v>24</v>
      </c>
      <c r="N713">
        <v>3</v>
      </c>
      <c r="O713" t="s">
        <v>23</v>
      </c>
      <c r="P713" t="s">
        <v>22</v>
      </c>
      <c r="Q713" t="s">
        <v>21</v>
      </c>
      <c r="R713" s="7">
        <v>30682</v>
      </c>
      <c r="S713" s="8">
        <f t="shared" si="88"/>
        <v>1984</v>
      </c>
      <c r="T713" s="8">
        <v>1984</v>
      </c>
      <c r="U713" s="8">
        <f t="shared" si="89"/>
        <v>38</v>
      </c>
      <c r="V713" s="7">
        <v>31017</v>
      </c>
      <c r="W713" t="s">
        <v>20</v>
      </c>
      <c r="X713" s="2">
        <v>1.5249999999999999</v>
      </c>
      <c r="Y713" s="6">
        <f t="shared" si="94"/>
        <v>4.070900403085876E-2</v>
      </c>
      <c r="AA713">
        <v>191035</v>
      </c>
      <c r="AB713">
        <v>27241</v>
      </c>
      <c r="AC713">
        <v>10902643</v>
      </c>
      <c r="AD713" t="s">
        <v>4</v>
      </c>
      <c r="AE713">
        <v>60</v>
      </c>
      <c r="AF713">
        <v>3</v>
      </c>
      <c r="AH713" t="s">
        <v>19</v>
      </c>
      <c r="AI713" t="s">
        <v>18</v>
      </c>
      <c r="AK713" t="s">
        <v>17</v>
      </c>
      <c r="AL713">
        <v>23</v>
      </c>
      <c r="AM713" s="5">
        <f t="shared" si="90"/>
        <v>0.60526315789473684</v>
      </c>
      <c r="AN713" s="4">
        <f t="shared" si="95"/>
        <v>9.1671814902648512E-4</v>
      </c>
      <c r="AO713" s="3"/>
      <c r="AP713">
        <v>0</v>
      </c>
      <c r="AR713" t="s">
        <v>0</v>
      </c>
      <c r="AT713" s="2">
        <v>3.508</v>
      </c>
      <c r="AU713" s="1">
        <f t="shared" si="91"/>
        <v>2.8771318266309072</v>
      </c>
      <c r="AV713" s="1">
        <f t="shared" si="92"/>
        <v>2.081286108994262</v>
      </c>
      <c r="AW713" s="1">
        <f t="shared" si="93"/>
        <v>1.2854403913576169</v>
      </c>
    </row>
    <row r="714" spans="1:49" x14ac:dyDescent="0.2">
      <c r="A714">
        <v>712</v>
      </c>
      <c r="B714" t="s">
        <v>16</v>
      </c>
      <c r="C714" t="s">
        <v>15</v>
      </c>
      <c r="F714" t="s">
        <v>14</v>
      </c>
      <c r="G714" t="s">
        <v>13</v>
      </c>
      <c r="H714" t="s">
        <v>12</v>
      </c>
      <c r="I714" t="s">
        <v>11</v>
      </c>
      <c r="N714">
        <v>3</v>
      </c>
      <c r="O714" t="s">
        <v>10</v>
      </c>
      <c r="P714" t="s">
        <v>9</v>
      </c>
      <c r="Q714" t="s">
        <v>8</v>
      </c>
      <c r="R714" s="7">
        <v>30682</v>
      </c>
      <c r="S714" s="8">
        <f t="shared" si="88"/>
        <v>1984</v>
      </c>
      <c r="T714" s="8">
        <v>1984</v>
      </c>
      <c r="U714" s="8">
        <f t="shared" si="89"/>
        <v>38</v>
      </c>
      <c r="V714" s="7" t="s">
        <v>7</v>
      </c>
      <c r="W714" t="s">
        <v>6</v>
      </c>
      <c r="X714" s="2">
        <v>0.371</v>
      </c>
      <c r="Y714" s="6">
        <f t="shared" si="94"/>
        <v>9.9036331117695747E-3</v>
      </c>
      <c r="AA714">
        <v>486604</v>
      </c>
      <c r="AB714">
        <v>28580</v>
      </c>
      <c r="AC714" t="s">
        <v>5</v>
      </c>
      <c r="AD714" t="s">
        <v>4</v>
      </c>
      <c r="AE714">
        <v>19</v>
      </c>
      <c r="AF714">
        <v>1</v>
      </c>
      <c r="AH714" t="s">
        <v>3</v>
      </c>
      <c r="AI714" t="s">
        <v>2</v>
      </c>
      <c r="AK714" t="s">
        <v>1</v>
      </c>
      <c r="AL714">
        <v>68</v>
      </c>
      <c r="AM714" s="5">
        <f t="shared" si="90"/>
        <v>1.7894736842105263</v>
      </c>
      <c r="AN714" s="4">
        <f t="shared" si="95"/>
        <v>2.7102971362522169E-3</v>
      </c>
      <c r="AO714" s="3"/>
      <c r="AP714">
        <v>0</v>
      </c>
      <c r="AR714" t="s">
        <v>0</v>
      </c>
      <c r="AT714" s="2">
        <v>1.431</v>
      </c>
      <c r="AU714" s="1">
        <f t="shared" si="91"/>
        <v>0.77456323191143661</v>
      </c>
      <c r="AV714" s="1">
        <f t="shared" si="92"/>
        <v>0.63069651240108959</v>
      </c>
      <c r="AW714" s="1">
        <f t="shared" si="93"/>
        <v>0.48682979289074235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1984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2021-11-11T11:58:25Z</dcterms:created>
  <dcterms:modified xsi:type="dcterms:W3CDTF">2022-01-19T19:30:34Z</dcterms:modified>
</cp:coreProperties>
</file>